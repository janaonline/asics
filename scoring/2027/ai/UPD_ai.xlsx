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25.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5.xml" ContentType="application/vnd.openxmlformats-officedocument.spreadsheetml.worksheet+xml"/>
  <Override PartName="/xl/worksheets/sheet28.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69.xml" ContentType="application/vnd.openxmlformats-officedocument.spreadsheetml.worksheet+xml"/>
  <Override PartName="/xl/worksheets/sheet8.xml" ContentType="application/vnd.openxmlformats-officedocument.spreadsheetml.worksheet+xml"/>
  <Override PartName="/xl/worksheets/sheet60.xml" ContentType="application/vnd.openxmlformats-officedocument.spreadsheetml.worksheet+xml"/>
  <Override PartName="/xl/worksheets/sheet13.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79.xml" ContentType="application/vnd.openxmlformats-officedocument.spreadsheetml.worksheet+xml"/>
  <Override PartName="/xl/worksheets/sheet2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1.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35.xml" ContentType="application/vnd.openxmlformats-officedocument.spreadsheetml.worksheet+xml"/>
  <Override PartName="/xl/worksheets/sheet29.xml" ContentType="application/vnd.openxmlformats-officedocument.spreadsheetml.worksheet+xml"/>
  <Override PartName="/xl/worksheets/sheet37.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2.xml" ContentType="application/vnd.openxmlformats-officedocument.spreadsheetml.worksheet+xml"/>
  <Override PartName="/xl/worksheets/sheet38.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77.xml" ContentType="application/vnd.openxmlformats-officedocument.spreadsheetml.worksheet+xml"/>
  <Override PartName="/xl/worksheets/sheet40.xml" ContentType="application/vnd.openxmlformats-officedocument.spreadsheetml.worksheet+xml"/>
  <Override PartName="/xl/worksheets/sheet42.xml" ContentType="application/vnd.openxmlformats-officedocument.spreadsheetml.worksheet+xml"/>
  <Override PartName="/xl/worksheets/sheet32.xml" ContentType="application/vnd.openxmlformats-officedocument.spreadsheetml.worksheet+xml"/>
  <Override PartName="/xl/worksheets/sheet46.xml" ContentType="application/vnd.openxmlformats-officedocument.spreadsheetml.worksheet+xml"/>
  <Override PartName="/xl/worksheets/sheet43.xml" ContentType="application/vnd.openxmlformats-officedocument.spreadsheetml.worksheet+xml"/>
  <Override PartName="/xl/worksheets/sheet63.xml" ContentType="application/vnd.openxmlformats-officedocument.spreadsheetml.worksheet+xml"/>
  <Override PartName="/xl/worksheets/sheet48.xml" ContentType="application/vnd.openxmlformats-officedocument.spreadsheetml.worksheet+xml"/>
  <Override PartName="/xl/worksheets/sheet50.xml" ContentType="application/vnd.openxmlformats-officedocument.spreadsheetml.worksheet+xml"/>
  <Override PartName="/xl/worksheets/sheet72.xml" ContentType="application/vnd.openxmlformats-officedocument.spreadsheetml.worksheet+xml"/>
  <Override PartName="/xl/worksheets/sheet65.xml" ContentType="application/vnd.openxmlformats-officedocument.spreadsheetml.worksheet+xml"/>
  <Override PartName="/xl/worksheets/sheet51.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19.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62.xml" ContentType="application/vnd.openxmlformats-officedocument.spreadsheetml.worksheet+xml"/>
  <Override PartName="/xl/worksheets/sheet52.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78.xml" ContentType="application/vnd.openxmlformats-officedocument.spreadsheetml.worksheet+xml"/>
  <Override PartName="/xl/worksheets/sheet61.xml" ContentType="application/vnd.openxmlformats-officedocument.spreadsheetml.worksheet+xml"/>
  <Override PartName="/xl/worksheets/sheet71.xml" ContentType="application/vnd.openxmlformats-officedocument.spreadsheetml.worksheet+xml"/>
  <Override PartName="/xl/worksheets/sheet66.xml" ContentType="application/vnd.openxmlformats-officedocument.spreadsheetml.worksheet+xml"/>
  <Override PartName="/xl/worksheets/sheet53.xml" ContentType="application/vnd.openxmlformats-officedocument.spreadsheetml.worksheet+xml"/>
  <Override PartName="/xl/worksheets/sheet59.xml" ContentType="application/vnd.openxmlformats-officedocument.spreadsheetml.worksheet+xml"/>
  <Override PartName="/xl/worksheets/sheet9.xml" ContentType="application/vnd.openxmlformats-officedocument.spreadsheetml.worksheet+xml"/>
  <Override PartName="/xl/worksheets/sheet67.xml" ContentType="application/vnd.openxmlformats-officedocument.spreadsheetml.worksheet+xml"/>
  <Override PartName="/xl/worksheets/sheet70.xml" ContentType="application/vnd.openxmlformats-officedocument.spreadsheetml.worksheet+xml"/>
  <Override PartName="/xl/worksheets/sheet15.xml" ContentType="application/vnd.openxmlformats-officedocument.spreadsheetml.worksheet+xml"/>
  <Override PartName="/xl/worksheets/sheet39.xml" ContentType="application/vnd.openxmlformats-officedocument.spreadsheetml.worksheet+xml"/>
  <Override PartName="/xl/worksheets/sheet6.xml" ContentType="application/vnd.openxmlformats-officedocument.spreadsheetml.worksheet+xml"/>
  <Override PartName="/xl/worksheets/sheet41.xml" ContentType="application/vnd.openxmlformats-officedocument.spreadsheetml.worksheet+xml"/>
  <Override PartName="/xl/worksheets/sheet76.xml" ContentType="application/vnd.openxmlformats-officedocument.spreadsheetml.worksheet+xml"/>
  <Override PartName="/xl/worksheets/sheet12.xml" ContentType="application/vnd.openxmlformats-officedocument.spreadsheetml.worksheet+xml"/>
  <Override PartName="/xl/worksheets/sheet73.xml" ContentType="application/vnd.openxmlformats-officedocument.spreadsheetml.worksheet+xml"/>
  <Override PartName="/xl/worksheets/sheet68.xml" ContentType="application/vnd.openxmlformats-officedocument.spreadsheetml.worksheet+xml"/>
  <Override PartName="/xl/worksheets/sheet44.xml" ContentType="application/vnd.openxmlformats-officedocument.spreadsheetml.worksheet+xml"/>
  <Override PartName="/xl/worksheets/sheet74.xml" ContentType="application/vnd.openxmlformats-officedocument.spreadsheetml.worksheet+xml"/>
  <Override PartName="/xl/worksheets/sheet82.xml" ContentType="application/vnd.openxmlformats-officedocument.spreadsheetml.worksheet+xml"/>
  <Override PartName="/xl/worksheets/sheet75.xml" ContentType="application/vnd.openxmlformats-officedocument.spreadsheetml.worksheet+xml"/>
  <Override PartName="/xl/worksheets/sheet54.xml" ContentType="application/vnd.openxmlformats-officedocument.spreadsheetml.worksheet+xml"/>
  <Override PartName="/xl/worksheets/sheet64.xml" ContentType="application/vnd.openxmlformats-officedocument.spreadsheetml.worksheet+xml"/>
  <Override PartName="/xl/worksheets/sheet45.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47.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ores (start here)" sheetId="1" state="visible" r:id="rId3"/>
    <sheet name="UPD Questions_290926 " sheetId="2" state="visible" r:id="rId4"/>
    <sheet name="UPD_SUMMARY_RAW" sheetId="3" state="visible" r:id="rId5"/>
    <sheet name="UPD Questions_240926  (2)" sheetId="4" state="hidden" r:id="rId6"/>
    <sheet name="Sheet1" sheetId="5" state="hidden" r:id="rId7"/>
    <sheet name="UPD Questions_230926 " sheetId="6" state="hidden" r:id="rId8"/>
    <sheet name="UPD1" sheetId="7" state="visible" r:id="rId9"/>
    <sheet name="UPD2" sheetId="8" state="visible" r:id="rId10"/>
    <sheet name="UPD3a" sheetId="9" state="visible" r:id="rId11"/>
    <sheet name="UPD3b" sheetId="10" state="visible" r:id="rId12"/>
    <sheet name="UPD3c" sheetId="11" state="visible" r:id="rId13"/>
    <sheet name="UPD4" sheetId="12" state="visible" r:id="rId14"/>
    <sheet name="UPD5a" sheetId="13" state="visible" r:id="rId15"/>
    <sheet name="UPD5b" sheetId="14" state="visible" r:id="rId16"/>
    <sheet name="UPD5c" sheetId="15" state="visible" r:id="rId17"/>
    <sheet name="UPD6" sheetId="16" state="visible" r:id="rId18"/>
    <sheet name="UPD7a" sheetId="17" state="visible" r:id="rId19"/>
    <sheet name="UPD7b" sheetId="18" state="visible" r:id="rId20"/>
    <sheet name="UPD8" sheetId="19" state="visible" r:id="rId21"/>
    <sheet name="UPD9" sheetId="20" state="visible" r:id="rId22"/>
    <sheet name="UPD10" sheetId="21" state="visible" r:id="rId23"/>
    <sheet name="UPD11a" sheetId="22" state="visible" r:id="rId24"/>
    <sheet name="UPD11b" sheetId="23" state="visible" r:id="rId25"/>
    <sheet name="UPD12" sheetId="24" state="visible" r:id="rId26"/>
    <sheet name="UPD13a" sheetId="25" state="visible" r:id="rId27"/>
    <sheet name="UPD13b" sheetId="26" state="visible" r:id="rId28"/>
    <sheet name="UPD13c" sheetId="27" state="visible" r:id="rId29"/>
    <sheet name="UPD13d" sheetId="28" state="visible" r:id="rId30"/>
    <sheet name="UPD13e" sheetId="29" state="visible" r:id="rId31"/>
    <sheet name="UPD13f" sheetId="30" state="visible" r:id="rId32"/>
    <sheet name="UPD14a" sheetId="31" state="visible" r:id="rId33"/>
    <sheet name="UPD14b" sheetId="32" state="visible" r:id="rId34"/>
    <sheet name="UPD14c" sheetId="33" state="visible" r:id="rId35"/>
    <sheet name="UPD15" sheetId="34" state="visible" r:id="rId36"/>
    <sheet name="UPD16a" sheetId="35" state="visible" r:id="rId37"/>
    <sheet name="UPD16b" sheetId="36" state="visible" r:id="rId38"/>
    <sheet name="UPD17" sheetId="37" state="visible" r:id="rId39"/>
    <sheet name="UPD18" sheetId="38" state="visible" r:id="rId40"/>
    <sheet name="UPD19a" sheetId="39" state="visible" r:id="rId41"/>
    <sheet name="UPD19b" sheetId="40" state="visible" r:id="rId42"/>
    <sheet name="UPD20a" sheetId="41" state="visible" r:id="rId43"/>
    <sheet name="UPD20b" sheetId="42" state="visible" r:id="rId44"/>
    <sheet name="UPD20c" sheetId="43" state="visible" r:id="rId45"/>
    <sheet name="UPD21" sheetId="44" state="visible" r:id="rId46"/>
    <sheet name="UPD22" sheetId="45" state="visible" r:id="rId47"/>
    <sheet name="UPD23a" sheetId="46" state="visible" r:id="rId48"/>
    <sheet name="UPD23b" sheetId="47" state="visible" r:id="rId49"/>
    <sheet name="UPD23c" sheetId="48" state="visible" r:id="rId50"/>
    <sheet name="UPD24a" sheetId="49" state="visible" r:id="rId51"/>
    <sheet name="UPD24b" sheetId="50" state="visible" r:id="rId52"/>
    <sheet name="UPD24c" sheetId="51" state="visible" r:id="rId53"/>
    <sheet name="UPD25a" sheetId="52" state="visible" r:id="rId54"/>
    <sheet name="UPD25b" sheetId="53" state="visible" r:id="rId55"/>
    <sheet name="UPD25c" sheetId="54" state="visible" r:id="rId56"/>
    <sheet name="UPD26a" sheetId="55" state="visible" r:id="rId57"/>
    <sheet name="UPD26b" sheetId="56" state="visible" r:id="rId58"/>
    <sheet name="UPD26c" sheetId="57" state="visible" r:id="rId59"/>
    <sheet name="UPD27a" sheetId="58" state="visible" r:id="rId60"/>
    <sheet name="UPD27b" sheetId="59" state="visible" r:id="rId61"/>
    <sheet name="UPD28a" sheetId="60" state="visible" r:id="rId62"/>
    <sheet name="UPD28b" sheetId="61" state="visible" r:id="rId63"/>
    <sheet name="UPD28c" sheetId="62" state="visible" r:id="rId64"/>
    <sheet name="UPD28d" sheetId="63" state="visible" r:id="rId65"/>
    <sheet name="UPD29a" sheetId="64" state="visible" r:id="rId66"/>
    <sheet name="UPD29b" sheetId="65" state="visible" r:id="rId67"/>
    <sheet name="UPD30a" sheetId="66" state="visible" r:id="rId68"/>
    <sheet name="UPD30b" sheetId="67" state="visible" r:id="rId69"/>
    <sheet name="UPD31" sheetId="68" state="visible" r:id="rId70"/>
    <sheet name="UPD32a" sheetId="69" state="visible" r:id="rId71"/>
    <sheet name="UPD32b" sheetId="70" state="visible" r:id="rId72"/>
    <sheet name="UPD32c" sheetId="71" state="visible" r:id="rId73"/>
    <sheet name="UPD32d" sheetId="72" state="visible" r:id="rId74"/>
    <sheet name="UPD32e" sheetId="73" state="visible" r:id="rId75"/>
    <sheet name="UPD33a" sheetId="74" state="visible" r:id="rId76"/>
    <sheet name="UPD33b" sheetId="75" state="visible" r:id="rId77"/>
    <sheet name="UPD34" sheetId="76" state="visible" r:id="rId78"/>
    <sheet name="UPD35" sheetId="77" state="visible" r:id="rId79"/>
    <sheet name="UPD36" sheetId="78" state="visible" r:id="rId80"/>
    <sheet name="UPD37" sheetId="79" state="visible" r:id="rId81"/>
    <sheet name="UPD38a" sheetId="80" state="visible" r:id="rId82"/>
    <sheet name="UPD38b" sheetId="81" state="visible" r:id="rId83"/>
    <sheet name="UPD39" sheetId="82" state="visible" r:id="rId84"/>
  </sheets>
  <definedNames>
    <definedName function="false" hidden="true" localSheetId="0" name="_xlnm._FilterDatabase" vbProcedure="false">'Scores (start here)'!$A$1:$P$77</definedName>
    <definedName function="false" hidden="true" localSheetId="3" name="_xlnm._FilterDatabase" vbProcedure="false">'UPD Questions_240926  (2)'!$A$1:$N$109</definedName>
    <definedName function="false" hidden="true" localSheetId="1" name="_xlnm._FilterDatabase" vbProcedure="false">'UPD Questions_290926 '!$A$1:$N$106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<sst xmlns="http://schemas.openxmlformats.org/spreadsheetml/2006/main" count="9127" uniqueCount="1444">
  <si>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</si>
  <si>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</si>
  <si>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</si>
  <si>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</si>
  <si>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</si>
  <si>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</si>
  <si>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</si>
  <si>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</si>
  <si>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</si>
  <si>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</si>
  <si>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</si>
  <si>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</si>
  <si>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</si>
  <si>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</si>
  <si>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</si>
  <si>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</si>
  <si>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t>
  </si>
  <si>
    <t xml:space="preserve">Surat</t>
  </si>
  <si>
    <t xml:space="preserve">Is there a provision for a State Spatial Planning Board which is mandated with planning policies and reforms for the state?</t>
  </si>
  <si>
    <t xml:space="preserve">10</t>
  </si>
  <si>
    <t xml:space="preserve">Left for a person</t>
  </si>
  <si>
    <t xml:space="preserve">Insufficient Evidence</t>
  </si>
  <si>
    <t xml:space="preserve">Step 2 found no evidence: a source needs to be found and added. Step 2 found no evidence (Insufficient Evidence). Source needed: A readable, current consolidated text of the Gujarat Town Planning and Urban Development Act, 1976 (from the Legislative and Parliamentary Affairs Department or the UD&amp;UHD Acts &amp; Rules page), with its full list of sections, to check for a state-level planning board or equivalent and whether it uses 'shall' or 'may'. Also: the full texts of the Gujarat Metropolitan and District Planning Committees Acts, 2008. If the law only enables such a body, also needed: the gazette notification or government order setting it up, or an official UD&amp;UHD page showing that the body exists and what it does.</t>
  </si>
  <si>
    <t xml:space="preserve">UPD2</t>
  </si>
  <si>
    <t xml:space="preserve">Is there a provision for the establishment of Planning Authorities for notified new towns or special developments?</t>
  </si>
  <si>
    <t xml:space="preserve">Scored by AI</t>
  </si>
  <si>
    <t xml:space="preserve">Partially Answered</t>
  </si>
  <si>
    <t xml:space="preserve">ANSWER: Probably yes, but the Citation Sheet cannot confirm it. The sources show that Gujarat's Town and Country Planning law (the Gujarat Town Planning and Urban Development Act, 1976, GTPUDA) sets up Area Development Authorities and Urban Development Authorities, and that the State used it to constitute SUDA for the Surat area in 1978. However, none of the readable sources contains the actual sections that let the State notify a new area or town and set up a planning authority for it, or that require an existing authority to plan a newly notified area. Nothing in the Sheet covers new towns or special development regions. I have therefore not proposed a score. | EVIDENCE: (1) ULG-01, PRS copy of GTPUDA 1976 with amendments: pages 2-86, the main text of the Act, contain no readable text (scanned). So sections 3, 5 and 22, which would hold any power to declare an area and constitute an authority, could not be read. The readable amending Acts assume these authorities exist but do not create them. The 2017 Second Amendment replaced s.7(2) and s.23(2): 'the State Government may, by notification in the Official Gazette, delegate any of the powers and functions of the Urban Development Authorities to the local authority or authorities or an officer within its jurisdiction'. That is a power to delegate ('may'), not to establish an authority. The 2019 amendment (new s.19A) makes 'the appropriate authority' include the spatial proposals of DPC or MPC development plans. (2) ULG-06, SUD</t>
  </si>
  <si>
    <t xml:space="preserve">Development Plan 2035 (report, 22 February 2017), Surat Urban Development Authority [ULG-06]</t>
  </si>
  <si>
    <t xml:space="preserve">https://www.sudaonline.org/wp-content/uploads/2017/03/SUDA-DP-2035-report-final-22.02.2017.pdf</t>
  </si>
  <si>
    <t xml:space="preserve">Government of Gujarat, in exercise of the powers conferred by sub -section (2A) of section 22 of the Gujarat Town Planning and Urban Development Act, 1976 sub divided the area of Surat Urban Development Authority and constituted Khajod Urban Development Authority under sub section (4) of section 22 of the said Act</t>
  </si>
  <si>
    <t xml:space="preserve">I scored YES because the State's planning law has a working power to set up new planning authorities for notified areas. Three points in ULG-06 support this:
(1) The report says the Gujarat Town Planning and Urban Development Act, 1976 (GTPUDA) 'made the provision for formation of Urban / Area Development Authorities', and that SUDA was set up by State notification of 30.01.1978.
(2) The State used s.22(2A) to split SUDA's area and used s.22(4) to set up a new Khajod Urban Development Authority for the split-off area (notification dated 19.07.2016).
(3) The State extended SUDA's limits by notification in 2015 and removed 54 villages in 2016. This shows the State notifies areas, and that the authority for an area plans for any area added to it.
This matches the Detailed Methodology: 'provisions for establishing a planning authority for new areas/towns notified'.
I checked the Step 2 answer against the source. It said 'probably yes' but left the score blank. The section 22 passage in ULG-06 is more specific than the general statement Step 2 relied on: it names the exact sub-sections and the notification used to set up a new authority. That supports YES.
Limits a person should check:
- I could not read the Act's own wording. ULG-01, the PRS copy of GTPUDA, is scanned for pages 2-86, so the text of ss.3, 5 and 22 is unreadable. The amending Acts that are readable only cover changes to ss.7(2), 23(2) and 19A. The 2017 amendment is a 'may' power to delegate functions, not to set up an authority.
- The provision is reported in an official SUDA document, not quoted from the Act.
- No source on the Sheet covers a special-area law, such as Gujarat's Special Investment Region Act. ULG-06 does propose an SPV that 'can act as Development Authority' under GTPUDA for the Surat Industrial Growth Region. That is a plan proposal, not a legal provision, and I did not rely on it.
- Other sources checked: ULG-04 (GTPUDA Rules 1979) only covers procedure. ULG-03 (GPMC Act) ss.284E-F deal with re-development areas inside the city, not new authorities. ULG-05 (CGDCR) is development regulations.
To confirm, get a readable official copy of GTPUDA ss.3, 5 and 22, especially the 'may' or 'shall' wording for declaring development or urban development areas and setting up ADAs or UDAs.</t>
  </si>
  <si>
    <t xml:space="preserve">UPD3a</t>
  </si>
  <si>
    <t xml:space="preserve">Does the Act require three levels of spatial plans for cities: Metropolitan/Regional, Municipal and Ward(s) /Local &gt;:&lt; Metropolitan/ Regional Plan</t>
  </si>
  <si>
    <t xml:space="preserve">10 &gt;:&lt; 3.33</t>
  </si>
  <si>
    <t xml:space="preserve">ANSWER: Not confirmed from the Citation Sheet. The Gujarat amending Act of 2019 shows that Gujarat law provides for a metropolitan-level 'development plan'. A Metropolitan Planning Committee (MPC) prepares a draft plan under the Gujarat Metropolitan Planning Committees Act, 2008 (Guj. 18 of 2008), and the State Government sanctions it. However, the 2008 Act's own provision requiring that plan to be made (a 'shall prepare' duty) is not in the Citation Sheet. So I cannot confirm whether creating the plan is mandatory or discretionary. | EVIDENCE: (1) Gujarat Act No. 14 of 2019 (Gujarat Local Authorities and Town Planning Laws (Amendment) Act, 2019, Gazette 19-08-2019, appended to ULG-01), s.9: adds new ss.10A-10C to the MPC Act. s.10A(1): the State Government 'may', on receipt of the draft development plan submitted by the Metropolitan Planning Committee, sanction it, refuse it or return it. s.10A(3): the final plan 'shall be binding on the concerned all authorities functioning in the metropolitan area'. s.10C(3)(a): a State-appointed officer shall 'assist the metropolitan planning committee in the preparation of the development plan under the Act'. These sections deal with sanctioning and assisting the plan. They assume the plan exists but do not themselves impose a duty to prepare it. (2) The same 2019 Act, s.2, adds a proviso to s.9(1) of the Gujarat Town Planning and Urban Development Act, 1976 (GTPUDA): the development authority's plan 'shall include the proposals, with re</t>
  </si>
  <si>
    <t xml:space="preserve">The Gujarat Town Planning and Urban Development Act, 1976 (Act 27 of 1976), with amendments appended (PRS Legislative Research copy) [ULG-01]</t>
  </si>
  <si>
    <t xml:space="preserve">https://prsindia.org/files/bills_acts/acts_states/gujarat/1976/1976Gujarat27.pdf</t>
  </si>
  <si>
    <t xml:space="preserve">(3) A final development plan which has come into force shall be binding on the concerned all authorities functioning in the metropolitan area.</t>
  </si>
  <si>
    <t xml:space="preserve">I left the answer blank because the Citation Sheet doesn't show whether the law requires a metropolitan or regional plan. I can't answer YES or NO.
(1) Why not YES. The only metropolitan-level text in the sheet is the 2019 amending Act (ULG-01, pp.93-98; the Bill is ULG-02). It adds s.10A to the MPC Act. Under s.10A(1), the State 'may' sanction, refuse or return a draft development plan 'submitted by the Metropolitan Planning Committee'. Under s.10A(3), the final plan 'shall be binding' on all authorities in the metropolitan area. Under s.10C(3)(a), a State-appointed officer shall 'assist' the MPC in preparing the plan. The amended GTPUDA s.9(1) proviso and new s.19A require the development authority's plan to include the spatial proposals of a sanctioned MPC plan. All of these provisions take the plan for granted and govern its sanction, binding effect and adoption. None of them requires anyone to prepare it ('shall prepare'). That duty, if it exists, would be in the main text of the Gujarat MPC Act, 2008, which is not in the sheet.
(2) Why not NO. A NO needs proof that no such provision exists. The main MPC Act 2008 text, any rules under it, and the 11/03/2016 notification declaring the Surat Metropolitan area are all missing. So I can't show the duty is absent.
(3) What I checked: ULG-01 (GTPUDA amendments of 2017 and 2019); ULG-02 (the 2019 Bill); ULG-03 (GPMC Act 1949, which covers only city-level re-development plans under ss.284E-284F and no metropolitan plan); ULG-04 (GTPUD Rules 1979, r.3, which covers only the development authority's draft development plan); and ULG-06 (SUDA DP 2035 report, p.19). ULG-06 is context only, not law. It says the Surat Metropolitan area (SMC plus Sachin Municipality) was declared, and the MPC formed, on 11/03/2016, and that the MPC draft development plan 'is not in place as on today' (2017). I also searched the whole sheet for 'regional plan' and for MPC 'shall prepare' wording, and found nothing.
(4) Points a person should check:
- Add the main text of the Gujarat MPC Act, 2008 to see whether the duty to prepare the plan is mandatory ('shall'). Article 243ZE of the Constitution may be relevant, but it is not in the sheet.
- Check whether Act 14 of 2019 has been brought into force. Under s.1(2) it starts on a date the State notifies, and that notification is not in the sheet.
- Decide on methodology: should the SUDA development plan under GTPUDA s.9, which covers SMC plus surrounding villages (985 sq km), count as a 'regional plan'? The operative text of GTPUDA s.9 is also not in the sheet.
On the Step 2 answer: I agree with it ('not confirmed'). The quote I've used is accurate, but it shows the plan is binding, not that it must be made.</t>
  </si>
  <si>
    <t xml:space="preserve">The citation didn't settle every input. "Answer" left blank: the Citation Sheet doesn't decide it.</t>
  </si>
  <si>
    <t xml:space="preserve">UPD3b</t>
  </si>
  <si>
    <t xml:space="preserve">Does the Act require three levels of spatial plans for cities: Metropolitan/Regional, Municipal and Ward(s) /Local &gt;:&lt; Municipal/city plan</t>
  </si>
  <si>
    <t xml:space="preserve">ANSWER: The evidence points to a mandate for a development plan that covers Surat city, but the deciding section could not be read. Under the Gujarat Town Planning and Urban Development Act, 1976 (GTPUD Act), the Surat Urban Development Authority (SUDA) prepares a development plan for its whole development area, which includes the Surat Municipal Corporation (SMC) area. The State Government sanctions it. The documents that could be read assume this plan has to be made. They do not show the text of the Act's main duty, section 9(1), so I cannot confirm whether it says 'shall' or 'may'. SMC itself is not the body that prepares the city plan. | EVIDENCE: (1) GTPUD Act 1976, PRS copy (ULG-01): the principal Act is on pages 2-86, which are scans with no readable text, so the wording of s.9(1) and s.21 was not read. The readable 2019 amendment (Gujarat Act 14 of 2019) adds a proviso to s.9(1): 'the development plan shall include the proposals, with regard to spatial planning, of the development plan sanctioned under the Gujarat Metropolitan Planning Committees Act, 2008...'. It also adds s.19A: 'the appropriate authority shall include in the development plan to be under this Act, the proposals with regard to spatial planning...'. Both assume a development plan is made under s.9 but do not themselves create the duty. The amendment also adds s.10A to the Metropolitan Planning Committees Act (MPC Act): the State Government 'may... sanction or refuse to sanction the draft development p</t>
  </si>
  <si>
    <t xml:space="preserve">SUDA presentation: Initiating Preparation of Revised Development Plan of SUDA-2035 (workshop, 03-08-2013) [ULG-11]</t>
  </si>
  <si>
    <t xml:space="preserve">https://www.sudaonline.org/wp-content/uploads/2013/08/RDP-2035-presentation.pdf</t>
  </si>
  <si>
    <t xml:space="preserve">Atleast once in ten years from the date on which a final development plan comes into force, the area development authority shall revise the development plan after carrying out, if necessary, a fresh survey and the provisions of sections 9 to 20, shall, so far as may be, apply to such revision.</t>
  </si>
  <si>
    <t xml:space="preserve">My answer is YES: the Gujarat Town Planning and Urban Development Act, 1976 (GTPUD Act) requires a plan covering the city. Under it, a development plan is prepared for the whole development area of the Surat Urban Development Authority (SUDA). That area includes the Surat Municipal Corporation (SMC) area: 309.45 km2 of SUDA's 985.16 km2 (ULG-06, table 153). The methodology allows a development authority Act to count as evidence. Several sources support a mandatory duty, not an optional one: (1) GTPUD Act s.21, quoted word for word in SUDA's own presentation (ULG-11, p.10), says the authority 'shall revise the development plan' at least once in ten years, with ss.9-20 applying. That is a continuing duty to keep a statutory plan in force. ULG-06 (DP-2035 report, 2017, pp.30 and 40) repeats that 'as per section 21 of the Act, the development plan is to be revised once in 10 years'. It also records the plans actually made: 1986, 2004 and the draft DP-2035. (2) GTPUD Rules 1979, r.3 (ULG-04): 'The authorized Officer shall prepare and submit the draft development plan', and r.5(1): the draft plan 'shall' be published after submission under s.9. (3) Gujarat Act 14 of 2019 (ULG-01, pp.94-97) adds a proviso to s.9(1), 'the development plan shall include the proposals, with regard to spatial planning...'. It also adds s.19A: 'the appropriate authority shall include in the development plan to be under this Act...'. Both assume a statutory development plan exists. The Gujarat Provincial Municipal Corporations Act, 1949 (ULG-03) gives SMC re-development plans for defined areas only. It contains no city-plan duty for SMC. LIMITS for the human checker: (a) The principal Act's text of s.9(1), s.9(2) and s.21 is image-only in ULG-01 (PRS copy, pp.2-86) and could not be read directly. The s.21 wording above comes from SUDA's reproduction of the Act, which is secondary. Please check the scanned s.9(1) for 'shall' and the s.21 wording. (b) As quoted, s.21 names the 'area development authority'. SUDA is an urban development authority, so please confirm that ss.9-21 apply to urban development authorities (likely through s.23, which was not read). SUDA does treat s.21 as binding on itself: ULG-11, p.11 says the plan is 'to be revised before 15.09.2014'. (c) The planning body is SUDA, with sanction by the State Government. SMC itself is not the body that prepares the plan. Max score 3.33; the YES/NO input feeds the workbook formula. Confidence is medium, not high: the answer rests on several instruments read together, and the main operative text of s.9(1) is a secondary reproduction or unread.</t>
  </si>
  <si>
    <t xml:space="preserve">UPD3c</t>
  </si>
  <si>
    <t xml:space="preserve">Does the Act require three levels of spatial plans for cities: Metropolitan/Regional, Municipal and Ward(s) /Local &gt;:&lt; Ward(s)/local plan</t>
  </si>
  <si>
    <t xml:space="preserve">ANSWER: Not determinable from the Citation Sheet. The Gujarat Town Planning and Urban Development Act, 1976 (GTPUD Act), as amended, does provide for a 'Local Area Plan' (LAP). Section 76A(6)(a) lets the State Government sanction an LAP, and section 76A(7)-(8) give it binding effect. The 2017 amendment also lists 'Local Area Plan' next to town planning schemes among the functions of Area and Urban Development Authorities (s.7(1)(ii) and s.23(1)(ii)). However, the operative text of s.76A(1)-(6) is not in the sources. That text would show who prepares an LAP, whether the verb is 'shall' or 'may', and whether the LAP is a zone/ward-level third tier or an optional plan for a selected area. So I cannot say whether the Act MANDATES a third tier of plan. Type of plan, for the comment field: 'Local Area Plan' (local area, not ward or zone, as far as the visible text shows). | EVIDENCE: (1) GTPUD Act amendment published in Gujarat Govt Gazette Ex. 13-04-2017 (in ULG-01, p.90-91). It inserts 'or Local Area Plan' after 'town planning schemes' in s.7(1)(ii) (Area Development Authorities) and s.23(1)(ii) (Urban Development Authorities). It adds s.76A(7): 'Where the State Government sanctions the Local Area Plan under clause (a) of sub-section (6), it shall state in the notification-' the inspection place and the date the plan takes effect. It adds s.76A(8): after an LAP comes into force, land must be surrendered and the appropriate authority shall remove work that breaks the LAP. The 'sha</t>
  </si>
  <si>
    <t xml:space="preserve">Where the State Government sanctions the Local Area Plan under clause (a) of sub-section (6), it shall state in the notification-</t>
  </si>
  <si>
    <t xml:space="preserve">I left the input blank because the Citation Sheet does not show whether the Act mandates a third (ward, zone or local) tier. Not found is not the same as absent.
**What the sources do show**
- **The Act provides for a 'Local Area Plan' (LAP).**
  - The 2017 amendment (Gazette Ex. 13-04-2017, ULG-01 p.90-91) adds 'or Local Area Plan' next to town planning schemes in the functions of Area Development Authorities (s.7(1)(ii)) and Urban Development Authorities (s.23(1)(ii)).
  - It also adds s.76A(7)-(8). These set out the sanction notification and make the LAP binding once it is in force (land surrender, removal of work that breaks the plan).
  - The 'shall' in s.76A(7)-(8) covers only what happens after the State sanctions an LAP. It does not oblige anyone to prepare one.
- **The key text is missing.** Section 76A(1)-(6) would say who prepares an LAP, whether the verb is 'shall' or 'may', and what area it covers. I could not read it in ULG-01, even after repeated targeted reads and searches.
- **Rough split of the tiers.** The rest of the Act and the 2019 amendment (Guj. Act 14 of 2019, ss.9, 12 and 19A) appear to set up two tiers:
  - Metropolitan/District Planning Committee development plans under the Gujarat Metropolitan Planning Committees Act, 2008 and the Gujarat District Planning Committees Act, 2008, whose spatial proposals must be included in the development plan.
  - The development plan under the GTPUD Act.
  - Below these sit town planning schemes, which the methodology excludes.
**Other instruments checked; none gives a citywide ward or zone mandate**
- GTPUD Rules 1979 (ULG-04): no LAP, ward or zone plan rules in what I read or searched.
- CGDCR 2017 (ULG-05, p.163): an LAP 'shall be prepared' only for the C4 Central Business District zone and the Transit Oriented Zone (SPD4), and the TOZ clause is for AUDA only. These are zone-specific regulations, not a requirement of the T&amp;CP Act for Surat.
- GPMC Act 1949, s.284E-F (ULG-03): re-development plans for declared areas only, under the municipal Act rather than the planning Act.
- SUDA Development Plan 2035 (ULG-06): describes a two-tier system, development plan then town planning schemes.
- Searches for ward plan, zonal plan and LAP preparation found nothing more.
**Why neither YES nor NO**
- I cannot answer NO: the Act does contain an LAP provision whose core text I have not read, so absence is not shown.
- I cannot answer YES: nothing visible shows a 'shall' duty to prepare plans at ward or zone level.
**Type of plan, as asked for in the comments:** 'Local Area Plan', a local-area level plan, not ward or zone, as far as the visible text shows.
**Action needed:** get the operative text of GTPUD Act s.76A(1)-(6) from an official Gujarat source (Legislative and Parliamentary Affairs Department, or the Urban Development and Urban Housing Department). Then check whether LAP preparation is mandatory and at what scale.
**Period:** GTPUD Act as amended in 2017 and 2019; this rests on the PRS copy (a secondary source).</t>
  </si>
  <si>
    <t xml:space="preserve">UPD4</t>
  </si>
  <si>
    <t xml:space="preserve">Is the planning boundary of the municipal/city plan aligned with political and administrative boundaries?</t>
  </si>
  <si>
    <t xml:space="preserve">ANSWER: Probably not aligned, but this is not confirmed for the current plan. The plan in the Citation Sheet is the Surat Urban Development Authority's (SUDA) Development Plan 2035. SUDA prepared it under the Gujarat Town Planning and Urban Development Act, 1976, and the State Government sanctions it. As SUDA submitted it to the State under section 16 in February 2017, its planning area (985.16 sq km) is not the whole Surat Municipal Corporation (SMC) plus whole units. (1) It covers SMC 'except Moje: Khajod'. The State took Khajod village out of SUDA when it created a separate Khajod Urban Development Authority, so the planning boundary leaves part of the city government's area outside this plan. (2) It includes 3 revenue villages only in part: Velanja (Kamrej taluka), Sandhiyer (Olpad) and Paria (Olpad). Both of these match the methodology's Score 0 test. I have not confirmed this as the current arrangement, because neither the final sanction notification nor any later boundary notification is in the Citation Sheet. | EVIDENCE: ULG-06 (DP 2035 report, 22 Feb 2017), section 21.1 'Exclusion of Villages', p.216 (pdf p.233): State notification of 19.07.2016 under s.22(2A)/(4) 'constituted Khajod Urban Development Authority ... Thus, Khajod village of Chorayasi Taluks was deleted from the jurisdiction of SUDA'. State notification of 24.10.2016 'excluded 54 villages (50 wholly and 4 partly)'; after the Asnabad correction this became effectively '53 villages (50 wholly and 3 partly</t>
  </si>
  <si>
    <t xml:space="preserve">Note : Out of 3 villages which are partly included Gamtal of Moje –Paria falls within the jurisdiction of SUDA development area while Gamtal of Moje -  Velanja and Sandhiyer fall outside the jurisdiction o f SUDA development area.</t>
  </si>
  <si>
    <t xml:space="preserve">I entered NO (score 0), but with low confidence. Please check the period before accepting it. (1) The plan: the city plan covering Surat is the Surat Urban Development Authority's (SUDA) Development Plan 2035, made under the Gujarat Town Planning and Urban Development Act 1976. Surat Municipal Corporation (SMC) has no plan of its own. ULG-06 p.2 says the metropolitan plan under the 2008 Metropolitan Planning Committees Act was 'not in place'. (2) Two separate failures under the methodology, both from ULG-06 s.21.1 and Table 153. (a) The planning boundary splits the city government's area. The State notification of 19.07.2016 (s.22(2A)/(4)) set up a separate Khajod Urban Development Authority and 'Khajod village of Chorayasi Taluks was deleted from the jurisdiction of SUDA'. Table 153 then lists 'Surat Municipal Corporation (except Moje: Khajod)'. So part of SMC is left outside this plan, which matches the 'divides the ULG' example for Score 0. (b) Whole units are not used for the area outside SMC. Table 153 includes '3 part villages' (Velanja in Kamrej taluka; Sandhiyer and Paria in Olpad taluka), and the Note confirms the village settlements of Velanja and Sandhiyer are outside SUDA. This follows from the State notification of 24.10.2016 ('50 wholly and 3 partly' after the Asnabad correction). That is the 'part of a revenue village' case for Score 0. Either failure alone gives Score 0. (3) Why I scored rather than leaving it blank: the planning area is not set by the plan's sanction. It is the SUDA development area fixed by State notifications under s.22 (19.07.2016, 24.10.2016, 03.11.2016), and the plan states this as its area at the section 16 submission stage. This is affirmative evidence that the boundary is misaligned. It is not an inference from absence. (4) Limits for the reviewer: ULG-06 is the 22 Feb 2017 report submitted before sanction. The State's final sanction notification for DP 2035 is not in the Citation Sheet. Nor is any later notification changing SUDA or SMC boundaries, such as giving Khajod or the part villages back to SUDA, or extending SMC. The scanned copies of the notifications in Annexure 6 have no readable text, and I could not check the plan maps. If a later notification shows SMC entirely inside the plan and only whole villages outside it, the answer should change to YES. (5) Other sources checked: ULG-04 (TPUD Rules 1979, r.3 and r.5) says the plan covers the area under the authority's jurisdiction but does not define that area. The ULG-01 excerpts (PRS copy of the 1976 Act) do not include the text of s.22. ULG-03 (GPMC Act 1949) does not decide the plan boundary. ULG-11 and ULG-12 do not cover the current boundary. A search for a sanction notification found nothing beyond ULG-06. Data issue: the SMC area is given as 309.45 sq km in Table 153 but as 319.52 or 326.52 sq km elsewhere in the report.</t>
  </si>
  <si>
    <t xml:space="preserve">UPD5a</t>
  </si>
  <si>
    <t xml:space="preserve">Is there a clear decentralised procedure for approvals of each level of plans? &gt;:&lt; Does the law mandate that the metropolitan/regional plan be approved by the state government?</t>
  </si>
  <si>
    <t xml:space="preserve">Answered — Verified Source</t>
  </si>
  <si>
    <t xml:space="preserve">ANSWER: Yes, in our reading. Under Gujarat law, the plan for a metropolitan area (the development plan made under the Gujarat Metropolitan Planning Committees Act, 2008, or MPC Act) gets legal force only when the State Government sanctions it. Section 10A was added to the MPC Act by Gujarat Act No. 14 of 2019. It lets the State Government sanction the draft plan, refuse it, or send it back. Only the version the State sanctions becomes the 'final development plan'. The State then notifies when it comes into force, and from that date it binds all authorities in the metropolitan area. The provision says 'may', but that word only lists the State's choices. No other body can approve the plan and no other route makes it final. So State approval is in effect compulsory for the metropolitan plan to have legal effect. The Surat Metropolitan Planning Committee prepares the plan, or an authorised officer does. Surat Municipal Corporation, the city government, does not approve it. | EVIDENCE: (1) MPC Act s.10A(1)-(3), added by clause 9 of Gujarat Act 14 of 2019 (Gazette Ex. 19-08-2019, reproduced in ULG-01 p.97): the State may 'sanction or refuse to sanction the draft development plan... or (b) return the draft development plan to the metropolitan planning committee... for modifying the plan'. s.10A(2): 'The sanction accorded under clause (a)... shall be called the final development plan'. s.10A(3): the final plan is 'binding on the concerned all authorities functioning in the metropolit</t>
  </si>
  <si>
    <t xml:space="preserve">(2) The sanction accorded under clause (a) of sub section (1), shall be called the final development plan which shall come into force on such date as the State Government frzy, by notification.in the Official Gazette, specify. (3) A final development plan which has come into force shall be binding on the concerned all authorities functioning in the metropolitan area.</t>
  </si>
  <si>
    <t xml:space="preserve">I agree with the Step 2 answer: YES. This is the sub-question (SQ) worth 3.33: does the law require the State Government to approve the metropolitan/regional plan?
(1) What the law says. Under the Gujarat MPC Act s.10A(1), as inserted in 2019, the State Government receives the draft development plan from the Metropolitan Planning Committee (MPC). It may then (a) sanction it, refuse it, or sanction it with changes, or (b) send it back to the MPC for changes. Under s.10A(2), only the plan the State sanctions becomes the 'final development plan', and it comes into force on a date the State notifies. Under s.10A(3), that final plan binds all authorities in the metropolitan area. Under s.10B, any change to the final plan also needs State sanction. Under s.10C, the MPC must follow State directions, and the State's decision on any dispute is final. So no plan can become final or binding without State sanction.
(2) The word 'may'. The verb in s.10A(1) is 'may', but it lists the State's choices: sanction, refuse or return. It does not create another way for the plan to become final. I read State approval as a legal requirement for the plan to take effect. A reviewer should confirm this reading.
(3) Other instruments that support this. The GTPUD Act 1976 (the state's town planning Act), as amended in 2019, adds a proviso to s.9(1) and a new s.19A. These make development authorities include the spatial proposals of the State-sanctioned MPC plan in their own plans. GTPUD Rules 1979 r.3 (ULG-04) says the area development authority's draft development plan 'shall' be submitted to the State Government through the Chief Town Planner. For Surat, that authority is SUDA (Surat Urban Development Authority), whose plan covers the wider region. ULG-03 (the Municipal Corporations Act 1949) was also checked: its State-approval provision, s.284F, covers only re-development plans.
(4) Checks still needed.
- ULG-01 is a PRS republication. It reproduces the official Gazette text, but the scan is garbled at the opening words of MPC s.10A(1). The meaning is confirmed by the matching DPC Act s.10A in the same Gazette.
- Gujarat Act 14 of 2019 comes into force on a date the State notifies (s.1(2)). That notification is not in the Citation Sheet.
- The full text of the MPC Act 2008 is not in the sheet, including the original s.10 on preparing and submitting the plan.
- An official consolidated copy of the MPC Act, from the Legislative and Parliamentary Affairs Department (LPAD) or the Urban Development and Urban Housing Department (UD&amp;UHD), would raise confidence.
(5) About the main question (MQ). The main question asks whether plan approval is decentralised. The answer here is that State approval is centralised, which is what this sub-question checks for. This input only scores the sub-question.</t>
  </si>
  <si>
    <t xml:space="preserve">UPD5b</t>
  </si>
  <si>
    <t xml:space="preserve">Is there a clear decentralised procedure for approvals of each level of plans? &gt;:&lt; Does the law mandate that the municipal/city plan be approved by the MPC (Metropolitan Planning Committee)  for metropolitan cities or by DPC (District Planning Committee) for non-metropolitan cities?</t>
  </si>
  <si>
    <t xml:space="preserve">ANSWER: In the sources available, Gujarat law does not require the Metropolitan Planning Committee (MPC) or the District Planning Committee (DPC) to approve the Surat city development plan. The State Government sanctions it. The legal link to the MPC only runs one way. The MPC's draft development plan is itself sanctioned by the State Government. The city's planning authority must then add the spatial proposals of that sanctioned plan into its own development plan. This points to 'No', but it cannot be scored 0 because the main text of the planning Act could not be read (see LIMITS). | EVIDENCE: (1) Gujarat Town Planning and Urban Development Act, 1976 (GTPUDA), as amended by Gujarat Act 14 of 2019 (ULG-01, PRS copy, p.94): s.9(1) proviso says 'the development plan shall include the proposals, with regard to spatial planning, of the development plan sanctioned under the Gujarat Metropolitan Planning Committees Act, 2008 or the Gujarat District Planning Committees Act, 2008'. New s.19A says the appropriate authority 'shall include in the development plan... the proposals with regard to spatial planning' of the MPC/DPC plan sanctioned under s.10A, 'by varying the development plan under section 19'. The 2019 Act also removed the s.12(1) words 'which would be in conformity with the development plan under the provisions of the Gujarat Metropolitan Planning Committees Act, 2008'. Effect: the city plan must include the MPC plan's spatial proposals, but the MPC does not approve the c</t>
  </si>
  <si>
    <t xml:space="preserve">Gujarat Town Planning and Urban Development Rules, 1979 (copy hosted by Surat Urban Development Authority) [ULG-04]</t>
  </si>
  <si>
    <t xml:space="preserve">https://www.sudaonline.org/wp-content/uploads/2013/08/GTPUD-Rules-1979.pdf</t>
  </si>
  <si>
    <t xml:space="preserve">The State Government may sanction the draft  development plan  and the regulations submitted to it under section 16  within a period of 12 months from the date of receipt by the State Government, if no modification is proposed.</t>
  </si>
  <si>
    <t xml:space="preserve">I left 'Answer' blank. The evidence points clearly to NO, but a NO scores 0, and a 0 needs affirmative absence. The Citation Sheet does not allow that.
What the sources show:
(1) ULG-04, Rules 6-7, applied to urban development authorities by Rule 8: the draft development plan goes to the 'Government for sanction', and the 'State Government may sanction' it. No role for the MPC or DPC appears anywhere in the Rules.
(2) ULG-02, Gujarat Act amending the planning laws, 2019 (gazette text), and ULG-01 p.94-97 (PRS copy):
- New s.10A of the MPC Act says the State Government sanctions the MPC's own draft development plan. Once in force, that plan is 'binding on the concerned all authorities'.
- New s.19A of the planning Act (GTPUDA) says the appropriate authority 'shall include' the MPC plan's spatial proposals in its own development plan. The 2019 Act also changed s.9(1) and s.12(1).
- So the link runs from the MPC plan into the city plan through the State. The MPC does not approve the city plan.
- The Statement of Objects in ULG-02 adds that s.10 of the MPC Act requires the MPC plan to be prepared 'having regard to plans prepared by the Municipalities'. That is consultation going upward, not MPC approval of the city plan.
(3) ULG-03, Municipal Corporations Act, 1949: in the parts read, redevelopment plans go to the State for approval. No MPC role was seen.
Why this is not affirmative absence:
- The main text of GTPUDA 1976 in ULG-01 (pp.2-86) is a scan with no readable text. So ss.9-17, the plan preparation and sanction sections, could not be read directly.
- The full original MPC Act 2008 (ss.1-10, including the s.10 functions) is not in the Citation Sheet. Only its 2019 amendments are.
- I also searched the Citation Sheet for any MPC approval of the development plan. Nothing came up beyond the 2019 amendments.
Surat is a million-plus city, so the MPC test applies, not the DPC test. The Surat Metropolitan Area and MPC were notified on 11-03-2016 (ULG-06, context only).
What a person should check: read the full GTPUDA s.17 and MPC Act 2008 s.10 from an official copy. If neither gives the MPC an approval power over the city or Urban Development Authority development plan, score 'NO'. I expect that result.
Period: GTPUDA as amended by Gujarat Act 14 of 2019; Rules 1979 as amended (copy hosted by SUDA). ULG-01 is a secondary PRS copy; ULG-02 is the official gazette text.</t>
  </si>
  <si>
    <t xml:space="preserve">UPD5c</t>
  </si>
  <si>
    <t xml:space="preserve">Is there a clear decentralised procedure for approvals of each level of plans? &gt;:&lt; Does the law mandate that the ward(s)/local plan be approved by the ULG?</t>
  </si>
  <si>
    <t xml:space="preserve">ANSWER: Not confirmed. The amended Gujarat Town Planning and Urban Development Act, 1976 gives the State Government the power to sanction a Local Area Plan. The fragment of the Act I could read does not give that approval to the city government (Surat Municipal Corporation). This points to 'No', but the full text of s.76A(1)-(6), where the Local Area Plan procedure is set out, was not readable in the Citation Sheet. So I cannot rule out a separate approval duty for the city government before the plan goes to the State. | EVIDENCE: (1) Gujarat Town Planning and Urban Development Act, 1976, as amended by Gujarat Government Gazette Ex. 13-04-2017, Part IV. The amendment adds s.76A(7): 'Where the State Government sanctions the Local Area Plan under clause (a) of sub-section (6), it shall state in the notification...'. Under s.76A(7)(b) the plan's liabilities come into force on the date the State Government sets. The same amendment adds 'or Local Area Plan' to the authority functions in s.7(1)(ii) and s.23(1)(ii). It also lets the State Government 'may... delegate' an authority's powers to the local authority (s.7(2) and s.23(2)), which is a discretionary 'may', not a mandate. (2) The same Act, s.49(1)(b) proviso: permissions must follow 'the Draft Town Planning Scheme sanctioned under sub-section (2) of section 48 and in line with the notification of the Government while according such sanction'. So town planning schemes are also sanctioned by the Government. (3) Development Plan</t>
  </si>
  <si>
    <t xml:space="preserve">(7) Where the State Government sanctions the Local Area Plan under clause (a) of sub-section (6), it shall state in the notification-</t>
  </si>
  <si>
    <t xml:space="preserve">I left the answer blank. The evidence points to NO, but I could not read the whole law, so I cannot show that a city-government approval step is truly absent.
What the sources show:
(1) Local Area Plans: ULG-01 holds the 2017 amendment adding s.76A(7). It says the State Government 'sanctions the Local Area Plan under clause (a) of sub-section (6)', so final approval of the local-level plan rests with the State.
(2) Town planning schemes: the 2017 proviso to s.49(1)(b) refers to the 'Draft Town Planning Scheme sanctioned under sub-section (2) of section 48 and in line with the notification of the Government'. The 1979 Rules (ULG-04) back this up:
- Rule 53(2): 'All Town Planning Schemes (Preliminary and Final) finally sanctioned by Government'.
- Rule 36(2): the State 'may sanction' changes to scheme regulations.
- Form H: 'Draft Town Planning Scheme ... sanctioned by the Government'.
(3) Discretion only: the State 'may' hand authority powers to the local authority (s.7(2) and s.23(2) as substituted in 2017). That is a choice, not a mandate.
(4) Re-development plans (ULG-03, Gujarat Provincial Municipal Corporations Act, s.284F) go to the Corporation and then to the State for approval. These are not ward or local plans.
(5) Gujarat law has no 'ward plan'. The local-level instruments are Local Area Plans and town planning schemes.
Why NO is not entered: a NO here scores 0, so it needs proof of absence. ULG-01 is the PRS copy (secondary source, prsindia.org), and only its appended amendment pages could be read. The principal Act's text did not come up:
- s.76A(1)-(6): how a Local Area Plan is prepared, published and sent to the State. This is where any approval step by the 'appropriate authority', which can be the Surat Municipal Corporation, would sit.
- ss.40-52 and s.65: the town planning scheme procedure, including the appropriate authority's resolution and publication of the draft scheme.
No Local Area Plan notification for Surat is in the Citation Sheet.
What I checked: ULG-01 (several searches for s.76A and ss.41/42/48), ULG-04 (rules on draft schemes and sanction), ULG-03 (s.284E-F), and searches across the whole sheet for 'local area plan' and the declaration of intention to make a scheme.
For the reviewer: read s.76A(1)-(6), s.41, s.42, s.48 and s.65 of the principal 1976 Act. If they show only city-level preparation or a resolution followed by State sanction, NO is supportable and the State-sanction provisions above are the decisive evidence.</t>
  </si>
  <si>
    <t xml:space="preserve">UPD6</t>
  </si>
  <si>
    <t xml:space="preserve">Does the Act clearly define the objectives/contents of each level of spatial plan?</t>
  </si>
  <si>
    <t xml:space="preserve">Step 2 found no evidence: a source needs to be found and added. Step 2 found no evidence (Insufficient Evidence). Source needed: A readable official copy (Gujarat Legislative and Parliamentary Affairs Department / UD&amp;UHD or the state gazette) of the consolidated GTPUD Act 1976, especially s.12 (contents of the draft development plan), the TP scheme contents provision and s.76A (Local Area Plan). Also the full text of the Gujarat Metropolitan Planning Committees Act, 2008, covering the contents and objectives of the metropolitan development plan.</t>
  </si>
  <si>
    <t xml:space="preserve">UPD7a</t>
  </si>
  <si>
    <t xml:space="preserve">Does the city have a functional MPC/DPC? &gt;:&lt; Does the law provide for the constitution of an MPC/DPC?</t>
  </si>
  <si>
    <t xml:space="preserve">10 &gt;:&lt; 5</t>
  </si>
  <si>
    <t xml:space="preserve">Human Verification Required</t>
  </si>
  <si>
    <t xml:space="preserve">ANSWER: Not determined. Surat is a metropolitan city, so the question is about an MPC (Metropolitan Planning Committee), not a DPC. Part A: Gujarat has a separate law for MPCs, the Gujarat Metropolitan Planning Committees Act, 2008 (Guj. 18 of 2008). It is not part of the Municipal Act or the Town Planning Act. Two official Gujarat instruments show that this Act exists and is in force: the Amendment Act of 2019 and the 2019 Bill that preceded it. But the section of the 2008 Act that sets up the MPC is not in the Citation Sheet, so I could not check whether it says 'shall'. It also needs confirming whether a separate Act counts under Part A, which asks for 'the Municipal or T&amp;CP Act'. Part B: none of the sources contain any Gujarat MPC Rules, so Part B is not found. That is not the same as a 0. | EVIDENCE: (1) ULG-01, Gujarat Act No. 14 of 2019 (Gazette Extra No. 14, 19-08-2019, Part IV; pp. 93-97): its title says it is 'further to amend the Gujarat Metropolitan Planning Committees Act, 2008, the Gujarat District Planning Committees Act, 2008 and the Gujarat Town Planning and Urban Development Act, 1976'. s.9 adds new ss.10A-10C to the MPC Act: the State 'may' approve or refuse the draft development plan 'submitted by the Metropolitan Planning Committee', and the approved plan is 'binding on the concerned all authorities functioning in the metropolitan area'. s.2 adds a proviso to s.9(1) of the Town Planning Act: the development plan 'shall include the proposals, with regard t</t>
  </si>
  <si>
    <t xml:space="preserve">Step 2 found no evidence: a source needs to be found and added. Step 2 found no evidence (Human Verification Required). Source needed: Part A: the official full text of the Gujarat Metropolitan Planning Committees Act, 2008 (Guj. 18 of 2008), current amended version, showing the section that sets up the MPC and its exact wording ('shall' or 'may'), from the Gujarat Legislative and Parliamentary Affairs Department or the Urban Development and Urban Housing Department. Also the 11-03-2016 Gazette notification declaring the Surat Metropolitan Area and setting up its MPC. Part B: any Gujarat Metropolitan Planning Committee Rules, or an equivalent Gazette notification under the 2008 Act, that apply to Surat. If none exist, a full Acts-and-Rules listing from the department that shows they are absent.</t>
  </si>
  <si>
    <t xml:space="preserve">UPD7b</t>
  </si>
  <si>
    <t xml:space="preserve">Does the city have a functional MPC/DPC? &gt;:&lt; Have they met at least once in the past two years?</t>
  </si>
  <si>
    <t xml:space="preserve">Step 2 found no evidence: a source needs to be found and added. Step 2 found no evidence (Insufficient Evidence). Source needed: Dated records of Surat MPC meetings from the past two years: minutes, agendas or resolutions of the Surat Metropolitan Planning Committee. Possible sources are the Gujarat UD&amp;UHD department (or SUDA/SMC) website, a government press note on a Surat MPC meeting, or an RTI reply from UD&amp;UHD or the MPC secretariat. The current constitution or reconstitution notification, including the elected members, would also show whether the committee is functional.</t>
  </si>
  <si>
    <t xml:space="preserve">UPD8</t>
  </si>
  <si>
    <t xml:space="preserve">Does the city (million-plus) have a Metropolitan Authority?</t>
  </si>
  <si>
    <t xml:space="preserve">ANSWER: Not determined. Gujarat law does provide a statutory metropolitan-level body, the Metropolitan Planning Committee (MPC) under the Gujarat Metropolitan Planning Committees Act, 2008. According to SUDA's Development Plan 2035 report (2017), a State notification dated 11/03/2016 declared a Surat Metropolitan Area covering SMC and Sachin Municipality, and constituted a Metropolitan Committee for Surat 'except for the elected members'. Whether this planning committee counts as a 'Metropolitan Authority' in the sense of this question needs a methodology ruling. The question's example, the Greater Bengaluru Authority, is a governance authority. Two other bodies are also not clear matches. SUDA is an urban development authority under the 1976 town planning Act, not a metropolitan authority. SREDA, the Surat Regional Economic Development Authority, has only been proposed. | EVIDENCE: (1) ULG-06, SUDA Development Plan 2035 report (22 Feb 2017), p.19 [PDF page]: 'the State Government has framed The Gujarat Metropolitan Planning Committees Act, 2008 (Guj. 18 of 2008) and has also come into force.' The Surat Metropolitan Area was declared by notification dated 11/03/2016, and 'The Metropolitan Committee for Surat was also constituted by the notification of the State Government dt. 11/03/2016 except for the elected members.' In 2017 the MPC's own development plan was 'not in place', so SUDA's draft plan was submitted under the 1976 Act. (2) ULG-01, Gujarat Town Planning and Urban D</t>
  </si>
  <si>
    <t xml:space="preserve">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t>
  </si>
  <si>
    <t xml:space="preserve">I left the input blank. A person needs to score this, for three reasons.
(a) NA does not apply. Surat is a million-plus city: ULG-06 Table 1 gives the SMC population as 44.67 lakh in 2011.
(b) YES is not supported on current evidence. The only metropolitan-level statutory body in the Citation Sheet is the Surat Metropolitan Planning Committee (MPC) under the Gujarat Metropolitan Planning Committees Act, 2008. A secondary source, the 2017 SUDA DP-2035 report (ULG-06, p.19), says a notification dated 11/03/2016 declared the Surat Metropolitan Area (SMC plus Sachin Municipality) and constituted the committee 'except for the elected members'. Two problems remain:
- RUBRIC-GAP / methodology ruling needed: does a Metropolitan Planning Committee count as a 'Metropolitan Authority'? The methodology's example is the Greater Bengaluru Authority, a governance authority. The 2019 amendment (ULG-02, the 2019 Bill as published in the Gazette; also appended to ULG-01) inserts ss.10A-10C into the MPC Act. These give the State Government the power to sanction the plan ('may'). They also put the MPC under State directions: s.10C(1), 'shall carry out such directions'. On this text the MPC is a planning committee under State control, not an authority with executive or governance powers.
- The committee was reported as constituted without its elected members. There is no evidence of its status after 2017.
(c) NO is not supported because absence is not established. Several documents needed to rule it out are not in the Citation Sheet:
- the main text of the Gujarat MPC Act 2008;
- the 11/03/2016 notifications themselves;
- any later notification adding members or reconstituting the MPC.
The GPMC Act (ULG-03) was reviewed only in excerpts.
Other bodies I checked:
- SUDA (ULG-06, pp.27-30): an urban development authority under s.22 of the 1976 Act, constituted on 30.01.1978. It covers SMC plus surrounding villages (1,351 sq km after the 2015 extension, later reduced). It is not set up as a metropolitan authority. Whether ASICS treats a UDA as a metropolitan authority needs a ruling.
- SREDA (ULG-09, pp.23 and 168, NITI Aayog, Sept 2024): only proposed ('establishing Surat Regional Economic Development Authority'). No Act or GO establishing it is in the Sheet.
The Step 2 answer is consistent with the sources. If reviewers decide an MPC counts and confirm it is currently constituted, the answer would be YES (10). If they decide only governance-type or development-type metropolitan authorities count, they would also need to rule on SUDA before answering NO.</t>
  </si>
  <si>
    <t xml:space="preserve">UPD9</t>
  </si>
  <si>
    <t xml:space="preserve">Does the law mandate participation of all parastatals/ agencies /ULGs in creation of Spatial plans (metro/municipal/ward)?</t>
  </si>
  <si>
    <t xml:space="preserve">ANSWER: Not determined. The Citation Sheet does not show that Gujarat law requires all parastatals, agencies and city governments to take part in making spatial plans, or that it requires an advisory council with representatives of civic agencies. The amendment text I could read only links the plan levels: the Development Plan under the Town Planning Act must include the spatial proposals of the plan sanctioned under the Metropolitan Planning Committees (MPC) Act, and the sanctioned MPC plan binds all authorities in the metropolitan area. A plan binding authorities after sanction is not the same as those authorities taking part in drawing it up. | EVIDENCE: (1) Gujarat Town Planning and Urban Development Act 1976, as amended by Gujarat Act 14 of 2019 (ULG-01, p.94). s.9(1) proviso: 'the development plan shall include the proposals, with regard to spatial planning, of the development plan sanctioned under the Gujarat Metropolitan Planning Committees Act, 2008 or the Gujarat District Planning Committees Act, 2008'. New s.19A says the 'appropriate authority shall include' those proposals by varying its development plan. (2) Gujarat Act 14 of 2019 amending the MPC Act 2008 (ULG-01, p.97-98). New s.10A(1): the State 'may' sanction the draft plan 'submitted by the Metropolitan Planning Committee'. s.10A(3): the final plan 'shall be binding on the concerned all authorities functioning in the metropolitan area'. s.10B(2): the State must consult the MPC on variations it did not propos</t>
  </si>
  <si>
    <t xml:space="preserve">A final development plan which has come into force shall be binding on the concerned all authorities functioning in the metropolitan area.</t>
  </si>
  <si>
    <t xml:space="preserve">Answer left blank: the law has not been shown to require participation, and a NO cannot be proven either. (1) A YES (10) is not supported. What I could read in ULG-01 links the plan levels only after a plan is sanctioned. The Development Plan 'shall include' the spatial proposals of the sanctioned MPC/DPC plan (GTPUD Act s.9(1) proviso, s.19A). The sanctioned MPC plan is 'binding on the concerned all authorities functioning in the metropolitan area' (MPC Act s.10A(3)). Being bound by a finished plan is not taking part in drawing it up. The State must consult the MPC only on variations the MPC did not propose (s.10B(2)). Appointing an officer to assist the MPC is optional ('may', s.10C(3)). Handing development authority powers to the local authority is also optional ('may', ss.7(2)/23(2)). None of this requires all parastatals, agencies or city governments to take part, and none sets up an advisory council with civic-agency members. ULG-04 (the 1979 Rules, r.3 and r.5) only asks for objections from 'any person'. That is a public notice, not agency participation. ULG-03 s.284F covers only re-development plans and is a duty to serve notice on railways and utilities. ULG-06 (the SUDA DP 2035 report) describes the SUDA board's SMC members in its own words. It is not the text of s.22, and a board is not an advisory council. (2) A NO (0) cannot be justified, because nothing has been proven absent. My three tool calls (two targeted reads of ULG-01 on plan preparation/consultation and on how the Urban Development Authority is made up, plus a search of the whole sheet) returned only the appended 2017/2019 amendment pages again. I could not read the main text of the 1976 Act: ss.9-17 on preparing, publishing and sanctioning plans, and s.22 on how a development authority is made up. The MPC Act 2008 and DPC Act 2008 appear only as amended sections. Their sections on committee membership and on preparing the draft plan (including any Article 243ZE(3)-type duty to consult the bodies in the area) are not in the Citation Sheet. No instrument covering ward-level plans was found. I did not open ULG-02 (the 2019 Bill), ULG-05 (CGDCR 2017) or ULG-11 (the 2013 SUDA presentation) myself. Step 2 lists ULG-05 among the sources it reviewed but not ULG-02 or ULG-11. Of these, only ULG-02 is likely to add statutory text, and it is likely to mirror the 2019 Act. I agree with Step 2's 'not determined' result. TO CONFIRM: researchers should add readable full text of the GTPUD Act 1976 (ss.9-17, s.21, s.22) and the full Gujarat MPC Act 2008 and DPC Act 2008. A reviewer can then decide YES or NO. Versions read: 2017 amendment (gazette dated 13-04-2017); Gujarat Act 14 of 2019 (gazetted 19-08-2019); Rules of 1979; BPMC Act as modified up to 30-11-2017. Era: n/a.</t>
  </si>
  <si>
    <t xml:space="preserve">UPD10</t>
  </si>
  <si>
    <t xml:space="preserve">Does the law mandate public participation in preparation of the municipal plan through Area Sabhas / Ward Sabhas and other means?</t>
  </si>
  <si>
    <t xml:space="preserve">ANSWER: Part B (other means) is met. The Gujarat town planning law requires the draft development plan to be published, with a two-month window for any member of the public to send objections or suggestions, which the plan-preparing authority 'shall consider'. Part A (ward committees / area sabhas) is not established. No provision in the Citation Sheet routes development plan preparation through Wards Committees or Area/Ward Sabhas, but some relevant layers are not in the sheet, so this is 'not found', not a 0. For Surat, the plan covering the city government's area is the Development Plan 2035. It was prepared by the Surat Urban Development Authority (SUDA) under the Gujarat Town Planning and Urban Development Act, 1976 (GTPUD Act) and submitted to the State Government for sanction, not prepared by the city government. | EVIDENCE: (1) Gujarat Town Planning and Urban Development Rules, 1979 (GTPUD Rules), r.5(1): the authority 'shall' publish the draft plan by notice in the Official Gazette and Gujarati newspapers, and paste copies at prominent places. r.5(2): the notice 'shall', 'in pursuance of the provisions of section 13', announce that if within two months 'any member of the public communicates in writing ... his objections or suggestions ... the development authority ... shall consider such objections or suggestions'. r.6(1) (as amended 22-01-1987): substantial modifications must be republished, and public objections/suggestions received within two months 'shall be cons</t>
  </si>
  <si>
    <t xml:space="preserve">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t>
  </si>
  <si>
    <t xml:space="preserve">I checked the Step 2 answer against the source, and it holds up.
PART B = YES. Under the Gujarat Town Planning and Urban Development Rules, 1979, rule 5(1), the authority 'shall' publish the draft development plan in the Official Gazette and in Gujarati newspapers, and paste copies of the notice in public places. Under rule 5(2), any member of the public may send objections or suggestions within two months, and the authority 'shall consider' them. The rule says it is made 'in pursuance of the provisions of section 13' of the 1976 Act. Rule 6(1) and 6(2) (amended 22-01-1987) repeat the two-month objection window for substantial modifications, whether made by the authority or by the State Government. Form A gives the same notice under s.13(1). This is binding notice-and-comment, which meets the methodology's footnote on 'consolidation of suggestions and objections'.
PART A = blank (not found; I could not confirm absence). I found no provision that routes development plan preparation through Wards Committees or Area/Ward Sabhas. I checked:
- ULG-04: rules 3, 5, 6, 17 and Forms A and B.
- ULG-01: the readable 2017 and 2019 amendments. These include the new s.19A, and new s.10B in both the 2008 District Planning Committees Act and Metropolitan Planning Committees Act. Section 10B only invites objections 'from any person'.
- ULG-02: the 2019 Bill.
- ULG-03: the Gujarat Provincial Municipal Corporations Act, 1949. Its s.29A Wards Committee is made up of councillors, and its functions are left to State rules under s.29A(8).
- A search of the whole sheet for 'ward committee' and 'area sabha'.
A 'NO' needs affirmative absence, which I could not establish, because three relevant layers are missing or unreadable:
1. The main text of section 13 of the 1976 Act cannot be read in the PRS copy (ULG-01).
2. The full Gujarat Metropolitan Planning Committees Act, 2008 is not in the sheet.
3. The State rules defining Wards Committee functions under s.29A(8) are not in the sheet.
If a reviewer adds these and finds no ward-level platform, Part A = NO and the total = 5. If one is found, the total = 10.
Also for the reviewer to check:
- (a) Whether the SUDA Development Plan 2035, made under the 1976 Act, is accepted as the 'municipal/city plan' for the Surat Municipal Corporation area. The plan is prepared by SUDA, not by the city government.
- (b) Whether sudaonline.org is accepted as an official domain. The Rules copy is hosted there, and the sheet does not show its official status.
The Rules version is the SUDA copy, as amended up to the 1987 notification.</t>
  </si>
  <si>
    <t xml:space="preserve">The citation didn't settle every input. "Part A: Formal platforms (ward committees / area sabhas)" left blank: the Citation Sheet doesn't decide it.</t>
  </si>
  <si>
    <t xml:space="preserve">UPD11a</t>
  </si>
  <si>
    <t xml:space="preserve">Is there public scrutiny for (including objections and responses) municipal/city plan? &gt;:&lt; Does the law mandate public scrutiny for (including objections and responses) municipal/city plan through Area Sabhas / Ward Sabhas and other means?</t>
  </si>
  <si>
    <t xml:space="preserve">ANSWER: Partly answered. Part B (other means) is met. The Gujarat Town Planning and Urban Development Rules, 1979 (r.5, made under s.13 of the GTPUD Act, 1976) require the draft development plan to be published by notice in the Official Gazette, in Gujarati newspapers and at prominent places. Any member of the public may send written objections or suggestions within two months, and the development authority or authorized officer 'shall consider' them. The Rules also require public notice for objections when the draft plan is substantially modified (r.6(1) and r.6(2)). Part A (formal platforms such as Ward Committees or Area Sabhas) is not determined. None of the planning instruments I read sends scrutiny through Ward Committees or Area Sabhas. However, the text of GTPUD Act s.13 and the Ward Committee Rules made under GPMC Act s.29A(8) are not readable in the Citation Sheet, so I cannot confirm the absence. | EVIDENCE: (1) GTPUD Rules 1979, r.5(1): the authority or authorized officer 'shall' publish the draft development plan by notice in the Official Gazette and in one or more Gujarati newspapers (Form A), with copies pasted at the authority's head office and prominent places. r.5(2): the notice must announce a two-month window for written objections or suggestions from 'any member of the public', which the authority 'shall consider', and it 'may modify' the plan. r.6(1): substantial modifications are published in the Gazette and newspapers (Form B), and objections received </t>
  </si>
  <si>
    <t xml:space="preserve">Part B = YES. I checked the Step 2 answer against ULG-04 and the source supports it. The GTPUD Rules 1979 are made under the Act. Rule 5(1) says the authority or authorised officer 'shall' publish the draft development plan by notice in the Official Gazette and in Gujarati newspapers, and paste copies at its head office and other prominent places. Rule 5(2), made 'in pursuance of the provisions of section 13', says the notice must invite objections or suggestions from 'any member of the public' within two months, and the authority 'shall consider' them. Changing the plan is optional ('may modify'). Rule 6(1) and 6(2), as amended by the notification of 22-01-1987, add a fresh public objection round when the plan is substantially modified, by the authority or by the State Government. Form A repeats that objections 'shall be considered'. This is public scrutiny through other means, with objections and a duty to consider them, so Part B is met.
Part A is left blank (not found, not proven absent). Nothing I read gives Ward Committees or Area Sabhas any role in scrutinising the development plan. I searched the whole Citation Sheet for 'area sabha ward sabha ward committee development plan' and found no such provision. I also read ULG-01, the PRS copy of the GTPUD Act, for s.13 and s.14. Only the appended amendment Acts (2017 and 2019) came back readable, and the base text of s.13 and s.14 did not. GPMC Act s.29A (ULG-03, per Step 2) sets up Wards Committees and leaves their functions to Rules under s.29A(8). Those Ward Committee Rules are not in the Sheet. The full Gujarat Metropolitan Planning Committees and District Planning Committees Acts (2008) are not in the Sheet either. A NO, which scores 0, needs affirmative absence across every layer of the law, so this input needs a person to decide. If the s.13 text of the GTPUD Act and the GPMC Ward Committee Rules confirm there is no ward or Area Sabha route, Part A = NO and the total would be 2.5 out of 5.
Context: in Surat the development plan is prepared by SUDA and sanctioned by the State; SMC prepares town planning schemes. The text relied on is the GTPUD Rules 1979 as amended (r.6 per the 1987 notification), in the copy hosted by SUDA.</t>
  </si>
  <si>
    <t xml:space="preserve">UPD11b</t>
  </si>
  <si>
    <t xml:space="preserve">Is there public scrutiny for (including objections and responses) municipal/city plan? &gt;:&lt; Was the public scrutiny undertaken for (including objections and responses) municipal/city plan?</t>
  </si>
  <si>
    <t xml:space="preserve">ANSWER: Yes. Surat's city-level plan, the Draft Development Plan 2035, was opened to public scrutiny. It covers the Surat Municipal Corporation (SMC) area and the surrounding area, and was prepared by the Surat Urban Development Authority (SUDA) under the Gujarat Town Planning and Urban Development Act, 1976 (GTPUD Act), not by the city government itself. SUDA's own plan report says the draft was sent to the State Government under s.9 on 9 May 2016 and published in the Official Gazette on 10 May 2016 under s.13. A notice in a Gujarati daily on 11 May 2016 invited suggestions and objections from the public within the two-month legal time limit. Objections were received: the State's Urban Development and Urban Housing Department (UD&amp;UHD), by letter of 21.11.2016, told SUDA to resubmit the draft together with the suggestions and objections received. Under the methodology, evidence of a notice inviting suggestions is enough for a score of 5. | EVIDENCE: (1) ULG-06, SUDA Development Plan 2035 report (22 Feb 2017), Ch.21, p.216 (PDF p.233): the draft 'was published in the Official Gazette the on 10th May 2016 under section 13 for inviting public opinion' and a 'notice was also issued in the prescribed manner in the Gujarati daily on 11th May, 2016 inviting suggestions and objections'. The same chapter says SUDA must send the draft to the State 'along with opinion on such objections and suggestions' (s.14). (2) ULG-06, p.217 (PDF p.234): UD&amp;UHD letter of 21.11.2016 asked SUDA to sub</t>
  </si>
  <si>
    <t xml:space="preserve">As per the statutory requirement the same was published in the Official G azette the on 10 th May 2016 under section 13 for inviting public opinion. The notice was also issued in the prescribed manner in the Gujarati daily on 11th May, 2016 inviting suggestions and objections from the general public within the statutory time limi ts of two months.</t>
  </si>
  <si>
    <t xml:space="preserve">Answer is YES. This is the implementation sub-question. The methodology gives 5 points when there is evidence of a notice inviting suggestions, consultation details, or public scrutiny in the plan itself. I checked the Step 2 answer against ULG-06 and it holds up.
What the plan says:
(1) SUDA's Development Plan 2035 report (22 Feb 2017), p.216, says the Draft DP-2035 was published in the Official Gazette on 10.05.2016 under s.13 of the GTPUD Act 1976. A notice in a Gujarati daily on 11.05.2016 invited suggestions and objections, with a two-month window.
(2) p.217: the UD&amp;UHD letter of 21.11.2016 told SUDA to submit the draft 'along with the suggestions and objections received for the proposals on the Draft Development plan - 2035 published u/s 13'. This shows objections were actually received.
(3) p.239, the reservations table, has the row 'Total (added 14 reservations after reviewing objections/suggestions)'. This shows objections were reviewed and acted on, which covers the 'responses' part of the question.
(4) Ch.16 (pp.165-167) also records stakeholder consultation before publication: meetings with village Sarpanchs, institutions and about 60 committee meetings, plus a meeting on 22.04.2016 with MPs, MLAs and the SMC Mayor at which 136 suggestions were received.
To check:
(a) SUDA, the development authority, prepared the plan and ran the scrutiny, not the city government (SMC). The methodology says to check 'Development Authority/ULG websites (as applicable)', so I treat the SUDA plan as the city plan. A reviewer should confirm this.
(b) All of this evidence is SUDA's own account in its report. The Gazette notice of 10.05.2016, the newspaper notice and the full list of objections with SUDA's replies are not in the Citation Sheet.
(c) The State's final sanction of DP-2035 is not in the Citation Sheet.
ULG-04 (GTPUD Rules r.5(2), the two-month objection period) and ULG-11 (the 2013 workshop process steps) describe the legal procedure only. I did not use them as evidence of practice.</t>
  </si>
  <si>
    <t xml:space="preserve">UPD12</t>
  </si>
  <si>
    <t xml:space="preserve">Does the law mandate periodic review and revision of the notified municipal/city plan, including corresponding revisions to the Development Control Regulations (DCRs)?</t>
  </si>
  <si>
    <t xml:space="preserve">ANSWER: Not determined from the statute. The only source on the Citation Sheet that addresses this is a SUDA plan report. It says that section 21 of the Gujarat Town Planning and Urban Development Act, 1976 (GTPUD Act) requires the development plan to be revised once every 10 years. I could not read the text of section 21 itself. So the Citation Sheet doesn't show the Act's mandatory verb, the authority it names, or whether it requires the Development Control Regulations (DCRs) to be revised along with the plan. | EVIDENCE: (1) ULG-06, SUDA Development Plan 2035 report (22-02-2017), Ch.1 and Ch.4.2.1: 'as per section 21 of the Act, the development plan is to be revised once in 10 years'. It also records that SUDA prepared the 1986 plan and the revised plan in force from 15-09-2004, and that SMC prepared 129 TP schemes. In practice, then, the development authority (SUDA) prepares and revises the development plan that covers Surat, and the State Government sanctions it. This is a secondary statement in a plan document, not the provision itself. (2) ULG-01, GTPUD Act, PRS copy with amendments: my searches only reached the appended amendments. The 2017 amendment inserts Local Area Plan provisions. The 2019 Act No. 14 inserts a proviso to s.9(1), s.19A (adding MPC/DPC spatial proposals 'by varying the development plan under section 19') and ss.10A-10C in the DPC and MPC Acts, which deal with variation of final development plans. None of these passages set a periodic review cycle. </t>
  </si>
  <si>
    <t xml:space="preserve">Three inputs are YES and the DCR input is blank, so the likely score is 7.5 out of 10 for a person to confirm. This corrects the Step 2 answer. Step 2 said the wording of s.21 was never found, but ULG-11 (SUDA presentation, 03-08-2013, hosted on SUDA's own site) quotes s.21 of the GTPUD Act 1976 word for word on page 10. ULG-06 (DP-2035 report, 2017, Ch.1 and 4.2.1) independently says the plan 'is to be revised once in 10 years' under s.21. The PRS copy of the Act (ULG-01) still could not be read at s.21; only the appended amendments of 2017 and 2019 come up, and none of them change s.21. This is a quotation of the statute in an official SUDA document, not the Act itself, so a person should check it against the Act text if possible.
C1 (periodic revision mandated) = YES. The verb is 'shall revise'. The bracketed exclusion in the methodology is garbled. I read it as 'modifications (as distinct from revision or creation of a new plan, say after ten years) to the plans shall not be considered'. On that reading, ad-hoc variations such as s.19 (and the DPC/MPC ss.10B variations) do not count, but a mandatory 10-yearly revision does. This is the only reading under which C2 (timeline) makes sense alongside C1. METHODOLOGY TEAM PLEASE CONFIRM: if the exclusion is meant to remove 10-year revision clauses, C1 should go blank or be re-scored.
C2 (timeline) = YES: 'Atleast once in ten years from the date on which a final development plan comes into force'.
C3 (responsible authority) = YES: 'the area development authority shall revise'. Rule 8 of the 1979 Rules applies rules 3-7 to the urban development authority mutatis mutandis. For Surat, SUDA is the plan-revising body, not SMC (the city government). SUDA prepared the 1986, 2004 and 2035 plans (ULG-06, ULG-11).
C4 (DCR revision) = blank, not NO. s.21 applies ss.9-20 'so far as may be' to the revision. The Rules (ULG-04, r.6 and r.7, as amended 22-01-1987) treat the 'draft development plan and regulations' as one package, submitted under s.16 and sanctioned together ('The State Government may sanction the draft development plan and the regulations submitted to it under section 16 within a period of 12 months'). This suggests regulations are re-done as part of a revision. However, the Act text of ss.9-20 that would make regulations part of the plan could not be read on the Citation Sheet, and nothing found states an express duty to revise the DCRs after a plan revision. I checked ULG-01 (amendments only reachable), ULG-04 (r.3-8), ULG-05 (CGDCR 2017; state-wide, not read in full), ULG-03 (GPMC Act; only re-development provisions reached) and ULG-13. Affirmative absence is not established, so this is left for a person to score: they should read GTPUD Act ss.9 and 12 for whether the draft plan must include regulations.
Period: s.21 as in force in 2013 and cited again in 2017. The 2017 and 2019 amendments in ULG-01 do not touch s.21. Confidence is low because one input is blank and the s.21 wording comes from an official quotation, not the Act text.</t>
  </si>
  <si>
    <t xml:space="preserve">The citation didn't settle every input. "Corresponding DCR revision required" left blank: the Citation Sheet doesn't decide it.</t>
  </si>
  <si>
    <t xml:space="preserve">UPD13a</t>
  </si>
  <si>
    <t xml:space="preserve">Does the T&amp;CP Act mandate the planning for:   &gt;:&lt; a) Water Supply/ Sewerage, Sanitation and Solid Waste Management</t>
  </si>
  <si>
    <t xml:space="preserve">10 &gt;:&lt; 1.67</t>
  </si>
  <si>
    <t xml:space="preserve">ANSWER: Partly answered, so no score is given. Gujarat's planning law (the Gujarat Town Planning and Urban Development Act, 1976) appears to list water supply, drainage and sewage disposal among the contents of a development plan, under section 12(2)(c). Surat's development plan is prepared by the Surat Urban Development Authority (SUDA) and sanctioned by the State Government. However, the Citation Sheet does not hold the Act's own text of section 12. The section is known only from SUDA's description of it in its 2017 plan report. That report says the plan 'shall provide for all or any of the following', which means no single item, water supply included, is clearly required. Nothing was found that requires a sanitation plan or a solid waste management plan, or a solid waste section in the plan. | EVIDENCE: (1) ULG-06, SUDA Development Plan 2035 report (22 Feb 2017), pp.195-196 (section 19.11.5): 'As per provisions of section 12(2) of the Act, the draft development plan shall provide for all or any of the following public purposes', followed by (c) 'proposals for water supply, drainage, sewage disposal, other public utility amenities and services including supply of electricity and gas' and (f) 'proposals for flood control and prevention of river pollution'. The list (a)-(g) shown is cut off at (g), and no solid waste item appears in it. The same report, p.16, lists 'Solid Waste Management' and 'Utility services for water supply, sewerage, drainage' as parts of DP 2035. That s</t>
  </si>
  <si>
    <t xml:space="preserve">As per provisions of section 12(2) of the Act, the draft development plan shall provide for all or any of  the following public purposes:</t>
  </si>
  <si>
    <t xml:space="preserve">I left all three inputs blank. A person needs to score this question.
Why no input can be decided:
(1) The Citation Sheet does not hold the Act's own text of section 12 (contents of the draft development plan). I read ULG-01 (the PRS copy of the 1976 Act) again, looking for section 12. It only returns the amendment Acts of 2017 and 2019. The 2019 Act adds a proviso to s.9(1), deletes the words in s.12(1) about conforming to the MPC Act plan, and inserts s.19A. None of these concerns water, sanitation or solid waste.
(2) The only wording of s.12(2) available is SUDA's restatement in its DP 2035 report (ULG-06, pp.195-196). That is a planning report, not the law. It says the plan 'shall provide for all or any of the following', and the list includes (c) water supply, drainage and sewage disposal.
Water supply / sewerage: clause (c), as restated, would fit this component. But I cannot confirm the Act's actual verb and structure from the primary text. The words 'all or any of' may also make each item optional, and the methodology says optional ('may') provisions are not credited. So I did not mark YES. Someone needs to confirm against the official Act text whether s.12(2) uses 'shall' and how 'all or any' should be read under this rubric.
City sanitation: the restated list has no sanitation plan or sanitation component as such. It only has 'drainage, sewage disposal' in (c) and 'prevention of river pollution' in (f). Whether these count as sanitation is a judgement for a reviewer. I did not mark NO because the Act's text is not available, so absence cannot be confirmed.
Solid waste management: there is no solid waste or refuse item in the visible list (a)-(g). But the list is cut off at (g), and the full Act text is not in the sheet. Without that, absence is not established, so I did not mark NO. This is 'not found', not 'absent'.
Other sources checked, none of which requires a water, sanitation or solid waste plan:
- ULG-04 (1979 Rules): covers procedure and forms. The Form C layout requirements concern individual permission applications, not the city plan.
- ULG-05 (CGDCR 2017): building-level rules only.
- ULG-06 p.16: lists 'Solid Waste Management' and 'Utility services for water supply, sewerage, drainage' as parts of DP 2035. That is what SUDA did in practice, not a legal mandate.
- I searched the whole sheet for refuse, solid waste and sanitation in plan-content provisions. Nothing turned up.
Not fully checked: ULG-03 (the 1949 Municipal Corporations Act) and the Gujarat Metropolitan Planning Committees Act, 2008. The MPC Act is not in the sheet as a separate source.
To resolve this, the next step is to get the official Gujarat Legislative Department text of s.12 of the 1976 Act, then re-score.</t>
  </si>
  <si>
    <t xml:space="preserve">The citation didn't settle every input. "Water supply / sewerage" left blank: the Citation Sheet doesn't decide it. "City sanitation" left blank: the Citation Sheet doesn't decide it. "Solid waste management" left blank: the Citation Sheet doesn't decide it.</t>
  </si>
  <si>
    <t xml:space="preserve">UPD13b</t>
  </si>
  <si>
    <t xml:space="preserve">Does the T&amp;CP Act mandate the planning for:   &gt;:&lt; b) Disaster Resilience</t>
  </si>
  <si>
    <t xml:space="preserve">Step 2 found no evidence: a source needs to be found and added. Step 2 found no evidence (Insufficient Evidence). Source needed: Needed: (a) an official, readable consolidated text of the Gujarat Town Planning and Urban Development Act, 1976, especially section 12 (contents of the draft development plan) and any later amendments; (b) the full Gujarat Metropolitan Planning Committees Act, 2008, as amended; (c) the full current GTPUD Rules; (d) the Gujarat State Disaster Management Act, 2003 and any GO requiring development plans or urban development authorities to include a disaster or resilience component.</t>
  </si>
  <si>
    <t xml:space="preserve">UPD13c</t>
  </si>
  <si>
    <t xml:space="preserve">Does the T&amp;CP Act mandate the planning for:   &gt;:&lt; c) Comprehensive mobility</t>
  </si>
  <si>
    <t xml:space="preserve">ANSWER: Not determined. None of the sources in the Citation Sheet requires the planning authority (SUDA as the urban development authority, or the Surat city government) to prepare a Comprehensive Mobility Plan. The closest provision is GTPUD Act 1976 s.12(2), and I only have it as paraphrased in SUDA's Development Plan 2035 report. That paraphrase says the draft development plan 'shall provide for all or any of' a list of matters, one of which is '(b) transport and communications, such as roads, highways, railways, and airport'. This is a list of land reservations, and the authority can choose 'all or any' of the items. It is not a clear mandate for a mobility component, so it cannot be credited without review. | EVIDENCE: (1) GTPUD Act 1976 (ULG-01, PRS copy): the parts I could read are the 2017 amendments (s.7, s.23, s.49, s.76A Local Area Plan) and the 2019 amendments (s.9(1) proviso: the DP 'shall include the proposals, with regard to spatial planning' of the MPC/DPC development plan; s.12(1) wording deleted; new s.19A). None of these mentions mobility or transport planning. I could not retrieve the original text of s.12 from this copy. (2) DP 2035 report, SUDA (ULG-06), §19.11.5, p.195-196, paraphrasing s.12(2): 'the draft development plan shall provide for all or any of the following public purposes: ... b) transport and communications, such as roads, highways, railways, and airport, including their extension and development'. Page 216 says the 2008 CMP 'made for SMC a</t>
  </si>
  <si>
    <t xml:space="preserve">Left blank: the Citation Sheet does not let me decide YES or NO.
(1) Closest provision: GTPUD Act 1976 s.12(2). I only have it as SUDA's DP 2035 report (ULG-06, §19.11.5) restates it, not as primary Act text. It says the draft development plan 'shall provide for all or any of' a list of public purposes. One item is '(b) transport and communications, such as roads, highways, railways, and airport'. The words 'all or any' let the authority choose which items to include, and the item is a land reservation for transport works. It is neither a comprehensive mobility plan nor a clearly mandatory mobility component. The methodology excludes optional provisions, so I cannot credit YES on this wording without human review.
(2) I re-read ULG-01 (GTPUD Act, PRS copy). It shows only the 2017 amendments (s.7, s.23, s.49, s.52, s.76A Local Area Plan) and the 2019 amendments (s.9(1) proviso on including MPC/DPC spatial-planning proposals; s.12(1) wording deleted; new s.19A). None mentions mobility. The original s.12 text, including any 'so far as may be necessary' wording, is not readable in the sheet.
(3) GTPUD Rules 1979 (ULG-04): r.3 deals with surveys and r.4 assigns a colour to the 'Transport and communications' land use. No mobility-plan duty.
(4) CGDCR 2017 (ULG-05), p.130: 'The competent authority shall plan for proper access, circulation and mobility in the area, prepare a road network plan'. This is a mandatory 'shall', but it is a regulation (not the T&amp;CP Act), applies only to development in non-TP-scheme areas, and requires a road network plan, not a comprehensive mobility plan or a city-plan mobility component. The Local Area Plan definition uses 'may' (transportation network, parking), so it cannot be credited.
(5) ULG-06 p.216 and ULG-07 (Parking Policy 2018) show that a CMP exists in practice (2008 CMP; a new CMP was being prepared). That is practice, not a legal mandate.
NO is not supportable either, because affirmative absence is not established: the primary s.12 text was not retrieved; the Gujarat Metropolitan Planning Committees Act 2008 (Surat Metropolitan Area declared on 11/03/2016) is not in the sheet as a full text, and only its 2019 s.10A-10C insertions are visible in ULG-01; and the full GPMC Act (ULG-03) was not checked for transport-planning provisions.
A person should: (a) read the official GTPUD Act s.12 text, to decide whether 'all or any' or 'so far as may be necessary' makes the transport item optional; (b) review the MPC Act 2008 for the contents of the metropolitan development plan; (c) decide whether the CGDCR non-TP road-network duty counts. Step 2 also left this undetermined, and I agree after checking the sources.</t>
  </si>
  <si>
    <t xml:space="preserve">UPD13d</t>
  </si>
  <si>
    <t xml:space="preserve">Does the T&amp;CP Act mandate the planning for:   &gt;:&lt; d) Sustainability/Climate/Environmental conservation</t>
  </si>
  <si>
    <t xml:space="preserve">ANSWER: Not determined. The only evidence on what a Surat development plan must contain is section 12(2) of the Gujarat Town Planning and Urban Development Act, 1976 (GTPUDA), and I could only read it as quoted in SUDA's DP-2035 report. That quote says the draft plan 'shall provide for all or any of' a list of purposes, one of which is '(f) proposals for flood control and prevention of river pollution'. This is an environmental item, but 'all or any of' may let the planning authority choose which items to include. I could not confirm from the primary text that there is a mandatory sustainability, climate or environmental-conservation component. Nothing in the Citation Sheet requires a separate sustainability plan. | EVIDENCE: (1) GTPUDA s.12(2), as quoted in ULG-06 (SUDA Development Plan 2035 report, para 19.11.5, pp.195-196): 'the draft development plan shall provide for all or any of the following public purposes', including '(f) proposals for flood control and prevention of river pollution'. The rest of the list (clause g onward) was cut off in the excerpt, so I could not check whether it includes a conservation item such as natural scenery, forest or wildlife. (2) ULG-01 (PRS copy of GTPUDA with amendments): the parts I could read were the 2017 and 2019 amending Acts. The 2019 Act deleted the 'conformity with the MPC Act development plan' words from s.12(1) and added s.19A on spatial-planning proposals from the metropolitan or district planning committee plan. Neither add</t>
  </si>
  <si>
    <t xml:space="preserve">I left the answer blank because the Citation Sheet does not settle it either way. (1) The only plan-content wording found is the Gujarat Town Planning and Urban Development Act (GTPUDA) s.12(2). It appears only as quoted in SUDA's Development Plan 2035 report (ULG-06, dated 22 Feb 2017), not in the Act's own text. The quote says the draft development plan 'shall provide for all or any of' a list of purposes. It includes one environmental item: '(f) proposals for flood control and prevention of river pollution'. The words 'all or any of' let the planning authority choose which items to include. So no environmental part is clearly required. This works like an optional 'may' provision, which the methodology says not to count. Also, flood control and river pollution are narrow items, not a general sustainability, climate or environmental-conservation part of the plan. A YES is therefore not supported. (2) The excerpt is cut off after clause (g), so I could not check whether s.12(2) has other environmental clauses, such as natural scenery, forest or wildlife conservation. I also could not check the exact operative verb in the Act's own text. ULG-01, the PRS copy of GTPUDA, showed only the 2017 and 2019 amending Acts, not s.12 itself. The 2019 Act deleted the words requiring conformity with the Metropolitan Planning Committee (MPC) Act plan from s.12(1), added a proviso to s.9(1), and inserted s.19A on spatial-planning proposals. None of these adds an environmental mandate. (3) What I checked: ULG-01 (GTPUDA plus 2017 and 2019 amendments; no primary s.12 text); ULG-02 (2019 amending Bill); ULG-03 (Gujarat Provincial Municipal Corporations Act 1949; redevelopment-plan sections only); ULG-04 (GTPUD Rules 1979, r.3 and r.4 on how to prepare the plan and map colours; no environmental mandate); ULG-05 (CGDCR 2017, the state's development control regulations; no plan-content mandate); ULG-06 (DP-2035 report). The report's environmental goals (e.g. 'balanced development with environmental protection') show practice, not a legal mandate. I also searched the whole sheet for a 'preservation, conservation ... natural scenery, forest, wild life' clause and found nothing. A NO cannot be given either: the full primary text of GTPUDA s.12 and the Gujarat MPC Act 2008's own plan-content sections (as opposed to its amendments) are not in the Citation Sheet, so absence is not proven. TO DO for the human scorer: read the full official text of GTPUDA s.12 (both sub-sections and all clauses) and the Gujarat MPC Act 2008's provisions on plan contents. Then decide whether 'shall provide for all or any of' counts as a mandate under ASICS practice.</t>
  </si>
  <si>
    <t xml:space="preserve">UPD13e</t>
  </si>
  <si>
    <t xml:space="preserve">Does the T&amp;CP Act mandate the planning for:   &gt;:&lt; e) Heritage conservation</t>
  </si>
  <si>
    <t xml:space="preserve">Step 2 found no evidence: a source needs to be found and added. Step 2 found no evidence (Insufficient Evidence). Source needed: The full consolidated text of GTPUD Act 1976 s.12 (contents of the draft development plan), especially any clause on preserving buildings or places of historical or architectural interest, and whether it says 'shall' or 'may'. Also any Gujarat heritage conservation regulations or GO under the GTPUD Act or GPMC Act that require a heritage conservation plan or plan component.</t>
  </si>
  <si>
    <t xml:space="preserve">UPD13f</t>
  </si>
  <si>
    <t xml:space="preserve">Does the T&amp;CP Act mandate the planning for:   &gt;:&lt; f) Social Development</t>
  </si>
  <si>
    <t xml:space="preserve">ANSWER: Not determined. The Citation Sheet does not show a Gujarat legal provision that requires the planning authority (SUDA, under the Gujarat Town Planning and Urban Development Act, 1976) to prepare a social development plan or include a social development component. The only relevant material is the SUDA Development Plan 2035 report's paraphrase of Section 12(2) of that Act. It says the draft development plan 'shall provide for all or any of' a list of public purposes, which includes educational institutions and medical and public health institutions. Two things are unclear. First, 'all or any' arguably leaves it to the authority to choose which items to include, so it may not be a firm duty. Second, I could not read the Section 12 text in the Act itself, and the paraphrased list does not show any affordable or weaker-section housing item. | EVIDENCE: (1) ULG-06, SUDA Development Plan 2035 (22 Feb 2017), §19.11.5, pp.212-213: 'As per provisions of section 12(2) of the Act, the draft development plan shall provide for all or any of the following public purposes', item (a): 'reservation of land for public purposes, such as schools, colleges, and other educational institutions, medical and public health institutions, ... social welfare and cultural institutions'. Items (b)-(g) cover transport, utilities, community facilities, industry, flood control and land for public bodies. None of the items shown mentions housing for the poor or weaker sections. (2) ULG-01, GTPUD Act, 1</t>
  </si>
  <si>
    <t xml:space="preserve">I left all three inputs blank for a person to score. This is a Law/Policy question, but the Citation Sheet does not contain the text of the deciding provision.
(1) The Act itself (ULG-01) can't be read. ULG-01 is the PRS copy of the GTPUD Act, 1976. Pages 2-86, which hold the principal Act, come back with no text, apparently because they are scanned images. Only the 2017 and 2019 amending Acts can be read. The 2019 Act deletes the MPC-conformity words from s.12(1), adds a proviso to s.9(1) and adds a new s.19A. That proviso and s.19A require the development plan to include the spatial-planning proposals of the MPC/DPC development plan. None of this covers health, education or housing. So the wording of s.12(2) cannot be checked against the official text.
(2) The only evidence is a plan report's paraphrase of the Act. ULG-06 (SUDA Development Plan 2035, 22 Feb 2017, §19.11.5, pp.212-213) is a secondary paraphrase. It says the draft plan 'shall provide for all or any of' a list of public purposes. Item (a) includes educational institutions and medical and public health institutions. Two problems:
- 'All or any of' arguably lets the authority choose which items to include. The methodology does not count optional ('may'-type) provisions and gives no rule for this wording.
- The provision covers reserving land for facilities, not a social development plan or component. Whether that counts needs a reviewer's call.
If a reviewer decides 'shall provide for all or any' is a mandate and that land reservation counts, Public health and Education would likely be YES.
(3) No affordable housing item was found. The paraphrased list, items (a)-(g), shows no item on housing for weaker sections or affordable housing, and the text is cut off at (g). Without the Act's own text I can't rule out such an item elsewhere in s.12. So a NO has no affordable housing finding either way. A NO would need proof that nothing exists, which I could not establish.
(4) The other sources don't help:
- ULG-03, GPMC Act 1949 (as modified to 30 Nov 2017), s.284F: housing for the poorer classes applies only in a re-development area after a Corporation resolution under s.284E. It is not a city-wide plan duty.
- ULG-04, GTPUD Rules 1979: rr.3-4 deal with how the plan is prepared and the land-use colours, not plan content of this kind.
- ULG-05, CGDCR 2017: its 'Public Purpose' definition is in development control regulations and is not a duty to plan.
- My search of the whole sheet for EWS or affordable housing in development plans found no binding provision.
- The Gujarat Metropolitan Planning Committees Act, 2008 is not in the sheet as a full text, apart from the 2019 amendments.
For a reviewer:
(a) Get the official s.12 text of the GTPUD Act 1976 (state Legislative Department or gazette copy).
(b) Rule on whether 'shall provide for all or any of' counts as a mandate.
(c) Check whether s.12 has any housing or weaker-sections item.
Period: GTPUD Act as amended to 2019; DP 2035 report dated 2017. Era: n/a.</t>
  </si>
  <si>
    <t xml:space="preserve">The citation didn't settle every input. "Public health" left blank: the Citation Sheet doesn't decide it. "Education" left blank: the Citation Sheet doesn't decide it. "Affordable housing" left blank: the Citation Sheet doesn't decide it.</t>
  </si>
  <si>
    <t xml:space="preserve">UPD14a</t>
  </si>
  <si>
    <t xml:space="preserve">Are the spatial plans at the Metropolitan/Regional, Municipal and Ward(s) /Local level notified? &gt;:&lt; Is there a Metropolitan/Regional Plan?</t>
  </si>
  <si>
    <t xml:space="preserve">ANSWER: Not determined. The Citation Sheet has no notified metropolitan or regional plan for Surat. The nearest plans are SUDA's Development Plan 2035 (an urban development authority plan) and NITI Aayog's Economic Master Plan for the Surat Economic Region (an economic plan that was not notified). Neither clearly meets the 'notified metropolitan/regional plan' requirement. SUDA's own 2017 report says the plan required under the metropolitan planning law was not yet in place. | EVIDENCE: (1) ULG-06, SUDA Development Plan 2035 report (22 Feb 2017), p.19: the State Government declared the Surat Metropolitan area on 11/03/2016 under the Gujarat Metropolitan Planning Committees Act, 2008 (SMC and Sachin Municipality area). It also set up the Metropolitan Committee, but without its elected members. The report says 'The Draft Development Plan to be framed under the provisions of the Gujarat Metropolitan Planning Committees Act, 2008, is not in place as on today'. SUDA's plan was instead prepared under the Gujarat Town Planning and Urban Development Act, 1976. On pp.216-217, the Draft DP 2035 was submitted under s.9 on 9 May 2016 and published in the Official Gazette under s.13 on 10 May 2016. Its area is now 985.16 sq km: SMC, Kanakpur-Kansad, Sachin and Kadodara municipalities, and 135 rural settlements. At the date of the report it was still to be submitted under s.16 for State approval. The Sheet has no evidence of final sanction. The report does not call this plan a metropolitan</t>
  </si>
  <si>
    <t xml:space="preserve">The Draft Development Plan to be framed under the provisions of the Gujarat Metropolitan Planning Committees Act, 2008, is not in place as on today.</t>
  </si>
  <si>
    <t xml:space="preserve">Answer left blank. The Citation Sheet does not show a notified metropolitan or regional plan for Surat, but it also does not prove that none exists. (1) ULG-06, SUDA's DP 2035 report dated 22 Feb 2017, p.19: the Surat Metropolitan area was declared on 11/03/2016 under the Gujarat Metropolitan Planning Committees Act, 2008, and the Metropolitan Committee was set up without its elected members. The report says the plan to be made under that Act 'is not in place as on today'. That statement is from 2017 and may be out of date. (2) The SUDA Draft DP 2035 (ULG-06 p.216) was sent to the State under s.9 on 9 May 2016 and published in the Gazette under s.13 on 10 May 2016 for objections. Two problems: (a) this is only a draft published for objections, and the Sheet has no s.16 sanction or final notification; (b) it is a development authority plan made under the GTPUD Act 1976 and is never called a metropolitan or regional plan. It does use the loose phrases 'SUDA region' and 'growth in the region'. Whether that counts as a synonym under the methodology is a judgement call for the reviewer. (3) ULG-09, the NITI Aayog Economic Master Plan for the Surat Economic Region (Sept 2024): this is a regional plan, but an economic one. Only a steering committee and support units were notified, not the plan, so it fails the scorer note's 'notified document' test. (4) ULG-01, the 2019 amendment inserting s.10A into the MPC Act: this sets the legal framework only and is not evidence that a plan exists. Searches of the Sheet for a sanction of DP 2035 or a plan notified under the MPC Act found nothing. 'NO' cannot be given: there is no affirmative absence, because current SUDA, SMC and Metropolitan Planning Committee website pages and later Gazette notifications are not in the Sheet (VERIFICATION-LIMIT). Reviewer to check: (i) whether DP 2035 or a later plan was finally sanctioned and notified; (ii) whether any plan was made under the Gujarat MPC Act after 2017; (iii) whether a UDA development plan covering several municipalities plus villages counts as a 'regional plan' here.</t>
  </si>
  <si>
    <t xml:space="preserve">UPD14b</t>
  </si>
  <si>
    <t xml:space="preserve">Are the spatial plans at the Metropolitan/Regional, Municipal and Ward(s) /Local level notified? &gt;:&lt; Is there Municipal/City Plan?</t>
  </si>
  <si>
    <t xml:space="preserve">ANSWER: There is a city-level development plan for Surat, but the Citation Sheet does not show that the current final plan was notified. The plan is made by the Surat Urban Development Authority (SUDA), not by Surat Municipal Corporation (SMC), under the Gujarat Town Planning and Urban Development Act, 1976, and the State Government sanctions it. The Draft Development Plan 2035 for the SUDA area, which includes SMC, was published in the Official Gazette on 10 May 2016 so the public could object. As of the February 2017 report, it had not yet been sent to the State for final approval under section 16. Under the question's own wording, a development plan document from the development authority would qualify. However, the evidence rule asks for a notified plan, and the only plans shown to be sanctioned are the 1986 plan and the 2004 revised plan. | EVIDENCE: ULG-06, Development Plan 2035 report by SUDA, dated 22 Feb 2017. (a) Chapter 21, report p.216: the draft was sent to the State under s.9 on 9 May 2016, 'published in the Official Gazette ... on 10th May 2016 under section 13', with a Gujarati newspaper notice on 11 May 2016. SUDA 'is now required to submit the Draft Development Plan-2035 along with the Draft GDCR under section 16 of the Act, 1976 for the State Government's approval'. The State's letter of 21.11.2016 asked SUDA to resubmit the plan without the villages removed from SUDA's area. (b) Chapter 4, report p.23: the revised plan 'was ultimately sanctioned by the Sta</t>
  </si>
  <si>
    <t xml:space="preserve">SUDA prepared and submitted the Draft Development Plan - 2035 under section 9 to the State Government on 9th May, 2016 for the area admeasuring 1351 Km2.  As per the statutory requirement the same was published in the Official G azette the on 10 th May 2016 under section 13 for inviting public opinion.</t>
  </si>
  <si>
    <t xml:space="preserve">I answered YES. This sub-question asks whether a Municipal/City Plan exists: a document that uses the words 'development plan', which may come from the urban development authority, the city government (ULG) or the town planning department. The note says it must be a notified document, not just maps. ULG-06 meets this. It is the Development Plan 2035 report by the Surat Urban Development Authority (SUDA), dated 22 Feb 2017, covering Surat Municipal Corporation (SMC) and 195 villages. (1) The Draft Development Plan 2035 was sent to the State under s.9 on 9 May 2016. It was published in the Official Gazette on 10 May 2016 under s.13, and in a Gujarati daily on 11 May 2016. That gazette publication is the notification of the plan document. (2) The earlier plans were sanctioned by the State Government: the first plan in 1986 (in force from 3 Mar 1986) and the revised plan DP-2004 (in force from 15 Sep 2004). The report says DP-2004 'is the DP which is under implementation'. So a notified development plan for the city existed in either case. I disagree with Step 2, which left this blank: the methodology names the development authority as a valid source, so a SUDA plan counts as the city plan even though SMC is not the planning body. Points for the reviewer: (a) The newest evidence is from 2017. The sheet does not show whether the final DP-2035 was sanctioned under s.17 after the January 2015 amendment (s.16 approval). I searched the whole sheet and found no sanction notification, and no SUDA, SMC or Urban Development &amp; Urban Housing Department web page showing which plan is in force in 2026. (b) What was gazetted for DP-2035 is the draft (s.13), not the sanctioned plan. If the reviewer reads 'notified' as meaning only the final sanctioned plan, then DP-2004 is the sanctioned plan on the sheet, and it is old. (c) According to ULG-06 p.2, the metropolitan plan under the Gujarat Metropolitan Planning Committees Act, 2008 did not exist as of 2017. Other sources I checked contain no city plan: ULG-03 (s.284F covers redevelopment plans only), ULG-04 (Rules: process only), ULG-05 (CGDCR), ULG-07, ULG-09 (NITI Aayog economic master plan), ULG-10 and ULG-11 (2013 workshop presentation). The reviewer should capture a dated screenshot of the current sanctioned DP on SUDA's website. ULG-06 has no web address on the sheet, so where it is hosted is not confirmed.</t>
  </si>
  <si>
    <t xml:space="preserve">UPD14c</t>
  </si>
  <si>
    <t xml:space="preserve">Are the spatial plans at the Metropolitan/Regional, Municipal and Ward(s) /Local level notified? &gt;:&lt; Is there a Ward(s) /Local area/ neighbourhood Plan?</t>
  </si>
  <si>
    <t xml:space="preserve">ANSWER: I could not confirm from the Citation Sheet that Surat has a ward, zonal or local area plan, as the rubric defines one. The only local spatial plan in the sheet is the Surat Municipal Corporation (SMC) map of Draft Town Planning Scheme Surat No. 59 (Unn). It is a neighbourhood-scale plan made by SMC's Town Planning Department, but it never uses the words 'ward development plan', 'zonal plan' or 'local area plan', which the methodology requires. Whether a Gujarat Town Planning Scheme counts as a local area plan for ASICS is a question for the methodology team. | EVIDENCE: (1) ULG-12, the Draft TPS No. 59 (Unn) map, Plan No. 3: title block reads 'DRAFT TOWN PLANNING SCHEME SURAT NO. 59(UNN)', 'SURAT MUNICIPAL CORPORATION TOWN PLANNING DEPARTMENT', 'STAGE :-- DRAFT SANCTIONED'. It shows original and final plots, roads, ward offices, gardens and housing for S.E.W.S. It does not use the terms 'local area plan', 'ward plan' or 'zonal plan'. (2) ULG-11, SUDA presentation of 2013, p.5, describes 'Two tier planning process as per GTP &amp; UD Act,1976': a macro-level Development Plan and 'a MICRO LEVEL "Town Planning Schemes" covering approx. 100 ha area each'. (3) ULG-01, Gujarat Town Planning and Urban Development Act (GTPUD Act) as amended by the Gazette of 13-04-2017, s.76A(7)-(8): provides for the state government to sanction Local Area Plans. This is the legal framework only and does not show that a plan exists for Surat. (4) ULG-05, CGDCR 2017, p.163, CBD (C4) zone: 'Local </t>
  </si>
  <si>
    <t xml:space="preserve">Draft Town Planning Scheme Surat No. 59 (Umarwada/Un area) map, SMC [ULG-12]</t>
  </si>
  <si>
    <t xml:space="preserve">https://www.suratmunicipal.gov.in/Content/Documents/Departments/Draftschemes/TP59%20UNN/TP59%20UNN.pdf</t>
  </si>
  <si>
    <t xml:space="preserve">DRAFT TOWN PLANNING SCHEME SURAT NO. 59(UNN)</t>
  </si>
  <si>
    <t xml:space="preserve">I left 'Answer' blank because neither YES nor NO is supported. RUBRIC-GAP: the evidence does not clearly fit the rubric.
Why not YES: the methodology says the document 'should mention the word ward development plan/zonal plan/local area plan'. The only Surat local-scale spatial plan in the Citation Sheet is ULG-12, the map of Draft Town Planning Scheme Surat No. 59 (Unn), made by SMC's Town Planning Department. It is a neighbourhood-scale spatial plan showing plots, roads, gardens, ward offices and S.E.W.S. housing. But it never uses any of those three terms, its stage is only 'DRAFT SANCTIONED' and its date field is blank. Under the GTPUD Act, Gujarat runs a two-tier system: ULG-11 (SUDA presentation, 2013, p.5) describes 'MICRO LEVEL Town Planning Schemes covering approx. 100 ha'. Whether a TPS counts as a 'local area plan' for ASICS is a methodology decision for a reviewer, not something I can infer.
Why not NO: a 0 needs affirmative absence, and that is not met. The sheet has no SMC Town Planning page listing schemes or plans and no SUDA or SMC Local Area Plan listing or notification. ULG-01 (GTPUD Act s.76A) shows only that Local Area Plans are provided for in law, not that one exists for Surat. ULG-05 (CGDCR 2017, p.163) refers to an AUDA/Ahmedabad CBD Local Area Plan, which is not about Surat.
What I checked:
- searches across the whole sheet for 'local area plan Surat' and 'zonal plan ward development plan': no Surat LAP, ward plan or zonal plan found. The hits were only 'Ward and Zonal Offices' in CGDCR and ward boundaries in DP 2035.
- ULG-06: DP 2035, a city-wide macro plan.
- ULG-10: ward and zone disaster management plans are mentioned, but they are not spatial plans and the plans themselves are not in the sheet.
- the Step 2 review of ULG-01, 03, 04, 05, 09 and 11.
For the reviewer:
(1) Decide whether a Gujarat TPS meets the rubric. If it does, the answer would be YES on the basis of ULG-12, although that scheme is only a draft and undated.
(2) Otherwise, collect SMC's Town Planning scheme listings or any SUDA/SMC Local Area Plan notification, so the question can be decided either way.</t>
  </si>
  <si>
    <t xml:space="preserve">UPD15</t>
  </si>
  <si>
    <t xml:space="preserve">Does the city have a municipal/city plan that is currently in force and within its prescribed validity period?</t>
  </si>
  <si>
    <t xml:space="preserve">ANSWER: The Citation Sheet cannot say whether Surat has a city plan that is in force today and still within its validity period. The latest dated record shows a draft plan in February 2017, not a sanctioned one. The plan covering the Surat Municipal Corporation (SMC) area is the Surat Urban Development Authority (SUDA) Development Plan. It is made under the Gujarat Town Planning and Urban Development Act, 1976: SUDA prepares it and the State Government (Urban Development and Urban Housing Department) sanctions it. SMC does not make it. The previous plan, Revised DP-2004, came into force on 15.09.2004. The SUDA report says section 21 requires revision once in 10 years, which puts the revision due around 15.09.2014. Its successor, Draft DP-2035, was published as a draft in the Gazette on 10.05.2016 and was being submitted to the State under section 16 (report dated 22.02.2017). No source in the Sheet shows that DP-2035 was ever sanctioned or notified as in force, or gives that date. | EVIDENCE: (1) ULG-06, SUDA DP-2035 report (22.02.2017), p.30: the first DP came into force on 31.01.1986. 'as per section 21 of the Act, the development plan is to be revised once in 10 years, SUDA prepared the revised development plan in 1997 which ultimately sanctioned in 2004 and came into force from 15.09.2004.' p.40: DP-2004 'is the DP which is under implementation' (as of 2017). p.233: Draft DP-2035 was submitted under s.9 on 09.05.2016 and published under s.13 on 10.05.2016. Because s.15 wa</t>
  </si>
  <si>
    <t xml:space="preserve">ANSWER LEFT BLANK. The Citation Sheet cannot show whether Surat's current plan is in force and within its validity period. A NO also needs affirmative absence, and the Sheet does not establish that.
What the Sheet does show:
(1) The plan covering the SMC area is the SUDA Development Plan. SUDA prepares it under the Gujarat Town Planning and Urban Development Act, 1976, and the State sanctions it. The Draft DP-2035 report (ULG-06, 2017) says DP-2004 'came into force from 15.09.2004'. ULG-06 p.40 calls it 'the DP which is under implementation'.
(2) Section 21 says the authority 'shall revise the development plan' at least once in ten years from the date the final plan comes into force. This wording is quoted on the SUDA 2013 presentation (ULG-11, p.10), not taken from the Act's own text in ULG-01. ULG-11 p.11 gives the deadline: 'Development Plan to be revised before = 15.09.2014'. So DP-2004's 10-year revision period ended on 15.09.2014.
(3) Draft DP-2035 went to the State under s.9 on 09.05.2016. It was published in the Gazette under s.13 on 10.05.2016. As of 22.02.2017 it was still a draft awaiting submission and approval under s.16 (ULG-06, p.233).
(4) ULG-09 (NITI Aayog, September 2024) describes DP-2035 with a 985 sq km area. It cites 'SUDA Development Plan 2035. (2020)'. It does not say the plan was sanctioned or give a date it came into force.
I searched the Sheet for a sanction notification or a date DP-2035 came into force and found neither. I checked ULG-06, ULG-09, ULG-11, ULG-01, ULG-04, ULG-05, ULG-03, ULG-07 and ULG-10.
Why neither value can be chosen:
- YES needs the date DP-2035 was sanctioned and notified, plus its validity. Without these I cannot tell whether it is in force and within its period.
- NO needs proof that no sanctioned plan replaced DP-2004. Evidence that stops in 2017, plus a 2024 secondary mention, does not prove that. Also, s.21 is worded as a duty to revise, and nothing in the Sheet says a plan lapses after 10 years.
- The months since validity ended cannot be counted. If DP-2004 were the current plan, that would be from 15.09.2014. Whether DP-2004 is still current is unconfirmed.
PERSON TO CHECK:
(a) The State (UD&amp;UHD) Gazette notification sanctioning SUDA DP-2035 under s.17, and the date it came into force.
(b) The Act's own text of s.21, from an official copy.
(c) Confirmation that the SUDA DP counts as the 'municipal/city plan' for SMC.
(d) The source contradicts itself on dates. ULG-06 p.203 gives a first-revision date of 15.09.2014. ULG-11 gives the first DP date as 03.03.1986, but ULG-06 p.30 gives 31.01.1986.</t>
  </si>
  <si>
    <t xml:space="preserve">UPD16a</t>
  </si>
  <si>
    <t xml:space="preserve">Are the spatial plans at the Metropolitan/Regional, Municipal and Ward(s) /Local level in a concurrent or nested timeline of validity? &gt;:&lt; Is the Metropolitan/Regional plan in a concurrent or nested timeline of validity with municipal plan?</t>
  </si>
  <si>
    <t xml:space="preserve">ANSWER: Not determinable from the Citation Sheet. The sources give a timeline for only one statutory spatial plan covering Surat. That is the Surat Urban Development Authority's (SUDA's) Development Plan 2035, prepared under the Gujarat Town Planning and Urban Development (GTPUD) Act, 1976. It covers the Surat Municipal Corporation (SMC) area plus surrounding villages and runs from 2015 to 2035. As of February 2017, no metropolitan development plan had been made under the Gujarat Metropolitan Planning Committees (GMPC) Act, 2008. The Citation Sheet has no evidence that one was made later. NITI Aayog's Economic Master Plan for the Surat Economic Region (target year 2047) describes itself as an indicative economic plan, not a statutory spatial plan with a set validity period. So there is no statutory metropolitan or regional plan whose validity period can be compared with the city plan. It is also unclear which plan is the 'municipal plan', because the sources show no separate SMC development plan. SMC prepares town planning schemes to implement SUDA's plan. | EVIDENCE: (1) ULG-06, DP 2035 report (22 Feb 2017), p.2/[page 19]: under the GMPC Act 2008, the Surat Metropolitan area (SMC and Sachin Municipality) was declared and its committee constituted by notifications of 11/03/2016, 'except for the elected members'. The report also says: 'The Draft Development Plan to be framed under the provisions of the Gujarat Metropolitan Planning Committees Act, 2008, is not in place as on t</t>
  </si>
  <si>
    <t xml:space="preserve">I left the Answer blank because the Citation Sheet does not show the validity periods of two separate plan levels, so they cannot be compared.
What the sources show:
- The only statutory spatial plan with a timeline is SUDA's Development Plan 2035 (ULG-06). It was prepared under the GTPUD Act, 1976, covers the SMC area plus surrounding villages and has a plan period of 2015-2035.
- ULG-11, SUDA's 2013 presentation, describes a two-tier process: a 10-year macro-level Development Plan, then micro-level Town Planning (TP) schemes. Section 21 requires the plan to be revised at least once every 10 years.
- No separate SMC city-level development plan is in the sheet. SMC's role is preparing TP schemes. ULG-12 is a single TP scheme map with no stated validity period.
- Metropolitan level: the Surat Metropolitan Area was declared and its committee constituted on 11/03/2016, but in Feb 2017 ULG-06 says the metropolitan draft plan 'is not in place as on today.' The sheet has nothing on whether one was made after 2017.
- ULG-01 and ULG-02 (the 2019 amendment adding ss.10A-10C to the GMPC Act) are law only. They do not show that a metropolitan plan exists or what period it covers.
- ULG-09, NITI Aayog's EMP (Sept 2024, horizon 2047), calls itself an 'indicative framework'. It is an economic plan, not a notified statutory spatial plan with a validity period.
Why neither YES nor NO:
- YES needs evidence that two plan levels have aligned or nested validity. There isn't any.
- NO needs affirmative absence or evidence that the timelines conflict. The only absence statement dates from 2017, and post-2017 metropolitan plan status is not covered. So this is 'not found', not proven absent.
Open questions for a reviewer:
1. Should SUDA's DP 2035 count as the 'regional' plan or as the 'municipal/city' plan?
2. Has a metropolitan development plan under the GMPC Act been sanctioned since 2017, and for what period?
3. When was DP 2035 sanctioned and when did it come into force? Only the 2017 submission report is in the sheet. The EMP cites a 2020 version.
Suggested RTI requests: UD&amp;UHD, Govt. of Gujarat / Surat Metropolitan Planning Committee PIO, and the SUDA PIO.</t>
  </si>
  <si>
    <t xml:space="preserve">UPD16b</t>
  </si>
  <si>
    <t xml:space="preserve">Are the spatial plans at the Metropolitan/Regional, Municipal and Ward(s) /Local level in a concurrent or nested timeline of validity? &gt;:&lt; Is the Municipal municipal/city plan in a concurrent or nested timeline of validity with Ward municipal/city plan?</t>
  </si>
  <si>
    <t xml:space="preserve">Step 2 found no evidence: a source needs to be found and added. Step 2 found no evidence (Insufficient Evidence). Source needed: Four documents would answer this: (a) the Gujarat government's s.17 sanction notification for SUDA DP 2035, with its date of coming into force; (b) the sanctioned preliminary or final TP Scheme notifications, or a Local Area Plan or ward/zonal plan notification for Surat, with dates and any validity period; (c) the GTPUD Act provisions on how long a TP Scheme lasts and how it relates to the Development Plan (s.40 onwards); (d) any SMC ward-level spatial plan with its period.</t>
  </si>
  <si>
    <t xml:space="preserve">UPD17</t>
  </si>
  <si>
    <t xml:space="preserve">Do the municipal/city plans at each level, integrate the plans and priorities of various sectoral public departments and agencies?</t>
  </si>
  <si>
    <t xml:space="preserve">ANSWER: Only in part. For the city-level (macro) plan, the SUDA Draft Development Plan 2035, there was a committee process for deliberation and decisions. A Core Committee and eight sub-committees held about 60 meetings, and their topics included traffic and transportation and infrastructure (water supply, storm water, sewerage). However, the Citation Sheet does not say who sat on these committees, apart from 'internal as well as external members from all fields'. So it cannot be confirmed that all the required sectoral departments and agencies were invited (water and sewerage, traffic, electricity, transport, health and education). The stakeholders the plan names are mostly village sarpanchs, institutions, experts, MPs, MLAs and the Mayor, not line departments. For the micro-level plans (Town Planning Schemes), there is no evidence of any inter-departmental deliberation process. | EVIDENCE: (1) ULG-06, DP 2035 report (SUDA, 22 Feb 2017), p.31-32 (report pp.14-15): 'a number of study groups were formed... All the background papers on technical aspects were put up before the Core Committee for their consideration and approval. The Core Committee also obtained advice and assistance of a number of other experts and officials'. The sub-committees were SC-1 to SC-8, including SC-5 Traffic and Transportation and SC-6 Infrastructure Planning &amp; ORR Implications. (2) ULG-06, ch.16 Stakeholders Consultation, p.182-185: experts were 'invited to join various sub committees'. Primary stak</t>
  </si>
  <si>
    <t xml:space="preserve">Following committees were formed that included internal as well as external members  from all fields, to  focus on key areas. Consultation meetings with the committees were held at regular intervals.</t>
  </si>
  <si>
    <t xml:space="preserve">I left the Answer blank because the Citation Sheet cannot settle YES or NO.
Why not YES: The methodology asks whether the plan process included a committee to which all sectoral departments and agencies were invited, at minimum water and sewerage, traffic, electricity, transport, health and education. For the city-level plan, SUDA's Draft Development Plan 2035 (report dated 22 Feb 2017), a committee process did exist:
- a Core Committee and eight sub-committees, SC-1 to SC-8, including SC-5 Traffic and Transportation and SC-6 Infrastructure Planning &amp; ORR Implications;
- about 60 meetings;
- the Core Committee 'obtained advice and assistance of a number of other experts and officials' (s.2.2);
- s.19.6 says the participants included 'experts from several Government and Semi Government institutes'.
However, the plan never names the departments or agencies that sat on or were invited to these committees. It says only 'internal as well as external members from all fields'. The stakeholders it does name are sarpanchs, the Chamber of Commerce, IIA, GICEA, GIDC estate members, SVNIT, NGOs, MPs, MLAs, the Zilla Panchayat President and the Mayor. Suggestions are recorded only for housing (SC-4), traffic and transport (SC-5) and infrastructure (SC-6: water, storm water, sewerage). There is no evidence that the electricity distributor (DGVCL/GEB), traffic police, health or education departments took part.
ULG-11 (SUDA presentation, 03-08-2013) doesn't fill the gap:
- Slide 37 lists four expert committees by topic only.
- Slide 40 records a 'Meeting of authorities for which land is reserved' in Jan 2013. Its purpose was to start land acquisition, not to deliberate on what the plan should contain. Even if it counted, the 21 agencies on slide 9 (e.g. GEB, GSRTC, PWD, GIDC) don't clearly include health, education or traffic police.
Searching the whole sheet found no membership lists, invitation letters or minutes.
Why not NO: A NO would need affirmative absence, and committee membership is unknown, not shown to be missing. The micro level (Town Planning Schemes, e.g. ULG-12, TPS 59) also has no evidence either way. So both levels are 'not found', not 'absent'.
Using ULG-09 (NITI Aayog Economic Master Plan, 2024) would also be wrong: it is not the statutory city plan, and its committees exclude the water, electricity, health and education agencies.
For the person scoring this, please check:
1. Get SUDA's office orders and membership or invitee lists for the DP-2035 Core Committee and SC-1 to SC-8, and their minutes for 2013-2017 (RTI to the SUDA PIO).
2. Get the SMC Town Planning Department's records of inter-departmental consultation on TP schemes.
3. Decide whether a plan prepared by SUDA counts as the ULG's 'municipal/city plan'. SMC is represented on SUDA, but SUDA, not SMC, prepares the plan.
4. Confirm whether DP 2035 (a draft submitted under s.16 of the GTPUD Act 1976) has been sanctioned. It covers the 2013-2017 process.</t>
  </si>
  <si>
    <t xml:space="preserve">UPD18</t>
  </si>
  <si>
    <t xml:space="preserve">Does the municipal/city plan include objectives on jobs and economy?</t>
  </si>
  <si>
    <t xml:space="preserve">ANSWER: Mostly yes, but only in the draft. Surat's statutory city plan is the Development Plan 2035, prepared by the Surat Urban Development Authority (SUDA) for an area that includes the Surat Municipal Corporation (SMC) area. In the draft submitted to the State Government, the plan sets economic priorities, proposes specific actions and puts numbers on the land it sets aside for economic use. The methodology lists land allocated for economic activities as a valid target. On that basis the draft meets the conditions for the 10 band. It sets no job, workforce-participation or enterprise targets, and makes no provision for street vendors. A score cannot be confirmed yet because the Citation Sheet does not show that the plan was finally sanctioned, or that the approved version keeps these allocations. | EVIDENCE: (1) ULG-06 s.19.2 'Plan Objective' (PDF p.202): the plan's broad principles include 'Diversification of economic activities'. (2) s.19.11.2 (PDF p.210): Industrial zone 'is 136 sq.km., which is 17.32% of the total urbanised area proposed in DP 2035', with a General Industrial zone and an Obnoxious &amp; Hazardous Industrial zone. (3) s.19.11.3: the Surat Industrial Growth Region (SIGR) is a corridor of about 40 sq.km running from Hazira towards Gothan. It is to be built through a Town Planning Scheme by an SPV (special purpose vehicle) and is linked to Hazira port cargo of about 84 million MT by 2030. It covers 40.09 sq.km, 5.09% of urbanised area. (4) s.19.11.4: the plan'</t>
  </si>
  <si>
    <t xml:space="preserve">Total area proposed under Industrial zone (including  DP 2004 proposal) is 136 sq.km., which is 17.32% of the total urbanised area proposed in DP 2035.</t>
  </si>
  <si>
    <t xml:space="preserve">Both inputs filled in from what ULG-06 actually says. This is SUDA's Development Plan 2035 report, dated 22 Feb 2017. Its plan area of 1351 sq.km includes the 326 sq.km SMC area.
(1) Priorities and interventions = YES. s.19.2 'Plan Objective' lists 'Diversification of economic activities' as a guiding principle. s.19.11.4 states the vision of SUDA as the 'growth engine of South Gujarat region'. The plan also names specific actions: General and Obnoxious/Hazardous Industrial zones; the Surat Industrial Growth Region (SIGR), to be developed through a TP Scheme by an SPV and tied to the Hazira port cargo forecast; a new commercial zone at Chaltan as an APMC commercial centre; a Logistics Park; a DREAM City zone; an Industrial Shift Zone, with the State to develop land at Pinjarat for the relocated industries; and SMC reservations for a vegetable market, a wholesale market and district centres (Table 156).
(2) Measurable targets = YES. The Detailed Methodology expressly lists 'Land identified/allocated for economic activities' as an acceptable target. The plan quantifies this land for the 2035 horizon:
- s.13 draft: Industrial 136.30 sq.km (17.32% of urbanised area), Commercial 11.82 sq.km (1.50%), SIGR 40.09 sq.km (5.09%), Logistics Park 0.80 sq.km, DREAM City 9.45 sq.km, Industrial Shift Zone 4.35 sq.km.
- Revised version submitted to the State under s.16 (Table 154): Industrial 112.96, Commercial 10.48, SIGR 28.14, Logistics Park 0.80 sq.km.
The Step 2 answer is consistent with the source.
FOR A PERSON TO CHECK:
(a) The only quantified targets are land areas. There are no targets for jobs, workforce participation or number of enterprises, and no street-vending provisions. The diagnosis chapters on workforce participation and informal work are not turned into targets. If ASICS reviewers do not accept land allocations alone as outcome indicators, the second input becomes NO, which puts the question in the 5 band.
(b) Plan status. The Citation Sheet contains only the s.13 draft and the s.16 submission. A search found no State sanction or 'came into force' notification for DP 2035, so whether the final sanctioned plan keeps these allocations is unverified. The report itself also says the SIGR is 'now affected' because villages were removed from SUDA's area by the 24.10.2016 notification.
(c) Which plan counts. DP 2035 is SUDA's statutory plan, not a separate SMC plan. Whether ASICS treats it as Surat's 'municipal/city plan' needs to be confirmed.
Not counted: ULG-09, NITI Aayog's Economic Master Plan (Sept 2024). It is a central regional economic plan, not the municipal/city plan.
Indicative band: 10, subject to (a)-(c).</t>
  </si>
  <si>
    <t xml:space="preserve">UPD19a</t>
  </si>
  <si>
    <t xml:space="preserve">Does the municipal/city plan include objectives on environment and heritage conservation? &gt;:&lt; a) Environmental Conservation</t>
  </si>
  <si>
    <t xml:space="preserve">ANSWER: Yes. Surat's statutory city plan, the SUDA Development Plan 2035, sets at least two clear priorities for the natural environment and climate resilience, each with actions. It also gives a measurable target: about 46 sq km of recreational space by 2035 (39.48 sq km in the version submitted for sanction), up from 12 sq km in DP 2004 and 2 sq km existing in 2015. This fits the 5-point band. The plan covers the whole SMC area (326 sq km of the 1351 sq km SUDA area). It was prepared by SUDA, the development authority, under the Gujarat Town Planning and Urban Development (GTPUD) Act, 1976. It is not an SMC document. | EVIDENCE: ULG-06 DP 2035 (report dated 22 Feb 2017). (1) Green development, s.19.8.3.5: 'Connect the gardens and open spaces and roads with a network of "Green Streets"', 'Provide adequate gardens, parks and public open spaces', 'Promote green development through GDCR'. The matching action, s.19.11.6 Recreational Zone: 'The land around existing Talavs are proposed for Gardens and Recreational uses', 'total 46 sq.km. of recreational spaces are proposed in DP 2035 as compared to 12 sq.km. proposed in DP 2004'. Table 154 (Proposed Land use 2035) shows Recreational at 2 sq km existing in 2015, 39.48 sq km (5.80%) in the u/s 16 column and 45.97 sq km (5.84%) in the u/s 9 column. (2) Protecting water bodies and drains, s.19.8.3.6: 'preserve the water bodies and natural drains by discouraging development around water bodies', 'promote agricultural activities surroun</t>
  </si>
  <si>
    <t xml:space="preserve">The land around e xisting Talavs are proposed for Ga rdens and Recreational uses. Garden and open spaces at the neighbourhood level can be obtained in the TP schemes. Considering the large area and future population  of SUDA region, total 46 sq.km. of recreational spaces are proposed in DP 2035 as compared to 12 sq.km. proposed in DP 2004.</t>
  </si>
  <si>
    <t xml:space="preserve">Plan used: SUDA Development Plan 2035 (report dated 22 Feb 2017, plan horizon 2035, era n/a). It covers the whole SMC area (327.11 sq km of the 1351.53 sq km SUDA area, Table 137). I checked it against the source myself and it backs up the Step 2 answer. (1) Clear priorities with actions: YES. The plan sets several environmental priorities, each with actions. Under s.19.8.3.5 it will link gardens and open spaces through 'Green Streets', provide adequate parks and promote green development through GDCR. Under s.19.8.3.6 it will preserve water bodies and natural drains by discouraging development around them, and promote farming around water bodies. Under s.19.11.6, land around existing talavs (ponds) is zoned for gardens and recreation. Under s.19.8.3.10, polluting industries move out of residential areas through a 4.35 sq km Industrial Shift Zone (Table 154). Under s.19.9 the plan takes flood and cyclone risk into account. Section 16.4.4 (SC 7) also lists conservation of eco-sensitive areas, rainwater harvesting and green belts around industrial zones. Section 19.8.3.9 ('Protect and enhance environmental assets') is general wording only and was not counted. (2) Measurable targets: YES. Recreational space rises from 2 sq km (2015) to 39.48 sq km in the u/s 16 column or 45.97 sq km in the u/s 9 column by 2035, per Table 154 and Table 138. The text puts it as 46 sq km, against 12 sq km in DP 2004. Table 137 gives the SMC area's share as 16.90 sq km (up from 10.63 sq km in DP 2004). The water-body, flood and pollution priorities have no numbers attached. There are no targets for greenhouse gases, renewable energy or biodiversity. Proposed band: 5. Items for a person to check: (a) Whether a land-use area allocation counts as a 'measurable target/outcome indicator'. I treated it as a quantified target. (b) Whether a plan prepared by SUDA under the GTPUD Act 1976, not an SMC document, counts as Surat's 'municipal/city plan'. (c) The State Government sanction notification for DP 2035 (s.17 GTPUD Act) is not in the Citation Sheet. So it is not confirmed that the plan is in force or which recreational figure (39.48 or 45.97 sq km) is final. (d) The methodology mentions 'two components' but lists only one, and the max score for this sub-question is 5. I treated it as one component, so the band scale matches the max score. ULG-10 (Disaster Management Plan) and ULG-09 (NITI Aayog regional economic plan) are not the city plan and were not relied on.</t>
  </si>
  <si>
    <t xml:space="preserve">UPD19b</t>
  </si>
  <si>
    <t xml:space="preserve">Does the municipal/city plan include objectives on environment and heritage conservation? &gt;:&lt; b) Heritage Conservation</t>
  </si>
  <si>
    <t xml:space="preserve">ANSWER: The only city plan in the Citation Sheet is SUDA's Development Plan 2035 report (dated 22 Feb 2017). Its Chapter 14, 'Heritage and Conservation', lists heritage assets and sets out issues. In the passages I read, it gives no priorities with actions and no measurable targets or outcome indicators. That points towards the lowest band (0), but I cannot record a 0. The sources in the sheet do not prove the absence: I could not confirm the sanctioned plan, the regulations that come with it, or any heritage plan of Surat Municipal Corporation (SMC) itself. | EVIDENCE: (1) ULG-06, DP 2035 Ch.14 (pp.146-149 of the report; PDF pages 163-166). The intro says the chapter 'focuses on the need for identification of the heritage structures in the city and the strategies to be adopted for its preservation'. 14.1 lists tangible heritage: heritage buildings, heritage wards and streetscapes, riverine heritage, and Table 107, 'Buildings of national Importance', with 7 monuments. 14.1.3-14.1.4 cover religious structures and urban villages, including the Walled City. 14.2 covers intangible heritage and 14.3 built heritage definitions. 14.4 lists issues: lack of interest by the local government, the failed SMC heritage walk, lack of facilities at sites, lack of public awareness, and the absence of planning rules around heritage sites, with encroachment at Gopi Talav and Mirza Sami's tomb. Chapter 14 ends at 14.4 and Chapter 15 (Environment) starts next. The strategies the intro promises do</t>
  </si>
  <si>
    <t xml:space="preserve">This chapter focuses on the need for identification of the heritage structures in the city and the strategies to be adopted for its preservation.</t>
  </si>
  <si>
    <t xml:space="preserve">Both inputs are left blank. The evidence points to Score 0, but absence is not confirmed, so this is 'not found' rather than a 0. I checked the Step 2 answer against the source and it holds. The only city-level plan in the Citation Sheet is SUDA's Development Plan 2035 report (dated 22 Feb 2017; the draft was published on 10 May 2016 under s.13 and submitted under s.16). In Chapter 14 the introduction promises 'strategies to be adopted for its preservation'. The chapter itself only lists heritage assets: building categories (14.1.1), heritage wards, streetscapes and riverine heritage (14.1.2), 7 monuments of national importance (Table 107), religious structures, urban villages and the Walled City (14.1.3–14.1.4), intangible heritage (14.2) and built heritage definitions (14.3). It then lists issues (14.4.1–14.4.5): lack of local government interest, the failed SMC heritage walk, no facilities at sites, low public awareness, and no area planning rules around heritage sites (encroachment at Gopi Talav and Mirza Sami's tomb). The chapter stops at 14.4. It sets out no priorities, no interventions or actions, and no targets. I also checked three other chapters. Ch.16: none of the 8 stakeholder sub-committees (SC-1 to SC-8) covers heritage, and the suggestions I read have nothing on heritage; SC-7 is about the environment. Ch.19: the objectives, vision and principles speak only generally of 'conservation' and protecting 'the best of existing character of Surat'. That is aspirational wording, not a priority with actions. Ch.21: the land-use reservations I saw are for recreation, eco-tourism and gardens, with no heritage zones. Other sources: ULG-05 (CGDCR 2017) is a set of state building rules. It says heritage areas are to be notified through a Heritage Conservation Plan that the Competent Authority will prepare, but nothing in the sheet shows a Surat plan was ever prepared. ULG-09 (NITI Aayog regional economic plan, 2024) proposes adaptive reuse of heritage but sets no targets, and it is not the municipal/city plan. ULG-03, ULG-07 and ULG-10 have no heritage plan content. Why I did not enter NO: (a) the tool shows only parts of the long DP 2035 document, so I cannot confirm the whole report has no heritage actions; (b) the sanctioned DP 2035, its notification and its GDCR, and any SMC heritage conservation plan, heritage list or Smart City heritage component are not in the sheet; (c) it is unresolved whether a SUDA Development Plan counts as the 'municipal/city plan' for SMC. A reviewer should: confirm which plan is the municipal/city plan; get the sanctioned DP 2035 and its GDCR; and check for any SMC heritage plan. If none has heritage priorities with actions, both inputs should be NO (Score 0).</t>
  </si>
  <si>
    <t xml:space="preserve">The citation didn't settle every input. "Clear priorities &amp; interventions identified" left blank: the Citation Sheet doesn't decide it. "Measurable targets / outcome indicators (counts only if priorities = YES)" left blank: the Citation Sheet doesn't decide it.</t>
  </si>
  <si>
    <t xml:space="preserve">UPD20a</t>
  </si>
  <si>
    <t xml:space="preserve">Does the municipal/city plan include objectives on social development (health care, education)? &gt;:&lt; a) Education</t>
  </si>
  <si>
    <t xml:space="preserve">ANSWER: Not determined. The plan in the Citation Sheet, SUDA's Development Plan 2035, has an education section, but it describes existing facilities. In the parts I could read, it sets no education priorities, interventions or measurable targets. A full set of education-specific proposals was not found. Two things are still open: whether DP 2035 or the NITI Aayog Economic Master Plan counts as 'the municipal/city plan' for Surat Municipal Corporation, and whether the unread pages of the DP education section contain proposals. Because of both, I have not scored this component. | EVIDENCE: (1) ULG-06, DP 2035 (SUDA, report dated 22 Feb 2017, prepared under the GTP&amp;UD Act 1976). Ch. 12, s.12.1 Education (pp.128-130 of the report) counts schools: 475 primary schools in the city by medium (2008 data from the Revised CDP 2008-13), schools by area, and anganwadis and primary schools in the 95 SUDA villages. It notes gaps, e.g. 'There are 10 villages (10.52%) with no primary schools at all', and that 55% of secondary and higher secondary schools are private. Ch.17.2.7 does the same for the 100 newly added villages: 101 schools, and 5 villages with no school. The chapter says it 'focuses on identifying the gaps', but no education strategies, norms or targets appeared in what I read. Unlike the solid waste section, which has a 'Strategies' heading, no such heading was found for education. Under s.19.11.5 / Table 154 the plan designates land: Educational Zone 5.57 sq.km (u/s 16), plus g</t>
  </si>
  <si>
    <t xml:space="preserve">In the SUDA region within 95 villages, there are about 65 Anganwadis and in total there are 108 schools. There are 10 villages (10.52%) with no primary schools at all remaining 85 (89.48%) villages have at least one primary school.</t>
  </si>
  <si>
    <t xml:space="preserve">Both inputs are left blank for a person to score. I checked the Step 2 answer against the source and went further than Step 2 did. (1) I read the whole of DP 2035 s.12.1 Education, pp.128-130 of the report, including the pages Step 2 could not reach. The section ends with Table 100 (Colleges in SUDA) and goes straight into s.12.2 Health. It only describes what exists: schools by medium and area, 2008 data from the Revised CDP 2008-13; anganwadis and primary schools in the 95 villages; teachers; high schools; colleges. It notes gaps (10 villages with no primary school; 55% of secondary schools are private). It has no education priorities, interventions, norms or targets, and no 'Strategies' or 'Future Requirements' heading like the one in the solid waste section (11.5.3.6-7). s.17.2.7 is also descriptive only (101 schools; 5 villages with no school). In Ch.19 the plan lists 'Institutional/ Educational' as a zone. It sets aside land for it: Educational Zone 5.57 sq.km under s.16 / 6.10 sq.km under s.9 (Tables 137, 138, 154). It also restates the general public-purpose reservation power in s.12(2)(a) of the GTP&amp;UD Act (schools, colleges). That is land allocation, not an education-service priority with interventions. On what I read, DP 2035 would point to 0 for the Education component (general mentions only). (2) I still cannot score 0, because affirmative absence is not met. (a) It is not settled which plan is 'the municipal/city plan' for Surat Municipal Corporation. DP 2035 is a SUDA development plan made under the GTP&amp;UD Act 1976, not an SMC plan. No SMC-prepared plan (e.g. a CDP) and no finally sanctioned DP 2035 notification is in the Citation Sheet. ULG-09, the NITI Aayog Economic Master Plan (Sept 2024), does set education interventions (Edu-city, PPP schools, ITI curriculum revision), but it is a regional economic plan by a central body. (b) The descriptive text for the Educational zone in s.19.11 and the full list of school reservations in Table 156 did not come up in full in my reads. CONFIRM: which plan counts for this question. If DP 2035 alone counts, a reviewer can likely enter 'NO', which scores 0. If the EMP counts, its priorities may support 'YES', but its measurable education targets would need to be checked. The data in DP 2035 is old (2008-2014), and the report is dated 22-02-2017.</t>
  </si>
  <si>
    <t xml:space="preserve">UPD20b</t>
  </si>
  <si>
    <t xml:space="preserve">Does the municipal/city plan include objectives on social development (health care, education)? &gt;:&lt; b) Healthcare</t>
  </si>
  <si>
    <t xml:space="preserve">ANSWER: No score can be given. The plan in the Citation Sheet that is closest to a city plan is SUDA's Development Plan 2035, a February 2017 report prepared by the Surat Urban Development Authority, not by Surat Municipal Corporation (SMC). In the parts I read, its health chapter only describes existing facilities. It does not set health priorities with interventions, and it gives no health targets or outcome indicators. I could not finish reading the plan's list of land reservations (Table 156), and two other documents raise questions about which plan counts. So I cannot confirm that healthcare is absent (score 0), and I cannot credit it either. | EVIDENCE: (1) ULG-06, SUDA Development Plan 2035, Chapter 12.2 Health (pp.130-133 of the report, PDF pages 147-150). It describes the situation using 2006-07 and 2009 data: SMIMER has 750 beds, there are 305 facilities registered with SMC, 36 Urban Health Centres, and 2,048 clinics and dispensaries. It says the 'ever-increasing population... is expected to put pressures on the existing health facilities', and that floods spread diseases like malaria, filaria and dengue, with 'A separate department is created by SMC to look after impacts by Vector borne diseases.' It counts hospitals by village and taluka (Tables 103-104 and 127) and says 'Palsana taluka has only 1 major hospital among 14 villages which is well below required standards'. In the parts read, no health strategy, intervention or target follows. The solid waste chapter,</t>
  </si>
  <si>
    <t xml:space="preserve">The ev er‐increasing population in the city is expected to put pressures on the existing health facilities. By the year 2009, around 305 medical facilities are registered with the SMC, of these as many as 92.59 percent hospitals are run by private organizations.</t>
  </si>
  <si>
    <t xml:space="preserve">Both inputs are left blank. No score is proposed; this needs a person to decide.
(1) Which plan counts is unresolved. The only plan in the Citation Sheet close to a city plan is ULG-06, SUDA's Development Plan 2035. It is a land-use plan made under the Gujarat Town Planning and Urban Development Act, 1976. It was prepared by the Surat Urban Development Authority, not by SMC, and covers SMC plus the SUDA villages. Whether it counts as 'the municipal/city plan' needs confirming. The sheet has no plan of SMC's own, such as a City Development Plan or a city health plan.
(2) I checked the Step 2 answer against the source. Chapter 12.2 Health only describes existing facilities, using 2006-07, 2009 and 2014 data (Tables 101-104). It has no health strategies, interventions or targets. Compare the solid waste chapter, which has 'Strategies' and 'Future Requirements' sections. This time I read more of Table 156 (List of reservations) than Step 2 did. I found one health reservation: row 151, P-106 'Hospital', agency S.U.D.A., Damka, 1,58,099 sq.m. Several runs of rows (about 8-76 and 100-144) were cut off in the text I could see, so there may be other health reservations, such as dispensaries or health centres for SMC. One hospital site is a single land-reservation action. It does not meet the rubric's 'two or more clear priorities and associated interventions'. It also gives no health target or outcome indicator. Because I did not read the whole table, I cannot claim absence. A 0 needs affirmative absence, so I left the inputs blank rather than entering NO.
(3) ULG-10, SMC's Disaster Management and Preparedness Plan (undated), has action plans for water-borne disease (ch.6), vector-borne disease (ch.7) and heatwaves (ch.8). It is an emergency plan, not the municipal/city plan, and Step 2 saw no targets in it. ULG-09, the NITI Aayog Economic Master Plan (September 2024), sets numeric bed targets and proposes hospitals. However, it is a Government of India regional plan covering six districts, not this city government's plan. I did not use either for the inputs.
Period: the Development Plan 2035 report is dated 22 February 2017 and covers 2015-2035. Its health data is from 2006-2014, and the sheet does not show whether the plan was finally sanctioned.
To check: (a) which document is the municipal/city plan; (b) the rows of Table 156 I could not read, for further health reservations; (c) whether ULG-10's disease action plans should count.</t>
  </si>
  <si>
    <t xml:space="preserve">UPD20c</t>
  </si>
  <si>
    <t xml:space="preserve">Does the municipal/city plan include objectives on social development (health care, education)? &gt;:&lt; c) Affordable housing</t>
  </si>
  <si>
    <t xml:space="preserve">ANSWER: Not settled, so no score is proposed. The only city-level plan in the Citation Sheet is Development Plan 2035. Surat Urban Development Authority (SUDA), the development authority, prepared it, not the city government. Its affordable-housing content is mostly diagnosis. It contains few real interventions, and none of them has a target measured specifically for affordable housing. Against the five listed components: (1) Assessment of need: the plan projects total housing need of 22,98,967 units by 2035 (21,29,589 of them in the Surat Municipal Corporation (SMC) area). This is a total figure and is not split out for affordable, EWS or LIG housing. (2) Slums for rehabilitation: it records 399 slum pockets from the 2013-14 RAY survey and describes past SMC programmes. It sets no number or percentage of slums to be rehabilitated or upgraded. (3) Land parcels: it proposes about 8.58 sq.km reserved 'for the purpose of developing these lands for housing' by SMC, SUDA, GHB, PWD and others. It does not say this land is for affordable housing. It also proposes allowing affordable housing projects under Government guidelines 'in any of the urbanized land use'. (4) Affordable housing as a share of housing stock: it gives a past figure only (public sector has supplied about 8-9% of housing) and no target. (5) Access to livelihoods, transport and services: this appears only as general aims and stakeholder suggestions (e.g. workers' housing near industry). Read generously, the plan ma</t>
  </si>
  <si>
    <t xml:space="preserve">The Government of Gujarat has issue d guidelines for construction of affordable housing within the development authority area. It is proposed to allo w the affordable housing project as per the Government guidelines in any of the urbanized land use. The beneficiaries shall be as per the guidelines of the Government.</t>
  </si>
  <si>
    <t xml:space="preserve">Both inputs are left blank. A person needs to score this, because the Citation Sheet supports neither YES nor a 0.
**What I checked.** I re-read the Step 2 evidence in ULG-06 (Development Plan 2035, SUDA, report dated 22 Feb 2017). I read Chapter 9 Housing and the Chapter 19 land-use proposals, and searched the whole Citation Sheet for affordable housing and Residential Affordable Housing (RAH) zone content.
**What the plan contains on affordable housing:**
- **Need:** a total housing requirement of 24,51,778 units for 2035 in Table 58. There is no EWS/LIG/affordable split.
- **Slums:** the 399 slum pockets from the 2013-14 Rajiv Awas Yojana (RAY) survey, plus a description of past Surat Municipal Corporation (SMC) programmes (LIG, EWS, VAMBAY, BSUP, RAY, Mukhyamantri Gruh Yojana) and their past targets and achievements. These are history, not plan targets. There is no number or percentage of slums to be rehabilitated.
- **Issue identified:** s.9.9.3 'Lack of access to land for affordable housing'. Under s.9.9.4, government is to act as a regulatory authority giving private agencies access to land.
- **Interventions, p.191:**
  - (a) About 8.58 sq.km reserved for SMC, SUDA, GHB, PWD and others 'for the purpose of developing these lands for housing'. This is housing; the text never says it is affordable housing.
  - (b) Affordable housing projects are allowed in any urbanised land use under Government of Gujarat guidelines.
- **Missing:** no share-of-stock target, no affordable-specific unit target, and no livelihood or transport linkage beyond diagnosis.
**Why priorities is blank, not YES.** YES needs at least two clear affordable-housing priorities, each with an intervention. Only (b) is explicitly affordable. Whether (a) counts as affordable housing land parcels cannot be decided, because the reservation list annexure is not in the Sheet (it is shown as removed).
**Why priorities is blank, not NO.** A NO would need affirmative absence. The document text in the Sheet is reduced to excerpts and the reservation list is missing, so absence cannot be shown.
**Targets.** This input counts only if priorities is YES, so it is also left blank. If a scorer sets priorities to YES, targets would likely be NO: I found no affordable-specific measurable target, and the 8.58 sq.km figure is for housing in general. That would give 1.67.
**Other sources checked:**
- ULG-05 (CGDCR 2017) contains the RAH zone and affordable-housing FSI rules. These are state regulations, not plan priorities.
- ULG-09 (NITI Aayog Economic Master Plan) is a regional plan and only aspirational on housing.
- ULG-07 and ULG-10 contain nothing on affordable housing.
**For the reviewer to confirm:**
1. Whether a SUDA Development Plan counts as the 'municipal/city plan' for SMC. The Sheet contains no SMC plan of its own (no city development plan, slum-free city plan of action, or PMAY housing-for-all plan of action).
2. Whether the 8.58 sq.km reservation is for EWS/LIG/affordable housing (needs the reservation list).
3. Whether this 2017 report is the sanctioned DP 2035 text. No sanction notification is in the Sheet.</t>
  </si>
  <si>
    <t xml:space="preserve">UPD21</t>
  </si>
  <si>
    <t xml:space="preserve">Does the municipal/city plan include objectives for women?</t>
  </si>
  <si>
    <t xml:space="preserve">ANSWER: Not determined. The Development Plan 2035 report (SUDA, 22 February 2017) is the only city-level plan in the Citation Sheet. In the parts I read, it mentions women only in general terms. It gives female sex-ratio, literacy and workforce figures, and it repeats a state objective of 'Empowerment of the youth and women'. I found no women-specific priority, intervention, target or outcome indicator in it. Under the methodology, general references like these would not earn credit, so the evidence points toward the 0 band. I cannot give a 0 because absence is not confirmed: I searched the plan, but the tools return excerpts, so I have not read it end to end. It is also unclear whether this report is the final sanctioned plan, and Surat Municipal Corporation's own city plans are not in the Citation Sheet. One other document does have women-specific measures: the NITI Aayog Economic Master Plan (September 2024). Its proposed Textile and Gems &amp; Jewellery MSME cluster at Talangpore includes a 'Workers' Hostel (Specially for women workers)', 'Rental housing for workers, particularly women' and a 'Creche for children'. That plan is a Government of India regional economic plan, not the municipal/city plan, and it sets no measurable targets. | EVIDENCE: (1) ULG-06, Development Plan 2035 report (SUDA, February 2017): pp.44-45 (printed) report the sex ratio (803 females per 1000 males in 2011). Section 6.7 (p.48) says 'Surat is a male dominant city' and puts female main workers at 9.</t>
  </si>
  <si>
    <t xml:space="preserve">To create an environment where safety and security of the population shall  be of utmost importance</t>
  </si>
  <si>
    <t xml:space="preserve">Both inputs are blank, so no score is given. The evidence points toward the 0 band, but I cannot show that women's objectives are absent from every relevant plan.
What I checked in ULG-06 (Development Plan 2035 report, SUDA, February 2017; plan period to 2035):
- Vision (19.8.1), aim (19.8.2) and principles (19.8.3.1-19.8.3.10). All are gender-neutral.
- 19.8.3.7 (safety and security) is aimed at 'the population' in general and has no women-specific action.
- The parks and open spaces, physical infrastructure, solid waste, social infrastructure and zoning proposals I read have no women-specific priority, intervention or target.
- Step 2 says the only mentions of women are sex-ratio and workforce figures and a repeat of the state objective 'Empowerment of the youth and women' (Section 13). Under the methodology, references like these are general or aspirational and earn no credit.
- My own read of ULG-06 and a search of the whole Citation Sheet ('women safety gender action plan') found no women-specific priority in any city plan.
Why NO (which would score 0) is not entered:
- The tools return excerpts, so ULG-06 was not read end to end.
- The sanctioned or gazetted Development Plan 2035 is not in the Citation Sheet. It is also unclear whether this 2017 report matches the sanctioned plan.
- Surat Municipal Corporation's own plans (City Development Plan, Comprehensive Mobility Plan, Smart City proposal, any gender or women's safety plan) are not in the Citation Sheet.
- The Development Plan is prepared by SUDA under the Gujarat Town Planning and Urban Development Act, 1976, not by the city government. Which document counts as 'the municipal/city plan' for Surat Municipal Corporation needs confirmation.
Other sources:
- ULG-09 (NITI Aayog Economic Master Plan, September 2024; horizon 2047). Its proposed MSME cluster includes a hostel for women workers, rental housing 'particularly women' and a crèche (pp.69 and 170 printed). There are no targets or indicators, and the plan covers a multi-district region. It is not the municipal/city plan, so it is not credited. If a reviewer decides to count it, it would at most support priorities = YES and targets = NO (the 5 band). That would be a stretch.
- ULG-07 (Parking Policy) and ULG-10 (Disaster Management Plan) are sector plans with no women-related content found.
The second input (targets) only counts if priorities = YES, so it stays blank too.
A reviewer should obtain: the sanctioned Development Plan 2035 and its notification, and Surat Municipal Corporation's own city plans or any gender plan.</t>
  </si>
  <si>
    <t xml:space="preserve">UPD22</t>
  </si>
  <si>
    <t xml:space="preserve">Is there a common digital base municipal/city plan Map shared among Planning Authorities, and data updated through GIS with fixed periodicity by the relevent sectoral agencies (transport, network infrastructure, land use changes)</t>
  </si>
  <si>
    <t xml:space="preserve">Step 2 found no evidence: a source needs to be found and added. Step 2 found no evidence (Insufficient Evidence). Source needed: Needed: the official website or data portal of Gujarat's state spatial data or remote-sensing centre (or the state geoportal), showing (1) a common base map open to all state agencies and parastatals, and (2) a catalogue of downloadable shapefile or KML layers for land use, transport networks (roads, rail, metro) and administrative boundaries (ward, corporation, metropolitan), with the date of the last update. A dated SMC or SUDA notice or page showing that GIS layers are shared with sectoral agencies and updated on a fixed schedule would add context but would not replace the state-centre evidence.</t>
  </si>
  <si>
    <t xml:space="preserve">UPD23a</t>
  </si>
  <si>
    <t xml:space="preserve">Does the city have a Water Supply and Sewerage Plan, City Sanitation Plan, and Solid Waste Management Plan  that clearly articulates development priorities, measurable objectives, and the roles and responsibilities of the ULG? &gt;:&lt; Does the city have a notified and active Plan?</t>
  </si>
  <si>
    <t xml:space="preserve">Step 2 found no evidence: a source needs to be found and added. Step 2 found no evidence (Insufficient Evidence). Source needed: Two things would answer this. First, the Gujarat UD&amp;UHD gazette notification sanctioning SUDA's Development Plan 2035 under the GTPUD Act 1976 and setting the date it came into force. Second, a current SUDA or SMC webpage showing the sanctioned DP and that it is in force. If the question is meant to cover a sectoral plan, the answer would instead need that plan as currently approved and notified (e.g. a current Comprehensive Mobility Plan or City Sanitation Plan), with its approval record.</t>
  </si>
  <si>
    <t xml:space="preserve">UPD23b</t>
  </si>
  <si>
    <t xml:space="preserve">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t>
  </si>
  <si>
    <t xml:space="preserve">ANSWER: I cannot settle this from the Citation Sheet. There is no Surat sectoral plan in the sheet, such as a City Sanitation Plan, water supply plan or SWM plan. The examples in the methodology point to that kind of plan, and UPD23a asks for a 'notified and active Plan'. The only city-level plan in the sheet is SUDA's Draft Development Plan 2035 (report dated 22 Feb 2017). It is prepared and submitted by Surat Urban Development Authority (SUDA), not by Surat Municipal Corporation (SMC). The State Government approves it under the Gujarat Town Planning and Urban Development Act, 1976 (GTPUD Act). On its contents, DP 2035 does name sector priorities and interventions and sets several measurable targets. But nothing in the sheet shows it was finally sanctioned and is in force, and it may not be 'the plan' this question means. So the question stays open. | EVIDENCE: (1) ULG-06, DP 2035, Ch.8 lists proposals by sector: land use, traffic and transport, water resources and drainage, environment, solid waste management (SWM), social infrastructure, zoning, utilities, economic plan. (2) Sewerage, s.20.1.2, Tables 143-145, p.210-211 of the report: priority to sewer the 43 sq.km of urban area with no sewerage; 'The total area to be covered with sewerage by 2025 comes out to be 206 sq.km.' A further 163 sq.km is to be covered by 2035, in phases, with costs. (3) SWM, Table 146-148, p.211-212: projected waste of 3420 TPD (2025) and 4325 TPD (2035), split dry/wet, with segregation at source</t>
  </si>
  <si>
    <t xml:space="preserve">SMC has prepared a master plan for comprehensive sewerage system (more than 1500 km of sewers and 10 sewage treatment works)</t>
  </si>
  <si>
    <t xml:space="preserve">All three inputs are left blank: the plans were not found in the Citation Sheet, which does not prove they don't exist.
What the question needs: a Surat water supply and sewerage plan, a solid waste management (SWM) plan and a City Sanitation Plan. Each should set out development priorities and measurable targets.
What the sheet has: none of these three plans. I checked the Step 2 work and searched the whole sheet for 'city sanitation plan solid waste management plan water supply master plan SMC'. The only hits were in ULG-06, which is SUDA's draft Development Plan 2035 (report dated 22 Feb 2017).
Why ULG-06 is not used to score:
- It is a land-use development plan prepared by the Surat Urban Development Authority (SUDA) under the Gujarat Town Planning and Urban Development Act, 1976 (GTPUD Act). It is not a sectoral plan of Surat Municipal Corporation (SMC).
- It is a draft submitted for State approval under s.16. The sheet has no sanction notification.
- It does have sector chapters with figures, for example: sewer coverage of 206 sq.km by 2025 and another 163 sq.km by 2035 (Tables 144-145); SWM projections of 3420 TPD (2025) and 4325 TPD (2035) with segregation at source (Table 146); and 100% water coverage in SMC area 'By 2015', a target that has already passed. But these are mostly demand and cost projections inside a development plan, not the sector plans the question asks about.
- ULG-06 s.11.4.10 says SMC has prepared a separate master plan for a comprehensive sewerage system (horizon 2026). That shows a sectoral sewerage plan exists, but it is not in the Citation Sheet, so its priorities and targets cannot be checked.
Other sources checked: ULG-07 (Parking Policy), ULG-09 (NITI Aayog Economic Master Plan 2047), ULG-10 (SMC Disaster Management Plan), ULG-11 (SUDA DP workshop presentation). None is a water and sewerage, SWM or sanitation plan. ULG-01 to ULG-05 and ULG-13 are laws and regulations, not plans.
NO would score 0, and NO needs proof that the plans are absent. This is an implementation question, and these plans would sit on SMC or state portals outside the sheet. So 'not found' cannot be scored as NO.
For the reviewer to get or check:
1. SMC's sewerage master plan (mentioned in ULG-06 s.11.4.10) and any water supply master plan.
2. SMC's SWM plan (e.g. under the SWM Rules 2016 / Swachh Bharat Mission (SBM)).
3. A Surat City Sanitation Plan.
4. Whether DP 2035 was finally sanctioned, and whether a SUDA plan should count for SMC.</t>
  </si>
  <si>
    <t xml:space="preserve">The citation didn't settle every input. "UPD23b1: Water Supply &amp; Sewerage Plan" left blank: the Citation Sheet doesn't decide it. "UPD23b2: Solid Waste Management Plan" left blank: the Citation Sheet doesn't decide it. "UPD23b3: City Sanitation Plan" left blank: the Citation Sheet doesn't decide it.</t>
  </si>
  <si>
    <t xml:space="preserve">UPD23c</t>
  </si>
  <si>
    <t xml:space="preserve">Does the city have a Water Supply and Sewerage Plan, City Sanitation Plan, and Solid Waste Management Plan  that clearly articulates development priorities, measurable objectives, and the roles and responsibilities of the ULG? &gt;:&lt; Does the plan clearly articulate the role of the ULG?</t>
  </si>
  <si>
    <t xml:space="preserve">ANSWER: Not determined. The only plan in the Citation Sheet that covers the Surat Municipal Corporation (SMC) area is SUDA's Draft Development Plan 2035 report (22 Feb 2017). Surat Urban Development Authority (SUDA), not SMC, prepared it. It gives SMC some identifiable tasks, but they are scattered. Most use discretionary or advisory wording ('can', 'should'). Only one uses 'shall' (monitoring and coordination of water bodies). In the passages I read there is no consolidated implementation framework or responsibility matrix for SMC. The plan's financing and phasing chapter names 'the authority' (SUDA) as the main implementer. Two things are also unresolved: whether this draft is the notified, active plan, and which plan UPD23 is meant to assess. | EVIDENCE: ULG-06 Draft DP 2035 report, p.19 (report page 2): the plan was prepared under the Gujarat Town Planning and Urban Development Act 1976 and 'is being submitted to State Government under section 9 and is to be published under section 13'. That makes it a draft. Tasks it names for SMC: (1) Ch.15 environment strategies, p.179 (report page 162): 'The corporation shall initiate a dialogue between various agencies including GPCB, to collect and maintain data on important parameters of water bodies'. This is a mandatory monitoring and coordination role. (2) Ch.19, report page 201: new Tapi bridges from the Comprehensive Mobility Plan 'can be undertaken by SMC as and when the need arises'. This is discretionary infrastructure. (3)</t>
  </si>
  <si>
    <t xml:space="preserve">SMC has prepared Master Planning to meet the future demand and envisaged the demand of more than 2300 MLD in 2041 Accordingly various water supply schemes ar e being executed.</t>
  </si>
  <si>
    <t xml:space="preserve">All three inputs are left blank because the evidence was not found. That is not the same as finding the plans absent. UPD23c asks whether each sectoral plan (Water Supply &amp; Sewerage Plan, Solid Waste Management Plan, City Sanitation Plan) clearly gives the ULG (SMC) a defined role. None of these three plans is in the Citation Sheet (ULG-01 to ULG-13). I searched the sheet for 'City Sanitation Plan', 'solid waste management plan', 'water supply sewerage master plan' and 'sewerage master plan sanitation plan'. The only hits were in ULG-06 (SUDA Draft Development Plan 2035, 22 Feb 2017) and ULG-09 (NITI Aayog Economic Master Plan 2024). Neither is one of the sectoral plans being assessed. ULG-06 is a statutory development plan prepared by SUDA, not SMC, so its scattered SMC tasks cannot stand in for the sectoral plans. Those tasks include the 'shall initiate a dialogue' water-body monitoring role, MSW rules responsibility described as a general role, and SWM strategies with no named agency. The Step 2 answer judged roles within ULG-06. That is useful context, but it scores the wrong plan for this sub-question. ULG-06 also shows that at least one sectoral plan exists in practice: it cites 'Water Supply Master Plan 2041, SMC' as the source of tables 69-76 and says 'SMC has prepared Master Planning'. That plan's text is not in the sheet, so whether it assigns SMC roles cannot be checked. A 'NO' would need affirmative absence, meaning each plan was in the sheet and read, and nothing was found. That condition is not met. Evidence still needed: (1) SMC Water Supply Master Plan 2041 and any sewerage master plan or DPR; (2) SMC City Sanitation Plan (e.g., under NUSP, AMRUT or SBM); (3) SMC Solid Waste Management Plan or Action Plan under the SWM Rules 2016. Ideally each should come from suratmunicipal.gov.in or a gov.in source, and each should be checked for SMC roles in delivery, infrastructure, financing, O&amp;M or monitoring. A person should score this once those plans are added to the Citation Sheet.</t>
  </si>
  <si>
    <t xml:space="preserve">The citation didn't settle every input. "UPD23c1: Water Supply &amp; Sewerage Plan" left blank: the Citation Sheet doesn't decide it. "UPD23c2: Solid Waste Management Plan" left blank: the Citation Sheet doesn't decide it. "UPD23c3: City Sanitation Plan" left blank: the Citation Sheet doesn't decide it.</t>
  </si>
  <si>
    <t xml:space="preserve">UPD24a</t>
  </si>
  <si>
    <t xml:space="preserve">Does your city have a Sustainability/ Resilience Strategy/Climate Action Plan that clearly articulates development priorities, measurable objectives, and the roles and responsibilities of the ULG? &gt;:&lt; Does the city have a notified and active Sustainability/Resilience Strategy?</t>
  </si>
  <si>
    <t xml:space="preserve">ANSWER: Yes. Surat has a current, active plan that the methodology allows: the Surat Municipal Corporation (SMC) Disaster Management and Preparedness Plan (DMP). It is the city government's own final publication, not a draft and not a consultant, academic or NGO report. The Municipal Commissioner is named as publisher, and the preface is signed by both the Municipal Commissioner and the Mayor. SMC has published it since 2002 and updates it every year. The current edition covers rainfall data up to 2025 and lists office bearers as on 28/05/26. The methodology says a Disaster Management Plan 'may also be considered as evidence', and the DMP covers floods, cyclones, heatwaves and disease outbreaks, and refers to climate change. The Citation Sheet holds no separate Climate Action Plan, City Resilience Strategy or Sustainability Strategy for Surat. | EVIDENCE: ULG-10 (SMC DMP), page 2: 'Publisher: M. Nagarajan IAS, Municipal Commissioner', Surat Municipal Corporation. Page 3 (preface): 'Surat Municipal Corporation is publishing the Disaster Management &amp; Preparedness Plan since 2002 ... The DMP is updated with latest information every year'. It covers activities 'before, during and after the disaster', and zone- and ward-level plans are also prepared. The preface is signed by the Commissioner and Mayor Mayaben Dharmendrabhai Mavani. Contents include a pre-monsoon contingency plan (ch.5), an extreme heat/heatwave plan (ch.8), standing instructions to departments and zones (ch.10-11)</t>
  </si>
  <si>
    <t xml:space="preserve">Step 2 found no evidence: a source needs to be found and added. Step 2 found no evidence (Human Verification Required).</t>
  </si>
  <si>
    <t xml:space="preserve">UPD24b</t>
  </si>
  <si>
    <t xml:space="preserve">Does your city have a Sustainability/ Resilience Strategy/Climate Action Plan that clearly articulates development priorities, measurable objectives, and the roles and responsibilities of the ULG? &gt;:&lt; Does the plan have development priorities and measurable objectives?</t>
  </si>
  <si>
    <t xml:space="preserve">ANSWER: Not determined. Two things could not be settled. First, this is the only city-level climate, resilience or disaster plan in the Citation Sheet: SMC's Disaster Management and Preparedness Plan (2026 edition). It does name priority hazards, each with its own chapter: river and creek flooding (including the pre-monsoon contingency plan), water-borne disease, vector-borne disease, and extreme heat. Some chapters set measurable operational requirements, such as dated deadlines, minimum stock levels and surveillance rates. Second, it sets no outcome objectives or targets. There is nothing like a cut in flood or heat exposure, a green-cover target, an emissions target or a water-security target. The heat chapter is advisory (Do's and Don'ts) and has no targets. Whether dated preparedness tasks count as 'measurable objectives or targets against those priorities' is a judgement for the methodology team, so no score is proposed. | EVIDENCE: ULG-10 (SMC DMP) contents list, p.5: chapters 5 'Pre-monsoon contingency plan', 6 'Action plan for prevention of water-borne and water related diseases', 7 'Action plan for prevention of Vector-borne diseases', 8 'Extreme Heat / Heatwave / sun stroke', 12 'Flood in creeks', 13 'Tapi River Flood protection scheme'. Ch.5, pp.22-23 (plan pp.16-17): 'Necessary stock should be provided to all Zonal office / fire stations etc by 15th June 2026'; 'excavation work ... should be completed and should be made safe by 20th May 2026'; control rooms 'shou</t>
  </si>
  <si>
    <t xml:space="preserve">Disaster Management and Preparedness Plan, Surat Municipal Corporation [ULG-10]</t>
  </si>
  <si>
    <t xml:space="preserve">https://www.suratmunicipal.gov.in/Content/Documents/Downloads/DMP_English.pdf</t>
  </si>
  <si>
    <t xml:space="preserve">All zones / departments should keep a ready stock of minimum 2000 bags of sand.</t>
  </si>
  <si>
    <t xml:space="preserve">I scored YES, but this is a judgement call and a person should confirm it. The only city-level plan of this kind in the Citation Sheet is SMC's Disaster Management and Preparedness Plan (ULG-10, 2026 edition). The methodology names 'disaster management plan' as a qualifying plan type.
(1) Two or more clear priorities: met. The plan gives each priority hazard its own chapter: Ch.5 pre-monsoon contingency (flooding), Ch.6 water-borne disease, Ch.7 vector-borne disease, Ch.8 extreme heat, Ch.12 creek floods and Ch.13 the Tapi River flood protection scheme.
(2) Measurable objectives or targets against those priorities: met if quantitative operational targets count.
- Flood (Ch.5): 'minimum 2000 bags of sand' in every zone or department; excavation for water and drainage pipelines 'completed and ... made safe by 20th May 2026'; flood gates serviced and certified 'by 15th May'; survey of dilapidated buildings 'by 20th May 2026'; control rooms 'started from 1st June or first rain whichever is earlier'.
- Vector-borne disease (Ch.7, per the Step 2 extract): surveillance slide-collection rates of 1.5% and 2%; fortnightly survey of 10,000 people; fogging around 50 houses of each positive case.
- These are specific and measurable, not the 'general statement of intent' that the methodology excludes. The methodology allows 'quantitative or qualitative indicators, as appropriate', and its examples begin with 'may include', so the list is not exhaustive.
Why a reviewer might score NO instead:
- These are annual operational or preparedness inputs, not resilience outcome targets. There is no target for reduced flood or heat exposure, green cover, emissions or water security.
- The heat chapter (Ch.8) is advisory Do's and Don'ts with no figures.
- If the methodology team reads 'measurable objectives' as outcome targets only, this should become NO.
- I did not find outcome targets in ULG-10, so a NO would rest on the outcome reading, not on missing evidence.
Other sources:
- ULG-09 (NITI Aayog Economic Master Plan, September 2024) mentions 'targeting 100% treated wastewater (TWW) by 2035'. That is a regional recommendation in a Government of India economic plan, not a plan adopted by the city government, so I did not use it.
- No Surat Climate Action Plan, Resilience Strategy, Heat Action Plan or Sustainability Strategy is in the Citation Sheet. My search for climate, heat, resilience, net-zero and green-cover targets returned only ULG-09.
Things to check:
- UPD24a (whether the plan was formally adopted). The DMP has a preface signed by the Commissioner and the Mayor, but the Citation Sheet has no council resolution adopting it.
- I took the Ch.7 surveillance figures from the Step 2 extract; my own reading surfaced the 50-house fogging figure.</t>
  </si>
  <si>
    <t xml:space="preserve">UPD24c</t>
  </si>
  <si>
    <t xml:space="preserve">Does your city have a Sustainability/ Resilience Strategy/Climate Action Plan that clearly articulates development priorities, measurable objectives, and the roles and responsibilities of the ULG? &gt;:&lt; Does the plan clearly articulate the role of the ULG?</t>
  </si>
  <si>
    <t xml:space="preserve">ANSWER: Partly. SUDA's Development Plan 2035 report (dated 22 February 2017) gives Surat Municipal Corporation (SMC), the city government, several specific jobs in carrying out the plan. However, these are scattered across the report and mostly come from the plan's tables. There is no section that clearly sets out SMC's role in preparing or implementing the plan. The plan itself is prepared by SUDA under the Gujarat Town Planning and Urban Development Act, 1976, and is sent to the State Government for sanction. Whether this scattered treatment meets the test of 'clearly articulates' is a judgement call, and the only copy available is the draft submitted under section 16, so no score is proposed. | EVIDENCE: (1) ULG-06, DP 2035 report: (a) p.13: the plan was prepared by SUDA under the 1976 Act and Rules. Under the 2004 plan, 'SMC has prepared 129 TP schemes'. (b) p.26 (report page): 'now SMC is implementing these schemes', meaning the town planning (TP) schemes SUDA prepared that became part of SMC's area after the 2006 boundary extension. Table 11 shows the TP-scheme implementation status for SMC. (c) Section 21.3 / Table 156 (report p.225 onward): land reserved for public purposes is allocated to 'different acquiring bodies like SMC, SUDA, GHB...'. Many reservations name 'S.M.C.' as the agency, e.g. vegetable market, wholesale market, district centres and parking. Some reservations were 'added at the recommendation of Surat Municipal Corporation' after the draft was publishe</t>
  </si>
  <si>
    <t xml:space="preserve">Economic Master Plan to develop Surat city-region (Surat Economic Region) as a Growth-Hub by 2047 (NITI Aayog, September 2024) [ULG-09]</t>
  </si>
  <si>
    <t xml:space="preserve">https://www.niti.gov.in/sites/default/files/2024-12/Economic_Master_Plan_to_Develop_Surat_Economic_Region_as_a_Growth_Hub_by_2047_Dece.pdf</t>
  </si>
  <si>
    <t xml:space="preserve">57. Surat Climate Change Trust, "Resilient Surat," Surat Municipal Corporation, Surat, 2017.</t>
  </si>
  <si>
    <t xml:space="preserve">I left the input blank. None of Surat's actual sustainability, resilience or climate plans is in the Citation Sheet, so I cannot score YES. Finding a plan's text missing from the sheet is not the same as finding no role for the ULG in it, so I cannot score NO either.
Why I set aside the Step 2 answer: it scored the question from the SUDA Development Plan 2035 (ULG-06, draft dated 22 Feb 2017). That is a statutory land-use plan made under the Gujarat Town Planning and Urban Development Act, 1976. It is not a sustainability strategy, a resilience strategy or a climate action plan. The question asks whether that kind of plan sets out the ULG's role, so the Development Plan's scattered mentions of SMC do not answer it. Those mentions are SMC as the body acquiring reserved land, as the implementer of the town planning schemes, and the proposal that SMC hire an estate management consultant.
The actual plans exist but are not in the sheet. ULG-09 (NITI Aayog Economic Master Plan, 2024) lists them in its references: 'Resilient Surat' (Surat Climate Change Trust / SMC, 2017), the 'Surat Heat Wave Action Plan' (SMC/GSDMA, 2018) and the 'Surat Clean Air Action Plan' (2021). ULG-09 is a regional economic plan and does not itself set out SMC's role in any climate plan. Its p.126 text only recommends 'having plans &amp; institutions (such as energy efficiency cell, resilience strategy, heat action plan, etc.)' for the wider region.
I also checked ULG-10, SMC's Disaster Management and Preparedness Plan, published by SMC. It lists the 'specific roles and responsibilities of employees/officers in case of disaster', the SMC set-up and standing instructions to departments. But it is a plan for disaster response and preparedness, with no edition date visible. It is not a sustainability or resilience strategy or a climate action plan, so I did not use it as the plan here. A reviewer may decide otherwise. If the reviewer accepts the disaster plan as a resilience plan, its contents would likely support YES.
Other sources reviewed: ULG-01 to ULG-05, ULG-07, ULG-08 and ULG-11 to ULG-13. They are laws, rules, regulations, a parking policy, an organogram, a workshop presentation, a town planning scheme map and building regulations. None is a sustainability, resilience or climate plan.
Evidence still needed: the text of the Resilient Surat strategy (2017) and/or the Surat Heat Action Plan, or any current SMC Climate Action Plan, from an official SMC or gov.in source. Each should be checked for a section on SMC's role in preparing and implementing the plan.</t>
  </si>
  <si>
    <t xml:space="preserve">UPD25a</t>
  </si>
  <si>
    <t xml:space="preserve">Does your city have a Comprehensive Mobility Plan that clearly articulates development priorities, measurable objectives, and the roles and responsibilities of the ULG? &gt;:&lt; Does the city have a notified and active Comprehensive Mobility Plan?</t>
  </si>
  <si>
    <t xml:space="preserve">Step 2 found no evidence: a source needs to be found and added. Step 2 found no evidence (Insufficient Evidence). Source needed: Any of these would answer it: an SMC General Board or Standing Committee resolution adopting a CMP (2008 or the newer one); a Gujarat UD&amp;UHD or Transport Department order or notification approving the Surat CMP; UMTA/UMTC approval minutes; or the final CMP on SMC's official website with its approval details and date. Ideally the source would also show that the plan is still in force today.</t>
  </si>
  <si>
    <t xml:space="preserve">UPD25b</t>
  </si>
  <si>
    <t xml:space="preserve">Does your city have a Comprehensive Mobility Plan that clearly articulates development priorities, measurable objectives, and the roles and responsibilities of the ULG? &gt;:&lt; Does the plan have development priorities and measurable objectives?</t>
  </si>
  <si>
    <t xml:space="preserve">Step 2 found no evidence: a source needs to be found and added. Step 2 found no evidence (Insufficient Evidence). Source needed: The current Comprehensive Mobility Plan for Surat (the full report, ideally the latest version that replaced the 2008 CMP), along with proof that SMC, the Urban Development Department or a transport authority adopted it. We need its chapters on vision and goals, targets and indicators (e.g. mode share, road safety, emissions), and its implementation, phasing and cost estimates.</t>
  </si>
  <si>
    <t xml:space="preserve">UPD25c</t>
  </si>
  <si>
    <t xml:space="preserve">Does your city have a Comprehensive Mobility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</si>
  <si>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full text of Surat's current CMP (the 2008 CMP and any revised CMP), especially its institutional or implementation chapter: steering or technical committee membership, any city council resolution adopting it, which agency carries out and pays for each project, and how progress is monitored. Ideally also the city government's resolution or the state order approving it.</t>
  </si>
  <si>
    <t xml:space="preserve">UPD26a</t>
  </si>
  <si>
    <t xml:space="preserve">Does your city have an Economic Vision Plan that clearly articulates development priorities, measurable objectives, and the roles and responsibilities of the ULG? &gt;:&lt; Does the city have a notified and active Economic Vision Plan?</t>
  </si>
  <si>
    <t xml:space="preserve">ANSWER: Not determined. The Citation Sheet contains a final economic strategy that covers Surat: NITI Aayog's 'Economic Master Plan for Surat Economic Region' (September 2024), which runs to 2047. But no source in the sheet shows that it was formally adopted or approved by a competent authority. There is no Surat Municipal Corporation resolution, no Government of Gujarat order adopting the plan, and no evidence it was built into a statutory Development Plan. The plan also covers a 6-district region rather than the city alone, so it is unclear whether it counts as a 'city-level' strategy. | EVIDENCE: (1) ULG-09, NITI Aayog EMP, Sept 2024. p.1: 'Economic Master Plan for Surat Economic Region, September 2024'. p.3: 'as a Growth-Hub by 2047'. p.28: the region is 'Surat, Bharuch, Navsari, Tapi, Valsad &amp; Dang'. pp.27-28: the Government of Gujarat Order No. UDUHD/MSM/e-file/18/2023/8053/DH Section, dated 15.09.2023, set up a Steering Committee, a G-Hub Crack Unit and a Nodal officer for the initiative. This order set up the preparation process; it did not adopt the finished plan. p.2 Disclaimer: project costs, land and locations are 'based on initial analysis and stakeholder consultation', and implementing authorities 'will need to adhere to the standard procedures of feasibility studies'. Ch.10, pp.145-147: SREDA, the DMO and the PMU are described as proposals ('It is proposed', 'may be suggested'). The Chief Minister's message (p.i) is an image with no readable text, and a message</t>
  </si>
  <si>
    <t xml:space="preserve">The project cost, land area, and locations indicated have been determined based on initial analysis and stakeholder consultation. The respective implementing authorities will need to adhere to the standard procedures of feasibility studies while implementing the projects outlined in the report.</t>
  </si>
  <si>
    <t xml:space="preserve">I left the answer blank: the Citation Sheet does not let me decide YES or NO. (a) Why not YES: ULG-09, NITI Aayog's 'Economic Master Plan for Surat Economic Region' (September 2024, horizon 2047), is a final, published economic strategy, and it would be current if adopted. But the methodology also requires formal adoption by a competent authority: an SMC resolution, a Government Order, or integration into the statutory Development Plan. No source in the sheet shows this. The only GoG order cited is UDUHD Order dated 15.09.2023 (pp.27-28). That order set up the Steering Committee, the G-Hub Crack Unit and a Nodal officer to prepare the plan; it did not approve the finished plan. The plan's own text treats its key institutions as proposals: Ch.10 says SREDA is 'proposed' and that it 'may be suggested to establish three new institutes'. The Executive Summary says the three-tier framework 'has been proposed'. The Disclaimer says project details rest on 'initial analysis and stakeholder consultation'. The CM's message (p.i) is an image with no readable text, and a message is not an approval anyway. The plan also covers a 6-district region (Surat, Bharuch, Navsari, Tapi, Valsad, Dang, p.28), so it is a separate question whether it counts as a 'city-level' strategy. (b) Why not NO: a 0 needs affirmative absence. The sheet has no SMC General Board or Standing Committee resolutions, no UDUHD GO register, and no SMC/SUDA web page on economic planning, so I cannot confirm that no adoption exists. What I checked: ULG-09 (searched for approval, adoption, notification, launch and implementation wording); ULG-06 SUDA DP 2035 (Feb 2017; a land-use plan written before the EMP, so it cannot show the EMP was integrated into it); ULG-03 GPMC Act; ULG-01 GTPUD Act; ULG-04 GTPUD Rules; ULG-05 CGDCR 2017; ULG-07 Parking Policy; ULG-10 SMC DM Plan; and sheet-wide searches for an adoption or resolution. None of these contains or adopts a city economic vision or economic development plan. I agree with the Step 2 answer ('Not determined'). For the reviewer: (1) find any GoG resolution or order, or SMC resolution, adopting or approving the Sept 2024 EMP (RTI to the PIOs at UDUHD GoG and SMC), or any formal SREDA constitution notification; (2) decide whether a regional (6-district) EMP prepared by NITI Aayog counts as the city's economic strategy. If both are confirmed, the answer would be YES (3.33).</t>
  </si>
  <si>
    <t xml:space="preserve">UPD26b</t>
  </si>
  <si>
    <t xml:space="preserve">Does your city have an Economic Vision Plan that clearly articulates development priorities, measurable objectives, and the roles and responsibilities of the ULG? &gt;:&lt; Does the plan have development priorities and measurable objectives?</t>
  </si>
  <si>
    <t xml:space="preserve">ANSWER: Which plan counts is unresolved, so no score is proposed. On content, the NITI Aayog Economic Master Plan (EMP) for the Surat Economic Region (September 2024, horizon 2047) names several economic priorities and gives measurable targets for them. It names manufacturing, including diamonds/gems &amp; jewellery (G&amp;J), chemicals and textiles, plus services such as tourism, hospitality and trading. Its targets include about two million new manufacturing jobs by 2047, per capita GDP rising from about $4,600 to over $45,000 by 2047, a 20-fold growth of the economy to about $1.5 trillion, and projected sectoral GDP and extra jobs (Figure 11). That content would meet the 'at least two priorities with measurable targets' test. However, UPD26b scores 'the plan' that qualifies under UPD26a, and the Citation Sheet has no evidence that the EMP was formally adopted by the competent authority, such as a Government Order or a Surat Municipal Corporation (SMC) resolution. The EMP also covers a six-district region, not just the city. | EVIDENCE: ULG-09 (EMP, NITI Aayog, Sept 2024): Ch.3 'Vision and targets for SER', p.19 [PDF p.42]: 'there is an ambitious target to reach over approx. $45,000 by 2047'. Same page: manufacturing is 'estimated to contribute almost half of the GDP growth aspirations while adding about two million jobs by 2047'. Services growth is to be 'driven primarily by sectors such as tourism, hospitality and other services as well as SER's development as a trading hub'. p.1</t>
  </si>
  <si>
    <t xml:space="preserve">I answered YES based on what the Economic Master Plan (EMP) says. Whether this plan counts as the city's plan is decided in UPD26a and is still open.
What the EMP contains (ULG-09, NITI Aayog with GoG, September 2024, horizon 2047):
- Clear priorities: four pillars and nine growth drivers. The pillars are (a) sustaining and growing manufacturing, (b) the service economy through business and trading, (c) new growth avenues, and (d) a lifestyle and learning ecosystem. Named sector priorities are the chemical hub, the diamond/gems and jewellery hub, textiles, and tourism/hospitality.
- Measurable targets against those priorities: manufacturing to add about two million jobs by 2047 (s.3.3). Per capita GDP to rise from about $4,600 to over about $45,000 by 2047 (s.3.2). The region to become an economy of about $1.5 trillion (Ch.10). Table 4 gives the extra workforce needed by 2030 by sector: Textile 78,000+, Chemical 22,000+, Mineral processing 6,500+, Healthcare 18,000+, Logistics 62,000+. Figure 11 projects sectoral GDP and extra jobs, but its values are images and cannot be read.
- This goes beyond a general statement of intent. It names at least two priorities (manufacturing and services/trading) with quantified job and GDP targets, which meets the 3.33 rule.
What a reviewer must check:
1. Dependency on UPD26a. UPD26b scores 'the plan' accepted in UPD26a. The Citation Sheet has no GO, gazette notice, or Surat Municipal Corporation or SUDA resolution adopting the finished EMP. The only state document cited is the GoG order of 15.09.2023, which set up a Steering Committee, a G-Hub Crack Unit and a nodal officer to prepare the plan. That is not adoption. If UPD26a finds no qualifying city plan, this YES should not earn points; it should become 0 or be gated out.
2. Scope. The EMP covers a six-district region (Surat, Bharuch, Navsari, Tapi, Valsad, Dang), not only the city. Its roles are assigned mainly to a proposed new authority, SREDA, not to the city government. A reviewer must decide whether a regional plan is acceptable.
3. The other candidate plan, SUDA Development Plan 2035 (ULG-06, report dated 22 February 2017): its economic content is mainly industrial and commercial land-area targets (136 sq km industrial zone; Table 154). Its diversification aim is qualitative only. The Sheet does not show that DP 2035 was sanctioned under s.17 of the GTPUD Act. If DP 2035 is the plan scored in UPD26a, this answer needs to be re-checked.
I also searched the Citation Sheet for any record of adoption or approval of the EMP and found none beyond the GoG order on preparation.</t>
  </si>
  <si>
    <t xml:space="preserve">The AI's citation or quote failed the check. The AI's quote couldn't be found word for word in ULG-09, so its answer was discarded. AI comments: I answered YES based on what the Economic Master Plan (EMP) says. Whether this plan counts as the city's plan is decided in UPD26a and is still open.
What the EMP contains (ULG-09, NITI Aayog with GoG, September 2024, horizon 2047):
- Clear priorities: four pillars and nine growth drivers. The pillars are (a) sustaining and growing manufacturing, (b) the service economy through business and trading, (c) new growth avenues, and (d) a lifestyle and learning ecosystem. Named sector priorities are the chemical hub, the diamond/gems and jewellery hub, textiles, and tourism/hospitality.
- Measurable targets against those priorities: manufacturing to add about two million jobs by 2047 (s.3.3). Per capita GDP to rise from about $4,600 to over about $45,000 by 2047 (s.3.2). The region to become an economy of about $1.5 trillion (Ch.10). Table 4 gives the extra workforce needed by 2030 by sector: Textile 78,000+, Chemical 22,000+, Mineral processing 6,500+, Healthcare 18,000+, Logistics 62,000+. Figure 11 projects sectoral GDP and extra jobs, but its values are images and cannot be read.
- This goes beyond a general statement of intent. It names at least two priorities (manufacturing and services/trading) with quantified job and GDP targets, which meets the 3.33 rule.
What a reviewer must check:
1. Dependency on UPD26a. UPD26b scores 'the plan' accepted in UPD26a. The Citation Sheet has no GO, gazette notice, or Surat Municipal Corporation or SUDA resolution adopting the finished EMP. The only state document cited is the GoG order of 15.09.2023, which set up a Steering Committee, a G-Hub Crack Unit and a nodal officer to prepare the plan. That is not adoption. If UPD26a finds no qualifying city plan, this YES should not earn points; it should become 0 or be gated out.
2. Scope. The EMP covers a six-district region (Surat, Bharuch, Navsari, Tapi, Valsad, Dang), not only the city. Its roles are assigned mainly to a proposed new authority, SREDA, not to the city government. A reviewer must decide whether a regional plan is acceptable.
3. The other candidate plan, SUDA Development Plan 2035 (ULG-06, report dated 22 February 2017): its economic content is mainly industrial and commercial land-area targets (136 sq km industrial zone; Table 154). Its diversification aim is qualitative only. The Sheet does not show that DP 2035 was sanctioned under s.17 of the GTPUD Act. If DP 2035 is the plan scored in UPD26a, this answer needs to be re-checked.
I also searched the Citation Sheet for any record of adoption or approval of the EMP and found none beyond the GoG order on preparation.</t>
  </si>
  <si>
    <t xml:space="preserve">UPD26c</t>
  </si>
  <si>
    <t xml:space="preserve">Does your city have an Economic Vision Plan that clearly articulates development priorities, measurable objectives, and the roles and responsibilities of the ULG? &gt;:&lt; Does the plan clearly articulate the role of the ULG?</t>
  </si>
  <si>
    <t xml:space="preserve">ANSWER: Not determined. The parts of the Economic Master Plan (EMP) for the Surat Economic Region that were read give implementation duties to new or state-level bodies, not to Surat Municipal Corporation (SMC) as an institution. In the implementation framework, urban local bodies (ULBs) appear only as members represented in the proposed regional authority, SREDA. That is the kind of 'stakeholder/participating institution' mention the methodology says does not qualify. SMC officers do sit on the state-chaired G-Hub Crack Unit, which has defined coordination and monitoring duties. One recommendation says guidelines are to be 'implemented by Local Authorities', but it is a climate/building measure that does not name SMC. The sector chapters (about pp. 24-165) were not fully read for project-level assignments to SMC, so the score cannot be set to 0 or 3.33. | EVIDENCE: (1) ULG-09 EMP, NITI Aayog, Sept 2024, Ch.10 Institutional Framework, p.145 (PDF p.168): SREDA is the 'overarching and coordinating' body responsible for integrated regional development, coordinating infrastructure, project structuring and implementation, and investment promotion. ULBs are named only as having 'official representation' on it. (2) Ch.10, pp.146-147 (PDF pp.169-170): the G-Hub Crack Unit coordinates and monitors KPIs and milestones; the DMO promotes tourism; the PMU leads 'ground-level implementation through effective project structuring and financing'. The existing 'ICCC of Surat Smart City' (Integ</t>
  </si>
  <si>
    <t xml:space="preserve">It would have official representation from all 6 districts in the region, including Surat Urban Development Authority (SUDA) and other development authorities in the region and all Urban Local Bodies (ULBs).</t>
  </si>
  <si>
    <t xml:space="preserve">I scored NO with low confidence. A reviewer should confirm it before it stands.
**The plan.** ULG-09 is the Economic Master Plan for the Surat Economic Region. NITI Aayog prepared it, dated September 2024, with a vision to 2047. It is a six-district regional plan and says its framework is 'indicative'.
**What I checked for a role given to Surat Municipal Corporation (SMC) or urban local bodies (ULBs).** On top of the Step 2 passages, I ran targeted searches across the EMP:
- Executive summary s.7: three-tier framework of the Empowered Group of Ministers (EGM), the State High Power Steering Committee (SHPSC) and the proposed regional authority, SREDA. SMC has no tier of its own.
- Chapter 10.1:
  - SREDA is the responsible entity, and ULBs only have 'official representation' on it.
  - Implementation duties go to the G-Hub Crack Unit (coordination and KPI monitoring), a tourism body (DMO) and a Project Management Unit (structuring and financing). None of these is SMC.
- Chapter 10.2: monitoring names 'State Governments and Development Authorities'. ULBs are not named.
- Annexure I: the SMC Municipal Commissioner, a Deputy Municipal Commissioner, the City Engineer and the Chief Town Planner sit on the state-chaired Steering Committee and the G-Hub Crack Unit, which the Urban Development and Urban Housing Department chairs. I treated this as individual officers on state bodies, not a role assigned to the ULG.
- Annexure IV (chemicals): GIDC and iNDEXTb are named. 'ICCC of Surat' (the Integrated Command and Control Centre) is to be the nodal monitoring entity for environmental compliance.
  - Elsewhere the plan calls it the 'ICCC of Surat Smart City' and never says SMC owns it.
  - The task is environmental compliance, not economic targets.
- Annexure VII (tourism): implementing agencies are tagged on each project, namely GMB, State Tourism Department, Development Authority, Forest Department, DRDA and private parties. None is SMC or a ULB.
- Annexure VIII (agriculture): projects list locations, with no ULG named.
- s.8.1: green-building guidelines 'can be ... implemented by Local Authorities'. This is a discretionary, generic climate measure that names no ULG.
- Every other SMC mention I found is descriptive, such as a groundwater statistic or a bibliography entry.
**Conclusion.** Wherever the plan does assign implementers, SMC is never named. ULBs appear only as represented members or stakeholders, which the methodology says does not qualify. That supports NO, i.e. 0 out of 3.33.
**Caveats for the reviewer:**
- The read tool returns only the most relevant passages, so I could not read every page word for word. In particular, I did not fully see the sector chapters 5-9 or the real-estate and other annexures. A page-by-page check for any project naming SMC as implementing or financing agency would make this affirmative absence conclusive.
- Please confirm two judgements:
  - (a) SMC officers on state-chaired committees do not count as a role for the ULG.
  - (b) The Surat ICCC monitoring role is not attributable to SMC as given in the plan.
- I did not check UPD26a/b, so it is unconfirmed that this regional EMP is the 'city Economic Vision Plan' the question means.
- ULG-06 (SUDA Development Plan 2035) is a statutory land-use plan by the Surat Urban Development Authority, not an economic vision plan.
- The Step 2 answer left this undetermined. My extra reads found no SMC assignment, and they found agency-tagged project lists that leave SMC out.</t>
  </si>
  <si>
    <t xml:space="preserve">UPD27a</t>
  </si>
  <si>
    <t xml:space="preserve">Does the city have adequate and representative professional town-planning capacity? &gt;:&lt; Does the city have adequate professional town-planning capacity?</t>
  </si>
  <si>
    <t xml:space="preserve">ANSWER: The Citation Sheet does not give enough to work out this indicator. It has no sanctioned town-planner posts for either the Surat city government (SMC) or the Surat Urban Development Authority (SUDA). It has no SUDA staffing data at all. It does not show whether staff are qualified planners. It does not give the highest planners-per-lakh figure among the cities assessed, which the score needs. The only figure available is a rough count of filled SMC Town Planning Department staff: 17 officers (10 Deputy Town Planners and 7 Assistant Town Planners) on SMC's emergency-duty list dated 16/05/2026. Against the Census 2011 population of 44,62,826, that is about 0.38 planners per lakh (17 / 44,62,826 x 1,00,000 = 0.381). This is an indicative lower-bound count, not a verified filled-against-sanctioned figure. | EVIDENCE: (1) ULG-10, SMC Disaster Management and Preparedness Plan, pp. 73-74, list of 'Officers / Employees to remain present at time of / during emergency (As On Dt.16/05/26)'. Entries 15-24 are Dy. Town Planners in the Town Planning Department. Entry 15 (J. N. Parikh) has 'Town Planner (A) extra duty'; others are posted to the GIS Cell, the affordable-housing department and the SWZ/Bio Diversity Park project. Entries 25-31 are Asst. Town Planners. Entry 30 is listed as 'Working with Suda'. Entry 32 is the I/c. Town Development Officer, not counted. (2) ULG-08, SMC organogram (as on 07/09/2026): the Town Planning Department has 'Shri J. N. Parikh I/c.Town Planner' a</t>
  </si>
  <si>
    <t xml:space="preserve">Parking Policy for Surat City, sanctioned vide Government Resolution No. P.R.CH./10018/CM-419/P dated 05/12/2018 (SMC Traffic Cell) [ULG-07]</t>
  </si>
  <si>
    <t xml:space="preserve">https://www.suratmunicipal.gov.in/Content/Documents/Departments/TrafficCell/ParkingPolicy.pdf</t>
  </si>
  <si>
    <t xml:space="preserve">As per the 2011 census, the city had a population of 44,62,826 with a density 13,680 persons per sq.km.</t>
  </si>
  <si>
    <t xml:space="preserve">Only one of the three inputs can be filled, so the score stays blank.
1) Census 2011 population is 44,62,826, taken from ULG-07 (the SMC Parking Policy, 2018). The question uses the Census 2011 city population. ULG-06 (the SUDA Development Plan 2035, Table 9) gives about 48.05 lakh for the wider SUDA area. A reviewer should confirm which base to use if SUDA planners are added. The city boundary was later expanded, but the Census 2011 figure does not change.
2) Filled town planners in the city government (SMC) is left blank. ULG-10 (the SMC Disaster Management Plan, pp. 73-74) lists 'Officers / Employees to remain present at time of / during emergency (As On Dt.16/05/26)'. It names 10 Dy. Town Planners (entries 15-24) and 7 Asst. Town Planners (entries 25-31) in the Town Planning Department. That makes 17, or about 0.38 per lakh.
- The list is not a staffing roster. For other departments it names only Executive and Deputy Engineers, which suggests it covers senior grades only. Junior planning grades may be left out, so 17 is a lower limit, not the filled strength.
- It does not show whether these staff are qualified planners.
- Entry 30 is marked 'Working with Suda' and needs to be assigned to one body so it is not counted twice.
- ULG-08 (the SMC organogram, 07/09/2026) shows the Town Planner post held only 'I/c' (in charge) by J. N. Parikh and by T. T. Patel, who is an Executive Engineer.
- No sanctioned posts or vacancies were found. A reviewer could enter 17 as an indicative figure once the list is confirmed to be complete and the staff qualified.
3) Filled town planners in the Development/Planning Authority (SUDA) is left blank. ULG-06 and ULG-11 show that SUDA prepares the development plan. A search of the Citation Sheet found no figures for SUDA's sanctioned or filled planner posts. This is 'not found', not proof that there are none, so 0 is not entered.
4) The scorer notes ask for sanctioned posts, vacancies, vacancy rate and the women/men split. None of these can be filled. Every name on the ULG-10 list carries the honorific 'Shri', so gender cannot be told from it.
5) The proportional score also needs the highest planners-per-lakh figure among the cities assessed. That figure is not available here.
Suggested RTI requests: to the PIO, SMC (Central Establishment / Town Planning), and to the PIO, SUDA, asking for sanctioned, filled and vacant planner posts by grade, with qualifications and gender, as of 2026.</t>
  </si>
  <si>
    <t xml:space="preserve">The citation didn't settle every input. "Filled town planners - ULG" left blank: the Citation Sheet doesn't decide it. "Filled town planners - Development/Planning Authority" left blank: the Citation Sheet doesn't decide it.</t>
  </si>
  <si>
    <t xml:space="preserve">UPD27b</t>
  </si>
  <si>
    <t xml:space="preserve">Does the city have adequate and representative professional town-planning capacity? &gt;:&lt; What proportion of the city's professional town-planning workforce is women?</t>
  </si>
  <si>
    <t xml:space="preserve">ANSWER: The proportion cannot be reliably worked out from the Citation Sheet, so no score is given. The only dated list of Surat Municipal Corporation (SMC) town-planning staff (as on 16/05/2026) names 10 Deputy Town Planners and 7 Assistant Town Planners, 17 in all. The list does not record gender: it puts "Shri" before every name, including women's names elsewhere in the same document (e.g. "Shri Pratimaben H. Rathod", "Shri Hemabahen P. Jariwala"). Going by first names only, which is a guess and not evidence, 4 look female (Rachita S. Desai, Niyati K. Desai, Bhavini A. Desai, Nitya Dave) and 1 could be either (Tasnim M. Barbhaiwala). That would give about 4/17 = 23.5% or 5/17 = 29.4%, both in the 15–32% band. This is an unconfirmed estimate, not a finding. | EVIDENCE: ULG-10 SMC Disaster Management and Preparedness Plan, list of 'Officers / Employees to remain present at time of / during emergency (As On Dt.16/05/26)', items 15–31 (p.73–74): items 15–24 are Dy. Town Planners, e.g. '17. Shri Rachita S. Desai Dy. Town Planner Town Planning'; items 25–31 are Asst. Town Planners. Item 15, Jaydeep N. Parikh, Dy. Town Planner, also holds 'Town Planner (A) extra duty'. The officers' telephone list (p.106) shows 'Shri Jaydeep N. Parikh Deputy Town Planner I/c. Town Planner'. ULG-08 SMC organogram (as on 07/09/2026), Town Planning Department: 'Shri J. N. Parikh I/c.Town Planner' and 'Shri T. T. Patel, I/c.Town Planner (Dt.10/03/2026)'. T. T. Patel is listed elsewhere in the organog</t>
  </si>
  <si>
    <t xml:space="preserve">17. Shri Rachita S. Desai Dy. Town Planner Town Planning</t>
  </si>
  <si>
    <t xml:space="preserve">I left the input blank because the Citation Sheet has no sex-disaggregated count of filled town-planner posts. I agree with the Step 2 answer after checking it against the source. ULG-10 lists 17 Surat Municipal Corporation (SMC) town-planning officers as on 16/05/2026: items 15-24 are 10 Deputy Town Planners and items 25-31 are 7 Assistant Town Planners. The list does not record gender. It puts 'Shri' before every name, including women elsewhere in the same document, for example 'Shri Pratimaben H. Rathod', 'Shri Hemabahen P. Jariwala', 'Shri Meeta B. Gandhi' and 'Shri Kavita R. Goswami'. Going by first names only, 4 look female (Rachita S. Desai, Niyati K. Desai, Bhavini A. Desai, Nitya Dave) and 1 could be either (Tasnim M. Barbhaiwala). That gives about 23.5% (4/17) or 29.4% (5/17), both in the 15-32% band (score 2.5). This is a guess from names, not recorded data, so I did not use it to score. Other limits on the count: (1) This is a list of staff who must stay on duty in an emergency, not a full roster of filled posts, and it does not show qualifications. (2) The Surat Urban Development Authority (SUDA) is the planning authority whose staff the methodology says should also be counted. The Citation Sheet has no SUDA staffing data. Item 30 (an Assistant Town Planner 'Working with Suda') could be counted twice. (3) The two people holding the in-charge Town Planner post are J. N. Parikh, a Deputy Town Planner, and T. T. Patel, an Executive Engineer in the C.E. Special Cell (ULG-10 item 58; ULG-08). It is unclear whether Patel counts as a qualified town planner. Senior/decision-making level, recorded as the notes ask: both in-charge Town Planners appear to be men going by first names (women 0 of 2), which is also unconfirmed. A search across the Citation Sheet for 'Smt.', female or women staff in ULG-08 and ULG-10 found no record of gender. The Acts, Rules and plans (ULG-01 to ULG-07, ULG-09, ULG-11 to ULG-13) contain no staffing data. To check: a sex-disaggregated list of filled and sanctioned Town Planner, Deputy Town Planner and Assistant Town Planner posts with qualifications, from SMC (General Administration Department/Central Establishment or the Town Planning Department) and from SUDA, for example through an RTI request. If that confirms 4-5 women out of 17 with no SUDA staff to add, the score would be 2.5.</t>
  </si>
  <si>
    <t xml:space="preserve">The citation didn't settle every input. "% women in town-planning workforce (enter %)" left blank: the Citation Sheet doesn't decide it.</t>
  </si>
  <si>
    <t xml:space="preserve">UPD28a</t>
  </si>
  <si>
    <t xml:space="preserve">Does the city have dedicated institutional cells/units for specialised functions? &gt;:&lt; Does the city have an Urban Design Cell?</t>
  </si>
  <si>
    <t xml:space="preserve">10 &gt;:&lt; 2.5</t>
  </si>
  <si>
    <t xml:space="preserve">ANSWER: Not determined. Surat Municipal Corporation's (SMC's) own department list (organogram) does not show a unit called 'Urban Design Cell/Unit/Vertical'. It does show a 'Central Designing Cell' inside the Public Infrastructure Cell. Nothing in the Citation Sheet says what that cell does, so I cannot tell whether it counts as an urban design cell or equivalent, or whether it does engineering or architectural design for SMC projects. | EVIDENCE: (1) ULG-08, SMC organogram / allocation of departments (as on 07/09/2026), Public Infrastructure Cell: 'Public Infrastructure Cell (Dt.10/01/2024) ► Shri Mita B. Gandhi, Exe. Eng.' and 'Central Designing Cell (Dt.10/01/2024)', headed by an Executive Engineer (PIC). Related units in the same list: 'Garden Project Cell (Including City Beautification)' (Dt.01/12/2025); 'Heritage Cell' (Dt.25/03/2026); Town Planning Department with 'City Development' and 'Advertisement Cell'; Town Development Department; Central GIS Cell; Smart City Cell. None of these is named as an urban design cell and none has a stated function. (2) ULG-07, Parking Policy (2018), gives the 2011 census population of the city as 44,62,826. Surat is therefore above five lakh, so the shared State/district-level resource option does not apply. (3) ULG-03 (GPMC Act), ULG-04 (GTPUD Rules 1979), ULG-05 (CGDCR 2017), ULG-06 (SUDA DP 2035), ULG-09 (NITI Aayog plan, 2024) and ULG-10 (SMC Disaster Management Plan): a search of the whole Citation Sheet for 'urban design cell' fo</t>
  </si>
  <si>
    <t xml:space="preserve">Surat Municipal Corporation organogram / allocation of departments (as on 07/09/2026) [ULG-08]</t>
  </si>
  <si>
    <t xml:space="preserve">https://www.suratmunicipal.gov.in/Content/Documents/Corporation/organogram.pdf</t>
  </si>
  <si>
    <t xml:space="preserve">Central Designing Cell (Dt.10/01/2024)</t>
  </si>
  <si>
    <t xml:space="preserve">I left 'Answer' blank. The Citation Sheet does not show whether Surat Municipal Corporation (SMC) has an Urban Design Cell/Unit/Vertical or an equivalent, so a person needs to score this.
(1) What the organogram shows: I checked the Step 2 answer against ULG-08, SMC's organogram as on 07/09/2026. No unit is called 'Urban Design Cell', 'Urban Design Unit' or 'Urban Design Vertical'. There is a 'Central Designing Cell' (dated 10/01/2024) inside the Public Infrastructure Cell. It is headed by an Executive Engineer and listed with the Swimming Pool unit and the SMC New Administrative Bhavan Project. That grouping suggests engineering or building design. However, no source in the sheet says what the cell does, so I cannot treat it as an urban design cell, and I cannot rule it out either.
(2) Other units that might be relevant: the organogram also lists a Garden Project Cell (Including City Beautification), a Heritage Cell, the Town Planning Department (City Development, Advertisement Cell), the Town Development Department, the Central GIS Cell and the Smart City Cell. None is named as an urban design unit, and none has a stated function.
(3) Why 'NO' cannot be entered: 'NO' scores 0, which needs affirmative absence. That is not met. The methodology also accepts official government sources, credible media reports and RTI or email replies, and the sheet contains none of these on this question. My searches of the sheet ('urban design cell'; 'Central Designing Cell functions architect') found only the CGDCR 2017 (ULG-05), the SMC Disaster Management Plan (ULG-10), the GTPUD Act 1976 (ULG-01) and the SUDA Development Plan 2035 (ULG-06). None of them describes an SMC urban design unit or the Central Designing Cell's work.
(4) Population rule: Surat's 2011 Census population was 44,62,826 (ULG-07), well above five lakh. So the option to count a shared State or district-level resource does not apply.
(5) What to check next: whether the Central Designing Cell does urban design (streetscapes, public realm, place-making) or only civil or architectural project design. Possible sources are an SMC office order or circular setting it up, an SMC web page on the cell, or an RTI request to the SMC Public Information Officer (Public Infrastructure Cell / Town Planning Department). If it does urban design, the answer is YES (2.5).
This is an Implementation question, and a current dated organogram is the right kind of evidence; a statutory mandate would not be.</t>
  </si>
  <si>
    <t xml:space="preserve">UPD28b</t>
  </si>
  <si>
    <t xml:space="preserve">Does the city have dedicated institutional cells/units for specialised functions? &gt;:&lt; Does the city have a Climate Action/Sustainability/Disaster Management Cell?</t>
  </si>
  <si>
    <t xml:space="preserve">ANSWER: Yes. Surat Municipal Corporation (SMC) has its own disaster management unit and it works in practice. SMC's organogram (as on 07/09/2026) lists 'Disaster Management' as a subject allocated from 01/07/2026 to the Additional City Engineer (Civil), Sh. M. D. Chavda. SMC's current Disaster Management and Preparedness Plan shows how it operates. It sets up an Emergency Control Room under the Commissioner and a Central Flood Control Room at the ICCC, with its own phone, fax and mobile numbers. It also sets 2026 deadlines for departments and zones, and says the plan has been published since 2002 and is updated every year. | EVIDENCE: (1) ULG-08, SMC organogram/allocation of departments as on 07/09/2026, under Sh. M. D. Chavda, Add. City Eng. (Civil): '- Disaster Management (Dt.01/07/2026)'. The same document lists '- Environment Improvement &amp; Protection Cell (Tapi Rejuvenation &amp; Creek Rehabilitation) (Dt.01/07/2026)', 'Pre-Monsoon Work (Dt.01/07/2026)' and 'Fire &amp; Eme. Ser.' (2) ULG-10, SMC Disaster Management and Preparedness Plan. Preface: SMC 'is publishing the Disaster Management &amp; Preparedness Plan since 2002' and 'The DMP is updated with latest information every year'. Chapter 2 sets out the 'Emergency Control Room, Surat Municipal Corporation' structure, with the Commissioner, an in-charge of the control room, zone control rooms, the CFO and others. 'Central Flood Control Room (ICCC) Phone- 0261-2451756'. The pre-monsoon instructions include 'The central control room </t>
  </si>
  <si>
    <t xml:space="preserve">- Disaster Management (Dt.01/07/2026)</t>
  </si>
  <si>
    <t xml:space="preserve">The answer is YES (2.5 points). The sources support the Step 2 answer. ULG-08 is SMC's own organogram on suratmunicipal.gov.in, dated 07/09/2026. It shows that since 01/07/2026, Disaster Management has been a separate portfolio under the Additional City Engineer (Civil), M. D. Chavda. That counts as a 'unit/vertical or equivalent' under the methodology. The same document also lists a Fire &amp; Emergency Service under the CFO, an Environment Improvement &amp; Protection Cell (Tapi Rejuvenation &amp; Creek Rehabilitation), Pre-Monsoon Work and the ICCC. I read ULG-10, SMC's Disaster Management and Preparedness Plan, to check that the unit is functional. Its preface says the plan has been published since 2002 and is updated every year. Chapter 2 sets up an Emergency Control Room under the Commissioner, and there is a Central Flood Control Room at the ICCC with phone 0261-2451756. Standing instruction 22 says the ICCC central control room and the zone control rooms 'should be started from 1st June or first rain whichever is earlier'. The instructions also set deadlines for 2026, such as 1 April, 1 May and 20 May 2026. This shows a current operating process run by SMC. Surat's population is well above 5 lakh, so the rule allowing a shared state or district resource does not apply. The Collector Office's Disaster Management Cell (ULG-10 ch. 23) is a district body, so I did not rely on it. Caveats: (1) The organogram calls it a portfolio, not a separately named 'Cell', and names no dedicated officer under it. (2) The Citation Sheet has no dated record of activity, such as monsoon 2026 control room bulletins. 'Functional' therefore rests on the 2026 allocation together with the annually updated plan that has 2026 deadlines. (3) The Citation Sheet has no separate climate action or sustainability cell, but a disaster management unit is enough on its own. A reviewer should take a dated screenshot of the organogram and, if possible, of the DMP page.</t>
  </si>
  <si>
    <t xml:space="preserve">UPD28c</t>
  </si>
  <si>
    <t xml:space="preserve">Does the city have dedicated institutional cells/units for specialised functions? &gt;:&lt; Does the city have an Economic Develepment Cell ?</t>
  </si>
  <si>
    <t xml:space="preserve">ANSWER: Not determined. Surat Municipal Corporation's (SMC) organogram, dated 07/09/2026, does not list any unit called an economic development cell, unit or vertical. It does list some related units: 'Startup &amp; Innovation' (Municipal Commissioner's Office), 'Employment &amp; Livelihood Cell' and 'Tourism' (Women &amp; Child, Social Welfare &amp; Cultural Department), and 'SURATi iLab' (North Zone). None of the sources show whether any of these counts as an economic development cell, or that any of them is working. The NITI Aayog plan only proposes a regional body (SREDA). It is not evidence that a city cell exists. | EVIDENCE: (1) ULG-08, SMC organogram / allocation of departments (as on 07/09/2026): no entry named 'Economic Development'. Related entries: 'Municipal Commissioner's Office (Dt.18/05/2026) - Startup &amp; Innovation(Dt.18/05/2026)'; '- Employment &amp; Livelihood Cell (Dt.15/06/16)'; '- Tourism (Dt.25/03/2026)'; '- SURATi iLab (Dt.27/07/2026)'. The Town Planning Department has a sub-entry '- City Development'. No officer is named for Startup &amp; Innovation, SURATi iLab or the Employment &amp; Livelihood Cell, and their functions are not described. (2) ULG-09, NITI Aayog Economic Master Plan for Surat Economic Region (Sept 2024), pp.22-23 and 144-147: it proposes 'establishing Surat Regional Economic Development Authority (SREDA)' covering 6 districts, with a G-Hub Crack Unit, a Destination Management Organisation (DMO) and a Project Management Unit (PMU). These are recommendations ('wil</t>
  </si>
  <si>
    <t xml:space="preserve">Municipal Commissioner's Office (Dt.18/05/2026)
- Startup &amp; Innovation(Dt.18/05/2026)</t>
  </si>
  <si>
    <t xml:space="preserve">Answer left blank. The Citation Sheet does not show that Surat has a working economic development cell, and it does not prove that none exists, so neither YES nor NO can be given.
(1) The question applies to Surat. ULG-06, Table 1 gives SMC's 2011 Census population as 44.67 lakh, so Surat is million-plus and NA is ruled out.
(2) I read the whole SMC organogram (ULG-08, as on 07/09/2026). No entry is called an 'Economic Development' cell, unit or vertical. Some entries could count as equivalents:
- 'Startup &amp; Innovation' under the Municipal Commissioner's Office (Dt.18/05/2026)
- 'Employment &amp; Livelihood Cell' (Dt.15/06/16) and 'Tourism' (Dt.25/03/2026) under the Women &amp; child, Social Welfare &amp; Cultural Department
- 'SURATi iLab' (Dt.27/07/2026) under the North Zone Deputy Commissioner
No officer is named for any of these, and the organogram does not describe what they do. Whether any of them is an 'equivalent' is a judgement the methodology leaves open. Even if one is, there is no evidence that it is working. The 2.5 score needs proof that the cell exists AND works, so YES is not supported.
(3) The NITI Aayog Economic Master Plan (ULG-09, Sept 2024) does not change this:
- The 'G-Hub Crack Unit' is a state-level body. The Gujarat government set it up by Order No. UDUHD/MSM/e-file/18/2023/8053/DH Section dated 15.09.2023. It is chaired by the ACS/PS of UDUHD, with the SMC Municipal Commissioner and some SMC officers as members.
- NITI Aayog and WRI officials were placed at SMC for the plan.
- SREDA, the Destination Management Organisation and the PMU are only proposals, and they are regional, not SMC units.
None of this is a dedicated SMC economic development cell.
(4) NO would need proof of absence, which the Citation Sheet does not give. I searched the whole sheet for an economic development or investment promotion cell and found nothing. The legal and plan documents in the sheet (ULG-03 BPMC Act, ULG-04 Rules, ULG-05 CGDCR, ULG-06 DP 2035, ULG-07 Parking Policy, ULG-10 DM Plan) contain nothing on such a cell. But the sheet has no SMC department web pages, budget heads, office orders or RTI reply. The methodology also allows media reports, RTI or email as evidence, and none of these were collected.
The Step 2 answer agrees with the source and I agree it should stay undetermined.
For a person to resolve this:
(a) Decide whether 'Startup &amp; Innovation', 'SURATi iLab' or the 'Employment &amp; Livelihood Cell' counts as an economic development equivalent. If one does, get dated evidence that it is working (an office order, its staffing, recent activities).
(b) Otherwise, send an RTI to the SMC PIO (General Administration Department / Municipal Commissioner's Office) to confirm whether such a cell exists before giving NO.</t>
  </si>
  <si>
    <t xml:space="preserve">UPD28d</t>
  </si>
  <si>
    <t xml:space="preserve">Does the city have dedicated institutional cells/units for specialised functions? &gt;:&lt; Does the city have a dedicated Women's Welfare/Development Cell?</t>
  </si>
  <si>
    <t xml:space="preserve">ANSWER: Partly. Surat Municipal Corporation's (SMC) official organogram shows a combined 'Women &amp; child, Social Welfare &amp; Cultural Department'. It does not show a department or cell that deals only with women. The department also covers heritage, tourism, sports, culture and the central library. None of the listed units is women-specific: ICDS serves women and children, and the UCD and Employment &amp; Livelihood units have no stated women-only remit. No source shows what the department actually does for women, such as programmes, staff for women's issues or activity records. So the Citation Sheet cannot settle whether a dedicated women's cell exists and is working. The question applies to Surat: its 2011 population was 44,62,826 (Parking Policy) or 44,67,79x (DP 2035, figure cut off), well over one million. | EVIDENCE: ULG-08, SMC organogram as on 07/09/2026, page 1: department heading 'Women &amp; child, Social Welfare &amp; Cultural Department (Dt.25/03/2026)'. Units listed under it: 'Heritage Cell', 'Tourism', 'I.C.D.S.(All units) (Dt.25/03/2026)', 'UCD (Including Ummid pro.) (Dt.15/06/16)' with Shri R. C. Patel, Proj.Officer, 'Sports &amp; Sports Development', 'Employment &amp; Livelihood Cell (Dt.15/06/16)', 'Cultural Deptt.' and 'Kavi Narmad Central Library'. A search of all citations for women's cells found no other relevant SMC unit. ULG-03 (GPMC Act 1949) mentions women only for seat reservations (s.5). ULG-04, 05, 06, 07, 09 and 10 contain nothing on a women's cell. | CAVEATS: Women a</t>
  </si>
  <si>
    <t xml:space="preserve">Women &amp; child, Social Welfare &amp; Cultural Department (Dt.25/03/2026)</t>
  </si>
  <si>
    <t xml:space="preserve">I left the Answer blank. The Citation Sheet cannot settle whether a dedicated women's cell exists and is working. The Step 2 'Partly' answer is consistent with the source.
Applicability: Surat is a million-plus city. ULG-07 gives its 2011 population as 44,62,826, so the indicator applies and NA is not appropriate.
Why not YES:
(a) Not dedicated. The only unit naming women in ULG-08 (SMC organogram as on 07/09/2026) is a combined 'Women &amp; child, Social Welfare &amp; Cultural Department' (dated 25/03/2026). It also covers the Heritage Cell, Tourism, Sports &amp; Sports Development, the Cultural Deptt. and the Kavi Narmad Central Library. The units under it are 'I.C.D.S.(All units)', which serves women and children, 'UCD (Including Ummid pro.)' and the 'Employment &amp; Livelihood Cell'. None of these is shown to have a women-only remit, and no officer is named for women's work as such.
(b) Not shown to be functional. The sheet has no SMC page, order setting up a cell, list of schemes or activity record showing women's welfare work in practice.
Why not NO: A 0 needs affirmative absence, and the sheet does not provide it. It lacks SMC's department web pages, any UCD or women's-programme pages, media reports and RTI replies, all of which the methodology allows. A department with 'Women' in its title also exists, so absence cannot be shown.
What I checked:
- ULG-08, read in full.
- A search across all citations for 'women welfare cell mahila'. The only other matches were ULG-03 (GPMC Act 1949), where s.5 mentions women only for seat reservation, and passages in ULG-10 (Disaster Management Plan) with nothing relevant.
- Per Step 2, ULG-04, 05, 06, 07 and 09 have nothing on a women's cell. ULG-01, 02, 11, 12 and 13 are planning and building law documents that are not relevant to this question.
For a person to decide:
1. Does a combined women &amp; child / social welfare / culture department count as a 'vertical or equivalent'?
2. Is there evidence it works for women in practice, such as UCD women's self-help-group or Ummid activity in FY 2025-26 or 2026-27, a set-up order or staffing?
Suggested RTI target: the SMC PIO for the Women &amp; child, Social Welfare &amp; Cultural Department. The reviewer should also capture a dated screenshot of the department's page on the SMC website.</t>
  </si>
  <si>
    <t xml:space="preserve">UPD29a</t>
  </si>
  <si>
    <t xml:space="preserve">Are there prescribed urban design standards to guide the execution of urban projects, including standards for universal accessibility? &gt;:&lt; Does the law mandate comprehensive urban design standards and universal accessibility?</t>
  </si>
  <si>
    <t xml:space="preserve">ANSWER: Not determined for all five categories, so no score is proposed. Of the sources I could read, only the Gujarat Provincial Municipal Corporations Act, 1949 (the GPMC Act) shows design-standard provisions, and they are permissive ('may'), not mandatory. Section 458 says the Corporation 'may' make by-laws on: building sites (minimum site size, set-backs from the street margin by street class); building height (including by materials and street width); building materials and structure; drains and drainage works, municipal water-works, and private and public streets. That supports a provisional 0.5 for built-form codes (category 4). It also partly supports 0.5 for roads (category 1) and for underground utilities (category 3), but category 3 covers only water and drainage, not electricity, telecom or gas. For footpaths (category 2), the Act only lets the Commissioner ask for plans showing carriage-way and foot-way proportions and footpath materials. That is a requirement to submit documents, not a design standard. I found no universal-accessibility provision (category 5), but this is not a confirmed absence. The Gujarat Town Planning and Urban Development Act, 1976 (GTPUD Act: development plan and town planning scheme contents, regulation-making power), the 2017 Development Control Regulations (CGDCR) and the 1979 Rules were not fully checked for these categories. | EVIDENCE: (1) GPMC Act s.458 (by-law power, 'may'): (1) 'regulating ... the construction, maintenance ... of </t>
  </si>
  <si>
    <t xml:space="preserve">Comprehensive General Development Control Regulations 2017 (CGDCR), Notification No. GH/V/269 of 2017/EDP-102016-3629-L dated 12 October 2017, Urban Development and Urban Housing Department, Govt. of Gujarat (copy hosted by AUDA) [ULG-05]</t>
  </si>
  <si>
    <t xml:space="preserve">https://www.auda.org.in/uploads/Assets/rdp/finalcomprehensi11012017111757857.pdf</t>
  </si>
  <si>
    <t xml:space="preserve">Minimum one entrance shall be provided that is accessible by people with disability and accompanied by appropriate signages as per Regulation 21.7</t>
  </si>
  <si>
    <t xml:space="preserve">I scored three of the five categories. The other two are left blank because I could not settle them from the Citation Sheet; they are not scored 0.
Roads &amp; streetscapes = SHALL. GPMC Act s.206(1) (ULG-03, p.127) says: 'The Corporation shall from time to time with the sanction of the State Government specify the minimum width for different classes of public streets acco[rding...]'. This is a duty to set a width standard for each class of street, which matches the methodology's 'categories/hierarchies of urban roads'. The excerpt I could read stops partway through s.206, so a person should read the rest of it. Note that this provision rests on ULG-03, not on the quoted ULG-05.
Built-form codes = SHALL. CGDCR 2017 (ULG-05, p.180) says: 'All habitable spaces shall have minimum height of 2.9mts between finished floor levels'. Floor height is one of the items the methodology names. The CGDCR also has a 'Road Width and Building Height' table (Table 8.3.1, p.112) and plinth-height rules (p.179). Its table of contents lists a 'Build-to-Line' section (p.112), but I could not read that text before the tool limit. On their own, GPMC s.458(12)-(13) (set-backs, height) and s.269 (frontage and architectural features) are only 'may' powers.
Universal accessibility = SHALL. CGDCR 2017 (pp.178-185) sets mandatory 'shall' standards: an accessible entrance for people with disability; ramp gradients of no more than 1:12, with set widths and handrails; guiding floor material for visually impaired persons; a 900mm minimum door opening; and two accessible car-parking spaces for every 25 spaces or fewer. The Step 2 answer said it found no accessibility provision; the CGDCR text shows otherwise. The CGDCR are regulations notified by the Gujarat UD&amp;UHD Department under the state town-planning law. I have counted them as part of 'the law' under the whole-instrument-stack rule. A reviewer should confirm that regulations count when the methodology names the 'T&amp;CP Act or Municipal Act'.
Footpaths = blank (not found, not absent). The GPMC Act gives only s.203(1), which says the Commissioner 'may place and keep in repair fences and posts for the safety of pedestrians'. Beyond that, its Schedule (private streets) r.3 lets the Commissioner call for plans showing carriage-way and foot-way proportions. That is a requirement to submit documents, not a design standard. The CGDCR access-path rules cover paths inside the building plot, not public footpaths. The rest of the CGDCR, GTPUD Act s.12 and the 1979 Rules were not fully read, so I cannot claim the required affirmative absence.
Underground utilities = blank. GPMC s.458(1) lets the Corporation make by-laws ('may') on drains, drainage works and municipal water-works. That supports at least MAY, but only for water and drainage, not electricity, telecom or gas. The GTPUD Act's contents provisions and the CGDCR services chapters were not read, so I cannot rule out a SHALL. A person should check the GTPUD Act s.12 (development plan contents) and the town planning scheme contents provisions, and the CGDCR infrastructure regulations.
Periods: GPMC Act as modified up to 30 Nov 2017; CGDCR notified 12 Oct 2017 (copy hosted by AUDA). Era n/a.</t>
  </si>
  <si>
    <t xml:space="preserve">The citation didn't settle every input. "Footpaths / pedestrian infrastructure" left blank: the Citation Sheet doesn't decide it. "Underground public utilities" left blank: the Citation Sheet doesn't decide it.</t>
  </si>
  <si>
    <t xml:space="preserve">UPD29b</t>
  </si>
  <si>
    <t xml:space="preserve">Are there prescribed urban design standards to guide the execution of urban projects, including standards for universal accessibility? &gt;:&lt; Does the city have urban design standards to guide the execution of urban projects?</t>
  </si>
  <si>
    <t xml:space="preserve">ANSWER: Partly answered. The Citation Sheet shows that 2 of the 5 categories apply to Surat: (d) built-form codes and (e) universal accessibility. Both come from the state-notified Comprehensive General Development Control Regulations 2017 (CGDCR), which apply to the Surat Urban Development Authority (SUDA) area. No source in the sheet shows adopted or notified city-level standards for (a) roads and streetscapes, (b) footpaths and pedestrian infrastructure, or (c) underground utilities. The city's own websites and design guidelines are not in the sheet, so those three categories are 'not found', not scored 0. | EVIDENCE: (1) CGDCR 2017, Notification GH/V/269 of 2017 dated 12-10-2017, issued by the Gujarat Urban Development and Urban Housing Department (UD&amp;UHD) (ULG-05). Applicability: the regulations apply to land development and building construction in the entire Gujarat State. Table 1.1.1 lists the Surat Urban Development Authority (SUDA) in Category D1. The forms are addressed to the 'Municipal Commissioner ... Municipal Corporation', and the development-permission form cites ss.253/254 of the Gujarat Provincial Municipal Corporations Act (GPMC Act), 1949 (Form 7, p.355; Form C, p.341). (d) Built form, pp.165-166 and 179-180: habitable spaces must have a minimum floor-to-floor height of 2.9 m and the plinth a minimum of 0.45 m. Special buildings have a 12 m road-side margin, the first 6 m of which is kept for shade trees. Fuelling stations need a minimum 30 m road frontag</t>
  </si>
  <si>
    <t xml:space="preserve">Selection of floor material shall be made suitably to attract or to guide visually impaired persons</t>
  </si>
  <si>
    <t xml:space="preserve">Two inputs are YES and three are left blank. Score so far: 2 of 5, with categories (a) to (c) still open.
Why the CGDCR counts for Surat: the CGDCR 2017 (UD&amp;UHD Notification GH/V/269 dated 12-10-2017) says it applies 'to the land development and building construction in the entire Gujarat State'. Table 1.1.1 puts the Surat Urban Development Authority (SUDA) in Category D1. Its appeal committee and forms name the 'Municipal Commissioner of municipal Corporation' as the competent authority. So these are binding, notified regulations that apply to Surat, not national or model guidance that was merely mentioned.
(d) Built-form codes = YES. The CGDCR sets road-side, side and rear margins, defines the 'Front' (main frontage on the road side), and controls façade projections: weather sheds and sun breakers up to 0.60 m, allowed only above 2.4 m from ground level. It also covers building-unit levels relative to the road crown, plinth levels and material specifications. These are built-form controls in the DCRs, which the methodology allows for category (d). I did not see the 2.9 m floor-to-floor height that Step 2 cites on pp.165-166 in the passages I read; the margin and façade provisions are enough on their own.
(e) Universal accessibility = YES. Page 178 requires access paths at least 1.8 m wide with no steps and a gradient no steeper than 1:12. It requires guiding floor material for visually impaired people and non-slip finishes a wheelchair can cross. Every building except dwelling-1&amp;2 must have at least one accessible entrance, and ramps must meet width, length and 800 mm handrail rules.
(a) Roads and streetscapes, (b) footpaths and (c) underground utilities are left blank, not NO. What I found:
- The CGDCR has only plot- or layout-level items: Schedule 26 illustrations of internal and approach roads, the road and amenity definitions, and the drainage and water-line details asked for on site plans.
- GPMC Act (ULG-03) ss.205-206 deal with how wide new public streets must be. They are not design standards for streetscapes, footpaths or utilities.
- I searched the sheet for street design, footpath and utility-duct standards and found none.
This does not prove absence. The SMC and SUDA websites, any Surat street design guidelines, footpath or utility-corridor standards, and the UD&amp;UHD design guidance are not in the Citation Sheet. So these three are 'not found' and need a reviewer to check the SMC and SUDA websites for adopted street or utility design standards.
Also check:
- The sheet copy of the CGDCR is hosted by AUDA, and the sheet shows no amendments after 2017.
- The methodology names the ULG, DA and UDD websites as places to look. A reviewer should confirm that a state-notified DCR applying to SMC/SUDA counts as 'adopted for the city' under the question's Implementation level.
- Capture a dated screenshot.</t>
  </si>
  <si>
    <t xml:space="preserve">The citation didn't settle every input. "Roads &amp; streetscapes" left blank: the Citation Sheet doesn't decide it. "Footpaths / pedestrian infrastructure" left blank: the Citation Sheet doesn't decide it. "Underground public utilities" left blank: the Citation Sheet doesn't decide it.</t>
  </si>
  <si>
    <t xml:space="preserve">UPD30a</t>
  </si>
  <si>
    <t xml:space="preserve">Does the city have a parking policy?  &gt;:&lt; Is there a clear mandate in the law for a parking policy?</t>
  </si>
  <si>
    <t xml:space="preserve">ANSWER: Not found. None of the readable sources sets out a statutory mandate, either 'shall' or 'may', for the Surat city government to prepare or adopt a standalone city-level parking policy. The Municipal Act provisions found only allow by-laws on parking space for buildings and on managing public parking places, and the methodology says these do not qualify. A Surat Parking Policy does exist. It was sanctioned by Government Resolution (GR) dated 05/12/2018, but no source shows it was made under any statutory duty or power to prepare a parking policy. The score cannot be set to 0, because the full main text of the Town Planning Act could not be read. | EVIDENCE: (1) Gujarat Provincial Municipal Corporations Act, 1949 (ULG-03, as modified up to 30.11.2017): s.209(2): 'The aquisition of land for providing, extending or improving a place for the parking of vehicles shall be deemed to be acquisition of land for the purpose of providing, extending or improving a public street' (power to acquire land; does not qualify). s.458(9A) (inserted by Guj. 11 of 2010): the by-law topics include 'the provision and maintenance of parking space and loading and unloading space, for buildings…' (building parking standards; excluded by the methodology). s.458(36): by-laws 'securing the protection of public parks, gardens, public parking places … regulating their management … and the levy of fees therein' (a power to regulate; excluded). A search of the sheet for 'parking policy' found nothing i</t>
  </si>
  <si>
    <t xml:space="preserve">Gujarat Provincial Municipal Corporations Act, 1949 (Bombay Act LIX of 1949), as modified up to 30 November 2017, published by Government of Gujarat, Legislative and Parliamentary Affairs Department [ULG-03]</t>
  </si>
  <si>
    <t xml:space="preserve">https://cpahmedabad.gujarat.gov.in/Upload/MUNCIPAL_2_16082023.pdf</t>
  </si>
  <si>
    <t xml:space="preserve">the provision and maintenance of parking space and loading and unloading space, for buildings erected or re-erected in such locality or for such use as may be specified;</t>
  </si>
  <si>
    <t xml:space="preserve">Input left blank. The Citation Sheet shows no 'shall' or 'may' mandate for Surat Municipal Corporation to prepare or adopt a standalone parking policy. However, I cannot enter NONE because affirmative absence cannot be shown.
What the readable sources show:
(1) GPMC Act (ULG-03), s.458(9A): by-laws on 'parking space ... for buildings'. These are building-level parking standards, which the methodology excludes.
(2) GPMC Act s.458(36): by-laws regulating public parking places and fees. This is a power to regulate, also excluded.
(3) GPMC Act s.209(2): land acquisition for parking. Not a policy mandate.
(4) GPMC Act s.63 (obligatory duties) and s.66 (discretionary duties) list no parking policy.
(5) GTPUD Rules 1979 (ULG-04), in the parts read: nothing on parking policy.
(6) CGDCR 2017 (ULG-05): only building parking requirements (PR 8.12) and deficit-parking fees. The Transit Oriented Zone Local Area Plan with parking management applies to AUDA (Ahmedabad) only.
(7) The Surat Parking Policy (ULG-07) exists and was sanctioned by GR dated 05/12/2018. That is an executive act and practice, not a statutory provision, so it cannot earn credit here. It cites GPMC s.458 only for the city's role in providing and enforcing parking.
(8) A sheet-wide search for 'parking policy' found only CGDCR building parking rules and ULG-07.
Why NONE cannot be entered: in the GTPUD Act 1976 (ULG-01, a PRS secondary copy), pages 2-86 return no text. This looks like a scanned copy without readable text. As a result, the main Act, including s.12 on the contents of a development plan, could not be read. Only the amending Acts of 2017 and 2019 were readable, and they contain nothing on parking.
Also missing from the sheet: the Gujarat Metropolitan Planning Committees Act 2008, any SMC by-laws under s.458, and any state parking-policy rules.
The Step 2 answer is consistent with the sources.
To check: read the official full text of the GTPUD Act 1976 (s.12 and related sections) and confirm there is no newer Gujarat amendment. If neither the GTPUD Act nor the GPMC Act provides for a city parking policy, enter NONE (score 0).</t>
  </si>
  <si>
    <t xml:space="preserve">The citation didn't settle every input. "Mandate for city parking policy in law" left blank: the Citation Sheet doesn't decide it.</t>
  </si>
  <si>
    <t xml:space="preserve">UPD30b</t>
  </si>
  <si>
    <t xml:space="preserve">Does the city have a parking policy?  &gt;:&lt; Has the parking policy been implemented?</t>
  </si>
  <si>
    <t xml:space="preserve">ANSWER: Yes. Surat has a city-level parking policy that was formally adopted. The 'Parking Policy for Surat City' is published on the city government's (SMC's) website, and its cover says it was sanctioned by a state Government Resolution dated 05/12/2018. Under this question's method, an existing policy or proof of its formal adoption scores 5, whether or not any law requires one. | EVIDENCE: ULG-07 (Parking Policy for Surat City, SMC Traffic Cell), cover page 1: 'PARKING POLICY FOR SURAT CITY SANCTIONED VIDE GOVERNMENT RESOLUTION NO. P.R.CH./ 10018/CM-419/P DATE. 05/12/2018'. The document sets out eight binding-style directives using 'shall', including s.9.1 charging for parking, s.9.2 enforcement, s.9.3 proof of parking ('Purchasers shall have to provide proof to SMC that they have a place to park in a 250m radius'), s.9.5 reducing parking minimums and s.9.6 parking permits ('SMC shall issue parking permits ... The traffic cell within SMC shall issue parking permits to users'). The bodies it names as responsible are SMC (Surat Municipal Corporation), its Traffic Cell, and the Traffic Police for enforcement. The other sources (the municipal Act ULG-03, the town-planning Act ULG-01 and Rules ULG-04, the building-control regulations ULG-05, the SUDA Development Plan 2035 ULG-06, and ULG-09 and ULG-10) are not needed, because this question is scored separately from any legal mandate. | CAVEATS: The contents page (page 2) is still headed 'DRAFT PARKING POLICY FOR SURAT CITY', w</t>
  </si>
  <si>
    <t xml:space="preserve">PARKING POLICY FOR SURAT CITY SANCTIONED VIDE GOVERNMENT RESOLUTION NO. P.R.CH./ 10018/CM-419/P DATE. 05/12/2018</t>
  </si>
  <si>
    <t xml:space="preserve">Answer is YES (5 points). Surat has a city-level parking policy, and there is evidence it was formally adopted. The scoring method gives 5 if a city-level parking policy exists or its formal adoption can be shown, whether or not any law requires one. ULG-07, the 'Parking Policy for Surat City', is hosted on the Surat Municipal Corporation's official website (suratmunicipal.gov.in, Traffic Cell page). Its cover says it was sanctioned by Government Resolution No. P.R.CH./10018/CM-419/P dated 05/12/2018. The policy covers the whole Surat Municipal Corporation area. In section 9 it sets out eight policy directives, including charging for parking and issuing parking permits, and names the Corporation's Traffic Cell. I checked the Step 2 answer against the source, and the cover text matches. Things a reviewer should check: (1) Page 2, the contents page, is still headed 'DRAFT PARKING POLICY FOR SURAT CITY', which does not match the 'sanctioned' cover. (2) The text of the 2018 Government Resolution is not in the Citation Sheet, and neither is any resolution of the Corporation's General Board. The adoption rests only on the cover statement. (3) The question title says 'implemented', but the scoring method tests only whether the policy exists or was adopted. No evidence of how well it works on the ground (charging, permits, enforcement) was assessed, and this score makes no claim about it. Confidence is medium because of the draft/sanctioned mismatch and because the sanctioning resolution itself is not in the Citation Sheet.</t>
  </si>
  <si>
    <t xml:space="preserve">UPD31</t>
  </si>
  <si>
    <t xml:space="preserve">Does the city have a city-specific Development Control Regulation (DCR)?</t>
  </si>
  <si>
    <t xml:space="preserve">ANSWER: The Citation Sheet does not show a separate, stand-alone DCR for Surat. Surat's development control comes from the Comprehensive General Development Control Regulations 2017 (CGDCR). The state Urban Development and Urban Housing Department issued them for the whole of Gujarat. Within that state-wide instrument, Surat Urban Development Authority (SUDA) is placed in Category D1, and SUDA has its own FSI table (Table 7.7.4). So the DCR is state-wide but contains provisions written only for Surat. The question is whether that counts as a 'city-specific DCR' (score 10) or as reliance on a 'generic/state-wide DCR' (score 0). The methodology does not settle this, so no score is proposed. Surat's population is about 4.47 million (2011), which is above one million, so NA does not apply. | EVIDENCE: (1) ULG-05 CGDCR 2017, Notification GH/V/269 of 2017 dated 12-10-2017, Applicability clause: 'These regulations shall apply to the land development and building construction in the entire Gujarat State'. Table 1.1.1 lists Category D1 as AUDA, GUDA, 'Surat Urban Development Authority(SUDA)', VUDA and RUDA. Reg. 7.7 says FSI 'for different categories shall be regulated as per the tables 7.7.1 to 7.7.15'. Table 7.7.4 'Use Zone and F.S.I. : Category D1 SUDA' sets Surat-only FSI: Gamtal 2.0; R1/C2 base 1.8 plus 0.9 chargeable, maximum 2.7, rising to 3.6 within 200 m of 36 m roads and 4.0 within 200 m of 45 m roads. Other parts of the CGDCR (margins, uses, procedures) are common to all ca</t>
  </si>
  <si>
    <t xml:space="preserve">These regulations shall apply to the land development and building construction in the entire Gujarat State vide the Notification No.- GH / V/ 269 / of 2017 / EDB – 102016 – 3629 – L, dated 12th october 2017  from the same date . Based on the ju risdiction under different Acts , the Urabun Local Bodies are grouped and shown in Table 1.1.1</t>
  </si>
  <si>
    <t xml:space="preserve">I left the answer blank. It can't be decided from the Citation Sheet for two reasons: the rubric doesn't cover this case (RUBRIC-GAP), and the evidence that would be needed to answer NO is missing.
(1) NA does not apply. Surat's population is above one million: ULG-06 (SUDA Development Plan 2035) gives the SMC population as about 44.68 lakh (2011).
(2) The rules in force for Surat are the Comprehensive General Development Control Regulations 2017 (CGDCR). The Gujarat UD&amp;UHD Department notified them on 12-10-2017 (No. GH/V/269 of 2017), under s.116A read with s.122 of the GTPUD Act 1976. They apply 'in the entire Gujarat State'. That points to a state-wide instrument, which is the 0 band. But the same instrument names SUDA in Category D1 (Table 1.1.1) and has a FSI table that applies only to SUDA (Table 7.7.4). So it is a hybrid. The rubric doesn't say whether a state-wide regulation with city-specific tables counts as a 'city-specific DCR' (10) or as a 'generic/state-wide DCR' (0). I did not create a band; the ASICS team needs to rule on this.
(3) Even if the rubric is read strictly, a NO (0) needs proof that no Surat DCR exists, and the sheet doesn't give that. ULG-06 (DP-2035 report, 22-02-2017, pp.17-18 and 216) says the draft DP 'was prepared including the General Development Control Regulations- GDCR'. It also says SUDA must submit 'the Draft Development Plan-2035 along with the Draft GDCR under section 16' for state approval. The sheet has no gazette notification sanctioning DP-2035 or its GDCR. So I can't tell whether a SUDA-specific GDCR was sanctioned, or whether it was folded into the CGDCR (whose Repeal clause only modifies conflicting regulations 'to the extent of' inconsistency).
(4) Current version: the copy I used is the CGDCR as notified in 2017 (AUDA-hosted copy). The sheet has no later amended text, and no SMC or SUDA page showing which DCR is applied to building permissions today. The Implementation part of the question therefore can't be checked.
What I checked: ULG-05 (Applicability, Table 1.1.1, Repeal/Saving, Reg. 7.7 tables), ULG-06 (DP-2035 report on the GDCR), and the Step 2 review of ULG-01/03/04/11. I also searched the whole sheet for a separate Surat DCR or a sanctioned SUDA GDCR and found none.
Reviewer should: (a) get an ASICS ruling on whether a state-wide CGDCR with SUDA-specific tables counts as city-specific; (b) get the gazette notification sanctioning SUDA DP-2035 and its GDCR, the current consolidated CGDCR with amendments, and a dated SMC/SUDA web page on the DCR now in force.</t>
  </si>
  <si>
    <t xml:space="preserve">UPD32a</t>
  </si>
  <si>
    <t xml:space="preserve">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t>
  </si>
  <si>
    <t xml:space="preserve">10 &gt;:&lt; 2</t>
  </si>
  <si>
    <t xml:space="preserve">ANSWER: Yes, at score 2. The DCRs that apply to Surat are the Comprehensive General Development Control Regulations 2017 (CGDCR), state-wide regulations in which SUDA is listed as Category D1. They go beyond simply zoning land for commerce or industry. They contain specific provisions that enable at least three kinds of economic activity: (1) home-based and cottage enterprises; (2) mixed use, with commercial uses allowed in residential zones and ancillary commercial use in affordable housing, capped at a share of floor space; and (3) higher development intensity (FSI) for residential/commercial land along wide roads in SUDA. They also have flexible use categories that name Surat's own trades (diamond industry, wholesale markets, IT). | EVIDENCE: CGDCR 2017 (Notification GH/V/269 of 2017, 12-10-2017). Applicability, Table 1.1.1: the regulations 'shall apply to the land development and building construction in the entire Gujarat State'. D1 covers the 'Surat Urban Development Authority(SUDA)'. Use-zone tables 7.3.1 apply to D1–D7. Chapter 7, Concept of zones: Residential Zones R1–R4 'includes residential, commercial and mixed land uses as per permissible uses'. Commercial Zones C1–C5 'may also include residential and mixed land uses'. Industrial zones are for 'all types of light industries that include small scale factories'. A Mix Industrial Use zone (IZ7) and a Logistics Zone also exist. Table 7.3.1: R1/R2/R4 allow 'All uses except Industrial- 1,2,3, 4 and Agriculture'. RAH al</t>
  </si>
  <si>
    <t xml:space="preserve">A part of residential building may be permitted for use as office  in case of professional requirements such as for advocates, doctors, architects, engineers, chartered accountants etc. This is subject to a maximum 50 sq.mt and parking for this purpose shall be provided as per commercial basis.</t>
  </si>
  <si>
    <t xml:space="preserve">Score 2. I checked the Step 2 answer against the text of ULG-05 (CGDCR 2017, Notification GH/V/269 of 2017, dated 12-10-2017). The source supports it. Under Table 1.1.1 the regulations apply state-wide, and Category D1 names 'Surat Urban Development Authority(SUDA)'. Table 7.3.1 sets the zones for D1–D7. The DCR goes beyond simply zoning land as commercial or industrial. It has specific provisions that enable at least two kinds and sizes of economic activity:
(1) Home-based and cottage enterprise. Under Table 7.4, Dwelling-2 includes 'Cottage Industry' that does not create noise or vibration, and Dwelling-3 also includes Cottage Industry. Mercantile-1 includes 'Light Home Workshop'. Part of a residential building may be used as a professional office, capped at 50 sq.m, with parking on the commercial basis (note 2 under Table 7-6.2).
(2) Mixed use and commercial use in residential zones. R1, R2 and R4 allow 'All uses except Industrial-1,2,3,4 and Agriculture'. Commercial use in a building is allowed on more floors as the abutting road gets wider: ground floor only on roads of 9 m to under 12 m, ground and first floor on 12 m to under 18 m, all floors on 18 m and above (Table 7-6.2). Non-residential uses may go on any floor of a residential building if it has a separate access (note 1). The RAH zone allows ancillary commercial use.
(3) Flexible use categories for specialised trades. Mercantile-3 covers 'Whole sale Market ... Diamond Industry ... Activity Related to I.T.'.
(4) Transit Oriented Zone (TOZ) / Smart City node. This is a mixed-use, high-density overlay with a 'Relaxation in Parking' for Mercantile-1 (minimum parking 35% of utilised FSI). Its text was read at page 159. However, the zone description says the high-density 200 m transit band applies to AUDA, RUDA and smart city nodes, so how far it applies to Surat should be confirmed. The score does not depend on it.
Caveats:
- I did not re-verify the SUDA-specific FSI table (7.7.4) in the excerpts I read. The read only showed the AUDA table (7.7.1), so the road-linked FSI figures in Step 2 are not relied on here.
- No MSME-specific or street-vending provision was found in the parts read.
- ULG-05 is the 2017 text as notified. No later amendments are in the Citation Sheet; a person should check whether amendments changed Tables 7.3.1, 7.4 or 7-6.2.
- Whether these rules apply in the SMC area rests on the state-wide applicability clause and on SMC lying within SUDA's area (ULG-11, a 2013 presentation).
- The question's assessment level says 'Law or Policy' although the group label says Implementation. I scored the regulatory provisions, as the Detailed Methodology directs.</t>
  </si>
  <si>
    <t xml:space="preserve">UPD32b</t>
  </si>
  <si>
    <t xml:space="preserve">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t>
  </si>
  <si>
    <t xml:space="preserve">ANSWER: Partly. The Gujarat CGDCR 2017 applies to SUDA, which is Category D1, so it covers Surat. It contains at least two specific controls and incentives for the urban poor, through its Residential Affordable Housing (RAH) chapter. For women, I found only one possible provision: toilets must be provided for each gender, with numbers based on how many users of that gender the building has. That rule is written neutrally for every gender, so it may count as a general provision. I also could not finish checking for women-specific terms such as female, ladies or crèche. So the score is either 1 (urban poor only) or 2 (both groups), and I cannot settle which. | EVIDENCE: (1) CGDCR 2017, Notification GH/V/269 of 2017 dated 12.10.2017, Table 1.1.1 (p.33): D1 covers 'Surat Urban Development Authority(SUDA)'. Table 7.7.4 sets SUDA's FSI. (2) RAH chapter, pp.157-158. (a) 'Affordable Housing is predominantly Residential development for providing Affordable Housing of dwelling units up to 80 sq.mts'. It is permitted in most zones. (b) Minimum density of 225 dwelling units per hectare. (c) RAH projects 'shall utilize a minimum FSI of 1.8 and maximum 2.7 to avail the benefits of RAH'. Additional FSI is charged at a reduced rate: 10% of jantri rates for units up to 50 sq.m, 20% for 50-66 sq.m and 30% for 66-80 sq.m (Table 12.2.1). The general chargeable rate is 40% of jantri (Table 7.7.4, and p.97 note: 'Chargeable FSI Rates for affordable housing shall be applicable as per residential af</t>
  </si>
  <si>
    <t xml:space="preserve">Projects under Residential Affordable Housing (RAH) shall utilize a minimum FSI of 1.8 and maximum 2.7 to avail the benefits of “RAH”.</t>
  </si>
  <si>
    <t xml:space="preserve">I scored 1: the DCR has several specific provisions for the urban poor, but I found none written specifically for women.
Applicability: Step 2 reports that CGDCR 2017 (Notification GH/V/269 of 2017, dated 12.10.2017) lists SUDA in category D1. I did not re-check that table myself.
Urban poor (met, with more than two provisions):
(a) RAH covers dwelling units up to 80 sq.m. It needs a minimum density of 225 dwelling units per hectare. It is allowed as a use in most zones.
(b) Additional FSI is charged at reduced rates: 10%, 20% or 30% of jantri rates depending on unit size (Table 12.2.1). The general rate is 40% (Table 7.7.4, per Step 2).
(c) The entire area left after margins and common plot may be built on (ground coverage).
(d) Parking is lower: 10% or 20% of utilised FSI (Table 12.4.1).
(e) If the RAH zone line divides a plot, the whole plot gets the maximum FSI.
(f) Owners may build under Mukhyamantri Awas Yojana.
These are all development controls or incentives tied to affordable housing, not just mentions of it.
Women (not met): Reg. 21.9 says 'Water closets shall be provided for each gender', with numbers based on users of each gender and gender signage. The rule is written neutrally for every gender and every building user. Under the QB note, general provisions applicable to all users do not count unless they specifically address women's needs, so I did not count it. It would also be only one provision.
I searched ULG-05 for female, ladies, women, crèche and toilet, and searched across the whole Citation Sheet for ladies, female, crèche and working women hostel. The only women-related text was the definition of 'Use-Institutional', which mentions care centres for 'abandoned women'. That is a definition of a use, not a control or incentive.
I checked the Act (ULG-01), the Rules (ULG-04), BPMC Act Chapter XV (ULG-13) and the Parking Policy (ULG-07) only through the sheet-wide searches. None of them showed a women-specific development provision.
A person should check:
1. Confirm the treatment of the gender-wise WC rule. If the reviewer treats it as a women-specific standard, the score could be 2.
2. Any CGDCR amendments after 2017, and any Surat-specific slum or redevelopment regulation. These are not in the Citation Sheet and could add women-specific provisions.
3. Long documents were shown only as their most relevant passages, so I cannot fully rule out a women-specific provision somewhere else in ULG-05.
The score of 1 rests on the urban-poor provisions being clearly present. I did not establish full affirmative absence on the women side.</t>
  </si>
  <si>
    <t xml:space="preserve">UPD32c</t>
  </si>
  <si>
    <t xml:space="preserve">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t>
  </si>
  <si>
    <t xml:space="preserve">ANSWER: Yes. The DCR that applies to Surat, Gujarat's Comprehensive General Development Control Regulations 2017 (CGDCR, notified by the Urban Development and Urban Housing Department, GoGJ, on 12 Oct 2017), has specific environmental standards and a green-building incentive. (a) It cuts 5% off the chargeable FSI amount payable for energy-efficient (green) buildings that hold a GRIHA rating or one from another government-recognised institute. (b) Rainwater harvesting and groundwater recharge are mandatory for buildings with ground coverage of 80 sq.m and above, scaled by plot size, and rainwater storage tanks are mandatory on building-units over 1000 sq.m. (c) Rooftop solar PV is mandatory: at least 5% of connected load or 20W/sqft of available roof, whichever is less. (d) Listed building types must have solar water heating. (e) It also has rules on solid-waste segregation and pollution control. This is the Score 2 band: specific controls, standards and incentives that actively promote environmental sustainability. | EVIDENCE: CGDCR 2017 (ULG-05). Applicability (Table 1.1.1, p.33-34): 'These regulations shall apply to the land development and building construction in the entire Gujarat State'. It lists Surat Urban Development Authority (SUDA) under category D1. Preamble: issued under s.116A r/w s.122 of the GTP&amp;UD Act 1976. Rain Water Harvesting (p.229-230): 'Rain water harvesting is mandatory for all buildings with ground coverage 80 sq.mt and above.' It specifies percolatio</t>
  </si>
  <si>
    <t xml:space="preserve">chargeable FSI for the energy efficient buildings (Green Building) as 5% discount in the total payable amount.</t>
  </si>
  <si>
    <t xml:space="preserve">Score 2. I checked the Step 2 answer against ULG-05 and the source supports it. Gujarat's statewide Comprehensive General Development Control Regulations (CGDCR) 2017 have both binding environmental standards and an incentive, which is what Score 2 requires. (1) Incentive: an owner who holds a GRIHA rating certificate (or one from another government-recognised institute) gets a 5% discount on the chargeable FSI payable. The text says 'The Competent Authority shall offer some incentives' (p.234-235). (2) Standards: 'Rain water harvesting is mandatory for all buildings with ground coverage 80 sq.mt and above.' Percolation pits, percolating wells or a retention pond are required depending on plot size (p.229-230). A rain water storage tank is 'mandatory' for building-units over 1000 sq.m (p.230). Solar-assisted water heating 'shall' be provided in listed building types (Table 25-1). Rooftop solar PV must generate at least 5% of connected load or 20W/sqft of available roof, whichever is less (Table 25.6-2). Source segregation of dry and wet solid waste is also required. Under the methodology, green-building incentives and standards of this kind score 2. The score does not rely on the Environment Impact Assessment clause (p.235), which only requires SEIAA (state environment impact assessment authority) clearance by project size; the Note says that alone does not qualify. Applicability to Surat: the Applicability clause says 'These regulations shall apply to the land development and building construction in the entire Gujarat State'. Table 1.1.1 lists the Surat Urban Development Authority (SUDA) under category D1. Form 7 (grant of development permission) cites Sections 253 and 254 of the Gujarat Provincial Municipal Corporations Act, 1949 and is addressed to the Municipal Commissioner, which supports applicability to the Surat Municipal Corporation's area. Limits: the Citation Sheet copy is the base notification of 12 Oct 2017 (hosted by AUDA, the Ahmedabad Urban Development Authority). Later CGDCR amendments were not available or reviewed. A reviewer should confirm that the current consolidated CGDCR keeps the green-building incentive and the rainwater and solar mandates. Regulation numbers are inferred from table numbering (25.x). Context only, not used for scoring: ULG-04 (the 1979 Rules made under the Gujarat Town Planning and Urban Development Act) and ULG-06 (SUDA Development Plan 2035 report, not a DCR).</t>
  </si>
  <si>
    <t xml:space="preserve">UPD32d</t>
  </si>
  <si>
    <t xml:space="preserve">Does the city’s DCR provide development controls, standards or incentives that enable positive economic, environmental, public health, heritage, and inclusion outcomes? &gt;:&lt; Do the DCRs provide development controls or standards that promote positive public-health outcomes?</t>
  </si>
  <si>
    <t xml:space="preserve">ANSWER: Yes. The Comprehensive General Development Control Regulations 2017 (CGDCR) are the state-wide DCR, and they apply to Surat Urban Development Authority (SUDA), category D1. They contain at least four controls that go beyond routine minimum building standards and are aimed at health-related spatial risks: (1) a ban on industrial effluent that would endanger public health, and a requirement that emissions in the special industrial zone be purified and made harmless 'from the public health point of view'; (2) separation distances for mining, quarrying and brick kilns (75 m without blasting, 200 m with blasting) plus a no-nuisance condition; (3) septic or soak systems kept at least 12 m from any drinking-water source, explicitly 'to mitigate the possibility of bacterial pollution'; (4) zoning that keeps obnoxious and hazardous industries out of the general industrial zones and confines them to IZ5/IZ6, where homes are limited to industrial-worker housing. The CGDCR also sets basic standards: ventilation and natural light, ventilation of WCs and bathrooms, and minimum sanitary fittings. This meets the Score 2 band. | EVIDENCE: CGDCR 2017 (Notification GH/V/269 of 2017, 12-10-2017, Urban Development and Urban Housing Department, Govt of Gujarat): Applicability, Table 1.1.1 (p.33): 'D1 ... Surat Urban Development Authority(SUDA)'. Pollution Control, Industrial Pollution (p.236): 'No industrial effluent shall be disposed or exposed so as to cause nuisance and endanger to publ</t>
  </si>
  <si>
    <t xml:space="preserve">Industries in the special industrial zone which emit liquid and gaseous effluents shall not be allowed to emit such effluent unless they are purified and rendered harmless from the public health point of view by provision of purification plants, as may be prescribed by the Competent Authority and/or the Gujarat Pollution Control Board.</t>
  </si>
  <si>
    <t xml:space="preserve">Score 2. The Step 2 answer was checked against ULG-05, and I confirmed each passage it relies on myself.
(1) It applies to Surat. The Applicability clause (p.33) says the CGDCR 2017 covers 'the entire Gujarat State' under Notification GH/V/269 of 12-10-2017. Table 1.1.1 lists Surat Urban Development Authority (SUDA) under D1.
The CGDCR has health controls that go beyond routine minimum building standards in two or more places:
(a) Industrial Pollution (p.236): 'No industrial effluent shall be disposed or exposed so as to cause nuisance and endanger to public health and shall not be disposed in a water body of any kind.' Effluent from industries in the special industrial zone must also be 'purified and rendered harmless from the public health point of view'.
(b) Mining, Quarrying and Brick Kiln (p.164): operations involving blasting are 'not permitted within a distance of 200mts from any public road, railway line, canal, transmission line or any other building'. Item 1 sets a 75 m distance for operations without blasting. Its printed wording says 'shall be permitted within', which looks like a drafting error, but the 200 m blasting buffer is unambiguous. Operations 'shall not cause any nuisance to people in the vicinity'.
(c) Septic Tank, item 1 (p.191): a sub-soil dispersion system 'shall not be closer than 12mts to any source of drinking water, such as a well, to mitigate the possibility of bacterial pollution of water supply'. Item 2(c) bars untreated septic effluent from open drains or water bodies.
Basic standards are also present: ventilation of rooms and of WCs/bathrooms (pp.186-187) and minimum sanitary facilities (pp.189-191).
This matches the Score 2 band, which covers separation distances from polluting or hazardous uses and controls that explicitly address health-related spatial risks. The Step 2 answer also cites zoning that keeps hazardous industry in IZ5/IZ6 (p.85). That passage did not come up in my reads, but the score does not depend on it.
Incentives: the scorer notes ask us to record incentives. No health-specific incentive (FSI or relaxation) was found, and the rubric does not require one.
For a person to check:
- The text read is the CGDCR as notified on 12-10-2017, in a copy hosted by AUDA. Later amendments and any Surat-specific special regulations are not in the Citation Sheet.
- Please confirm that the current amended CGDCR keeps these provisions and is the operative DCR for the SMC area. The Step 2 answer links them through SUDA D1 plus the DP 2035 report (ULG-06).
- The QB evidence requirement calls for a dated screenshot.</t>
  </si>
  <si>
    <t xml:space="preserve">UPD32e</t>
  </si>
  <si>
    <t xml:space="preserve">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t>
  </si>
  <si>
    <t xml:space="preserve">ANSWER: Yes. The development control regulations (DCRs) that apply to Surat's area actively enable and incentivise heritage conservation and adaptive reuse, with more than two provisions. They are the Comprehensive General Development Control Regulations 2017 (CGDCR), issued by the state for the whole of Gujarat. The Surat Urban Development Authority (SUDA) is in category D1, and SUDA's development area includes the Surat Municipal Corporation (SMC) area. For Core Walled City heritage areas the CGDCR provides: (1) tradable development rights (TDR) as an incentive for heritage buildings, set at 50% or 30% of the FSI already used, with a Tradable Right Certificate; (2) up to 10% of that floor space usable for extensions or alterations to the heritage building itself; (3) no parking requirement for heritage structures and precincts when the proposed use is hospitality or sympathetic adaptive reuse to residential; and (4) hospitality allowed as a permitted use in heritage areas. The CGDCR also has protective controls (owners must conserve façades, footprint and open-space character; a Heritage Conservation Committee advises on permissions and has a power of prior approval). The plan and rules are made by the state Urban Development and Urban Housing Department (UD&amp;UHD) and SUDA. | EVIDENCE: CGDCR 2017 (Notification GH/V/269 of 2017 dated 12.10.2017), Section A, Applicability, Table 1.1.1: 'D1 ... Surat Urban Development Authority(SUDA)'. Reg. 7 (Concept of zones): 'Core Walled Ci</t>
  </si>
  <si>
    <t xml:space="preserve">UPD33a</t>
  </si>
  <si>
    <t xml:space="preserve">Does the city have a mandate to provide incentives for green buildings, and are these incentives operationalised? &gt;:&lt; Does the law mandate incentives for green buildings ?</t>
  </si>
  <si>
    <t xml:space="preserve">ANSWER: Not determined. No provision in the T&amp;CP Act or the Municipal Act that mandates or enables green-building incentives was found in the Citation Sheet. However, the main text of the Gujarat Town Planning and Urban Development Act, 1976 could not be read, so absence cannot be confirmed. A green-building incentive does exist one level down, in the state's Comprehensive General Development Control Regulations 2017 (CGDCR), which provide a 5% discount on chargeable FSI for GRIHA-rated energy-efficient buildings. Those are regulations, not a provision of the Act, which is what this question tests. | EVIDENCE: (1) T&amp;CP Act: Gujarat Town Planning and Urban Development Act, 1976, PRS copy (ULG-01). Pages 2-86, which hold the main Act, have no readable text. The readable amendment Acts (2017 gazette amendments to ss.7, 23, 49, 52 and 76A; 2019 amendments to ss.9 and 12, new s.19A, and the DPC and MPC Acts) contain nothing on green buildings or incentives. (2) Municipal Act: Gujarat Provincial Municipal Corporations Act, 1949, as modified up to 30 Nov 2017 (ULG-03). The only property-tax rebate section found, s.141E, gives a 15% general-tax rebate for buildings without municipal water supply and a 20% rebate for cellars and upper floors of non-residential buildings. Neither is a green-building incentive. A full search of this Act for green, energy or environment provisions was not finished. (3) Rules: the Gujarat Town Planning and Urban Development Rules, 1979 (ULG-04) were seen </t>
  </si>
  <si>
    <t xml:space="preserve">I left Answer blank because the Act layer can't be decided. The question asks whether the Act (the T&amp;CP Act or the Municipal Act) mandates or enables green-building incentives. (1) T&amp;CP Act: ULG-01 is the PRS copy of the Gujarat Town Planning and Urban Development Act, 1976. Its main text (about pp.2-86) came back with no readable text. The amendment Acts I could read contain nothing on green buildings or incentives: the 2017 gazette amendments to ss.7, 23, 49, 52, 76A and 119, and Gujarat Act 14 of 2019 amending ss.9 and 12, adding s.19A, and amending the DPC and MPC Acts. So I can't confirm the T&amp;CP Act has no such provision, and nothing in it supports YES. (2) Municipal Act: ULG-03 is the GPMC Act 1949, modified to 30 Nov 2017. The only rebate section I found is s.141E: a 15% general-tax rebate where there is no municipal water supply, and 20% for cellars and upper floors of non-residential buildings. Neither is a green-building incentive. ULG-13 (SMC Chapter XV building regulations, ss.265-269) has nothing on incentives. Searches for green, energy, solar and rebate terms in ULG-03 found nothing more, but those searches return only the most relevant excerpts, so this was not a full read. (3) Rules: ULG-04 (the GTPUD Rules 1979) was seen only in excerpt in Step 2, with nothing on incentives. (4) Regulations: CGDCR 2017 (ULG-05, notified 12 Oct 2017) has a binding 'shall' provision: a 5% discount on chargeable FSI for GRIHA-rated green buildings. This is a regulation-level incentive, not an Act provision. The methodology scores only the Act ('Score 5 if the Act provides...'), so I did not use it to give YES. ULG-06, ULG-09, ULG-07 and ULG-10 are plans and policies, not law. ULG-09 only 'encourages' green practices. RESULT: I can't give YES because no Act provision was found. I can't give NO because absence isn't proven: the main T&amp;CP Act text is unreadable and the Municipal Act was not read in full. A reviewer should check: (a) the readable GTPUD Act 1976, especially s.12 (contents of the development plan) and the section under which GDCRs are made, for any enabling provision on incentives or FSI; (b) a full read of the GPMC Act; (c) whether the methodology lets a regulation-level 'shall' incentive (CGDCR) count as 'the law'. If so, YES may be justified, subject to confirming that the CGDCR category covering SMC/SUDA applies to Surat. Period: GPMC Act as modified to 2017; T&amp;CP Act amendments up to 2019; CGDCR as of 2017. Later CGDCR amendments are not in the Citation Sheet. I agree with the Step 2 answer.</t>
  </si>
  <si>
    <t xml:space="preserve">The AI's citation or quote failed the check. The AI's quote couldn't be found word for word in ULG-05, so its answer was discarded. AI comments: I left Answer blank because the Act layer can't be decided. The question asks whether the Act (the T&amp;CP Act or the Municipal Act) mandates or enables green-building incentives. (1) T&amp;CP Act: ULG-01 is the PRS copy of the Gujarat Town Planning and Urban Development Act, 1976. Its main text (about pp.2-86) came back with no readable text. The amendment Acts I could read contain nothing on green buildings or incentives: the 2017 gazette amendments to ss.7, 23, 49, 52, 76A and 119, and Gujarat Act 14 of 2019 amending ss.9 and 12, adding s.19A, and amending the DPC and MPC Acts. So I can't confirm the T&amp;CP Act has no such provision, and nothing in it supports YES. (2) Municipal Act: ULG-03 is the GPMC Act 1949, modified to 30 Nov 2017. The only rebate section I found is s.141E: a 15% general-tax rebate where there is no municipal water supply, and 20% for cellars and upper floors of non-residential buildings. Neither is a green-building incentive. ULG-13 (SMC Chapter XV building regulations, ss.265-269) has nothing on incentives. Searches for green, energy, solar and rebate terms in ULG-03 found nothing more, but those searches return only the most relevant excerpts, so this was not a full read. (3) Rules: ULG-04 (the GTPUD Rules 1979) was seen only in excerpt in Step 2, with nothing on incentives. (4) Regulations: CGDCR 2017 (ULG-05, notified 12 Oct 2017) has a binding 'shall' provision: a 5% discount on chargeable FSI for GRIHA-rated green buildings. This is a regulation-level incentive, not an Act provision. The methodology scores only the Act ('Score 5 if the Act provides...'), so I did not use it to give YES. ULG-06, ULG-09, ULG-07 and ULG-10 are plans and policies, not law. ULG-09 only 'encourages' green practices. RESULT: I can't give YES because no Act provision was found. I can't give NO because absence isn't proven: the main T&amp;CP Act text is unreadable and the Municipal Act was not read in full. A reviewer should check: (a) the readable GTPUD Act 1976, especially s.12 (contents of the development plan) and the section under which GDCRs are made, for any enabling provision on incentives or FSI; (b) a full read of the GPMC Act; (c) whether the methodology lets a regulation-level 'shall' incentive (CGDCR) count as 'the law'. If so, YES may be justified, subject to confirming that the CGDCR category covering SMC/SUDA applies to Surat. Period: GPMC Act as modified to 2017; T&amp;CP Act amendments up to 2019; CGDCR as of 2017. Later CGDCR amendments are not in the Citation Sheet. I agree with the Step 2 answer.</t>
  </si>
  <si>
    <t xml:space="preserve">UPD33b</t>
  </si>
  <si>
    <t xml:space="preserve">Does the city have a mandate to provide incentives for green buildings, and are these incentives operationalised? &gt;:&lt; Does your city give incentives for green buildings ?</t>
  </si>
  <si>
    <t xml:space="preserve">ANSWER: There is a binding state rule that gives a green-building incentive in Surat. Under the Gujarat Comprehensive General Development Control Regulations 2017 (CGDCR), a building rated by GRIHA (or by another government-recognised institute) gets a 5% discount on the total amount payable for chargeable (purchased) FSI. The CGDCR applies across Gujarat and names the Surat Urban Development Authority (SUDA) in its category D1. This incentive is set by the state, not created by the Surat city government. Two things are not shown: that the clause is still in force in the current amended CGDCR, and that the incentive is actually granted in Surat. So it is not yet established that the incentive is 'operational' as the question requires. | EVIDENCE: (1) ULG-05, CGDCR 2017, Notification GH/V/269 of 2017 dated 12 Oct 2017, UD&amp;UHD Gujarat. Applicability clause and Table 1.1.1 (pp. 33-34): 'These regulations shall apply to the land development and building construction in the entire Gujarat State'. Category D1 includes 'Surat Urban Development Authority(SUDA)'. Energy Efficient Buildings clause in Regulation 25 (pp. 234-235): an owner who produces a GRIHA or equivalent rating certificate gets the benefit that 'The Competent Authority shall offer some incentives in the rate of chargeable FSI for the energy efficient buildings (Green Building) as 5% discount in the total payable amount'. The verb is 'shall', so the incentive is mandatory, and the owner must register with GRIHA before </t>
  </si>
  <si>
    <t xml:space="preserve">Left blank for human review. YES is not established because nothing shows the incentive works in practice. NO cannot be given because an incentive provision exists.
(1) What the source shows: I checked the Step 2 answer against ULG-05 and it is accurate. The Gujarat Comprehensive General Development Control Regulations 2017 (CGDCR, notified 12 Oct 2017) say a building rated by GRIHA or another government-recognised institute gets a 5% discount on the total amount payable for chargeable FSI. The verb is 'shall' ("The Competent Authority shall offer"). The CGDCR applies to the 'entire Gujarat State', and Category D1 names the Surat Urban Development Authority (SUDA). The Appeal Committee clause also lists a 'Municipal Commissioner of municipal Corporation' as a competent authority. Page 99 shows Category D1 covering a city corporation's area through its development authority ('GUDA (for GMC Area)'), the same pattern as SUDA. So the incentive probably applies inside the Surat Municipal Corporation (SMC) area, but this is not said expressly for Surat.
(2) Why not YES: This sub-question is assessed at Implementation level. To score 5, at least one green-building incentive must be 'operational in the city'. The Citation Sheet has only the 2017 text of the regulation. There is no current consolidated or amended CGDCR to confirm the clause survived later amendments. There is also nothing from SMC or SUDA applying the discount: no fee or chargeable-FSI schedule, circular, approval record or GRIHA/IGBC listing. Under the rules, a legal provision is not proof of practice. A reviewer could still accept a binding statewide DCR incentive as 'provided in the city', because the methodology names the DCR as a place to look. If they do, the answer should be YES (score 5).
(3) Why not NO: An incentive provision does exist, so there is no affirmative absence.
(4) Other sources checked:
- ULG-06 (SUDA Development Plan 2035, s.13.5.14) only recommends extra FSI for green industrial buildings, so it is not credited.
- ULG-09 (NITI Aayog, 2024) only recommends that guidelines be drafted.
- ULG-03 (Gujarat Provincial Municipal Corporations Act) contains no green-building property-tax rebate.
- ULG-01, ULG-04, ULG-07, ULG-10 and ULG-13 have no relevant incentive.
- A search across the whole Citation Sheet for green building / GRIHA / IGBC / rebate returned only the ULG-05 clause.
PERIOD: CGDCR as notified on 12 Oct 2017; current status not checked. Era: n/a.
CONFIRM: (a) Is a binding DCR incentive enough to count as 'operational'? (b) Is the clause still in force in the current amended CGDCR, and does it apply within SMC limits?</t>
  </si>
  <si>
    <t xml:space="preserve">The AI's citation or quote failed the check. The AI's quote couldn't be found word for word in ULG-05, so its answer was discarded. AI comments: Left blank for human review. YES is not established because nothing shows the incentive works in practice. NO cannot be given because an incentive provision exists.
(1) What the source shows: I checked the Step 2 answer against ULG-05 and it is accurate. The Gujarat Comprehensive General Development Control Regulations 2017 (CGDCR, notified 12 Oct 2017) say a building rated by GRIHA or another government-recognised institute gets a 5% discount on the total amount payable for chargeable FSI. The verb is 'shall' ("The Competent Authority shall offer"). The CGDCR applies to the 'entire Gujarat State', and Category D1 names the Surat Urban Development Authority (SUDA). The Appeal Committee clause also lists a 'Municipal Commissioner of municipal Corporation' as a competent authority. Page 99 shows Category D1 covering a city corporation's area through its development authority ('GUDA (for GMC Area)'), the same pattern as SUDA. So the incentive probably applies inside the Surat Municipal Corporation (SMC) area, but this is not said expressly for Surat.
(2) Why not YES: This sub-question is assessed at Implementation level. To score 5, at least one green-building incentive must be 'operational in the city'. The Citation Sheet has only the 2017 text of the regulation. There is no current consolidated or amended CGDCR to confirm the clause survived later amendments. There is also nothing from SMC or SUDA applying the discount: no fee or chargeable-FSI schedule, circular, approval record or GRIHA/IGBC listing. Under the rules, a legal provision is not proof of practice. A reviewer could still accept a binding statewide DCR incentive as 'provided in the city', because the methodology names the DCR as a place to look. If they do, the answer should be YES (score 5).
(3) Why not NO: An incentive provision does exist, so there is no affirmative absence.
(4) Other sources checked:
- ULG-06 (SUDA Development Plan 2035, s.13.5.14) only recommends extra FSI for green industrial buildings, so it is not credited.
- ULG-09 (NITI Aayog, 2024) only recommends that guidelines be drafted.
- ULG-03 (Gujarat Provincial Municipal Corporations Act) contains no green-building property-tax rebate.
- ULG-01, ULG-04, ULG-07, ULG-10 and ULG-13 have no relevant incentive.
- A search across the whole Citation Sheet for green building / GRIHA / IGBC / rebate returned only the ULG-05 clause.
PERIOD: CGDCR as notified on 12 Oct 2017; current status not checked. Era: n/a.
CONFIRM: (a) Is a binding DCR incentive enough to count as 'operational'? (b) Is the clause still in force in the current amended CGDCR, and does it apply within SMC limits?</t>
  </si>
  <si>
    <t xml:space="preserve">UPD34</t>
  </si>
  <si>
    <t xml:space="preserve">Does the law enable a guaranteed land titling system ?</t>
  </si>
  <si>
    <t xml:space="preserve">ANSWER: The Citation Sheet shows no Gujarat land titling Act, and no Government Order, circular or notification that sets up certification or guarantee of land titles across the state. The closest provision is narrow. Under Rule 53(3) of the Gujarat Town Planning and Urban Development Rules, 1979, the head of the Town Planning and Valuation Department 'may' issue a 'Certificate of Tenure and Title' (Form R) for a final plot in a sanctioned Town Planning Scheme. That certificate is only 'primafacie proof' of title, and a Civil Court decree can override it. It is not a guaranteed or conclusive title. It covers only final plots in Town Planning Schemes, and it is issued at the department's discretion when an owner applies. Whether it counts as a 'land titling framework' under Part A needs confirmation. I cannot record a 0 either, because the land revenue and land records laws (the other layers that would need checking) are not in the Citation Sheet. | EVIDENCE: (1) Gujarat Town Planning and Urban Development Rules, 1979 (ULG-04): Rule 53(3): 'The head of Town Planning and Valuation Department may, on an application of an owner of any plot included in the scheme so sanctioned, issue a certificate in Form R specifying the area and boundaries of a Final plot, the nature of the tenure of land of the owner's title to such a plot...'. Form R (pp.56-57), titled 'Certificate of Tenure and Title', is granted 'as a primafacie proof of the tenure, and title of the owner above named and sha</t>
  </si>
  <si>
    <t xml:space="preserve">This Certificate is granted under Rule 53(3) of the rules under the Gujarat Town Planning and Urban Development Act,1976, as a primafacie proof of the tenure, and title of the owner above named and shall be valid unless declared otherwise by a decree from a Civil Court</t>
  </si>
  <si>
    <t xml:space="preserve">Both inputs are blank and no score is proposed.
What the source says: I checked the Step 2 answer against ULG-04, and the source supports it. Under Rule 53(3), the head of the Town Planning and Valuation Department 'may' issue a Form R 'Certificate of Tenure and Title'. This is only possible when an owner applies, and only for a Final Plot in a sanctioned Town Planning Scheme. The certificate is 'primafacie proof' of title and stays valid only 'unless declared otherwise by a decree from a Civil Court'. In Note (3) of the form, the 'period of guarantee' means the period of the land revenue assessment, not a guarantee of title.
Part A is blank, not YES:
- The question asks about a 'guaranteed' land titling system, and the methodology asks for 'certification/guarantee of land titles' by a titling law or Government Order.
- This certificate has no state guarantee, can be overridden by a Civil Court, is issued at the department's discretion ('may'), and covers only Town Planning Scheme final plots. It falls well short of a land titling framework.
- The methodology team needs to confirm whether a certificate like this could ever qualify. My view is that it does not.
Part A is not NO either: a NO would score 0, which needs affirmative absence, and these instruments are not in the Citation Sheet:
- the Gujarat / Bombay Land Revenue Code, 1879 and its rules on the record of rights;
- any Gujarat land titling Act or Bill;
- any Revenue Department Government Order or notification on conclusive titling or title certification;
- the Gujarat legislation and gazette indexes.
What I checked:
- ULG-01: Town Planning Act, as amended to 2019.
- ULG-03: Gujarat Provincial Municipal Corporations Act, as modified to 30.11.2017. It mentions 'title' only in other contexts.
- ULG-04: Town Planning Rules, 1979.
- ULG-05: CGDCR 2017. It is a permission form, not a titling instrument.
- ULG-06, ULG-07, ULG-09, ULG-10: plans and policies, none of them about titling.
- A search of the whole Citation Sheet for 'land titling conclusive title guarantee' found nothing beyond Form R.
Part B: depends on Part A, so it is also blank.
Next step for the research team: add the Gujarat Revenue Department and land-records instruments, and check whether any Gujarat titling Act or GO exists. If none exists and those instruments are read, Part A = NO and the score is 0.
Period: the Rules are the 1979 text as hosted by SUDA. I could not check later amendments to Rule 53 or Form R.</t>
  </si>
  <si>
    <t xml:space="preserve">The citation didn't settle every input. "Part A: Land titling Act / Government Order exists" left blank: the Citation Sheet doesn't decide it. "Part B: Rules notified / framework operational (counts only if Part A = YES)" left blank: the Citation Sheet doesn't decide it.</t>
  </si>
  <si>
    <t xml:space="preserve">UPD35</t>
  </si>
  <si>
    <t xml:space="preserve">Does the law enable a guaranteed land pooling system ?</t>
  </si>
  <si>
    <t xml:space="preserve">ANSWER: Yes, for Town Planning Schemes (TPS). Gujarat's law provides a land reconstitution mechanism through TPS under the Gujarat Town Planning and Urban Development Act, 1976 (GTPUD Act). The GTPUD Rules, 1979 set out how TPS work, in Chapter V and Forms H-K and R. No separate land pooling Act, Government Order or circular was found in the Citation Sheet. Mechanism to record: TPS/land reconstitution only. Part A = 5, Part B = 5. | EVIDENCE: (1) GTPUD Act (ULG-01, PRS copy with amendments appended). The 2017 amending Act (Gujarat Government Gazette Extraordinary, 13-04-2017) works on the TPS chapter. It adds a proviso to s.49(1)(b): 'in accordance with the Draft Town Planning Scheme sanctioned under sub-section (2) of section 48'. It also amends s.52(1). It adds 'or Local Area Plan' after 'town planning schemes' in ss.7(1)(ii) and 23(1)(ii). So the TPS provisions are part of the Act and still being amended. (2) GTPUD Rules, 1979 (ULG-04), Chapter V. Rule 16: publishing the declaration of intention to make a scheme under s.41. Rule 17: the appropriate authority 'shall call a meeting or meetings of the owners of the lands included in a town planning scheme' before making the draft scheme under s.42. Rule 18: publishing the draft scheme and taking objections before it goes to the State under s.48. Rule 23: inquiry where ownership is disputed (s.46). Rule 24: qualifications of the Town Planning Officer (s.50). Rule 26: the Town Planning Officer's procedure for preliminary and fi</t>
  </si>
  <si>
    <t xml:space="preserve">For the purpose of making the draft scheme under section 42 the appropriate authority shall call a meeting or meetings of the owners of the lands included in a town planning scheme by a public notice as well as by individual notice</t>
  </si>
  <si>
    <t xml:space="preserve">Mechanism to record: TPS/land reconstitution only. The Citation Sheet has no separate land pooling Act, Government Order or circular. Part A = YES. Gujarat provides a land reconstitution mechanism through Town Planning Schemes under the Gujarat Town Planning and Urban Development Act, 1976. The evidence: (i) The 2017 amending Act (Gazette Extraordinary dated 13-04-2017, appended in ULG-01) adds a proviso to s.49(1)(b) about permissions being 'in accordance with the Draft Town Planning Scheme sanctioned under sub-section (2) of section 48'. It also amends s.52(1) and ss.7(1)(ii) and 23(1)(ii). (ii) The GTPUD Rules 1979 (ULG-04) apply the Act's TPS sections: s.41 declaration, s.42 draft scheme, s.46 disputed ownership, s.48 sanction, s.50 Town Planning Officer, ss.51-52 preliminary and final schemes. Form R (Rule 53(3)) is a certificate of tenure and title for the 'Final Plot', with rights 'transferred to his final plot from the original plot'. That is the reconstitution step. (iii) CGDCR 2017 (ULG-05, UD&amp;UHD notification dated 12-10-2017) says that in non-TP areas the contributed land 'shall be adjusted by preparing TPS'. Part B = YES. The GTPUD Rules 1979, Chapter V, set out the procedure that makes TPS work: Rules 16-18, 23, 24, 26 and 53, with Forms J, K and R. They were amended later (a notification dated 22-01-87 is noted in the text). The State's 2017 CGDCR still refers to them, e.g. 'FORM NO. C (See Rule-9)'. That supports their being in force; no repeal was found in the sheet. What a person should check: (a) The Act's own TPS chapter (ss.40-52 and nearby sections) is not in the retrieved text of ULG-01. ULG-01 is a secondary PRS copy, although the appended amendments are official gazette text. A reviewer should confirm those sections in an official consolidated text. (b) The Rules copy is hosted on the SUDA website and does not show the gazette notification date of the 1979 Rules. There is also no current consolidated official text, so 'currently in force' rests on the 2017 CGDCR and the DP 2035 (ULG-06) relying on the Rules. (c) The research team should confirm whether Gujarat has issued any separate land pooling GO; none is in the sheet. This does not change the score, because TPS alone satisfies Part A. Confidence is medium because the inputs depend on reading the Act's amendments, the Rules and the CGDCR together, and because of the secondary/hosted copies.</t>
  </si>
  <si>
    <t xml:space="preserve">UPD36</t>
  </si>
  <si>
    <t xml:space="preserve">Does your city have a single window clearance process in place for  development projects that are in conformity with municipal/city plans?</t>
  </si>
  <si>
    <t xml:space="preserve">Step 2 found no evidence: a source needs to be found and added. Step 2 found no evidence (Insufficient Evidence). Source needed: Needed: the live, dated page of the online development or building permission portal used by Surat Municipal Corporation / SUDA (e.g. Gujarat's online development permission system or the Investor Facilitation Portal). It should show online filing of a complete application, which project categories are accepted (education, health, affordable housing), and an application-status tracking option. A government order or SMC notice making that portal the single window for Surat would also help.</t>
  </si>
  <si>
    <t xml:space="preserve">UPD37</t>
  </si>
  <si>
    <t xml:space="preserve">Is there an effective system to prevent approval of plans that are not in conformity with municipal/city plan?</t>
  </si>
  <si>
    <t xml:space="preserve">ANSWER: Only part of the four-part system can be shown from the Citation Sheet. State law gives a framework for parts 1 and 2: development permission from a 'Competent Authority', a grant/refusal process with reasons for rejection, and a process for state approval of variations to a development plan. But the sheet does not name the approving body for each level in Surat, because the Competent Authority definition and the GTPUD Act's permission sections were not found. There is also no evidence of part 3 (a registry of public and private projects) or part 4 (actual public disclosure of approvals, denials and variance approvals). So whether Surat has an effective system cannot be decided. | EVIDENCE: (1) CGDCR 2017, Notification GH/V/269 of 2017 dated 12-10-2017 (ULG-05), Section B. p.39 Reg. 2: no development may be done without a Development Permission 'granted by the Competent Authority', and a grant means the proposal is 'in conformity with the Development Plan Proposals'. p.58 'Grant or Refusal of a Development Permission': the Competent Authority 'may grant or refuse permission ... as per the provisions of the Act within thirty days'. 'Reasons for rejection of application shall be communicated to the applicant.' p.61 Common Protocol item 4: the Competent Authority 'must display the grant of permission or rejection or suspension online in public domain' on its website and on the Investor Facilitation Portal. This is a legal requirement, not proof that it happens. (2) GTPUD</t>
  </si>
  <si>
    <t xml:space="preserve">On receipt of the application  for Development  Permission,  the Competent  Authority may grant or refuse permission  to the applicant  as per the provisions of the Act within thirty days from the date of payment of the Scrutiny fees. The permission may be granted with or without conditions or subject to any general or special orders made by the State Government in this behalf.</t>
  </si>
  <si>
    <t xml:space="preserve">UPD37 scores 10 only if all four parts are met. Otherwise it scores 0. The overall score is left open because parts 3 and 4 cannot be decided from the Citation Sheet.
Part 1 (approval authority at each level) = YES, with a caveat:
- CGDCR 2017 (ULG-05, notified under the GTPUD Act) names a 'Competent Authority' that grants or refuses Development Permission. The CGDCR forms (p.337) are addressed to the 'Chief Executive Authority / Municipal Commissioner / Chief Officer'.
- BPMC/GPMC Act Chapter XV (ULG-13, SMC copy) makes the Commissioner the body that receives building notices and plans in SMC limits (ss.253-256). It can reject plans (s.255) and cancel permissions (s.258).
- The State sanctions or refuses the metropolitan final development plan, and sanctions variations to it, under MPC Act ss.10A-10B, inserted by the 2019 amendment (ULG-01, PRS copy).
- SUDA is the development authority preparing DP 2035 (ULG-06).
- Caveat: the sheet has neither the CGDCR's own definition of Competent Authority nor GTPUD Act s.2(iii) ('appropriate authority'). So the exact split between SMC and SUDA should be confirmed by a person.
Part 2 (rejection/variance process) = YES, in law:
- CGDCR p.58: Competent Authority 'may grant or refuse'. 'Reasons for rejection of application shall be communicated to the applicant.' Permission is granted only when the proposal complies.
- CGDCR p.60: revalidation is scrutinised 'in context of proposals of Development Plan'.
- GTPUD s.49(1)(b) proviso (2017): permission 'shall be in accordance with the Draft Town Planning Scheme'.
- MPC Act s.10B: State variation procedure for the development plan (objections invited, MPC consulted).
- Caveat: s.10B uses 'may sanction'. It is a procedure for varying the plan, not a project-level variance procedure.
Part 3 (registry of public and private projects) = blank. This part needs evidence from the SMC or SUDA website, and no such page is in the sheet. Checked, with nothing found: ULG-01, ULG-03, ULG-04 (Rule 53 only allows inspection of TP schemes), ULG-05, ULG-06, ULG-07, ULG-09, ULG-10 and ULG-13. ULG-12 is a single TP scheme map, not a registry. Not finding a website here is a VERIFICATION-LIMIT, not proof that no registry exists, so this cannot be marked NO.
Part 4 (public disclosure) = blank. CGDCR Common Protocol item 4 (p.61) creates a legal duty: the Competent Authority 'must display the grant of permission or rejection or suspension online in public domain'. But there is no evidence that SMC or SUDA actually publishes approvals, denials and variances. A legal mandate is not proof of practice. VERIFICATION-LIMIT.
A person should:
1. Confirm which body is the Competent Authority within SMC limits and which in the SUDA area.
2. Capture dated screenshots of any SMC/SUDA online building-permission portal that shows a project registry and lists of approvals and rejections, then complete parts 3 and 4.
The PRS copy of the GTPUD Act is a secondary source.</t>
  </si>
  <si>
    <t xml:space="preserve">The citation didn't settle every input. "Registry of public &amp; private projects" left blank: the Citation Sheet doesn't decide it. "Public disclosure of approvals / denials / variances" left blank: the Citation Sheet doesn't decide it.</t>
  </si>
  <si>
    <t xml:space="preserve">UPD38a</t>
  </si>
  <si>
    <t xml:space="preserve">Does the law mandate mechanisms for monitoring ongoing construction/development projects for compliance with approved plans and permissions?   &gt;:&lt; Does the law mandate a system for monitoring ongoing construction/projects for possible violations?</t>
  </si>
  <si>
    <t xml:space="preserve">ANSWER: Yes. Read together, the Municipal Act that governs Surat's city government, the Gujarat town planning Rules and the statewide building regulations provide all three things the method checks for. (1) There is power to inspect construction while it is under way. (2) Construction is monitored stage by stage: notice at commencement, progress notices at plinth and later stages, and a final inspection at completion. (3) Notices and stop-work orders can be issued against unlawful or non-conforming work. | EVIDENCE: (a) Gujarat Provincial Municipal Corporations Act, 1949 (ULG-03, text as modified up to 30.11.2017). Inspection: the list of sections names s.259 'Inspection of buildings in course of erection, alteration, etc.' and s.261 (works started contrary to the Act may be 'cut into and laid open for purpose of inspection'). I did not read the body text of s.259. s.262: 'The Commissioner may, at any time during the erection of a building ... by written notice specify any matter in respect of which the erection ... may be in contravention of any provision of this Act or of any rules or by-law', and require it to be put right. s.263(1): the builder must send a completion notice and 'give to the Commissioner all necessary facilities for the inspection'. Bye-law r.9: 'inspection shall be commenced within seven days' of the completion notice. s.267(1): if work 'has been unlawfully commenced or is being unlawfully carried on', the Commissioner 'may, by written notice, require the</t>
  </si>
  <si>
    <t xml:space="preserve">All buildings for which Development Permission has been granted shall be subject to periodic inspection by the Competent Authority during construction. It shall be the responsibility of the Owner, the Architect on Record or Engineer on Record, and the Clerk of Works on Record for the building to report commencement, progress at various stages, and completion of construction to the Competent Authority as specified in Regulation No. 5.5.</t>
  </si>
  <si>
    <t xml:space="preserve">I scored this as a question about the law, following the Detailed Methodology ('Check the applicable T&amp;CP Act or the allied Act, and Municipal Act for provisions'). The question bank tags it as 'Implementation', but the Citation Sheet has no dated evidence of inspections actually happening in Surat. A reviewer should confirm that the law-based reading is intended. If practice evidence is required, these inputs should be left blank.
All three aspects are met, so the band is 5/5.
(1) Authority to inspect:
- ULG-05 (CGDCR 2017, p.64): 'the Competent Authority reserves the right to inspect such buildings at any time during the Period of Construction without giving prior notice', and owners 'shall Permit authorized officers ... to enter'.
- I checked this against ULG-13, the Municipal Act's Chapter XV as published by SMC. The Step 2 answer had not read it. s.259: 'The Commissioner may at any time during the erection of a building ... make an inspection thereof, without giving previous notice'.
- s.261 allows suspect work to be cut into and laid open for inspection.
(2) Stage-wise monitoring:
- ULG-05 says buildings 'shall be subject to periodic inspection ... during construction'.
- Form 10 is the notice of commencement. Under Reg 5.5.3, Schedule 13 and Form 11, the professionals must notify progress and certify compliance at basement slab, plinth, ground floor, middle storey and last storey.
- On a progress notice, the authority has a duty, 'if found necessary', to check deviation from the sanctioned plan within 7 days.
- Protocol item 10 requires e-intimation at plinth and later stages. Item 12 requires inspection at different stages.
- Reg 6.1: the authority 'shall undertake final inspection' within 21 days of the completion notice.
- Caveat: stage reporting is mainly the builder's duty, and the authority checks 'if found necessary'. Still, the regulations set up a mandatory stage-wise monitoring system with commencement, plinth, intermediate and completion stages, which is what the rubric asks for.
(3) Notice and stop-work power:
- ULG-05 p.41: the Competent Authority 'may, by a written notice, require the person undertaking construction of the building to stop the same forthwith'. It 'shall' take action including demolition and directions for alteration, and may seal the site with police help.
- The Municipal Act (ULG-13 / ULG-03) gives the same powers: s.260 (show-cause notice), s.262 (notice of contravention during erection) and s.267(1) (notice to 'stop the same forthwith').
- ULG-04, the 1979 Rules, adds a stop-work notice.
- These stop-work powers use 'may'. The rubric only asks whether the power exists.
Period covered:
- CGDCR as notified on 12.10.2017; I did not check later amendments. The copy is hosted by AUDA, but the instrument is a statewide Government of Gujarat notification.
- ULG-13 is an undated SMC copy of the Act; ULG-03 is the text as modified to 30.11.2017.
- I did not read the enforcement sections of the Town Planning Act 1976 (ULG-01). They are not needed, because every input is already met.</t>
  </si>
  <si>
    <t xml:space="preserve">UPD38b</t>
  </si>
  <si>
    <t xml:space="preserve">Does the law mandate mechanisms for monitoring ongoing construction/development projects for compliance with approved plans and permissions?   &gt;:&lt; Has a system for monitoring ongoing construction/projects for possible violations been implemented?</t>
  </si>
  <si>
    <t xml:space="preserve">Step 2 found no evidence: a source needs to be found and added. Step 2 found no evidence (Insufficient Evidence). Source needed: Dated pages from SMC (or SUDA) websites showing: (1) a working online building-permission portal where builders report each construction stage and upload photos and compliance documents; (2) records of regular or sampled site inspections of approved projects (inspection reports, an inspection register, or the inspection module of the portal); (3) published monitoring information such as compliance figures, violations registered and action taken (a dashboard, MIS reports or annual reports).</t>
  </si>
  <si>
    <t xml:space="preserve">UPD39</t>
  </si>
  <si>
    <t xml:space="preserve">Are there provisions to penalise violating plans?</t>
  </si>
  <si>
    <t xml:space="preserve">ANSWER: Not determined. The Gujarat Town Planning and Urban Development Act, 1976 (GTPUDA) is the state's planning Act, so it is the instrument this question tests. Its section text could not be read in the Citation Sheet, so I cannot check whether it carries penal provisions under at least five of the six heads (DCR violations, building-code violations, NOC violations, encroachment, building work without permit, urban-design violations). The Rules made under the Act show that it does provide enforcement against unauthorised development. Under that procedure the authority can order removal or alteration of the work, stop the work, stop the use, or restore the land, for development without permission or against the permission (s.27, 28, 29), for layouts against sanction (s.34), and for breaches of section 49. None of the Act's fine or imprisonment sections could be confirmed. | EVIDENCE: (1) GTPUDA 1976, PRS copy (ULG-01): pages 2-86, which should hold the principal Act, have no readable text. Only the appended amendment Acts can be read. In those, Act 22 of 2017 adds s.76A(8): if a person stays on land under a Local Area Plan, the authority 'shall' remove, pull down or alter any building or work that contravenes the plan, and recover its costs from the person in default. That is enforcement for Local Area Plans only, not a general penalty. (2) GTPUD Rules, 1979 (ULG-04), r.11 and Form E: for an inquiry under s.29(5), s.34(4) or s.49(1)(d), the authority 'shall serve a notice </t>
  </si>
  <si>
    <t xml:space="preserve">Financial Penalty for Making Unauthorised Use of a Building shall be four times the Development Permission Scrutiny Fees that is leviable for the built‐up area of the Building.</t>
  </si>
  <si>
    <t xml:space="preserve">I left the count blank. The question tests the planning Act, the Gujarat Town Planning and Urban Development Act, 1976 (GTPUDA). The Citation Sheet copy of it (ULG-01, PRS) has no readable text for the principal Act, which should be on pages 2-86. Only the amendment Acts appended to it can be read. So the Act's own penal sections cannot be mapped head by head. A partial count of 2-3 would push the answer to 'No', and that needs affirmative absence, which I cannot show. I agree with Step 2 that the score should stay blank, but I found more evidence than Step 2 did.
What the Citation Sheet does show, by head:
(a) Head 5, work without permission: covered.
- CGDCR 2017 (ULG-05, p.41), for development started without permission: 'Such development will be considered unauthorised and over and above the Development Permission Scrutiny fees as leviable and stipulated in Schedule 3, penalty shall be charged as per Schedule 6.' The same regulation lets the authority demolish unauthorised works, seal the building unit and use police help.
- GTPUD Rules 1979, r.11 and Form E (ULG-04): for breaches of s.27/28/29, s.34 and s.49, the authority 'shall serve a notice in writing upon the person contravening' requiring removal, alteration or demolition, stopping of work, ending of use or restoration of the land.
(b) Head 1b, permitted use / change of use: covered. CGDCR Schedule 16 (quoted above) sets a fine of four times the scrutiny fee for unauthorised use of a building.
(c) Head 6, urban design / signage: only partly. CGDCR Schedule 18 says the authority 'may also decide penalty norms for non-compliance of Regulations specified for Advertising Display Structures'. That is 'may' and leaves the penalty to be set later, so I did not count it.
(d) Encroachment / plan contravention, Local Area Plans only: GTPUDA s.76A(8), added by Act 22 of 2017 (ULG-01), says the authority 'shall' remove buildings that contravene a Local Area Plan and recover the costs.
(e) Town Planning schemes: Form L (r.34, s.69 GTPUDA) allows removal of works that contravene a scheme.
(f) The Municipal Act (GPMC Act 1949, ULG-03) also has penal provisions:
- s.392 and Appendix II give fines for contravening listed sections, plus daily fines for continuing offences.
- A provision on p.197 lets the Magistrate order removal of a building or discontinuance of use after conviction.
- ULG-13 (Chapter XV, Building Regulations) has s.261, 262, 267 and 268: enforcement against unlawful building work and unlawful occupation.
This is the Municipal Act, not the planning Act the methodology names. I did not map its Appendix II items to the heads, because I could not read the full table.
Not found in what I could read: specific penalties for setbacks, height, FSI, parking, heritage, environment, fire and other building-code items, NOC breaches (fire, water, electricity, pollution, solid waste, airport height), or general encroachment.
A person needs to:
(i) get a readable official text of GTPUDA 1976 and check its penalty and unauthorised-development sections (around s.35-36 and the offences chapter);
(ii) read CGDCR Schedule 6 and the enforcement regulations 2.12 and 6.1.5 in full;
(iii) decide whether removal and stop-use orders count as 'penal provisions';
(iv) decide whether CGDCR and GPMC provisions count, given that the methodology says 'T&amp;CP Act'.
Periods covered: GTPUDA as amended up to Act 14 of 2019; GTPUD Rules 1979 (SUDA copy); CGDCR notified 12 Oct 2017; GPMC Act as modified up to 30 Nov 2017.</t>
  </si>
  <si>
    <t xml:space="preserve">The citation didn't settle every input. "No. of penalty provisions found" left blank: the Citation Sheet doesn't decide it.</t>
  </si>
  <si>
    <t xml:space="preserve">S_No</t>
  </si>
  <si>
    <t xml:space="preserve">ASICS_2017_Report_Q_No</t>
  </si>
  <si>
    <t xml:space="preserve">ASICS 2023 Question number</t>
  </si>
  <si>
    <t xml:space="preserve">New City-Systems</t>
  </si>
  <si>
    <t xml:space="preserve">ASICS 2027_Report_Q No</t>
  </si>
  <si>
    <t xml:space="preserve">Group</t>
  </si>
  <si>
    <t xml:space="preserve">Thematic questions</t>
  </si>
  <si>
    <t xml:space="preserve">Sub-themes</t>
  </si>
  <si>
    <t xml:space="preserve">MQ_SQ</t>
  </si>
  <si>
    <t xml:space="preserve">Max Score</t>
  </si>
  <si>
    <t xml:space="preserve">Assessment level</t>
  </si>
  <si>
    <t xml:space="preserve">Detailed Methodology</t>
  </si>
  <si>
    <t xml:space="preserve">Notes for scorers</t>
  </si>
  <si>
    <t xml:space="preserve">1</t>
  </si>
  <si>
    <t xml:space="preserve">UPD</t>
  </si>
  <si>
    <t xml:space="preserve">Planning </t>
  </si>
  <si>
    <t xml:space="preserve">Legal and institutional planning architecture
</t>
  </si>
  <si>
    <t xml:space="preserve">State-level planning framework</t>
  </si>
  <si>
    <t xml:space="preserve">MQ</t>
  </si>
  <si>
    <t xml:space="preserve">Law or Policy</t>
  </si>
  <si>
    <t xml:space="preserve">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
Part B - If Part A is scored as 'Yes', check whether the body has an explicit mandate to advise on or formulate state-level spatial planning policies and reforms. if yes, score 5. 
</t>
  </si>
  <si>
    <t xml:space="preserve">Please note that the name of the body need not be identical, provided its statutory functions correspond to the intent of the question.</t>
  </si>
  <si>
    <t xml:space="preserve">2</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</si>
  <si>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</si>
  <si>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3</t>
  </si>
  <si>
    <t xml:space="preserve">UPD3</t>
  </si>
  <si>
    <t xml:space="preserve">Spatial planning hierarchy</t>
  </si>
  <si>
    <t xml:space="preserve">Does the Act require three levels of spatial plans for cities: Metropolitan/Regional, Municipal and Ward(s) /Local</t>
  </si>
  <si>
    <t xml:space="preserve">The T&amp;CP Act should mandate three levels of spatial plans. </t>
  </si>
  <si>
    <t xml:space="preserve">3a</t>
  </si>
  <si>
    <t xml:space="preserve">UPD2a</t>
  </si>
  <si>
    <t xml:space="preserve">Metropolitan/ Regional Plan</t>
  </si>
  <si>
    <t xml:space="preserve">SQ</t>
  </si>
  <si>
    <t xml:space="preserve">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t>
  </si>
  <si>
    <t xml:space="preserve">3b</t>
  </si>
  <si>
    <t xml:space="preserve">UPD2b</t>
  </si>
  <si>
    <t xml:space="preserve">Municipal/city plan</t>
  </si>
  <si>
    <t xml:space="preserve">Check the T&amp;CP Act for provisions that mandate the creation of a municipal/city plan. Relevant urban areas development authority act can also be considered for evidence. </t>
  </si>
  <si>
    <t xml:space="preserve">3c</t>
  </si>
  <si>
    <t xml:space="preserve">UPD2c</t>
  </si>
  <si>
    <t xml:space="preserve">Ward(s)/local plan</t>
  </si>
  <si>
    <t xml:space="preserve">Check the T&amp;CP Act for provisions that mandate the creation of a third tier of plan at the zone/ward level. Town planning schemes that are developed within the framework of the municipal/city plan shall not be considered. </t>
  </si>
  <si>
    <t xml:space="preserve">Note: Please capture in the comments if the mandate is for a zonal/ward/local area plan, mention the type.</t>
  </si>
  <si>
    <t xml:space="preserve">4</t>
  </si>
  <si>
    <t xml:space="preserve">NA</t>
  </si>
  <si>
    <t xml:space="preserve">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</si>
  <si>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5</t>
  </si>
  <si>
    <t xml:space="preserve">UPD5</t>
  </si>
  <si>
    <t xml:space="preserve">Is there a clear decentralised procedure for approvals of each level of plans?</t>
  </si>
  <si>
    <t xml:space="preserve">Check the state T&amp;CP Act for provisions that delineate a decentralised plan approval process. </t>
  </si>
  <si>
    <t xml:space="preserve">5a</t>
  </si>
  <si>
    <t xml:space="preserve">Does the law mandate that the metropolitan/regional plan be approved by the state government?</t>
  </si>
  <si>
    <t xml:space="preserve">Check if the T&amp;CP Act/metropolitan planning act mandates the metropolitan/regional plan to be approved by the state government.</t>
  </si>
  <si>
    <t xml:space="preserve">5b</t>
  </si>
  <si>
    <t xml:space="preserve">Does the law mandate that the municipal/city plan be approved by the MPC (Metropolitan Planning Committee)  for metropolitan cities or by DPC (District Planning Committee) for non-metropolitan cities?</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</si>
  <si>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t>
  </si>
  <si>
    <t xml:space="preserve">5c</t>
  </si>
  <si>
    <t xml:space="preserve">Does the law mandate that the ward(s)/local plan be approved by the ULG?</t>
  </si>
  <si>
    <t xml:space="preserve">Check if the T&amp;CP Act mandates the zonal/ward plans to be approved by the ULG. </t>
  </si>
  <si>
    <t xml:space="preserve">6</t>
  </si>
  <si>
    <t xml:space="preserve">Objectives of each level of Municipal/City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</si>
  <si>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</si>
  <si>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7</t>
  </si>
  <si>
    <t xml:space="preserve">UPD16</t>
  </si>
  <si>
    <t xml:space="preserve">UPD7</t>
  </si>
  <si>
    <t xml:space="preserve">Metropolitan and district planning institutions</t>
  </si>
  <si>
    <t xml:space="preserve">Does the city have a functional MPC/DPC?</t>
  </si>
  <si>
    <t xml:space="preserve">Law/Policy &amp; Implementation</t>
  </si>
  <si>
    <t xml:space="preserve">Sum of the sub-questions</t>
  </si>
  <si>
    <t xml:space="preserve">7a</t>
  </si>
  <si>
    <t xml:space="preserve">UPD9a</t>
  </si>
  <si>
    <t xml:space="preserve">Does the law provide for the constitution of an MPC/DPC?</t>
  </si>
  <si>
    <t xml:space="preserve">Law/Policy</t>
  </si>
  <si>
    <t xml:space="preserve">Part A:  Check whether there is a mandate in the Municipal or T&amp;CP Act for the constitution of MPC/DPC. If yes, score 2.5                                                                                                                                                                   Part B: Check whether the State has notified the rules for the MPC/DPC applicable to the city. If yes, score 2.5.
MPC applies to metropolitan cities (46 cities); DPC applies for non-metropolitan cities</t>
  </si>
  <si>
    <t xml:space="preserve">7b</t>
  </si>
  <si>
    <t xml:space="preserve">UPD9b</t>
  </si>
  <si>
    <t xml:space="preserve">Have they met at least once in the past two years?</t>
  </si>
  <si>
    <t xml:space="preserve">Implementation</t>
  </si>
  <si>
    <t xml:space="preserve">Check whether the MPC/DPC has met at least once in the past two years. Score 5 where there is evidence of meeting in the last two years.
Evidence: State UD/Municipal Administration department notifications/constitution orders/website; MPC/DPC meeting minutes, agendas or resolutions; MPC/DPC and metropolitan planning authority/development authority websites and RTIs.
</t>
  </si>
  <si>
    <t xml:space="preserve">8</t>
  </si>
  <si>
    <t xml:space="preserve">Law or Policy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</si>
  <si>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</si>
  <si>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9</t>
  </si>
  <si>
    <t xml:space="preserve">Municipal/City Plan preparation, participation and review</t>
  </si>
  <si>
    <t xml:space="preserve">Inter-agency participation</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</si>
  <si>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</si>
  <si>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UPD33</t>
  </si>
  <si>
    <t xml:space="preserve">Public participation and scrutiny</t>
  </si>
  <si>
    <t xml:space="preserve">Check if the T&amp;CP Act mandates public participation in preparation of municipal/city plan through:
Part A: Formal platforms such as ward committees and area sabhas. If yes, score 5.
Part B: Other means* for municipal/city plan. If yes, score 5.
*Even if the provision alludes to 'public participation/consultation or consolidation of suggestions and objections without specifying the mode for the same
</t>
  </si>
  <si>
    <t xml:space="preserve">11</t>
  </si>
  <si>
    <t xml:space="preserve">UPD19</t>
  </si>
  <si>
    <t xml:space="preserve">UPD11</t>
  </si>
  <si>
    <t xml:space="preserve">Is there public scrutiny for (including objections and responses) municipal/city plan?</t>
  </si>
  <si>
    <t xml:space="preserve">11a</t>
  </si>
  <si>
    <t xml:space="preserve">UPD34a</t>
  </si>
  <si>
    <t xml:space="preserve">Does the law mandate public scrutiny for (including objections and responses) municipal/city plan through Area Sabhas / Ward Sabhas and other means?</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</si>
  <si>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</si>
  <si>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11b</t>
  </si>
  <si>
    <t xml:space="preserve">UPD34b</t>
  </si>
  <si>
    <t xml:space="preserve">Was the public scrutiny undertaken for (including objections and responses) municipal/city plan?</t>
  </si>
  <si>
    <t xml:space="preserve">Check Development Authority/ULG websites (as applicable) for consultation minutes/details/notifcations for inviting suggestions; newspaper reports; and the municipal/city plan for evidence of public scrutiny. If such evidence is found, score 5.</t>
  </si>
  <si>
    <t xml:space="preserve">12</t>
  </si>
  <si>
    <t xml:space="preserve">Plan modification and implementation review</t>
  </si>
  <si>
    <t xml:space="preserve">Review the applicable State Town Planning Act.
Score 10: The law mandates periodic review and revision of the municipal/city plan, specifies a review/revision timeline and responsible authority, and requires corresponding review and revision of the DCRs, where necessary, following municipal/city plan revision.
Score 2.5 for each component and enter the sum if there are multiple components - 
1. The law mandates periodic review and revision of the municipal/city plan ((alluding to the revision or creation of a new plan say after ten years) to the municipal/city plans shall not be considered).
2. Specifies a review/revision timeline 
3. Specifies for responsible authority
4. Requires corresponding review and revision of the DCRs following municipal/city plan revision</t>
  </si>
  <si>
    <t xml:space="preserve">13</t>
  </si>
  <si>
    <t xml:space="preserve">UPD13</t>
  </si>
  <si>
    <t xml:space="preserve">Municipal/City Plan objectives and contents</t>
  </si>
  <si>
    <t xml:space="preserve">Statutory requirements for plan content</t>
  </si>
  <si>
    <t xml:space="preserve">Does the T&amp;CP Act mandate the planning for:  </t>
  </si>
  <si>
    <t xml:space="preserve">NA- question already covered in ASICS 2017</t>
  </si>
  <si>
    <t xml:space="preserve">Check the T&amp;CP and other relevant acts as prescribed below:</t>
  </si>
  <si>
    <t xml:space="preserve">13a</t>
  </si>
  <si>
    <t xml:space="preserve">a) Water Supply/ Sewerage, Sanitation and Solid Waste Management </t>
  </si>
  <si>
    <t xml:space="preserve">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
Provisions that make such a plan optional with 'may' provision shall not be considered. </t>
  </si>
  <si>
    <t xml:space="preserve">13b</t>
  </si>
  <si>
    <t xml:space="preserve">b) Disaster Resilience</t>
  </si>
  <si>
    <t xml:space="preserve">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t>
  </si>
  <si>
    <t xml:space="preserve">13c</t>
  </si>
  <si>
    <t xml:space="preserve">c) Comprehensive mobility</t>
  </si>
  <si>
    <t xml:space="preserve">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t>
  </si>
  <si>
    <t xml:space="preserve">13d</t>
  </si>
  <si>
    <t xml:space="preserve">d) Sustainability/Climate/Environmental conservation</t>
  </si>
  <si>
    <t xml:space="preserve">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t>
  </si>
  <si>
    <t xml:space="preserve">13e</t>
  </si>
  <si>
    <t xml:space="preserve">e) Heritage conservation</t>
  </si>
  <si>
    <t xml:space="preserve">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t>
  </si>
  <si>
    <t xml:space="preserve">13f</t>
  </si>
  <si>
    <t xml:space="preserve">f) Social Development        </t>
  </si>
  <si>
    <t xml:space="preserve">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</si>
  <si>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14</t>
  </si>
  <si>
    <t xml:space="preserve">UPD14</t>
  </si>
  <si>
    <t xml:space="preserve">Municipal/City Plan status, hierarchy and coordination</t>
  </si>
  <si>
    <t xml:space="preserve">Existence of Municipal/City Plans at each level</t>
  </si>
  <si>
    <t xml:space="preserve">Are the spatial plans at the Metropolitan/Regional, Municipal and Ward(s) /Local level notified?</t>
  </si>
  <si>
    <t xml:space="preserve">The existence of such a document or map should be notified in respective state gazettes</t>
  </si>
  <si>
    <t xml:space="preserve">14a</t>
  </si>
  <si>
    <t xml:space="preserve">Is there a Metropolitan/Regional Plan?</t>
  </si>
  <si>
    <t xml:space="preserve">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t>
  </si>
  <si>
    <t xml:space="preserve">Note: Please ensure an existence of a notified document of the plan. Maps alone will not make the cut</t>
  </si>
  <si>
    <t xml:space="preserve">14b</t>
  </si>
  <si>
    <t xml:space="preserve">Is there Municipal/City Plan?</t>
  </si>
  <si>
    <t xml:space="preserve">Document should mention the word municipal/development/city plan or municipal/city plan. Check the website of the urban development authority or ULG website or T&amp;CP Dept. Score 3.33 if any of these apply, else, 0. </t>
  </si>
  <si>
    <t xml:space="preserve">14c</t>
  </si>
  <si>
    <t xml:space="preserve">Is there a Ward(s) /Local area/ neighbourhood Plan?</t>
  </si>
  <si>
    <t xml:space="preserve"> Document should mention the word ward development plan/zonal plan/local area plan. This can exist as a standalone document or spatial plans or map.  Score 3.33 if any of these apply, else, 0. </t>
  </si>
  <si>
    <t xml:space="preserve">15</t>
  </si>
  <si>
    <t xml:space="preserve">Validity of Municipal/City Plans</t>
  </si>
  <si>
    <t xml:space="preserve">Review the applicable municipal/ city plan to identify the valid period, and the gazette notification date of the current and immediately preceding municipal/city plan 
Score 10 — notified within the statutory period
Score 0 — municipal/city plans that have lapsed and have not been replaced by a new municipal/city plan should be  treated as ‘no municipal/city plans/inactive municipal/city plans.
The scorer to capture in the scoring sheet the amount of time (in months) that has been passed since the end of the validity period
</t>
  </si>
  <si>
    <t xml:space="preserve">16</t>
  </si>
  <si>
    <t xml:space="preserve">Alignment across planning levels</t>
  </si>
  <si>
    <t xml:space="preserve"> Are the spatial plans at the Metropolitan/Regional, Municipal and Ward(s) /Local level in a concurrent or nested timeline of validity?</t>
  </si>
  <si>
    <t xml:space="preserve">Check whether the validity periods of the metropolitan/regional, municipal/city, and ward/zonal/local area/neighbourhood-level spatial plans align, ensuring that lower-level plans do not extend beyond the metropolitan/regional plan's validity.</t>
  </si>
  <si>
    <t xml:space="preserve">16a</t>
  </si>
  <si>
    <t xml:space="preserve">Is the Metropolitan/Regional plan in a concurrent or nested timeline of validity with municipal plan?</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</si>
  <si>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t>
  </si>
  <si>
    <t xml:space="preserve">16b</t>
  </si>
  <si>
    <t xml:space="preserve">Is the Municipal municipal/city plan in a concurrent or nested timeline of validity with Ward municipal/city plan?</t>
  </si>
  <si>
    <t xml:space="preserve">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t>
  </si>
  <si>
    <t xml:space="preserve">17</t>
  </si>
  <si>
    <t xml:space="preserve">Inter-agency coordination and integration</t>
  </si>
  <si>
    <t xml:space="preserve">Do the municipal/city plans at each level, integrate the plans and priorities of various sectoral public departments and agencies? </t>
  </si>
  <si>
    <t xml:space="preserve">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t>
  </si>
  <si>
    <t xml:space="preserve">18</t>
  </si>
  <si>
    <t xml:space="preserve">UPD27</t>
  </si>
  <si>
    <t xml:space="preserve">Objectives of the Municipal/City Plan</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</si>
  <si>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</si>
  <si>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19</t>
  </si>
  <si>
    <t xml:space="preserve">UPD28</t>
  </si>
  <si>
    <t xml:space="preserve">Does the municipal/city plan include objectives on environment and heritage conservation?</t>
  </si>
  <si>
    <t xml:space="preserve">Sum of the sub-questions below - </t>
  </si>
  <si>
    <t xml:space="preserve">19a</t>
  </si>
  <si>
    <t xml:space="preserve">a) Environmental Conservation </t>
  </si>
  <si>
    <t xml:space="preserve">Check whether the municipal/city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</si>
  <si>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19b</t>
  </si>
  <si>
    <t xml:space="preserve">b) Heritage Conservation </t>
  </si>
  <si>
    <t xml:space="preserve">Check whether the municipal/city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t>
  </si>
  <si>
    <t xml:space="preserve">20</t>
  </si>
  <si>
    <t xml:space="preserve">UPD29</t>
  </si>
  <si>
    <t xml:space="preserve">UPD 11f</t>
  </si>
  <si>
    <t xml:space="preserve">UPD20</t>
  </si>
  <si>
    <t xml:space="preserve">Does the municipal/city plan include objectives on social development (health care, education)?</t>
  </si>
  <si>
    <t xml:space="preserve">Check whether the municipal/city plan identifies clear priorities, interventions and measurable targets/outcomes across the following three components:</t>
  </si>
  <si>
    <t xml:space="preserve">20a</t>
  </si>
  <si>
    <t xml:space="preserve">a) Education </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</si>
  <si>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</si>
  <si>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20b</t>
  </si>
  <si>
    <t xml:space="preserve">b) Healthcare</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</si>
  <si>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</si>
  <si>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20c</t>
  </si>
  <si>
    <t xml:space="preserve">c) Affordable housing </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</si>
  <si>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</si>
  <si>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21</t>
  </si>
  <si>
    <t xml:space="preserve"> NA</t>
  </si>
  <si>
    <t xml:space="preserve">Check whether the municipal/city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
Score 5: The municipal/city identifies  atleast two or more clear priorities relating to women’s inclusion and associated interventions/actions, but does not provide measurable targets/outcome indicators.
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</si>
  <si>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22</t>
  </si>
  <si>
    <t xml:space="preserve">Shared spatial information and data coordination</t>
  </si>
  <si>
    <t xml:space="preserve">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t>
  </si>
  <si>
    <t xml:space="preserve">23</t>
  </si>
  <si>
    <t xml:space="preserve">UPD23</t>
  </si>
  <si>
    <t xml:space="preserve">Sectoral planning</t>
  </si>
  <si>
    <t xml:space="preserve">Water supply and sewerage, sanitation, solid waste management </t>
  </si>
  <si>
    <t xml:space="preserve">Does the city have a Water Supply and Sewerage Plan, City Sanitation Plan, and Solid Waste Management Plan  that clearly articulates development priorities, measurable objectives, and the roles and responsibilities of the ULG?</t>
  </si>
  <si>
    <t xml:space="preserve">Sum of the sub-questions below </t>
  </si>
  <si>
    <t xml:space="preserve">23a</t>
  </si>
  <si>
    <t xml:space="preserve">Does the city have a notified and active Plan?</t>
  </si>
  <si>
    <t xml:space="preserve">Check the ULG website, relevant parastatal/sectoral agency website, master plan and other official government sources for the existence of the relevant plan.
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t>
  </si>
  <si>
    <t xml:space="preserve">23a1</t>
  </si>
  <si>
    <t xml:space="preserve">UPD23a1</t>
  </si>
  <si>
    <t xml:space="preserve">a) Water Supply and Sewerage Plan</t>
  </si>
  <si>
    <t xml:space="preserve">SQ1</t>
  </si>
  <si>
    <t xml:space="preserve">Use the methodology provided above</t>
  </si>
  <si>
    <t xml:space="preserve">23a2</t>
  </si>
  <si>
    <t xml:space="preserve">UPD23a2</t>
  </si>
  <si>
    <t xml:space="preserve">b) Solid Waste Management Plan </t>
  </si>
  <si>
    <t xml:space="preserve">SQ2</t>
  </si>
  <si>
    <t xml:space="preserve">23a3</t>
  </si>
  <si>
    <t xml:space="preserve">UPD23a3</t>
  </si>
  <si>
    <t xml:space="preserve">c)  City Sanitation Plan</t>
  </si>
  <si>
    <t xml:space="preserve">SQ3</t>
  </si>
  <si>
    <t xml:space="preserve">23b</t>
  </si>
  <si>
    <t xml:space="preserve">Does the plan have development priorities and measureable objectives?</t>
  </si>
  <si>
    <t xml:space="preserve">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t>
  </si>
  <si>
    <t xml:space="preserve">23b1</t>
  </si>
  <si>
    <t xml:space="preserve">UPD23b1</t>
  </si>
  <si>
    <t xml:space="preserve">23b2</t>
  </si>
  <si>
    <t xml:space="preserve">UPD23b2</t>
  </si>
  <si>
    <t xml:space="preserve">23b3</t>
  </si>
  <si>
    <t xml:space="preserve">UPD23b3</t>
  </si>
  <si>
    <t xml:space="preserve">23c</t>
  </si>
  <si>
    <t xml:space="preserve">Does the plan clearly articulate the role of the ULG?</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</si>
  <si>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</si>
  <si>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23c1</t>
  </si>
  <si>
    <t xml:space="preserve">UPD23c1</t>
  </si>
  <si>
    <t xml:space="preserve">23c2</t>
  </si>
  <si>
    <t xml:space="preserve">UPD23c2</t>
  </si>
  <si>
    <t xml:space="preserve">23c3</t>
  </si>
  <si>
    <t xml:space="preserve">UPD23c3</t>
  </si>
  <si>
    <t xml:space="preserve">24</t>
  </si>
  <si>
    <t xml:space="preserve">UPD24</t>
  </si>
  <si>
    <t xml:space="preserve">Sustainability, resilience and climate action</t>
  </si>
  <si>
    <t xml:space="preserve">Does your city have a Sustainability/ Resilience Strategy/Climate Action Plan that clearly articulates development priorities, measurable objectives, and the roles and responsibilities of the ULG?</t>
  </si>
  <si>
    <t xml:space="preserve">24a</t>
  </si>
  <si>
    <t xml:space="preserve">Does the city have a notified and active Sustainability/Resilience Strategy?</t>
  </si>
  <si>
    <t xml:space="preserve">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t>
  </si>
  <si>
    <t xml:space="preserve">Note: Independent consultant's report/academic reports will not be considered.</t>
  </si>
  <si>
    <t xml:space="preserve">24b</t>
  </si>
  <si>
    <t xml:space="preserve">Does the plan have development priorities and measurable objectives?</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</si>
  <si>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3.33 if the plan identifies atleast two or more clear priorities and includes measurable objectives or targets against those priorities; score 0 otherwise.</t>
  </si>
  <si>
    <t xml:space="preserve">24c</t>
  </si>
  <si>
    <t xml:space="preserve">Score 3.33 where the plan clearly articulates the role/responsibilities of the ULG in its preparation/implementation; score 0 otherwise.</t>
  </si>
  <si>
    <t xml:space="preserve">25</t>
  </si>
  <si>
    <t xml:space="preserve">UPD25</t>
  </si>
  <si>
    <t xml:space="preserve">Comprehensive mobility planning</t>
  </si>
  <si>
    <t xml:space="preserve">Does your city have a Comprehensive Mobility Plan that clearly articulates development priorities, measurable objectives, and the roles and responsibilities of the ULG?</t>
  </si>
  <si>
    <t xml:space="preserve">25a</t>
  </si>
  <si>
    <t xml:space="preserve">Does the city have a notified and active Comprehensive Mobility Plan?</t>
  </si>
  <si>
    <t xml:space="preserve">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</si>
  <si>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25b</t>
  </si>
  <si>
    <t xml:space="preserve">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
A general statement of intent, such as improving mobility, promoting public transport or reducing congestion, without identifiable priorities and measurable objectives or targets, shall not qualify.
Score 3.33 if the CMP identifies atleast two or more clear priorities and includes measurable objectives or targets against those priorities; score 0 otherwise.</t>
  </si>
  <si>
    <t xml:space="preserve">25c</t>
  </si>
  <si>
    <t xml:space="preserve">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
A passing mention of the ULG as a stakeholder, or a general reference to coordination among agencies, without specifying the ULG's role or responsibilities, shall not qualify.
Score 3.3 if the CMP clearly articulates the roles and responsibilities of the ULG in its preparation and/or implementation; score 0 otherwise.</t>
  </si>
  <si>
    <t xml:space="preserve">26</t>
  </si>
  <si>
    <t xml:space="preserve">UPD26</t>
  </si>
  <si>
    <t xml:space="preserve">Economic development planning</t>
  </si>
  <si>
    <t xml:space="preserve">Does your city have an Economic Vision Plan that clearly articulates development priorities, measurable objectives, and the roles and responsibilities of the ULG?</t>
  </si>
  <si>
    <t xml:space="preserve">26a</t>
  </si>
  <si>
    <t xml:space="preserve">Does the city have a notified and active Economic Vision Plan?</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</si>
  <si>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municipal/city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</si>
  <si>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26b</t>
  </si>
  <si>
    <t xml:space="preserve">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t>
  </si>
  <si>
    <t xml:space="preserve">26c</t>
  </si>
  <si>
    <t xml:space="preserve">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t>
  </si>
  <si>
    <t xml:space="preserve">27</t>
  </si>
  <si>
    <t xml:space="preserve">Specialised institutional capacity</t>
  </si>
  <si>
    <t xml:space="preserve">Does the city have adequate and representative professional town-planning capacity?</t>
  </si>
  <si>
    <t xml:space="preserve">27a</t>
  </si>
  <si>
    <t xml:space="preserve">Does the city have adequate professional town-planning capacity?</t>
  </si>
  <si>
    <t xml:space="preserve">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
Score = (Town planners per lakh population in the city ÷ Highest town planners per lakh population among cities assessed) × 5
For example, if the highest-performing city has 2 planners/lakh, a city with 1.5 planners/lakh scores 3.75, and one with 1 planner/lakh scores 2.5.</t>
  </si>
  <si>
    <t xml:space="preserve">Scorer comment - 
Record in the score sheet, separately for the ULG and Development/Planning Authority: total sanctioned town-planner positions; total filled positions; vacancies and vacancy rate; women and men among filled positions; and town planners per lakh population.</t>
  </si>
  <si>
    <t xml:space="preserve">27b</t>
  </si>
  <si>
    <t xml:space="preserve">What proportion of the city's professional town-planning workforce is women?</t>
  </si>
  <si>
    <t xml:space="preserve">Compute women town planners as a proportion of the total filled qualified town-planner positions across the ULG and, where applicable, the Development/Planning Authority staff attributable to the city, using the latest available staffing data.
% women town planners = (Number of women town planners ÷ Total filled qualified town-planner positions) × 100
Scoring bands:
Score 5 — women constitute ≥33% of the professional town-planning workforce
Score 2.5 — women constitute 15–32%
Score 0 — women constitute &lt;15%</t>
  </si>
  <si>
    <t xml:space="preserve">Note: Record, wherever available, the proportion of women among senior/decision-making town-planning positions.</t>
  </si>
  <si>
    <t xml:space="preserve">28</t>
  </si>
  <si>
    <t xml:space="preserve">Does the city have dedicated institutional cells/units for specialised functions?</t>
  </si>
  <si>
    <t xml:space="preserve">Score 10, assessed through 4 sub-questions of 2.5 each: an Urban Design Cell; a Climate Action/Sustainability/Disaster Management Cell; an Economic Development Cell; and a dedicated Women's Welfare/Development Cell</t>
  </si>
  <si>
    <t xml:space="preserve">28a</t>
  </si>
  <si>
    <t xml:space="preserve">Urban design</t>
  </si>
  <si>
    <t xml:space="preserve">Does the city have an Urban Design Cell?</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</si>
  <si>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t>
  </si>
  <si>
    <t xml:space="preserve">28b</t>
  </si>
  <si>
    <t xml:space="preserve">Does the city have dedicated institutional capacity to undertake specialised planning and development functions?</t>
  </si>
  <si>
    <t xml:space="preserve">Climate</t>
  </si>
  <si>
    <t xml:space="preserve">Does the city have a Climate Action/Sustainability/Disaster Management Cell?</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</si>
  <si>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t>
  </si>
  <si>
    <t xml:space="preserve">28c</t>
  </si>
  <si>
    <t xml:space="preserve">Economic development</t>
  </si>
  <si>
    <t xml:space="preserve">Does the city have an Economic Develepment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</si>
  <si>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</si>
  <si>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28d</t>
  </si>
  <si>
    <t xml:space="preserve">Women's welfare or development</t>
  </si>
  <si>
    <t xml:space="preserve">Does the city have a dedicated Women's Welfare/Development Cell?</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</si>
  <si>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t>
  </si>
  <si>
    <t xml:space="preserve">29</t>
  </si>
  <si>
    <t xml:space="preserve">Urban design, accessibility and parking</t>
  </si>
  <si>
    <t xml:space="preserve">Urban design standards and universal accessibility</t>
  </si>
  <si>
    <t xml:space="preserve">Are there prescribed urban design standards to guide the execution of urban projects, including standards for universal accessibility?</t>
  </si>
  <si>
    <t xml:space="preserve">29a</t>
  </si>
  <si>
    <t xml:space="preserve">Does the law mandate comprehensive urban design standards and universal accessibility?</t>
  </si>
  <si>
    <t xml:space="preserve">Check whether the applicable T&amp;CP Act or Municipal Act provides for urban design standards/guidelines for the planning, design or execution of urban development across the following four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For each of the five categories, check whether the applicable law mandates or enables urban design standards/guidelines for the planning, design or execution of urban development.
For each category, score as follows:
Score 1: Where the law uses mandatory language (e.g., “shall”) requiring the preparation, prescription, adoption or application of urban design standards/guidelines.
Score 0.5: Where the law uses enabling/discretionary language (e.g., “may”) permitting the preparation, prescription, adoption or application of such standards/guidelines.
Score 0: Where there is no such provision.
Maximum score: 5 points (5 categories × 1 point).
A general power to regulate development, without a specific provision for relevant design standards/guidelines, shall not qualify.</t>
  </si>
  <si>
    <t xml:space="preserve">29b</t>
  </si>
  <si>
    <t xml:space="preserve">Does the city have urban design standards to guide the execution of urban projects?</t>
  </si>
  <si>
    <t xml:space="preserve">Check whether the city has adopted/notified urban design standards or guidelines for the planning, design or execution of urban development across the following five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t>
  </si>
  <si>
    <t xml:space="preserve">30</t>
  </si>
  <si>
    <t xml:space="preserve">UPD30</t>
  </si>
  <si>
    <t xml:space="preserve">Parking policy</t>
  </si>
  <si>
    <t xml:space="preserve">Does the city have a parking policy? </t>
  </si>
  <si>
    <t xml:space="preserve">30a</t>
  </si>
  <si>
    <t xml:space="preserve">Is there a clear mandate in the law for a parking policy?</t>
  </si>
  <si>
    <t xml:space="preserve">Check whether the applicable T&amp;CP Act or Municipal Act mandates the ULG to prepare and/or adopt a standalone parking policy or parking management policy.
A general provision prescribing parking standards for individual buildings/developments, or empowering the ULG to regulate parking, shall not qualify. The law must specifically provide for the preparation/adoption of a city-level parking policy.
Distinguish between mandatory and enabling provisions:
Score 5 where the law uses mandatory language (e.g., “shall”) requiring the ULG/city to prepare or adopt a standalone Parking Policy/Parking Management Policy.
Score 2.5 where the law uses enabling/discretionary language (e.g., “may”) permitting the ULG/city to prepare or adopt such a policy.
Score 0 where there is no such statutory provision.</t>
  </si>
  <si>
    <t xml:space="preserve">30b</t>
  </si>
  <si>
    <t xml:space="preserve">Has the parking policy been implemented?</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</si>
  <si>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t>
  </si>
  <si>
    <t xml:space="preserve">Note: Score this question independently of the legal mandate. A city may score 5 on this question even where there is no legal mandate for a parking policy.</t>
  </si>
  <si>
    <t xml:space="preserve">31</t>
  </si>
  <si>
    <t xml:space="preserve">Development Control Regulations and land-management instruments</t>
  </si>
  <si>
    <t xml:space="preserve">Applicability and currency of DCRs</t>
  </si>
  <si>
    <t xml:space="preserve">Law or Policy &amp; Implementation</t>
  </si>
  <si>
    <t xml:space="preserve">Check the applicable DCR to determine whether a city-specific DCR applies. Evidence can be present on the websites of the ULG/Development Authority/T&amp;CP/UDD Department.
Score 10 — A city-specific DCR is applicable to the city.
Score 0 — The city relies on a generic/state-wide DCR and does not have a city-specific DCR.
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t>
  </si>
  <si>
    <t xml:space="preserve">32</t>
  </si>
  <si>
    <t xml:space="preserve">UPD32</t>
  </si>
  <si>
    <t xml:space="preserve">DCR revision and public consultation</t>
  </si>
  <si>
    <t xml:space="preserve">Does the city’s DCR provide development controls, standards or incentives that enable positive economic, environmental, public health, heritage, and inclusion outcomes?</t>
  </si>
  <si>
    <t xml:space="preserve">For each dimension, assess whether the DCR contains specific development controls, standards, relaxations, permissions or incentives that enable or promote the identified outcome.
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
Total score = sum of the five sub-question scores (2*5=10).
</t>
  </si>
  <si>
    <t xml:space="preserve">32a</t>
  </si>
  <si>
    <t xml:space="preserve">Do the DCRs provide development controls, standards or incentives that enable different types and scales of economic activity?</t>
  </si>
  <si>
    <t xml:space="preserve">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
Score 1: Two or more Economic activities are provided for through conventional land-use zoning/permissible-use provisions, but no specific enabling or incentivising development provision is found.
Score 0: No relevant provision addressing economic activity is found.
(For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t>
  </si>
  <si>
    <t xml:space="preserve">32b</t>
  </si>
  <si>
    <t xml:space="preserve">Do the DCRs provide development controls, standards or incentives that improve access, safety, affordability and development outcomes for women and the urban poor?</t>
  </si>
  <si>
    <t xml:space="preserve">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
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
For example: Additional FAR/FSI or relaxed development standards for EWS/affordable housing would qualify as a provision for the urban poor. Specific design requirements addressing women's safety or access would qualify as a provision for women.
Keywords for scorer:
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
Women: women; woman; female; gender; gender responsive; gender sensitive; women safety; safety; safe access; lighting; visibility; toilet for women; female toilet; sanitary facility; childcare; crèche; public space; public realm.</t>
  </si>
  <si>
    <t xml:space="preserve">Note: Please capture the text that mentions the broad provisions related to the theme and the incentives it offers clearly </t>
  </si>
  <si>
    <t xml:space="preserve">32c</t>
  </si>
  <si>
    <t xml:space="preserve">Do the DCRs provide development controls, standards or incentives that promote environmental sustainability and climate resilience?</t>
  </si>
  <si>
    <t xml:space="preserve">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
Score 1: The DCR protects environmentally sensitive/climate-vulnerable areas or imposes environmental restrictions, but does not contain a clear enabling/incentive provision.
Score 0 — No relevant environmental or climate-related development provision is found.
Note: A generic requirement to obtain environmental clearance based on project size does not, by itself, qualify as an enabling environmental/climate provision.
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t>
  </si>
  <si>
    <t xml:space="preserve">Note: Capture the text that mentions the broad provisions related to the theme and the incentives it offers</t>
  </si>
  <si>
    <t xml:space="preserve">32d</t>
  </si>
  <si>
    <t xml:space="preserve">Do the DCRs provide development controls or standards that promote positive public-health outcomes?</t>
  </si>
  <si>
    <t xml:space="preserve">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
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
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
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t>
  </si>
  <si>
    <t xml:space="preserve">32e</t>
  </si>
  <si>
    <t xml:space="preserve">Do the DCRs provide development controls, standards or incentives that enable the conservation and adaptive reuse of heritage buildings, precincts or historic areas?</t>
  </si>
  <si>
    <t xml:space="preserve">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t>
  </si>
  <si>
    <t xml:space="preserve">33</t>
  </si>
  <si>
    <t xml:space="preserve">Green-building incentives</t>
  </si>
  <si>
    <t xml:space="preserve">Does the city have a mandate to provide incentives for green buildings, and are these incentives operationalised?</t>
  </si>
  <si>
    <t xml:space="preserve">Sum of the sub-questions below</t>
  </si>
  <si>
    <t xml:space="preserve">33a</t>
  </si>
  <si>
    <t xml:space="preserve">Does the law mandate incentives for green buildings ?</t>
  </si>
  <si>
    <t xml:space="preserve">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
Score 5 if the Act provides a clear mandate or enabling provision for green-building incentives, even if the specific incentives are to be prescribed subsequently through rules, regulations or other instruments. Score 0 otherwise.</t>
  </si>
  <si>
    <t xml:space="preserve">33b</t>
  </si>
  <si>
    <t xml:space="preserve">Does your city give incentives for green buildings ?</t>
  </si>
  <si>
    <t xml:space="preserve">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</si>
  <si>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34</t>
  </si>
  <si>
    <t xml:space="preserve">Land-management instruments</t>
  </si>
  <si>
    <t xml:space="preserve">Part A – Legal/Policy Provision
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
Where the framework is provided through an Act, check whether the rules/regulations necessary to operationalise the land titling framework have been notified.
Scoring:
Score 10: Land titling is provided through an Act and the necessary rules/regulations have been notified; OR an applicable Government Order/circular/notification establishes an operational framework that does not require separate rules.
Score 5: A land titling Act has been enacted, but the necessary rules/regulations have not been notified.
Score 0: No land titling law or applicable Government Order/circular/notification exists.</t>
  </si>
  <si>
    <t xml:space="preserve">35</t>
  </si>
  <si>
    <t xml:space="preserve">Part A – Legal/Policy Provision
Check whether the State has enacted legislation or issued a Government Order/circular/notification providing for a land assembly/reconstitution mechanism such as:
a. Town Planning Scheme (TPS)/land reconstitution; or
b. Land pooling.
Score 5 if at least one such mechanism is formally provided for through legislation or an applicable Government Order/circular/notification. Score 0 otherwise.
Part B – Operationalisation
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t>
  </si>
  <si>
    <t xml:space="preserve">Note: Record separately whether the applicable mechanism is TPS/land reconstitution, land pooling, or both. </t>
  </si>
  <si>
    <t xml:space="preserve">36</t>
  </si>
  <si>
    <t xml:space="preserve">Development Compliance</t>
  </si>
  <si>
    <t xml:space="preserve">Development approvals</t>
  </si>
  <si>
    <t xml:space="preserve">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t>
  </si>
  <si>
    <t xml:space="preserve">37</t>
  </si>
  <si>
    <t xml:space="preserve">Enforcement</t>
  </si>
  <si>
    <t xml:space="preserve">Law or Policy/Implementation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</si>
  <si>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10 only if all four of the above aspects are met
Score 0 otherwise.</t>
  </si>
  <si>
    <t xml:space="preserve">38</t>
  </si>
  <si>
    <t xml:space="preserve">UPD38</t>
  </si>
  <si>
    <t xml:space="preserve">Construction monitoring</t>
  </si>
  <si>
    <t xml:space="preserve">Does the law mandate mechanisms for monitoring ongoing construction/development projects for compliance with approved plans and permissions?  </t>
  </si>
  <si>
    <t xml:space="preserve">38a</t>
  </si>
  <si>
    <t xml:space="preserve">Does the law mandate a system for monitoring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</si>
  <si>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</si>
  <si>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38b</t>
  </si>
  <si>
    <t xml:space="preserve">Has a system for monitoring ongoing construction/projects for possible violations been implemented?</t>
  </si>
  <si>
    <t xml:space="preserve">Check the ULG/Development Authority websites whether the monitoring process includes all of the following:
1.Online self-assessment/reporting of construction progress, including uploading photographs and requisite compliance documents
2. Periodic ground surveys/inspections of approved projects, covering either all projects or a defined sample
3. Public disclosure of monitoring information, including compliance numbers/status, violations registered and action taken.
Score 5 if all three elements are operational.
Score 0 otherwise.</t>
  </si>
  <si>
    <t xml:space="preserve">39</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</si>
  <si>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</si>
  <si>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</si>
  <si>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Please give the text of the provisions in the scorer comment's column in the scoresheet</t>
  </si>
  <si>
    <t xml:space="preserve"> </t>
  </si>
  <si>
    <t xml:space="preserve">Ahmedabad</t>
  </si>
  <si>
    <t xml:space="preserve">Bangalore</t>
  </si>
  <si>
    <t xml:space="preserve">Bhopal</t>
  </si>
  <si>
    <t xml:space="preserve">Bhubaneswar</t>
  </si>
  <si>
    <t xml:space="preserve">Chandigarh</t>
  </si>
  <si>
    <t xml:space="preserve">Chennai</t>
  </si>
  <si>
    <t xml:space="preserve">Dehradun</t>
  </si>
  <si>
    <t xml:space="preserve">Delhi</t>
  </si>
  <si>
    <t xml:space="preserve">Guwahati</t>
  </si>
  <si>
    <t xml:space="preserve">Hyderabad</t>
  </si>
  <si>
    <t xml:space="preserve">Jaipur</t>
  </si>
  <si>
    <t xml:space="preserve">Kanpur</t>
  </si>
  <si>
    <t xml:space="preserve">Kolkata</t>
  </si>
  <si>
    <t xml:space="preserve">Lucknow</t>
  </si>
  <si>
    <t xml:space="preserve">Ludhiana</t>
  </si>
  <si>
    <t xml:space="preserve">Mumbai</t>
  </si>
  <si>
    <t xml:space="preserve">Patna</t>
  </si>
  <si>
    <t xml:space="preserve">Pune</t>
  </si>
  <si>
    <t xml:space="preserve">Raipur</t>
  </si>
  <si>
    <t xml:space="preserve">Ranchi</t>
  </si>
  <si>
    <t xml:space="preserve">Thiruvananthapuram</t>
  </si>
  <si>
    <t xml:space="preserve">Visakhapatnam</t>
  </si>
  <si>
    <t xml:space="preserve">Solan</t>
  </si>
  <si>
    <t xml:space="preserve">Panaji</t>
  </si>
  <si>
    <t xml:space="preserve">Agartala</t>
  </si>
  <si>
    <t xml:space="preserve">New York</t>
  </si>
  <si>
    <t xml:space="preserve">London</t>
  </si>
  <si>
    <t xml:space="preserve">Johannesburg</t>
  </si>
  <si>
    <t xml:space="preserve">ENTER</t>
  </si>
  <si>
    <t xml:space="preserve">Derived</t>
  </si>
  <si>
    <t xml:space="preserve">UPD_Scores</t>
  </si>
  <si>
    <t xml:space="preserve">UPD_OVERALL_SCORE</t>
  </si>
  <si>
    <t xml:space="preserve">No. of MQs not yet scored ("?") - overall score is provisional while &gt; 0</t>
  </si>
  <si>
    <t xml:space="preserve">No. of MQs marked NA (excluded from overall score)</t>
  </si>
  <si>
    <t xml:space="preserve">Is there a provision for the establishment of Planning Authorties for notified new towns or special developments?</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</si>
  <si>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</si>
  <si>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The T&amp;CP act should mandate three levels of master plans. </t>
  </si>
  <si>
    <t xml:space="preserve">4a</t>
  </si>
  <si>
    <t xml:space="preserve">UPD4a</t>
  </si>
  <si>
    <t xml:space="preserve">4b</t>
  </si>
  <si>
    <t xml:space="preserve">UPD4b</t>
  </si>
  <si>
    <t xml:space="preserve">Check the T&amp;CP act for provisions that mandate the creation of a municipal/city master plan. Relevant urban areas development authority act can also be considered for evidence. </t>
  </si>
  <si>
    <t xml:space="preserve">4c</t>
  </si>
  <si>
    <t xml:space="preserve">UPD4c</t>
  </si>
  <si>
    <t xml:space="preserve">Check the T&amp;CP act for provisions that mandate the creation of a third tier of plan at the zone/ward level. Town planning schemes that are developed within the framework of the master plan shall not be considered. </t>
  </si>
  <si>
    <t xml:space="preserve">
 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</si>
  <si>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Check with Shreya on the methodology and relevancy of the question </t>
  </si>
  <si>
    <t xml:space="preserve">Check the state T&amp;CP act for provisions that delineate a decentralised plan approval process. </t>
  </si>
  <si>
    <t xml:space="preserve">8a</t>
  </si>
  <si>
    <t xml:space="preserve">Check if the T&amp;CP act/metropolitan planning act mandates the metropolitan/regional plan to be approved by the state government.</t>
  </si>
  <si>
    <t xml:space="preserve">8b</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</si>
  <si>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master plan is to be approved by the state. </t>
  </si>
  <si>
    <t xml:space="preserve">8c</t>
  </si>
  <si>
    <t xml:space="preserve">Check if the T&amp;CP act mandates the zonal/ward plans to be approved by the ULG. </t>
  </si>
  <si>
    <t xml:space="preserve">Objectives of each level of master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</si>
  <si>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</si>
  <si>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Check whether the State has notified the rules for the MPC/DPC applicable to the city. If yes, score 5.
MPC applies to metropolitan cities (~46 cities); DPC applies for non-metropolitan cities</t>
  </si>
  <si>
    <t xml:space="preserve">Split methodology into Part A - mandate (municipal act or T&amp;CP act) Part B  - Constitution of MPC, rules </t>
  </si>
  <si>
    <t xml:space="preserve">Have they met at least once a year?</t>
  </si>
  <si>
    <t xml:space="preserve">Check whether the MPC/DPC has met at least once in the past two years. Score 5 where there is evidence of meeting in the last two year.
Evidence: State UD/Municipal Administration department notifications/constitution orders/website; MPC/DPC meeting minutes, agendas or resolutions; MPC/DPC and metropolitan planning authority/development authority websites and RTIs.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</si>
  <si>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</si>
  <si>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Master plan preparation, participation and review</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</si>
  <si>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</si>
  <si>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Check if the T&amp;CP act mandates public participation in preparation of municipal/city plan through:
Part A: Formal platforms such as ward committees and area sabhas. If yes, score 2.50.
Part B: Other means* for municipal/city plan. If yes, score 2.50
*Even if the provision alludes to 'public participation/consultation or consolidation of suggestions and objections without specifying the mode for the same
</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</si>
  <si>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</si>
  <si>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Check Development Authority/ULG websites (as applicable) for consultation minutes/details/notifcations for inviting suggestions; newspaper reports; and the municipal/city master plan for evidence of public scrutiny. If such evidence is found, score 5.</t>
  </si>
  <si>
    <t xml:space="preserve">Does the law mandate periodic review and revision of the notified Master Plan, including corresponding revisions to the Development Control Regulations (DCRs)?</t>
  </si>
  <si>
    <t xml:space="preserve">Review the applicable State Town Planning Act.
Score 10: The law mandates periodic review and revision of the Master Plan, specifies a review/revision timeline and responsible authority, and requires corresponding review and revision of the DCRs, where necessary, following Master Plan revision.
Score 2.5 for each component and enter the sum if there are multiple components - 
1. The law mandates periodic review and revision of the Master Plan ((alluding to the revision or creation of a new master plan say after ten years) to the master plans shall not be considered).
2. Specifies a review/revision timeline 
3. Specifies for responsible authority
4. Requires corresponding review and revision of the DCRs following master plan revision</t>
  </si>
  <si>
    <t xml:space="preserve">Master plan objectives and contents</t>
  </si>
  <si>
    <t xml:space="preserve">Does the TCP act mandate the planning for:  </t>
  </si>
  <si>
    <t xml:space="preserve">Check the T&amp;CP/Urban Development Authority (UDA)/allied acts for provisions that mandate the planning authority to prepare:                                                                                                                   1.Water Supply/sewerage plan or mandate to have a water supply component as part of the municipal/city master plan. Score: 0.55                                                                                                             2. City sanitation plan or mandate to have a sanitation component as part of the municipal/city master plan. Score: 0.55                                                                                                                                                                                                                                                            3.Solid Waste Management Plan or mandate to have a solid waste management as part of the municipal/city master plan Score: 0.55
Provisions that make such a plan optional with 'may' provision shall not be considered. </t>
  </si>
  <si>
    <t xml:space="preserve">11c</t>
  </si>
  <si>
    <t xml:space="preserve">UPD11c</t>
  </si>
  <si>
    <t xml:space="preserve">11d</t>
  </si>
  <si>
    <t xml:space="preserve">UPD11d</t>
  </si>
  <si>
    <t xml:space="preserve">11e</t>
  </si>
  <si>
    <t xml:space="preserve">UPD11e</t>
  </si>
  <si>
    <t xml:space="preserve">11f</t>
  </si>
  <si>
    <t xml:space="preserve">UPD11f</t>
  </si>
  <si>
    <t xml:space="preserve">Check the T&amp;CP/Urban Development Authority (UDA)/allied acts for provisions that mandate the planning authority to prepare a social development plan or mandate to have a social development component as part of the master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</si>
  <si>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Master plan status, hierarchy and coordination</t>
  </si>
  <si>
    <t xml:space="preserve">Existence of master plans at each level</t>
  </si>
  <si>
    <t xml:space="preserve">Document should mention the word municipal/development/city plan or master plan. Check the website of the urban development authority or ULG website or T&amp;CP Dept. Score 3.33 if any of these apply, else, 0. </t>
  </si>
  <si>
    <t xml:space="preserve">Validity of master plans</t>
  </si>
  <si>
    <t xml:space="preserve">Review the applicable municipal/ city plan to identify the valid period, and the gazette notification date of the current and immediately preceding master plan 
Score 10 — notified within the statutory period
Score 0 — Master plans that have lapsed and have not been replaced by a new master plan should be  treated as ‘no master plans/inactive master plans.
The scorer to capture in the scoring sheet the amount of time (in months) that has been passed since the end of the validity period
</t>
  </si>
  <si>
    <t xml:space="preserve">22a</t>
  </si>
  <si>
    <t xml:space="preserve">UPD22a</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</si>
  <si>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Master plan should not extend beyond 2021. </t>
  </si>
  <si>
    <t xml:space="preserve">22b</t>
  </si>
  <si>
    <t xml:space="preserve">UPD22b</t>
  </si>
  <si>
    <t xml:space="preserve">Is the Municipal master plan in a concurrent or nested timeline of validity with Ward master plan?</t>
  </si>
  <si>
    <t xml:space="preserve">Check whether the validity periods of the municipal/city master plan and ward/local-level plans overlap and are aligned, such that the validity of the ward/local-level plan does not extend beyond that of the municipal/city master plan. 
For example: if the municipal master plan is valid from 2021–2041, the applicable ward/zonal/local-level plan should fall within and not extend beyond 2041.</t>
  </si>
  <si>
    <t xml:space="preserve">Do the master plans at each level, integrate the plans and priorities of various sectoral public departments and agencies? </t>
  </si>
  <si>
    <t xml:space="preserve">Check if creation of the master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master plan, or as MoM / notes on the planning authority's website. </t>
  </si>
  <si>
    <t xml:space="preserve">Objectives of the master plan</t>
  </si>
  <si>
    <t xml:space="preserve">Does the Master Plan include objectives on jobs and economy?</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</si>
  <si>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Master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master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</si>
  <si>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Does the Master Plan include objectives on environment and heritage conservation?</t>
  </si>
  <si>
    <t xml:space="preserve">Check whether the municipal/city master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</si>
  <si>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Check whether the municipal/city master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</si>
  <si>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Does the Master Plan include objectives on social development (health care, education)?</t>
  </si>
  <si>
    <t xml:space="preserve">Check whether the municipal/city master plan identifies clear priorities, interventions and measurable targets/outcomes across the following three components:</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</si>
  <si>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</si>
  <si>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</si>
  <si>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</si>
  <si>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Does the master plan include objectives for women?</t>
  </si>
  <si>
    <t xml:space="preserve">Check whether the municipal/city master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master plan identifies clear priorities relating to women’s inclusion and associated interventions/actions and provides measurable/quantifiable targets or outcome indicators.
Score 5: The municipal/city master plan identifies clear priorities relating to women’s inclusion and associated interventions/actions, but does not provide measurable targets/outcome indicators.
Score 0: The municipal/city master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</si>
  <si>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Is there a common digital base master plan Map shared among Planning Authorities, and data updated through GIS with fixed periodicity by the relevent sectoral agencies (transport, network infrastructure, land use changes)</t>
  </si>
  <si>
    <t xml:space="preserve">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If the plan identifies atleast two of the above points score 3.3, else score 0. 
General statements of intent, such as improving sanitation, achieving universal water supply or creating a clean city, without identifiable priorities/interventions and measurable objectives or targets, shall not qualify.   </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</si>
  <si>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</si>
  <si>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Check the master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master plan/DP) to be scored.  A Disaster Management Plan may also be considered as evidence.  If the plan/ strategy does exist  score 3.3, or score 0 otherwise.                                                                                                                                Note: A draft document. Independent consultant's report/academic /NGO reports will not be considered.</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</si>
  <si>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 if the plan identifies atleast two or more clear priorities and includes measurable objectives or targets against those priorities; score 0 otherwise.</t>
  </si>
  <si>
    <t xml:space="preserve">29c</t>
  </si>
  <si>
    <t xml:space="preserve">UPD29c</t>
  </si>
  <si>
    <t xml:space="preserve">Score 3.3 where the plan clearly articulates the role/responsibilities of the ULG in its preparation/implementation; score 0 otherwise.</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</si>
  <si>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master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</si>
  <si>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30c</t>
  </si>
  <si>
    <t xml:space="preserve">UPD30c</t>
  </si>
  <si>
    <t xml:space="preserve">31a</t>
  </si>
  <si>
    <t xml:space="preserve">UPD31a</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</si>
  <si>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Master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</si>
  <si>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31b</t>
  </si>
  <si>
    <t xml:space="preserve">UPD31b</t>
  </si>
  <si>
    <t xml:space="preserve">31c</t>
  </si>
  <si>
    <t xml:space="preserve">UPD31c</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</si>
  <si>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10 if there is evidence that an Urban Design Cell/Unit/Vertical exists, including a qualifying shared State/district-level resource for towns below five lakh; score 0 otherwise.
 </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</si>
  <si>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10 if there is evidence that such a cell/unit/vertical exists and is functional for the city, including a qualifying shared state/district-level resource for towns below five lakh; score 0 otherwise.</t>
  </si>
  <si>
    <t xml:space="preserve">Does the city have an Economic Develeopment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</si>
  <si>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</si>
  <si>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25d</t>
  </si>
  <si>
    <t xml:space="preserve">UPD25d</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</si>
  <si>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 dedicated women’s welfare/development cell/unit/vertical exists and is functional for the city; score 0 otherwise.
Applicability: This indicator is applicable only to million-plus cities. For all non-million-plus cities, score NA.</t>
  </si>
  <si>
    <t xml:space="preserve">37a</t>
  </si>
  <si>
    <t xml:space="preserve">UPD37a</t>
  </si>
  <si>
    <t xml:space="preserve">37b</t>
  </si>
  <si>
    <t xml:space="preserve">UPD37b</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</si>
  <si>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Note: Score this question independently of the legal mandate. A city may score 5 on this question even where there is no legal mandate for a parking policy.</t>
  </si>
  <si>
    <t xml:space="preserve">Is there an effective system to monitor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</si>
  <si>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</si>
  <si>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Check the ULG/Development Authority websites whether the monitoring process includes all of the following:
Online self-assessment/reporting of construction progress, including uploading photographs and requisite compliance documents
Periodic ground surveys/inspections of approved projects, covering either all projects or a defined sample
Public disclosure of monitoring information, including compliance numbers/status, violations registered and action taken.
Score 5 if all three elements are operational.
Score 0 otherwise.</t>
  </si>
  <si>
    <t xml:space="preserve">Check the applicable Master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</si>
  <si>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Does your city have a single window clearance process in place for  development projects that are in conformity with Master Plans?</t>
  </si>
  <si>
    <t xml:space="preserve">40</t>
  </si>
  <si>
    <t xml:space="preserve">UPD40</t>
  </si>
  <si>
    <t xml:space="preserve">Is there an effective system to prevent approval of plans that are not in conformity with Master Plan?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</si>
  <si>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5 only if all four of the above aspects are met
Score 0 otherwise.</t>
  </si>
  <si>
    <t xml:space="preserve">41</t>
  </si>
  <si>
    <t xml:space="preserve">UPD41</t>
  </si>
  <si>
    <t xml:space="preserve">42</t>
  </si>
  <si>
    <t xml:space="preserve">UPD42</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</si>
  <si>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</si>
  <si>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</si>
  <si>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</si>
  <si>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Defintions/notes/list </t>
  </si>
  <si>
    <t xml:space="preserve">Spatial plans</t>
  </si>
  <si>
    <t xml:space="preserve">Metropolitan plan </t>
  </si>
  <si>
    <t xml:space="preserve">City Plan/Municipal Plan</t>
  </si>
  <si>
    <t xml:space="preserve">Ward level/local area Plan </t>
  </si>
  <si>
    <t xml:space="preserve">Zonal development plans, planning district plans or equivalent sub-city plans may be considered in place of ward-level plans where applicable.</t>
  </si>
  <si>
    <t xml:space="preserve">Scorer comments</t>
  </si>
  <si>
    <t xml:space="preserve">Implementation needs to be checked for all questions  irrespective of the score on mandate</t>
  </si>
  <si>
    <t xml:space="preserve">Change score from 3.30 to 3.33</t>
  </si>
  <si>
    <t xml:space="preserve">DCR </t>
  </si>
  <si>
    <t xml:space="preserve">Different normenclature of DCR - check with Meghamala</t>
  </si>
  <si>
    <t xml:space="preserve">How 'NA' is marked/treated in ASICS 2027 </t>
  </si>
  <si>
    <t xml:space="preserve">Is there a provision for a State Spatial Planning Board which is mandated with planning policies and reforms for the state, and is the final approving authority for Regional and Municipal Master Plans ?</t>
  </si>
  <si>
    <t xml:space="preserve">Part A: Check for the existence of a town planning body with the mandate for state spatial planning and reform. Check if the state Town and Country Planning (T&amp;CP) act has a provision for the constitution of state town planning board/trust/commission/advisory council. If the act provides for such a body with a 'may' provision (for ex. - "State may constitute..."), also, check for the constitution of a state town planning body.  Part B: Check if such a body is the final approving authority for regional plan.</t>
  </si>
  <si>
    <t xml:space="preserve">Does the Act require 3 levels of Master Plans for Metropolitian cities: Regional, Municipal and Ward(s) /Local</t>
  </si>
  <si>
    <t xml:space="preserve">Metropolitan Master Plan</t>
  </si>
  <si>
    <t xml:space="preserve">Check the T&amp;CP/Metropolitan Planning Act for provisions that mandate the creation of a metropolitan plan for the metropolitan region. Relevant metropolitan authority act/urban areas development authority act can also be considered for evidence. In the case of states that do not have a metropolitan area, the act should mandate the creation of a regional plan.</t>
  </si>
  <si>
    <t xml:space="preserve">Municipal Master Plan</t>
  </si>
  <si>
    <t xml:space="preserve">Check the T&amp;CP act for provisions that mandate the creation of a municipal master plan. Relevant urban areas development authority act can also be considered for evidence. </t>
  </si>
  <si>
    <t xml:space="preserve">Ward Master Plan</t>
  </si>
  <si>
    <t xml:space="preserve">Check the T&amp;CP act for provisions that mandate the creation of a third tier of plan at the zone/ward level. Town planning schemes that are developed within the framework of the master plan shall not be considered.</t>
  </si>
  <si>
    <t xml:space="preserve">Are planning boundaries for Metropolitian master plan, Municipal master plan and Ward(s) master plan clearly defined in accordance with political, planning, and administrative structures ?</t>
  </si>
  <si>
    <t xml:space="preserve">Planning boundary for a metropolitan plan should include entire district boundaries with no part districts included/excluded. Consider administrative district boundaries. Metro cities not having a metro plan would be scored 0 and non-metro cities to be scored NA. </t>
  </si>
  <si>
    <t xml:space="preserve">Institutional responsibility for master plan preparation and approval</t>
  </si>
  <si>
    <t xml:space="preserve">Does the law clearly assign institutional responsibility for preparing and approving master plans at each level?</t>
  </si>
  <si>
    <t xml:space="preserve">Review the applicable T&amp;CP/Planning Act, Metropolitan/Regional Planning Act, Development Authority Act, and relevant rules/regulations.
Part A: Preparation – 1.67 marks 
Look for an express provision or allied provision that clearly assigns responsibility for preparing, making, drawing up, formulating, or causing the Metropolitan/Regional master plan to be prepared. Score 1.67 if responsibility for preparation is clearly assigned to a specified institution/authority.
Score 0 if responsibility is not clearly assigned or can only be inferred from a general planning function.
Part B: Approval – 1.67 marks
Look for an express provision or allied provision that clearly assigns final approval, sanction or adoption authority for the Metropolitan/Regional master plan. For a Metropolitan/Regional or District-level plan, the final approving authority should be the State Government or a State-level authority/body legally empowered to exercise this function.
Score 1.67 if the final approving authority is clearly specified as the State Government or an appropriately empowered State-level body.
Score 0 otherwise.
Note: Score 0 for the entire sub-question where the same institution is both the sole preparer and final approving authority, without an independent statutory approval/scrutiny layer. Record separately in the score sheet where such an arrangement exists and identify the institutions involved.
The score sheet should also record, without separate scoring, the respective roles of the MPC/DPC, Development Authority/Regional Planning Authority, ULG, and State Government, including any role in preparation, consultation, recommendation, adoption, scrutiny, or approval.</t>
  </si>
  <si>
    <t xml:space="preserve">6a</t>
  </si>
  <si>
    <t xml:space="preserve">UPD8a</t>
  </si>
  <si>
    <t xml:space="preserve">UPD6a</t>
  </si>
  <si>
    <t xml:space="preserve">Does the law clearly identify the authority responsible for preparation and approval of the Metropolitan/Regional master plan?</t>
  </si>
  <si>
    <t xml:space="preserve">Replicate as applicable from above</t>
  </si>
  <si>
    <t xml:space="preserve">6b</t>
  </si>
  <si>
    <t xml:space="preserve">UPD8b</t>
  </si>
  <si>
    <t xml:space="preserve">UPD6b</t>
  </si>
  <si>
    <t xml:space="preserve">Does the law clearly identify the authority responsible for preparation and approval of the Municipal master plan, including the role of the ULG?</t>
  </si>
  <si>
    <t xml:space="preserve">6c</t>
  </si>
  <si>
    <t xml:space="preserve">UPD8c</t>
  </si>
  <si>
    <t xml:space="preserve">UPD6c</t>
  </si>
  <si>
    <t xml:space="preserve">Does the law clearly identify the authority responsible for preparation and approval of the Ward/Local master plan, with an appropriate role for the ULG/Ward Committee?</t>
  </si>
  <si>
    <t xml:space="preserve">Check if the T&amp;CP act mandates the zonal/ward master plans to be approved by the ULG. </t>
  </si>
  <si>
    <t xml:space="preserve">Does the Act define clearly the Objectives and Contents of each level of master plan?</t>
  </si>
  <si>
    <t xml:space="preserve">Check the T&amp;CP act for provisions that detail the contents/objectives of each level of plan. Act should broadly mention what the master plan should cover at each or at any level; details of a master plan/comprehensive development plan prescribed by the law can also be considered. </t>
  </si>
  <si>
    <t xml:space="preserve">Is there a clear provision for a competent technical cell to enable preparation of the master plan for each level?</t>
  </si>
  <si>
    <t xml:space="preserve">Check if the T&amp;CP act/urban development authorities act provides for a body (like a development authority) at each level of master plan, which would function as the technical arm for planning the city.</t>
  </si>
  <si>
    <t xml:space="preserve">Does the city have an MPC/DPC?</t>
  </si>
  <si>
    <t xml:space="preserve"> Constitution (5): Check whether the State has notified the rules for, and has actually constituted, the MPC/DPC applicable to the city. Score 5 where the committee is duly constituted per the notified rules; score 0 otherwise. MPC applies to metropolitan areas (~46 cities); DPC applies at the district level - assess whichever is applicable to the city, and mark NA only where neither is legally applicable</t>
  </si>
  <si>
    <t xml:space="preserve">Functioning (5): Check whether the constituted MPC/DPC has met at least once in the past year. Score 5 where a meeting in the last year can be evidenced; score 0 otherwise.
Evidence: State UD/Municipal Administration department notifications and constitution orders; MPC/DPC meeting minutes, agendas or resolutions; city/committee websites. Note: MPC/DPC proceedings are frequently not published online, so the functioning sub-question may require primary/RTI-based verification.</t>
  </si>
  <si>
    <t xml:space="preserve">Check whether the city has a statutory metropolitan-level authority constituted under a dedicated law - for example the Greater Bengaluru Authority (GBA) under the Greater Bengaluru Governance Act, 2024. Score 10 where such a metropolitan authority has been established by law and constituted for the city; score 0 otherwise.                                             Note: The question is NA for non-metropolitan cities (cities not falling within a notified metropolitan area/region).                                                                     Evidence: the relevant metropolitan authority Act and constitution notification/Government Order, State Urban Development department notifications, and the authority's official website</t>
  </si>
  <si>
    <t xml:space="preserve">Does the law mandate participation of all parastatals/ agencies /ULGs  in creation of metropolitan master plans?</t>
  </si>
  <si>
    <t xml:space="preserve">Check the T&amp;CP act for provisions that mandate the participation of all parastatals/agencies/ULGs in creation of master plans at all three levels with respect to its jurisdiction. The clause may either state verbatim "all parastatals/agencies/ULBs"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t>
  </si>
  <si>
    <t xml:space="preserve">Does the law mandate public participation in preparation of the municipal plan  through Area Sabhas / Ward Sabhas and other means?</t>
  </si>
  <si>
    <t xml:space="preserve">"Part A: Check if the T&amp;CP act mandates public participation in preparation of each level of the plan.
Part B: Check if such participation is mandated through formal platforms such as ward committees and area sabhas."</t>
  </si>
  <si>
    <t xml:space="preserve">Questions split into implementation and policy </t>
  </si>
  <si>
    <t xml:space="preserve">Does the law mandate public scrutiny at (including objections and responses) municipal plan through Area Sabhas / Ward Sabhas and other means?</t>
  </si>
  <si>
    <t xml:space="preserve">"Part A: Check if the T&amp;CP act mandates public scrutiny (including objections and responses) at each level of the plan.
Part B: Check if such scrutiny is mandated through formal platforms such as ward committees and area sabhas."</t>
  </si>
  <si>
    <t xml:space="preserve">Are there provisions in the Act for modifications to notified master plans?</t>
  </si>
  <si>
    <t xml:space="preserve">Check if the T&amp;CP act/urban development act has provisions to make modifications for the master plans after it is notified. Provisions that enable the planning authority/state to make periodic changes (alluding to the revision or creation of a new master plan say after ten years) to the master plans shall not be considered. </t>
  </si>
  <si>
    <t xml:space="preserve">Does the law mandate a periodic implementation review of the master plan against its stated targets?</t>
  </si>
  <si>
    <t xml:space="preserve">Review the applicable State Town Planning Act/Rules.
Score 10 — the Act/Rules mandate a periodic (e.g., annual/bi-annual/5 years) review of master plan implementation against stated targets and a named responsible authority/reporting mechanism.
Score 5 — the Act refers generally to “monitoring” or “review” of the master plan and specify either one, periodicity or a responsible authority.
Score 2.5 — the Act refers generally to “monitoring” or “review” of the master plan without specifying periodicity or a responsible authority.
Score 0 — the Act/Rules are silent on implementation review.</t>
  </si>
  <si>
    <t xml:space="preserve">11. Check the T&amp;CP and other relevant acts as prescribed below:</t>
  </si>
  <si>
    <t xml:space="preserve">a) Sanitation</t>
  </si>
  <si>
    <t xml:space="preserve">11(a) Check the T&amp;CP/Urban Development Authority (UDA)/Municipal acts for provisions that mandate the planning authority to prepare a city sanitation plan or mandate to have a sanitation component as part of the master plan. Provisions that make such a plan optional with 'may' provision shall not be considered. In the absence of such mandates in T&amp;CP/relevant UDA act/municipal act, check if the state has adopted a state sanitation strategy/policy that mandates ULGs to draw up a city sanitation plan.</t>
  </si>
  <si>
    <t xml:space="preserve">b) Resilience</t>
  </si>
  <si>
    <t xml:space="preserve">11(b) Check the T&amp;CP/UDA/municipal act for provisions that mandate the planning authority to prepare a disaster management/resilience plan or mandate to have a disaster management component as a part of the master plan. Provisions that make such a plan optional with 'may' provision shall not be considered. In the absence of such mandates in T&amp;CP/relevant UDA act/municipal act, check if the state has adopted a state disaster management act/rules that mandate ULGs to draw up a disaster management/resilience plan.</t>
  </si>
  <si>
    <t xml:space="preserve">11(c) Check the T&amp;CP/UDA/municipal acts for provisions that mandate the planning authority to prepare a mobility plan or mandate to have a mobility component as part of the master plan. Provisions that make such a plan optional with 'may' provision shall not be considered. In the absence of such mandates in T&amp;CP/relevant UDA act/municipal act, check if the state has adopted a state urban transportation policy/strategy that mandates ULGs to draw up a comprehensive mobility plan.</t>
  </si>
  <si>
    <t xml:space="preserve">d) Sustainability</t>
  </si>
  <si>
    <t xml:space="preserve">11(d) Check the T&amp;CP/UDA/municipal acts for provisions that mandate the planning authority to prepare a sustainability plan or mandate to have a sustainability component as part of the master plan. Provisions that make such a plan optional with 'may' provision shall not be considered.</t>
  </si>
  <si>
    <t xml:space="preserve">11(e) Check the T&amp;CP/UDA/municipal acts for provisions that mandate the planning authority to prepare a heritage conservation plan or mandate to have a heritage conservation component as part of the master plan.  Provisions that make such a plan optional with 'may' provision shall not be considered.</t>
  </si>
  <si>
    <t xml:space="preserve">11(f) Check the T&amp;CP/UDA/municipal acts for provisions that mandate the planning authority to prepare a social development plan or mandate to have a social development component as part of the master plan. Provisions that make such a plan optional with 'may' provision shall not be considered. Social development plan should include planning for health, education and affordable housing. </t>
  </si>
  <si>
    <t xml:space="preserve">Are there three levels of currently notified master plans?</t>
  </si>
  <si>
    <t xml:space="preserve">Is there a Metropolitan Region Master Plan?</t>
  </si>
  <si>
    <t xml:space="preserve">Document should mention the words metropolitan regional plan or any word that can be safely assumed to be a synonym for a metropolitan region. Check the website of the metro region development authority or urban development authority or ULB website. </t>
  </si>
  <si>
    <t xml:space="preserve">Is there a Municipal Master Plan?</t>
  </si>
  <si>
    <t xml:space="preserve">Document should mention the word municipal plan or the metropolitan plan should have a section on the municipal plan . Check the website of the urban development authority or ULB website or T&amp;CP Dept. Municipal master plan can be a part of the Metro master plan as well.</t>
  </si>
  <si>
    <t xml:space="preserve">Is there a Ward(s) /Local area/ neighbourhood Master Plan?</t>
  </si>
  <si>
    <t xml:space="preserve">If the document has spatial planning districts, which are formed for planning purpose at local level with contiguity, can also be considered for scoring. Ward master plan / Planning Districts / zonal master plans will mostly be a part of the municipal master plan document. Merely zonal divisions in the map shouldn't be scored and detailed plans should be there.</t>
  </si>
  <si>
    <t xml:space="preserve">Does the city have a master plan that is currently in force and within its prescribed validity period?</t>
  </si>
  <si>
    <t xml:space="preserve">Review the applicable master plan to identify the valid period, and the gazette notification date of the current and immediately preceding master plan (or the date the Act came into force, if this is the city's first master plan).
Score 10 — notified within the statutory period
Score 0 — no master plan has ever been notified, or the master plan is overdue by more than one full statutory cycle with no evidence of a revision process underway.
The scorer to capture in the scoring sheet the amount of time (in months) that has been passed since the end of the validity period
</t>
  </si>
  <si>
    <t xml:space="preserve">Are all master plans in a concurrent or nested timeline of validity?</t>
  </si>
  <si>
    <t xml:space="preserve">Check that timelines of the metropolitan and municipal level master plans, including ward level plans overlap (not exceeding the timeline of metropolitan plan)</t>
  </si>
  <si>
    <t xml:space="preserve">Is the Metropolitan master plan in a concurrent or nested timeline of validity with Municipal master plan?</t>
  </si>
  <si>
    <t xml:space="preserve">Check that timelines of the metropolitan and municipal level master plans/Master Plans, including ward level plans overlap (not exceeding the timeline of metropolitan plan). For example, If Metro plan is for 2001 to 2021, then municipal plan timeline should not exceed 2021. In case the city is not a metro region, it should be scored NA. </t>
  </si>
  <si>
    <t xml:space="preserve">Check that timelines of the metropolitan and municipal level master plans/Master Plans, including ward level plans overlap (not exceeding the timeline of metropolitan plan). Zonal development plans / planning districts can also be considered in place of ward development plans</t>
  </si>
  <si>
    <t xml:space="preserve">The Master Plan must have mention of 1) key development drivers for the sector - at least Jobs generated (both formal and informal), factories/compnaies started, increase in revenue and 2) quantitative and qualitative impact/outcome metrics for each driver. Some of the below metrics can be used for scoring:
• Increase workforce participation rate from current rate
• Total area of subsidised land that is to be set aside for development/redevelopment for primary/ secondary/Tertiary sector over the plan periods
• Number of jobs to be generated over the plan period from primary sector/ secondary and tertiary sector
• Number of street vendors serviced with hawker areas</t>
  </si>
  <si>
    <t xml:space="preserve">The Master Plan must have mention of 1) key development drivers for the sector - at least recreational + non recreational green spaces, urban forests, lakes, wetlands and other water bodies, climate change and pollution and 2) quantitative and qualitative impact/outcome metrics for each driver. Some of the below metrics can be used for scoring:
b) Environment and Disaster Management:
• Number of lakes and water bodies revived
• % of deforestation/reforestation during plan period
• Number of water bodies targeted to be revived/filled up for urban development
• % land area to be allocated to natural habitation for diverse ecology
• Number of projects developed on revival of natural habitats/increase in ecological diversity
• % reduction of pollution of all air, water, soil
• Number of natural environment assets – forests, hills, water bodies, dunes – with protective zoning buffers
• number of natural environment assets where protective buffer zone is violated
• Increase in successful initiatives on increasing solar/biogas energy usage in public utilities
• Number of successful initiatives on clean-tech innovation for public services
• Reduce the city’s greenhouse gas emissions </t>
  </si>
  <si>
    <t xml:space="preserve">"The Master Plan must have mention of 1) key development drivers for the sector - at least hygiene systems, healthcare quality and coverage, education quality and coverage, safety and security and 2) quantitative and qualitative impact/outcome metrics for each driver. some of the metrics can be used for scoring:
a) Education
• Increase in the coverage of anganwadi
• All four-year-olds receive access to free, full-day, high quality pre-kindergarten
• Ratio of primary schools to population to be serviced
• % of students graduating with job offers
• Improve access to school for physically and mentally challenged
b) Health care:
• Increase the coverage of dispensaries to population serviced
• Increase the coverage of home/child welfare/maternity centres to population serviced
• Increase the coverage of  hospitals to population serviced
• Increase the coverage of rehabilitation centres
• Increase the coverage of diagnostic centres
• Increase the percentage of public high school students who report meeting recommended levels of aerobic physical activity
• Reduce the spread of vector borne disease
• Increase the percentage of adult city dwellers who feel that they received the medical care they needed
• Reduce the number of traffic fatalities to zero
c) Affordable Housing :
• Number of notified slums to be rehabilitated/upgraded with infrastructure and services
• Estimating present and future housing shortage for the urban poor,  Financing new construction of affordable units and its preservation
• Increase the ratio of affordable housing supply to total housing stock
• % of affordable housing with easy access to livelihood opportunities
• % of affordable housing with easy access to transport networks"</t>
  </si>
  <si>
    <t xml:space="preserve">Check if the master plan mentions the following:
1) Key development drivers, for example, women's participation in the economy (both formal and informal), access to infrastructure and services
2) Quantitative and qualitative impact/outcome metrics for each driver.</t>
  </si>
  <si>
    <t xml:space="preserve">The MAP must be 1) A State Spatial Data Centre with a map available for use by all agencies and parastatals in the state and 2) must possess 7 key  layers - topography, geological hazards and sensitivities, green and agri land, water drainage system, street networks and block footprints, peripheral rural parcels and political and admin boundaries  + layers for all parastatals operating in the city (roads and allied infra, traffic, water and sewerage, Storm Water Drains, electricity, other underground utilities, land use, planning zone)</t>
  </si>
  <si>
    <t xml:space="preserve">Do the applicable Development Control/Zoning Regulations provide differentiated development controls appropriate to different spatial contexts within the city?</t>
  </si>
  <si>
    <t xml:space="preserve">Do not award credit merely because permissible land uses differ by zone. Score only where development-intensity/form controls — FAR/FSI, density, height, setbacks, plot coverage, mixed use, parking, street interface, or other built-form controls — are differentiated by spatial context.
Million-plus cities — identify which of the following contexts are applicable to the city: (a) core/old city, (b) peripheral/growth areas, (c) heritage/special areas, (d) TOD/transit-influence zones. Score out of 10 in components of 2.5 per applicable context in which the DCR prescribes a differentiated development-intensity/form standard. Where fewer than four contexts are applicable to the city, re-base the score to the applicable contexts only (e.g., 3 applicable contexts → score out of 7.5, rescaled × 10/7.5) and record the calculation used.
Other cities — Score 10 if the State framework differentiates development-intensity/form controls by at least two distinct city/town categories or planning contexts; Score 5 if such differentiation exists but is limited to a single parameter (e.g., only FAR varies); Score 0 if a uniform DCR/byelaw applies statewide with no contextual variation.
Not Applicable only if the city has no DCR/zoning-regulation instrument in force at all.</t>
  </si>
  <si>
    <t xml:space="preserve">Does the legal framework provide a defined mechanism for revision/amendment of DCRs, including when the Master Plan is revised?</t>
  </si>
  <si>
    <t xml:space="preserve">Review the applicable State Town Planning Act/Rules.
Score 10 — the Act/Rules specify a period revision/amending DCRs, AND explicitly require DCRs to be reviewed/aligned/updated consequent to master plan revision.
Score 5 — a mechanism for DCR amendment exists, but the law is wholly silent on any linkage to master plan revision.
Score 0 — no defined statutory mechanism for DCR revision/amendment exists.</t>
  </si>
  <si>
    <t xml:space="preserve">City Sanitation Plan</t>
  </si>
  <si>
    <t xml:space="preserve">Does the city have a City Sanitation Plan that clearly articulates development priorities, measurable objectives, and the roles and responsibilities of the ULG?</t>
  </si>
  <si>
    <t xml:space="preserve">UPD18a</t>
  </si>
  <si>
    <t xml:space="preserve">Does the city have a notified and active City Sanitation Plan?</t>
  </si>
  <si>
    <t xml:space="preserve">Check the master plan/ULB website/Parastatl website / Master plan document for the existence of a detailed CSP document. A one-pager drafted by cities for Swachh Bharat mission will not be considered</t>
  </si>
  <si>
    <t xml:space="preserve">UPD18b</t>
  </si>
  <si>
    <t xml:space="preserve">Check if it specifies measurable objectives or targets against the identified priorities, including quantitative or qualitative indicators, as appropriate. In the case of CSP, Examples may include targets relating to sanitation coverage, wastewater treatment, safe disposal of faecal sludge, reduction in untreated sewage discharge or elimination of identified sanitation service gaps. A general statement of intent, such as improving sanitation or achieving a clean city, without identifiable priorities and measurable objectives or targets, should not qualify.</t>
  </si>
  <si>
    <t xml:space="preserve">Score 3.3 where the CSP clearly articulates the role/responsibilities of the ULG in its preparation/implementation; score 0 otherwise.</t>
  </si>
  <si>
    <t xml:space="preserve">Check the master plan/ULB website/parastatal website/city website (including networks such as 100 Resilient Cities or C40) for the existence of a Climate Action Plan, City Resilience Strategy or Sustainability Strategy. The document must be formally adopted or approved by the competent authority (a Municipal Corporation/Council resolution, a Government Order, or integration into the statutory master plan/DP) to be scored.  Note:  draft, a consultant's report or an unadopted study will not be considered. Assess on content, not title: any of the three document types qualifies. A Disaster Management Plan may be considered as partial supporting evidence only, not as a full substitute.</t>
  </si>
  <si>
    <t xml:space="preserve">Check if it specifies measurable objectives or targets against the identified priorities, including quantitative or qualitative indicators, as appropriate. Examples may include greenhouse-gas emission-reduction or net-zero targets, targets for reducing exposure to heat, flooding or other climate hazards, and adaptation/resilience targets such as green cover, flood mitigation or water security. A general statement of intent, such as becoming climate-resilient or sustainable, without identifiable priorities and measurable objectives or targets, should not qualify.</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</si>
  <si>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t>
  </si>
  <si>
    <t xml:space="preserve">Check if it specifies measurable objectives or targets against the identified priorities, including quantitative or qualitative indicators, as appropriate. Examples may include a target to shift to a sustainable mode-share (public transport, walking and cycling), and actionable projects with measurable timelines, budget estimates and a phasing plan; other examples include targets for road safety or transport-related emissions. A general statement of intent, without identifiable priorities and measurable objectives or targets, should not qualify.</t>
  </si>
  <si>
    <t xml:space="preserve">Score 3.3 where the CMP clearly articulates the role/responsibilities of the ULG in its preparation/implementation; score 0 otherwise.</t>
  </si>
  <si>
    <t xml:space="preserve">Check the master plan/ULB website/parastatal website/city or district website for the existence of an Economic Vision or Economic Development Plan for the city. The plan must be formally adopted or approved by the competent authority (a Municipal Corporation/Council resolution, a Government Order, or integration into the statutory master plan/DP) to be scored - a draft, a consultant's report or an unadopted study will not be considered. &lt;need to confirm&gt;</t>
  </si>
  <si>
    <t xml:space="preserve">Check if it specifies measurable objectives or targets against the identified priorities, including quantitative or qualitative indicators, as appropriate. Examples may include targets for employment or job creation, growth in output or Gross Value Added (GVA), sector-specific development targets, or investment to be mobilised. A general statement of intent, such as making the city an economic hub, without identifiable priorities and measurable objectives or targets, should not qualify. &lt;need to confirm&gt;</t>
  </si>
  <si>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</si>
  <si>
    <t xml:space="preserve">Does the city have  a dedicated Women's Welfare/Development Cell?</t>
  </si>
  <si>
    <t xml:space="preserve">Check if the T&amp;CP/municipal act mandates/has created design guidelines for executing projects for: </t>
  </si>
  <si>
    <t xml:space="preserve">1. Roads (all types: arterial, sub-arterial, collector, access, alleys etc.) and streetscapes (including over ground traffic);</t>
  </si>
  <si>
    <t xml:space="preserve">2. Footpaths;</t>
  </si>
  <si>
    <t xml:space="preserve">3. Underground public utilities (water, sewerage, SWD, electricity, internet, gas);</t>
  </si>
  <si>
    <t xml:space="preserve">4. Residential units; and</t>
  </si>
  <si>
    <t xml:space="preserve">5. Commercial buildings.</t>
  </si>
  <si>
    <t xml:space="preserve">Check whether the T&amp;CP/municipal Act (or rules, regulations or notified guidelines made under it) mandates urban design standards/guidelines for the execution of urban projects across five categories: (1) roads (all types) and streetscapes; (2) footpaths; (3) underground public utilities (water, sewerage, storm-water drainage, electricity, internet, gas); (4) residential units; and (5) commercial buildings. Award 1 point for each category for which such standards are mandated (5 categories x 1 = 5); score 0 for a category where none are mandated.</t>
  </si>
  <si>
    <t xml:space="preserve">Check whether the city has actually adopted/created urban design standards or guidelines to guide the execution of urban projects across the same five categories: (1) roads and streetscapes; (2) footpaths; (3) underground public utilities; (4) residential units; and (5) commercial buildings. Award 1 point for each category for which the city has adopted such standards (5 x 1 = 5); score 0 for a category where none exist. Evidence: notified bye-laws/design guidelines, the master plan/DP, and ULB/Development Authority/parastatal websites.</t>
  </si>
  <si>
    <t xml:space="preserve">Assessed through 2 sub-questions of 5 each. To qualify, the city must have a separate, standalone parking policy - parking provisions contained within the master plan, or other documents will not be considered</t>
  </si>
  <si>
    <t xml:space="preserve">Is there a clear mandate for a parking policy?</t>
  </si>
  <si>
    <t xml:space="preserve">Score 5 where there is a clear statutory or policy mandate for the city to prepare/adopt a standalone parking policy (for example in the municipal/T&amp;CP Act, a State urban transport or parking policy, or notified rules); score 0 otherwise.</t>
  </si>
  <si>
    <t xml:space="preserve"> Score 5 where the city's standalone parking policy has been adopted and implemented - evidenced by measures such as designated/notified parking-management areas, priced or regulated on-street parking, active enforcement, or a parking-management authority/plan; score 0 where the policy exists only on paper or is absent. Evidence: the adopted parking policy, and ULB/traffic-police/parastatal notifications and websites.</t>
  </si>
  <si>
    <t xml:space="preserve">Does the ULG have a Development Control Regulation (DCR) that is current and appropriately tailored to the city?</t>
  </si>
  <si>
    <t xml:space="preserve">Sum of the sub-questions below.</t>
  </si>
  <si>
    <t xml:space="preserve">For million-plus cities, is the DCR specific to the ULG?</t>
  </si>
  <si>
    <t xml:space="preserve">Review the applicable State Town &amp; Country Planning Act/Rules and the DCR itself.
Score 5 — the ULG has its own DCR, distinct from the generic state DCR, tailored to its built environment/master plan.
Score 2.5 — a city-specific DCR exists but is largely a copy of the state DCR with minimal ULG-specific modification.
Score 0 — the ULG relies entirely on the generic state DCR, with no city-specific version.</t>
  </si>
  <si>
    <t xml:space="preserve">Has the DCR been revised within the last 5 years?</t>
  </si>
  <si>
    <t xml:space="preserve">Review the DCR's notification date and any gazette notifications of subsequent amendments.
Score 5 — the DCR (or a substantive amendment) was notified within the last 5 years.
Score 2.5 — last substantively revised 5–10 years ago.
Score 0 — not revised in over 10 years, or no revision date can be established.</t>
  </si>
  <si>
    <t xml:space="preserve">Are DCR preparation and amendments required to go through public consultation before notification?</t>
  </si>
  <si>
    <t xml:space="preserve">Review the applicable State Town Planning Act/Rules governing DCR amendment.
Score 10 — public consultation is mandatory for ALL amendments to DCRs/zoning regulations, with a specified minimum notice period (e.g., 30/60 days), AND a requirement that objections be considered/responded to before final notification.
Score 7.5 — mandatory consultation with a specified minimum notice period, but no requirement to consider or respond to objections received.
Score 5 — mandatory consultation, but no minimum notice period is specified.
Score 2.5 — consultation is discretionary (“may invite objections”), or mandated only for certain categories of amendment (e.g., only “substantial” modifications).
Score 0 — no statutory requirement for public consultation before notifying DCR amendments; amendments may be notified solely by executive/government order.
Where consultation is required for master plan amendments generally, but a separate provision empowers government to amend DCRs directly without consultation, score against the DCR-specific provision.</t>
  </si>
  <si>
    <t xml:space="preserve">Check the T&amp;CP act or any publicly available policy document (state govt/Urban Development Department (UDD)/T&amp;CP Dept. website)/newspaper reports/Green Rating for Integrated Habitat Assessments (GRIHA)/Leadership in Energy and Environmental Design (LEED)/Confederation of Indian Industry (CII) websites for incentives such as rebate in property tax or charges connected to building permission/development charges or other such incentives for construction of green buildings. </t>
  </si>
  <si>
    <t xml:space="preserve">Part A: Check if the state has passed a land titling law OR passed an order/circular to certify land titles.
Part B: If there is a mandate by act, check if the rules for the same are notified.</t>
  </si>
  <si>
    <t xml:space="preserve">Part A: Check if the state has passed a land pooling OR passed an order/circular to certify land titles.
Part B: If there is a mandate by act, check if the rules for the same are notified.  Scoresheet to also capture : What form of land assembly/reconstitution mechanism does the framework provide? (A full TPS model and a standalone land-pooling model are not necessarily the same.)</t>
  </si>
  <si>
    <t xml:space="preserve">Check for the existence of an online portal / platform that acts as a one-stop solution for filing complete application for development projects (education, health, affordable housing) and provides option for tracking status of application. Availability of any 2 out of the 3 project types can also be considered for scoring. </t>
  </si>
  <si>
    <t xml:space="preserve">"Check if the T&amp;CP act/relevant UDA act/rules corresponding to such relevant provisions of the act, mandates the following aspects.
1. Registry of public projects
2. An approval authority for projects at each level defined within the MPC Act or the T&amp;CP act
3. A defined process for rejections/variance approvals for plans not in conformity with Master Plan defined in the MPC Act or the T&amp;CP act; and
4. Disclosure of all approvals, denials and variance approvals in the public domain.
Mark 'Yes' only if all four conditions apply."</t>
  </si>
  <si>
    <t xml:space="preserve">Is there an effective system to monitor ongoing constructions/projects  for possible violations?</t>
  </si>
  <si>
    <t xml:space="preserve">"Check if the T&amp;CP act/relevant UDA act/rules corresponding to such relevant provisions of the act, mandates the following processes.
1. Online self-assessment of progress including uploading of photographs and requisite compliance documents
2. Periodic ground surveys of approved projects (all/sample); and
3. Disclosure of all information (compliance numbers, violations registered and action taken) collected in survey in the public domain
Mark 'Yes' only if all three conditions apply."</t>
  </si>
  <si>
    <t xml:space="preserve">"Check if the T&amp;CP act mentions the penal provisions under the following heads (at least five of the below to mark as 'Yes'):
1. Building code violations (at plan approval stage, these codes dictate details such as electric, water, door/window dimensions etc.)
2. Plumbing and sewage violations (discharge of waste into any public land, alley, stream, sidewalk etc.)
3. Setback violations (setbacks are the minimum space required between the plot boundary and building)
4. Building height violations (maximum permissible height according to the location)
5. Energy efficiency/consumption violations (particularly for large-scale/commercial buildings)
6. Absence of rainwater harvesting systems
7. Plot access violations (the points of entry/exit to your building/plot in accordance with the road)
8. Parking violations (with respect to your building and the road)
9. Fire code violations (primarily important at both plan approval level and again at Occupancy Certificate (OC) level)
10. Requirements for earthquake/flood/tsunami/flood resistance (in disaster prone areas)
11. Building refurbishment without permit (addition/demolition/remodeling etc.)
12. Change in building use/function/occupancy without permits (dwelling to commercial use; warehouse to office space etc.)
13. Violations in floor area ratio (far) or floor space index (fish) (in accordance with zoning codes of the area)
14. Business signage/outdoor display boards (zoning codes dictate permissible size/location of these on top of buildings etc.)
15. Non-permitted uses (some zones strictly dictate only residential/only commercial/uses)
16. Nuisance violations (these might be advertisements, banners, pamphlets on buildings, flyovers, etc.)
17. loading/unloading regulations (for commercial and industrial buildings, service access, safety etc. as detailed out by building code)
18. Urban design regulations (includes streetscapes, pedestrian circulation, open areas, plazas, arcades etc.)
19. Flight obstruction areas (around major airports)
20. Historical conservation/preservation of buildings/areas of the city. (violations occur if such areas/structures are recognised to be of historical importance)
21. Junk and thrash violations (designated areas as described in the zoning code)"</t>
  </si>
  <si>
    <t xml:space="preserve">Question Code</t>
  </si>
  <si>
    <t xml:space="preserve">&lt;Enter Question Code only&gt;</t>
  </si>
  <si>
    <t xml:space="preserve">&lt;CHECK IF EXCEL TAB NAME IS SAME AS QUESTION CODE: IF NOT, ENTER TAB NAME AS QUESTION CODE&gt;</t>
  </si>
  <si>
    <t xml:space="preserve">DO NOT ALTER FORMULA BELOW</t>
  </si>
  <si>
    <t xml:space="preserve">Second column counts only if the first is YES: first YES = half marks, both YES = full marks.</t>
  </si>
  <si>
    <t xml:space="preserve">SELECT YES / NO</t>
  </si>
  <si>
    <t xml:space="preserve">DO NOT ALTER FORMULA</t>
  </si>
  <si>
    <t xml:space="preserve">City</t>
  </si>
  <si>
    <t xml:space="preserve">Act Name/Web name/Doc name</t>
  </si>
  <si>
    <t xml:space="preserve">Chapter</t>
  </si>
  <si>
    <t xml:space="preserve">Provision</t>
  </si>
  <si>
    <t xml:space="preserve">Clause</t>
  </si>
  <si>
    <t xml:space="preserve">Page Number</t>
  </si>
  <si>
    <t xml:space="preserve">Points (Auto-generate)</t>
  </si>
  <si>
    <t xml:space="preserve">SCORER COMMENTS</t>
  </si>
  <si>
    <t xml:space="preserve">AI: left for a person. Step 2 found no evidence (Insufficient Evidence). Source needed: A readable, current consolidated text of the Gujarat Town Planning and Urban Development Act, 1976 (from the Legislative and Parliamentary Affairs Department or the UD&amp;UHD Acts &amp; Rules page), with its full list of sections, to check for a state-level planning board or equivalent and whether it uses 'shall' or 'may'. Also: the full texts of the Gujarat Metropolitan and District Planning Committees Acts, 2008. If the law only enables such a body, also needed: the gazette notification or government order setting it up, or an official UD&amp;UHD page showing that the body exists and what it does.</t>
  </si>
  <si>
    <t xml:space="preserve">Answer</t>
  </si>
  <si>
    <t xml:space="preserve">Chapter 21 (Proposed Land-use), 21.1 Exclusion of Villages; also Chapter 1 (history of planning legislation)</t>
  </si>
  <si>
    <t xml:space="preserve">GTPUDA 1976 s.22(2A) and s.22(4), as reported in the SUDA Development Plan 2035 report (22 Feb 2017)</t>
  </si>
  <si>
    <t xml:space="preserve">Notification No. GH/V/144 of 2016/DVP-142015-2441-L dated 19.07.2016</t>
  </si>
  <si>
    <t xml:space="preserve">233</t>
  </si>
  <si>
    <t xml:space="preserve">YES</t>
  </si>
  <si>
    <t xml:space="preserve">AI (low confidence), from Step 2 answer (Partially Answered) and ULG-06: I scored YES because the State's planning law has a working power to set up new planning authorities for notified areas. Three points in ULG-06 support this:
(1) The report says the Gujarat Town Planning and Urban Development Act, 1976 (GTPUDA) 'made the provision for formation of Urban / Area Development Authorities', and that SUDA was set up by State notification of 30.01.1978.
(2) The State used s.22(2A) to split SUDA's area and used s.22(4) to set up a new Khajod Urban Development Authority for the split-off area (notification dated 19.07.2016).
(3) The State extended SUDA's limits by notification in 2015 and removed 54 villages in 2016. This shows the State notifies areas, and that the authority for an area plans for any area added to it.
This matches the Detailed Methodology: 'provisions for establishing a planning authority for new areas/towns notified'.
I checked the Step 2 answer against the source. It said 'probably yes' but left the score blank. The section 22 passage in ULG-06 is more specific than the general statement Step 2 relied on: it names the exact sub-sections and the notification used to set up a new authority. That supports YES.
Limits a person should check:
- I could not read the Act's own wording. ULG-01, the PRS copy of GTPUDA, is scanned for pages 2-86, so the text of ss.3, 5 and 22 is unreadable. The amending Acts that are readable only cover changes to ss.7(2), 23(2) and 19A. The 2017 amendment is a 'may' power to delegate functions, not to set up an authority.
- The provision is reported in an official SUDA document, not quoted from the Act.
- No source on the Sheet covers a special-area law, such as Gujarat's Special Investment Region Act. ULG-06 does propose an SPV that 'can act as Development Authority' under GTPUDA for the Surat Industrial Growth Region. That is a plan proposal, not a legal provision, and I did not rely on it.
- Other sources checked: ULG-04 (GTPUDA Rules 1979) only covers procedure. ULG-03 (GPMC Act) ss.284E-F deal with re-development areas inside the city, not new authorities. ULG-05 (CGDCR) is development regulations.
To confirm, get a readable official copy of GTPUDA ss.3, 5 and 22, especially the 'may' or 'shall' wording for declaring development or urban development areas and setting up ADAs or UDAs.
Quote: "Government of Gujarat, in exercise of the powers conferred by sub -section (2A) of section 22 of the Gujarat Town Planning and Urban Development Act, 1976 sub divided the area of Surat Urban Development Authority and constituted Khajod Urban Development Authority under sub section (4) of section 22 of the said Act"</t>
  </si>
  <si>
    <t xml:space="preserve">Gujarat Act No. 14 of 2019 (Gujarat Local Authorities and Town Planning Laws (Amendment) Act, 2019), appended to the GTPUDA 1976 PRS copy</t>
  </si>
  <si>
    <t xml:space="preserve">Section 9 of Act 14 of 2019, which inserts new ss.10A-10C into the Gujarat Metropolitan Planning Committees Act, 2008 (Guj. 18 of 2008)</t>
  </si>
  <si>
    <t xml:space="preserve">MPC Act s.10A(3) (as inserted); see also s.10A(1), s.10C(3)(a), GTPUDA s.9(1) proviso and s.19A (as inserted)</t>
  </si>
  <si>
    <t xml:space="preserve">97</t>
  </si>
  <si>
    <t xml:space="preserve">AI (low confidence), from Step 2 answer (Partially Answered) and ULG-01: I left the answer blank because the Citation Sheet doesn't show whether the law requires a metropolitan or regional plan. I can't answer YES or NO.
(1) Why not YES. The only metropolitan-level text in the sheet is the 2019 amending Act (ULG-01, pp.93-98; the Bill is ULG-02). It adds s.10A to the MPC Act. Under s.10A(1), the State 'may' sanction, refuse or return a draft development plan 'submitted by the Metropolitan Planning Committee'. Under s.10A(3), the final plan 'shall be binding' on all authorities in the metropolitan area. Under s.10C(3)(a), a State-appointed officer shall 'assist' the MPC in preparing the plan. The amended GTPUDA s.9(1) proviso and new s.19A require the development authority's plan to include the spatial proposals of a sanctioned MPC plan. All of these provisions take the plan for granted and govern its sanction, binding effect and adoption. None of them requires anyone to prepare it ('shall prepare'). That duty, if it exists, would be in the main text of the Gujarat MPC Act, 2008, which is not in the sheet.
(2) Why not NO. A NO needs proof that no such provision exists. The main MPC Act 2008 text, any rules under it, and the 11/03/2016 notification declaring the Surat Metropolitan area are all missing. So I can't show the duty is absent.
(3) What I checked: ULG-01 (GTPUDA amendments of 2017 and 2019); ULG-02 (the 2019 Bill); ULG-03 (GPMC Act 1949, which covers only city-level re-development plans under ss.284E-284F and no metropolitan plan); ULG-04 (GTPUD Rules 1979, r.3, which covers only the development authority's draft development plan); and ULG-06 (SUDA DP 2035 report, p.19). ULG-06 is context only, not law. It says the Surat Metropolitan area (SMC plus Sachin Municipality) was declared, and the MPC formed, on 11/03/2016, and that the MPC draft development plan 'is not in place as on today' (2017). I also searched the whole sheet for 'regional plan' and for MPC 'shall prepare' wording, and found nothing.
(4) Points a person should check:
- Add the main text of the Gujarat MPC Act, 2008 to see whether the duty to prepare the plan is mandatory ('shall'). Article 243ZE of the Constitution may be relevant, but it is not in the sheet.
- Check whether Act 14 of 2019 has been brought into force. Under s.1(2) it starts on a date the State notifies, and that notification is not in the sheet.
- Decide on methodology: should the SUDA development plan under GTPUDA s.9, which covers SMC plus surrounding villages (985 sq km), count as a 'regional plan'? The operative text of GTPUDA s.9 is also not in the sheet.
On the Step 2 answer: I agree with it ('not confirmed'). The quote I've used is accurate, but it shows the plan is binding, not that it must be made.
Quote: "(3) A final development plan which has come into force shall be binding on the concerned all authorities functioning in the metropolitan area."
"Answer" left blank: the Citation Sheet doesn't decide it.</t>
  </si>
  <si>
    <t xml:space="preserve">GTPUD Act 1976, Chapter III (Development Plan), as quoted in the SUDA presentation of 03-08-2013, slide/page 10</t>
  </si>
  <si>
    <t xml:space="preserve">Section 21 (Revision of development plan), read with sections 9 to 20</t>
  </si>
  <si>
    <t xml:space="preserve">s.21 ('shall revise' at least once in ten years); also Rules 1979 r.3 and r.5(1); s.9(1) proviso and s.19A added by Gujarat Act 14 of 2019</t>
  </si>
  <si>
    <t xml:space="preserve">AI (medium confidence), from Step 2 answer (Partially Answered) and ULG-11: My answer is YES: the Gujarat Town Planning and Urban Development Act, 1976 (GTPUD Act) requires a plan covering the city. Under it, a development plan is prepared for the whole development area of the Surat Urban Development Authority (SUDA). That area includes the Surat Municipal Corporation (SMC) area: 309.45 km2 of SUDA's 985.16 km2 (ULG-06, table 153). The methodology allows a development authority Act to count as evidence. Several sources support a mandatory duty, not an optional one: (1) GTPUD Act s.21, quoted word for word in SUDA's own presentation (ULG-11, p.10), says the authority 'shall revise the development plan' at least once in ten years, with ss.9-20 applying. That is a continuing duty to keep a statutory plan in force. ULG-06 (DP-2035 report, 2017, pp.30 and 40) repeats that 'as per section 21 of the Act, the development plan is to be revised once in 10 years'. It also records the plans actually made: 1986, 2004 and the draft DP-2035. (2) GTPUD Rules 1979, r.3 (ULG-04): 'The authorized Officer shall prepare and submit the draft development plan', and r.5(1): the draft plan 'shall' be published after submission under s.9. (3) Gujarat Act 14 of 2019 (ULG-01, pp.94-97) adds a proviso to s.9(1), 'the development plan shall include the proposals, with regard to spatial planning...'. It also adds s.19A: 'the appropriate authority shall include in the development plan to be under this Act...'. Both assume a statutory development plan exists. The Gujarat Provincial Municipal Corporations Act, 1949 (ULG-03) gives SMC re-development plans for defined areas only. It contains no city-plan duty for SMC. LIMITS for the human checker: (a) The principal Act's text of s.9(1), s.9(2) and s.21 is image-only in ULG-01 (PRS copy, pp.2-86) and could not be read directly. The s.21 wording above comes from SUDA's reproduction of the Act, which is secondary. Please check the scanned s.9(1) for 'shall' and the s.21 wording. (b) As quoted, s.21 names the 'area development authority'. SUDA is an urban development authority, so please confirm that ss.9-21 apply to urban development authorities (likely through s.23, which was not read). SUDA does treat s.21 as binding on itself: ULG-11, p.11 says the plan is 'to be revised before 15.09.2014'. (c) The planning body is SUDA, with sanction by the State Government. SMC itself is not the body that prepares the plan. Max score 3.33; the YES/NO input feeds the workbook formula. Confidence is medium, not high: the answer rests on several instruments read together, and the main operative text of s.9(1) is a secondary reproduction or unread.
Quote: "Atleast once in ten years from the date on which a final development plan comes into force, the area development authority shall revise the development plan after carrying out, if necessary, a fresh survey and the provisions of sections 9 to 20, shall, so far as may be, apply to such revision."</t>
  </si>
  <si>
    <t xml:space="preserve">Type of plan mandated (zonal / ward / local area)</t>
  </si>
  <si>
    <t xml:space="preserve">Gujarat Town Planning and Urban Development (Amendment) Act published in Gujarat Govt Gazette Ex. 13-04-2017 (appended to PRS copy of GTPUD Act, 1976)</t>
  </si>
  <si>
    <t xml:space="preserve">Section 76A(7)-(8) (inserted 2017); also s.7(1)(ii) and s.23(1)(ii) as amended</t>
  </si>
  <si>
    <t xml:space="preserve">s.76A(7) refers back to s.76A(6)(a), the State Government's sanction of a Local Area Plan</t>
  </si>
  <si>
    <t xml:space="preserve">90</t>
  </si>
  <si>
    <t xml:space="preserve">AI (low confidence), from Step 2 answer (Partially Answered) and ULG-01: I left the input blank because the Citation Sheet does not show whether the Act mandates a third (ward, zone or local) tier. Not found is not the same as absent.
**What the sources do show**
- **The Act provides for a 'Local Area Plan' (LAP).**
  - The 2017 amendment (Gazette Ex. 13-04-2017, ULG-01 p.90-91) adds 'or Local Area Plan' next to town planning schemes in the functions of Area Development Authorities (s.7(1)(ii)) and Urban Development Authorities (s.23(1)(ii)).
  - It also adds s.76A(7)-(8). These set out the sanction notification and make the LAP binding once it is in force (land surrender, removal of work that breaks the plan).
  - The 'shall' in s.76A(7)-(8) covers only what happens after the State sanctions an LAP. It does not oblige anyone to prepare one.
- **The key text is missing.** Section 76A(1)-(6) would say who prepares an LAP, whether the verb is 'shall' or 'may', and what area it covers. I could not read it in ULG-01, even after repeated targeted reads and searches.
- **Rough split of the tiers.** The rest of the Act and the 2019 amendment (Guj. Act 14 of 2019, ss.9, 12 and 19A) appear to set up two tiers:
  - Metropolitan/District Planning Committee development plans under the Gujarat Metropolitan Planning Committees Act, 2008 and the Gujarat District Planning Committees Act, 2008, whose spatial proposals must be included in the development plan.
  - The development plan under the GTPUD Act.
  - Below these sit town planning schemes, which the methodology excludes.
**Other instruments checked; none gives a citywide ward or zone mandate**
- GTPUD Rules 1979 (ULG-04): no LAP, ward or zone plan rules in what I read or searched.
- CGDCR 2017 (ULG-05, p.163): an LAP 'shall be prepared' only for the C4 Central Business District zone and the Transit Oriented Zone (SPD4), and the TOZ clause is for AUDA only. These are zone-specific regulations, not a requirement of the T&amp;CP Act for Surat.
- GPMC Act 1949, s.284E-F (ULG-03): re-development plans for declared areas only, under the municipal Act rather than the planning Act.
- SUDA Development Plan 2035 (ULG-06): describes a two-tier system, development plan then town planning schemes.
- Searches for ward plan, zonal plan and LAP preparation found nothing more.
**Why neither YES nor NO**
- I cannot answer NO: the Act does contain an LAP provision whose core text I have not read, so absence is not shown.
- I cannot answer YES: nothing visible shows a 'shall' duty to prepare plans at ward or zone level.
**Type of plan, as asked for in the comments:** 'Local Area Plan', a local-area level plan, not ward or zone, as far as the visible text shows.
**Action needed:** get the operative text of GTPUD Act s.76A(1)-(6) from an official Gujarat source (Legislative and Parliamentary Affairs Department, or the Urban Development and Urban Housing Department). Then check whether LAP preparation is mandatory and at what scale.
**Period:** GTPUD Act as amended in 2017 and 2019; this rests on the PRS copy (a secondary source).
Quote: "Where the State Government sanctions the Local Area Plan under clause (a) of sub-section (6), it shall state in the notification-"
"Answer" left blank: the Citation Sheet doesn't decide it.</t>
  </si>
  <si>
    <t xml:space="preserve">https://kgis.ksrsac.in/kgisdocuments/PDF_KML_SHP1/PDF/pdf/District_Bengaluru%20(Urban).pdf
https://bdakarnataka.in/jurisdiction-map/
https://data.opencity.in/dataset/3ba2ed19-5d9a-4c1a-999c-f48f7574684d/resource/e13a6495-687a-4b76-af54-15eea1370186/download/670880fa-b7f1-40b7-a19d-dc6d945c76a5.pdf
https://kgis.ksrsac.in/kgisdocuments/PDF_KML_SHP1/PDF/pdf/District_Bengaluru%20(Urban).pdf
</t>
  </si>
  <si>
    <t xml:space="preserve">From the RMP 2015, evidence is found for the planning boundary extending beyond ULG boundary. Local Planning Area consists of 47 planning districts. Planning districts for areas outside the corporation boundary, follow the village, taluk boundaries. </t>
  </si>
  <si>
    <t xml:space="preserve">Chapter 21: Proposed Land-use (submitted under section 16)</t>
  </si>
  <si>
    <t xml:space="preserve">Section 21.1 Exclusion of Villages; Table 153 (area and population) and its Note</t>
  </si>
  <si>
    <t xml:space="preserve">Report pp.216-217 (pdf pp.233-234)</t>
  </si>
  <si>
    <t xml:space="preserve">234</t>
  </si>
  <si>
    <t xml:space="preserve">NO</t>
  </si>
  <si>
    <t xml:space="preserve">AI (low confidence), from Step 2 answer (Partially Answered) and ULG-06: I entered NO (score 0), but with low confidence. Please check the period before accepting it. (1) The plan: the city plan covering Surat is the Surat Urban Development Authority's (SUDA) Development Plan 2035, made under the Gujarat Town Planning and Urban Development Act 1976. Surat Municipal Corporation (SMC) has no plan of its own. ULG-06 p.2 says the metropolitan plan under the 2008 Metropolitan Planning Committees Act was 'not in place'. (2) Two separate failures under the methodology, both from ULG-06 s.21.1 and Table 153. (a) The planning boundary splits the city government's area. The State notification of 19.07.2016 (s.22(2A)/(4)) set up a separate Khajod Urban Development Authority and 'Khajod village of Chorayasi Taluks was deleted from the jurisdiction of SUDA'. Table 153 then lists 'Surat Municipal Corporation (except Moje: Khajod)'. So part of SMC is left outside this plan, which matches the 'divides the ULG' example for Score 0. (b) Whole units are not used for the area outside SMC. Table 153 includes '3 part villages' (Velanja in Kamrej taluka; Sandhiyer and Paria in Olpad taluka), and the Note confirms the village settlements of Velanja and Sandhiyer are outside SUDA. This follows from the State notification of 24.10.2016 ('50 wholly and 3 partly' after the Asnabad correction). That is the 'part of a revenue village' case for Score 0. Either failure alone gives Score 0. (3) Why I scored rather than leaving it blank: the planning area is not set by the plan's sanction. It is the SUDA development area fixed by State notifications under s.22 (19.07.2016, 24.10.2016, 03.11.2016), and the plan states this as its area at the section 16 submission stage. This is affirmative evidence that the boundary is misaligned. It is not an inference from absence. (4) Limits for the reviewer: ULG-06 is the 22 Feb 2017 report submitted before sanction. The State's final sanction notification for DP 2035 is not in the Citation Sheet. Nor is any later notification changing SUDA or SMC boundaries, such as giving Khajod or the part villages back to SUDA, or extending SMC. The scanned copies of the notifications in Annexure 6 have no readable text, and I could not check the plan maps. If a later notification shows SMC entirely inside the plan and only whole villages outside it, the answer should change to YES. (5) Other sources checked: ULG-04 (TPUD Rules 1979, r.3 and r.5) says the plan covers the area under the authority's jurisdiction but does not define that area. The ULG-01 excerpts (PRS copy of the 1976 Act) do not include the text of s.22. ULG-03 (GPMC Act 1949) does not decide the plan boundary. ULG-11 and ULG-12 do not cover the current boundary. A search for a sanction notification found nothing beyond ULG-06. Data issue: the SMC area is given as 309.45 sq km in Table 153 but as 319.52 or 326.52 sq km elsewhere in the report.
Quote: "Note : Out of 3 villages which are partly included Gamtal of Moje –Paria falls within the jurisdiction of SUDA development area while Gamtal of Moje -  Velanja and Sandhiyer fall outside the jurisdiction o f SUDA development area."</t>
  </si>
  <si>
    <t xml:space="preserve">Gujarat Act No. 14 of 2019 (Gujarat Local Authorities and Town Planning Laws (Amendment) Act, 2019), clause 9, which adds sections 10A to 10C to the Gujarat Metropolitan Planning Committees Act, 2008 (Guj. 18 of 2008). Reproduced in ULG-01, pp. 97-98 (Gazette Ex. 19-08-2019).</t>
  </si>
  <si>
    <t xml:space="preserve">Gujarat MPC Act 2008, s.10A(1)-(3); see also s.10B and s.10C</t>
  </si>
  <si>
    <t xml:space="preserve">s.10A(1)(a)-(b); s.10A(2); s.10A(3)</t>
  </si>
  <si>
    <t xml:space="preserve">AI (medium confidence), from Step 2 answer (Answered — Verified Source) and ULG-01: I agree with the Step 2 answer: YES. This is the sub-question (SQ) worth 3.33: does the law require the State Government to approve the metropolitan/regional plan?
(1) What the law says. Under the Gujarat MPC Act s.10A(1), as inserted in 2019, the State Government receives the draft development plan from the Metropolitan Planning Committee (MPC). It may then (a) sanction it, refuse it, or sanction it with changes, or (b) send it back to the MPC for changes. Under s.10A(2), only the plan the State sanctions becomes the 'final development plan', and it comes into force on a date the State notifies. Under s.10A(3), that final plan binds all authorities in the metropolitan area. Under s.10B, any change to the final plan also needs State sanction. Under s.10C, the MPC must follow State directions, and the State's decision on any dispute is final. So no plan can become final or binding without State sanction.
(2) The word 'may'. The verb in s.10A(1) is 'may', but it lists the State's choices: sanction, refuse or return. It does not create another way for the plan to become final. I read State approval as a legal requirement for the plan to take effect. A reviewer should confirm this reading.
(3) Other instruments that support this. The GTPUD Act 1976 (the state's town planning Act), as amended in 2019, adds a proviso to s.9(1) and a new s.19A. These make development authorities include the spatial proposals of the State-sanctioned MPC plan in their own plans. GTPUD Rules 1979 r.3 (ULG-04) says the area development authority's draft development plan 'shall' be submitted to the State Government through the Chief Town Planner. For Surat, that authority is SUDA (Surat Urban Development Authority), whose plan covers the wider region. ULG-03 (the Municipal Corporations Act 1949) was also checked: its State-approval provision, s.284F, covers only re-development plans.
(4) Checks still needed.
- ULG-01 is a PRS republication. It reproduces the official Gazette text, but the scan is garbled at the opening words of MPC s.10A(1). The meaning is confirmed by the matching DPC Act s.10A in the same Gazette.
- Gujarat Act 14 of 2019 comes into force on a date the State notifies (s.1(2)). That notification is not in the Citation Sheet.
- The full text of the MPC Act 2008 is not in the sheet, including the original s.10 on preparing and submitting the plan.
- An official consolidated copy of the MPC Act, from the Legislative and Parliamentary Affairs Department (LPAD) or the Urban Development and Urban Housing Department (UD&amp;UHD), would raise confidence.
(5) About the main question (MQ). The main question asks whether plan approval is decentralised. The answer here is that State approval is centralised, which is what this sub-question checks for. This input only scores the sub-question.
Quote: "(2) The sanction accorded under clause (a) of sub section (1), shall be called the final development plan which shall come into force on such date as the State Government frzy, by notification.in the Official Gazette, specify. (3) A final development plan which has come into force shall be binding on the concerned all authorities functioning in the metropolitan area."</t>
  </si>
  <si>
    <t xml:space="preserve">Chapter II (applied to urban development authorities by Rule 8, Chapter III)</t>
  </si>
  <si>
    <t xml:space="preserve">Rule 7, Gujarat Town Planning and Urban Development Rules, 1979</t>
  </si>
  <si>
    <t xml:space="preserve">Rule 7(1); see also Rule 6(1)-(2) and Rule 8</t>
  </si>
  <si>
    <t xml:space="preserve">AI (low confidence), from Step 2 answer (Partially Answered) and ULG-04: I left 'Answer' blank. The evidence points clearly to NO, but a NO scores 0, and a 0 needs affirmative absence. The Citation Sheet does not allow that.
What the sources show:
(1) ULG-04, Rules 6-7, applied to urban development authorities by Rule 8: the draft development plan goes to the 'Government for sanction', and the 'State Government may sanction' it. No role for the MPC or DPC appears anywhere in the Rules.
(2) ULG-02, Gujarat Act amending the planning laws, 2019 (gazette text), and ULG-01 p.94-97 (PRS copy):
- New s.10A of the MPC Act says the State Government sanctions the MPC's own draft development plan. Once in force, that plan is 'binding on the concerned all authorities'.
- New s.19A of the planning Act (GTPUDA) says the appropriate authority 'shall include' the MPC plan's spatial proposals in its own development plan. The 2019 Act also changed s.9(1) and s.12(1).
- So the link runs from the MPC plan into the city plan through the State. The MPC does not approve the city plan.
- The Statement of Objects in ULG-02 adds that s.10 of the MPC Act requires the MPC plan to be prepared 'having regard to plans prepared by the Municipalities'. That is consultation going upward, not MPC approval of the city plan.
(3) ULG-03, Municipal Corporations Act, 1949: in the parts read, redevelopment plans go to the State for approval. No MPC role was seen.
Why this is not affirmative absence:
- The main text of GTPUDA 1976 in ULG-01 (pp.2-86) is a scan with no readable text. So ss.9-17, the plan preparation and sanction sections, could not be read directly.
- The full original MPC Act 2008 (ss.1-10, including the s.10 functions) is not in the Citation Sheet. Only its 2019 amendments are.
- I also searched the Citation Sheet for any MPC approval of the development plan. Nothing came up beyond the 2019 amendments.
Surat is a million-plus city, so the MPC test applies, not the DPC test. The Surat Metropolitan Area and MPC were notified on 11-03-2016 (ULG-06, context only).
What a person should check: read the full GTPUDA s.17 and MPC Act 2008 s.10 from an official copy. If neither gives the MPC an approval power over the city or Urban Development Authority development plan, score 'NO'. I expect that result.
Period: GTPUDA as amended by Gujarat Act 14 of 2019; Rules 1979 as amended (copy hosted by SUDA). ULG-01 is a secondary PRS copy; ULG-02 is the official gazette text.
Quote: "The State Government may sanction the draft  development plan  and the regulations submitted to it under section 16  within a period of 12 months from the date of receipt by the State Government, if no modification is proposed."
"Answer" left blank: the Citation Sheet doesn't decide it.</t>
  </si>
  <si>
    <t xml:space="preserve">Amendment appended to the Gujarat Town Planning and Urban Development Act, 1976 (Gujarat Government Gazette Ex. 13-04-2017, Part IV), clause 6</t>
  </si>
  <si>
    <t xml:space="preserve">Section 76A(7) (inserted 2017)</t>
  </si>
  <si>
    <t xml:space="preserve">s.76A(7), which refers back to s.76A(6)(a)</t>
  </si>
  <si>
    <t xml:space="preserve">AI (low confidence), from Step 2 answer (Partially Answered) and ULG-01: I left the answer blank. The evidence points to NO, but I could not read the whole law, so I cannot show that a city-government approval step is truly absent.
What the sources show:
(1) Local Area Plans: ULG-01 holds the 2017 amendment adding s.76A(7). It says the State Government 'sanctions the Local Area Plan under clause (a) of sub-section (6)', so final approval of the local-level plan rests with the State.
(2) Town planning schemes: the 2017 proviso to s.49(1)(b) refers to the 'Draft Town Planning Scheme sanctioned under sub-section (2) of section 48 and in line with the notification of the Government'. The 1979 Rules (ULG-04) back this up:
- Rule 53(2): 'All Town Planning Schemes (Preliminary and Final) finally sanctioned by Government'.
- Rule 36(2): the State 'may sanction' changes to scheme regulations.
- Form H: 'Draft Town Planning Scheme ... sanctioned by the Government'.
(3) Discretion only: the State 'may' hand authority powers to the local authority (s.7(2) and s.23(2) as substituted in 2017). That is a choice, not a mandate.
(4) Re-development plans (ULG-03, Gujarat Provincial Municipal Corporations Act, s.284F) go to the Corporation and then to the State for approval. These are not ward or local plans.
(5) Gujarat law has no 'ward plan'. The local-level instruments are Local Area Plans and town planning schemes.
Why NO is not entered: a NO here scores 0, so it needs proof of absence. ULG-01 is the PRS copy (secondary source, prsindia.org), and only its appended amendment pages could be read. The principal Act's text did not come up:
- s.76A(1)-(6): how a Local Area Plan is prepared, published and sent to the State. This is where any approval step by the 'appropriate authority', which can be the Surat Municipal Corporation, would sit.
- ss.40-52 and s.65: the town planning scheme procedure, including the appropriate authority's resolution and publication of the draft scheme.
No Local Area Plan notification for Surat is in the Citation Sheet.
What I checked: ULG-01 (several searches for s.76A and ss.41/42/48), ULG-04 (rules on draft schemes and sanction), ULG-03 (s.284E-F), and searches across the whole sheet for 'local area plan' and the declaration of intention to make a scheme.
For the reviewer: read s.76A(1)-(6), s.41, s.42, s.48 and s.65 of the principal 1976 Act. If they show only city-level preparation or a resolution followed by State sanction, NO is supportable and the State-sanction provisions above are the decisive evidence.
Quote: "(7) Where the State Government sanctions the Local Area Plan under clause (a) of sub-section (6), it shall state in the notification-"
"Answer" left blank: the Citation Sheet doesn't decide it.</t>
  </si>
  <si>
    <t xml:space="preserve">Points = share of YES answers x Max Score (each part carries an equal share).</t>
  </si>
  <si>
    <t xml:space="preserve">AI: left for a person. Step 2 found no evidence (Insufficient Evidence). Source needed: A readable official copy (Gujarat Legislative and Parliamentary Affairs Department / UD&amp;UHD or the state gazette) of the consolidated GTPUD Act 1976, especially s.12 (contents of the draft development plan), the TP scheme contents provision and s.76A (Local Area Plan). Also the full text of the Gujarat Metropolitan Planning Committees Act, 2008, covering the contents and objectives of the metropolitan development plan.</t>
  </si>
  <si>
    <t xml:space="preserve">AI: left for a person. Step 2 found no evidence (Human Verification Required). Source needed: Part A: the official full text of the Gujarat Metropolitan Planning Committees Act, 2008 (Guj. 18 of 2008), current amended version, showing the section that sets up the MPC and its exact wording ('shall' or 'may'), from the Gujarat Legislative and Parliamentary Affairs Department or the Urban Development and Urban Housing Department. Also the 11-03-2016 Gazette notification declaring the Surat Metropolitan Area and setting up its MPC. Part B: any Gujarat Metropolitan Planning Committee Rules, or an equivalent Gazette notification under the 2008 Act, that apply to Surat. If none exist, a full Acts-and-Rules listing from the department that shows they are absent.</t>
  </si>
  <si>
    <t xml:space="preserve">AI: left for a person. Step 2 found no evidence (Insufficient Evidence). Source needed: Dated records of Surat MPC meetings from the past two years: minutes, agendas or resolutions of the Surat Metropolitan Planning Committee. Possible sources are the Gujarat UD&amp;UHD department (or SUDA/SMC) website, a government press note on a Surat MPC meeting, or an RTI reply from UD&amp;UHD or the MPC secretariat. The current constitution or reconstitution notification, including the elected members, would also show whether the committee is functional.</t>
  </si>
  <si>
    <t xml:space="preserve">NA ONLY FOR NON-METROPOLITAN CITIES</t>
  </si>
  <si>
    <t xml:space="preserve">SELECT YES / NO / NA</t>
  </si>
  <si>
    <t xml:space="preserve">Chapter 1 (Introduction), Development Plan 2035 report, SUDA, 22 Feb 2017</t>
  </si>
  <si>
    <t xml:space="preserve">PDF page 19 (report page 2)</t>
  </si>
  <si>
    <t xml:space="preserve">AI (low confidence), from Step 2 answer (Partially Answered) and ULG-06: I left the input blank. A person needs to score this, for three reasons.
(a) NA does not apply. Surat is a million-plus city: ULG-06 Table 1 gives the SMC population as 44.67 lakh in 2011.
(b) YES is not supported on current evidence. The only metropolitan-level statutory body in the Citation Sheet is the Surat Metropolitan Planning Committee (MPC) under the Gujarat Metropolitan Planning Committees Act, 2008. A secondary source, the 2017 SUDA DP-2035 report (ULG-06, p.19), says a notification dated 11/03/2016 declared the Surat Metropolitan Area (SMC plus Sachin Municipality) and constituted the committee 'except for the elected members'. Two problems remain:
- RUBRIC-GAP / methodology ruling needed: does a Metropolitan Planning Committee count as a 'Metropolitan Authority'? The methodology's example is the Greater Bengaluru Authority, a governance authority. The 2019 amendment (ULG-02, the 2019 Bill as published in the Gazette; also appended to ULG-01) inserts ss.10A-10C into the MPC Act. These give the State Government the power to sanction the plan ('may'). They also put the MPC under State directions: s.10C(1), 'shall carry out such directions'. On this text the MPC is a planning committee under State control, not an authority with executive or governance powers.
- The committee was reported as constituted without its elected members. There is no evidence of its status after 2017.
(c) NO is not supported because absence is not established. Several documents needed to rule it out are not in the Citation Sheet:
- the main text of the Gujarat MPC Act 2008;
- the 11/03/2016 notifications themselves;
- any later notification adding members or reconstituting the MPC.
The GPMC Act (ULG-03) was reviewed only in excerpts.
Other bodies I checked:
- SUDA (ULG-06, pp.27-30): an urban development authority under s.22 of the 1976 Act, constituted on 30.01.1978. It covers SMC plus surrounding villages (1,351 sq km after the 2015 extension, later reduced). It is not set up as a metropolitan authority. Whether ASICS treats a UDA as a metropolitan authority needs a ruling.
- SREDA (ULG-09, pp.23 and 168, NITI Aayog, Sept 2024): only proposed ('establishing Surat Regional Economic Development Authority'). No Act or GO establishing it is in the Sheet.
The Step 2 answer is consistent with the sources. If reviewers decide an MPC counts and confirm it is currently constituted, the answer would be YES (10). If they decide only governance-type or development-type metropolitan authorities count, they would also need to rule on SUDA before answering NO.
Quote: "By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"Answer" left blank: the Citation Sheet doesn't decide it.</t>
  </si>
  <si>
    <t xml:space="preserve">Gujarat Act No. 14 of 2019 (Gujarat Local Authorities and Town Planning Laws (Amendment) Act, 2019), appended to the PRS copy of the Gujarat Town Planning and Urban Development Act, 1976</t>
  </si>
  <si>
    <t xml:space="preserve">Section 9 of the 2019 Act, which adds s.10A to the Gujarat Metropolitan Planning Committees Act, 2008 (Guj. 18 of 2008)</t>
  </si>
  <si>
    <t xml:space="preserve">MPC Act s.10A(3) (p.97). Also read: GTPUD Act s.9(1) proviso and s.19A (p.94); MPC Act ss.10B(2) and 10C(3) (p.97-98); DPC Act ss.10A-10C (p.95-96); GTPUD Act ss.7(2) and 23(2) as substituted in 2017 (p.90)</t>
  </si>
  <si>
    <t xml:space="preserve">AI (low confidence), from Step 2 answer (Partially Answered) and ULG-01: Answer left blank: the law has not been shown to require participation, and a NO cannot be proven either. (1) A YES (10) is not supported. What I could read in ULG-01 links the plan levels only after a plan is sanctioned. The Development Plan 'shall include' the spatial proposals of the sanctioned MPC/DPC plan (GTPUD Act s.9(1) proviso, s.19A). The sanctioned MPC plan is 'binding on the concerned all authorities functioning in the metropolitan area' (MPC Act s.10A(3)). Being bound by a finished plan is not taking part in drawing it up. The State must consult the MPC only on variations the MPC did not propose (s.10B(2)). Appointing an officer to assist the MPC is optional ('may', s.10C(3)). Handing development authority powers to the local authority is also optional ('may', ss.7(2)/23(2)). None of this requires all parastatals, agencies or city governments to take part, and none sets up an advisory council with civic-agency members. ULG-04 (the 1979 Rules, r.3 and r.5) only asks for objections from 'any person'. That is a public notice, not agency participation. ULG-03 s.284F covers only re-development plans and is a duty to serve notice on railways and utilities. ULG-06 (the SUDA DP 2035 report) describes the SUDA board's SMC members in its own words. It is not the text of s.22, and a board is not an advisory council. (2) A NO (0) cannot be justified, because nothing has been proven absent. My three tool calls (two targeted reads of ULG-01 on plan preparation/consultation and on how the Urban Development Authority is made up, plus a search of the whole sheet) returned only the appended 2017/2019 amendment pages again. I could not read the main text of the 1976 Act: ss.9-17 on preparing, publishing and sanctioning plans, and s.22 on how a development authority is made up. The MPC Act 2008 and DPC Act 2008 appear only as amended sections. Their sections on committee membership and on preparing the draft plan (including any Article 243ZE(3)-type duty to consult the bodies in the area) are not in the Citation Sheet. No instrument covering ward-level plans was found. I did not open ULG-02 (the 2019 Bill), ULG-05 (CGDCR 2017) or ULG-11 (the 2013 SUDA presentation) myself. Step 2 lists ULG-05 among the sources it reviewed but not ULG-02 or ULG-11. Of these, only ULG-02 is likely to add statutory text, and it is likely to mirror the 2019 Act. I agree with Step 2's 'not determined' result. TO CONFIRM: researchers should add readable full text of the GTPUD Act 1976 (ss.9-17, s.21, s.22) and the full Gujarat MPC Act 2008 and DPC Act 2008. A reviewer can then decide YES or NO. Versions read: 2017 amendment (gazette dated 13-04-2017); Gujarat Act 14 of 2019 (gazetted 19-08-2019); Rules of 1979; BPMC Act as modified up to 30-11-2017. Era: n/a.
Quote: "A final development plan which has come into force shall be binding on the concerned all authorities functioning in the metropolitan area."
"Answer" left blank: the Citation Sheet doesn't decide it.</t>
  </si>
  <si>
    <t xml:space="preserve">Chapter II</t>
  </si>
  <si>
    <t xml:space="preserve">Rule 5 (manner of publication of draft development plan and form of notice inviting suggestions, under section 13 of the GTPUD Act, 1976)</t>
  </si>
  <si>
    <t xml:space="preserve">Rule 5(2); see also Rule 5(1), Rule 6(1)-(2) (as amended by Notification dated 22-01-1987) and Form A</t>
  </si>
  <si>
    <t xml:space="preserve">AI (low confidence), from Step 2 answer (Partially Answered) and ULG-04: I checked the Step 2 answer against the source, and it holds up.
PART B = YES. Under the Gujarat Town Planning and Urban Development Rules, 1979, rule 5(1), the authority 'shall' publish the draft development plan in the Official Gazette and in Gujarati newspapers, and paste copies of the notice in public places. Under rule 5(2), any member of the public may send objections or suggestions within two months, and the authority 'shall consider' them. The rule says it is made 'in pursuance of the provisions of section 13' of the 1976 Act. Rule 6(1) and 6(2) (amended 22-01-1987) repeat the two-month objection window for substantial modifications, whether made by the authority or by the State Government. Form A gives the same notice under s.13(1). This is binding notice-and-comment, which meets the methodology's footnote on 'consolidation of suggestions and objections'.
PART A = blank (not found; I could not confirm absence). I found no provision that routes development plan preparation through Wards Committees or Area/Ward Sabhas. I checked:
- ULG-04: rules 3, 5, 6, 17 and Forms A and B.
- ULG-01: the readable 2017 and 2019 amendments. These include the new s.19A, and new s.10B in both the 2008 District Planning Committees Act and Metropolitan Planning Committees Act. Section 10B only invites objections 'from any person'.
- ULG-02: the 2019 Bill.
- ULG-03: the Gujarat Provincial Municipal Corporations Act, 1949. Its s.29A Wards Committee is made up of councillors, and its functions are left to State rules under s.29A(8).
- A search of the whole sheet for 'ward committee' and 'area sabha'.
A 'NO' needs affirmative absence, which I could not establish, because three relevant layers are missing or unreadable:
1. The main text of section 13 of the 1976 Act cannot be read in the PRS copy (ULG-01).
2. The full Gujarat Metropolitan Planning Committees Act, 2008 is not in the sheet.
3. The State rules defining Wards Committee functions under s.29A(8) are not in the sheet.
If a reviewer adds these and finds no ward-level platform, Part A = NO and the total = 5. If one is found, the total = 10.
Also for the reviewer to check:
- (a) Whether the SUDA Development Plan 2035, made under the 1976 Act, is accepted as the 'municipal/city plan' for the Surat Municipal Corporation area. The plan is prepared by SUDA, not by the city government.
- (b) Whether sudaonline.org is accepted as an official domain. The Rules copy is hosted there, and the sheet does not show its official status.
The Rules version is the SUDA copy, as amended up to the 1987 notification.
Quote: "Every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
"Part A: Formal platforms (ward committees / area sabhas)" left blank: the Citation Sheet doesn't decide it.</t>
  </si>
  <si>
    <t xml:space="preserve">Rule 5 (made under section 13 of the Gujarat Town Planning and Urban Development Act, 1976)</t>
  </si>
  <si>
    <t xml:space="preserve">r.5(1)-(2); also r.6(1)-(2) and Forms A and B</t>
  </si>
  <si>
    <t xml:space="preserve">AI (low confidence), from Step 2 answer (Partially Answered) and ULG-04: Part B = YES. I checked the Step 2 answer against ULG-04 and the source supports it. The GTPUD Rules 1979 are made under the Act. Rule 5(1) says the authority or authorised officer 'shall' publish the draft development plan by notice in the Official Gazette and in Gujarati newspapers, and paste copies at its head office and other prominent places. Rule 5(2), made 'in pursuance of the provisions of section 13', says the notice must invite objections or suggestions from 'any member of the public' within two months, and the authority 'shall consider' them. Changing the plan is optional ('may modify'). Rule 6(1) and 6(2), as amended by the notification of 22-01-1987, add a fresh public objection round when the plan is substantially modified, by the authority or by the State Government. Form A repeats that objections 'shall be considered'. This is public scrutiny through other means, with objections and a duty to consider them, so Part B is met.
Part A is left blank (not found, not proven absent). Nothing I read gives Ward Committees or Area Sabhas any role in scrutinising the development plan. I searched the whole Citation Sheet for 'area sabha ward sabha ward committee development plan' and found no such provision. I also read ULG-01, the PRS copy of the GTPUD Act, for s.13 and s.14. Only the appended amendment Acts (2017 and 2019) came back readable, and the base text of s.13 and s.14 did not. GPMC Act s.29A (ULG-03, per Step 2) sets up Wards Committees and leaves their functions to Rules under s.29A(8). Those Ward Committee Rules are not in the Sheet. The full Gujarat Metropolitan Planning Committees and District Planning Committees Acts (2008) are not in the Sheet either. A NO, which scores 0, needs affirmative absence across every layer of the law, so this input needs a person to decide. If the s.13 text of the GTPUD Act and the GPMC Ward Committee Rules confirm there is no ward or Area Sabha route, Part A = NO and the total would be 2.5 out of 5.
Context: in Surat the development plan is prepared by SUDA and sanctioned by the State; SMC prepares town planning schemes. The text relied on is the GTPUD Rules 1979 as amended (r.6 per the 1987 notification), in the copy hosted by SUDA.
Quote: "Every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
"Part A: Formal platforms (ward committees / area sabhas)" left blank: the Citation Sheet doesn't decide it.</t>
  </si>
  <si>
    <t xml:space="preserve">Chapter 21 - Proposed Land-use (submitted under Section 16)</t>
  </si>
  <si>
    <t xml:space="preserve">Report p.216 (PDF p.233); see also p.217 (PDF p.234) and the reservation table total at p.239 (PDF p.256)</t>
  </si>
  <si>
    <t xml:space="preserve">Opening paragraph of Ch.21 (Gazette publication under s.13 and the Gujarati daily notice)</t>
  </si>
  <si>
    <t xml:space="preserve">AI (medium confidence), from Step 2 answer (Answered — Verified Source) and ULG-06: Answer is YES. This is the implementation sub-question. The methodology gives 5 points when there is evidence of a notice inviting suggestions, consultation details, or public scrutiny in the plan itself. I checked the Step 2 answer against ULG-06 and it holds up.
What the plan says:
(1) SUDA's Development Plan 2035 report (22 Feb 2017), p.216, says the Draft DP-2035 was published in the Official Gazette on 10.05.2016 under s.13 of the GTPUD Act 1976. A notice in a Gujarati daily on 11.05.2016 invited suggestions and objections, with a two-month window.
(2) p.217: the UD&amp;UHD letter of 21.11.2016 told SUDA to submit the draft 'along with the suggestions and objections received for the proposals on the Draft Development plan - 2035 published u/s 13'. This shows objections were actually received.
(3) p.239, the reservations table, has the row 'Total (added 14 reservations after reviewing objections/suggestions)'. This shows objections were reviewed and acted on, which covers the 'responses' part of the question.
(4) Ch.16 (pp.165-167) also records stakeholder consultation before publication: meetings with village Sarpanchs, institutions and about 60 committee meetings, plus a meeting on 22.04.2016 with MPs, MLAs and the SMC Mayor at which 136 suggestions were received.
To check:
(a) SUDA, the development authority, prepared the plan and ran the scrutiny, not the city government (SMC). The methodology says to check 'Development Authority/ULG websites (as applicable)', so I treat the SUDA plan as the city plan. A reviewer should confirm this.
(b) All of this evidence is SUDA's own account in its report. The Gazette notice of 10.05.2016, the newspaper notice and the full list of objections with SUDA's replies are not in the Citation Sheet.
(c) The State's final sanction of DP-2035 is not in the Citation Sheet.
ULG-04 (GTPUD Rules r.5(2), the two-month objection period) and ULG-11 (the 2013 workshop process steps) describe the legal procedure only. I did not use them as evidence of practice.
Quote: "As per the statutory requirement the same was published in the Official G azette the on 10 th May 2016 under section 13 for inviting public opinion. The notice was also issued in the prescribed manner in the Gujarati daily on 11th May, 2016 inviting suggestions and objections from the general public within the statutory time limi ts of two months."</t>
  </si>
  <si>
    <t xml:space="preserve">GTPUD Act 1976, Chapter on development plan (ss.9-21), as quoted in SUDA workshop presentation of 03-08-2013, slide/page 10</t>
  </si>
  <si>
    <t xml:space="preserve">Section 21 – Revision of development plan</t>
  </si>
  <si>
    <t xml:space="preserve">s.21 (single paragraph); read with Rules 1979 r.6, r.7 and r.8 (ULG-04)</t>
  </si>
  <si>
    <t xml:space="preserve">AI (low confidence), from Step 2 answer (Partially Answered) and ULG-11: Three inputs are YES and the DCR input is blank, so the likely score is 7.5 out of 10 for a person to confirm. This corrects the Step 2 answer. Step 2 said the wording of s.21 was never found, but ULG-11 (SUDA presentation, 03-08-2013, hosted on SUDA's own site) quotes s.21 of the GTPUD Act 1976 word for word on page 10. ULG-06 (DP-2035 report, 2017, Ch.1 and 4.2.1) independently says the plan 'is to be revised once in 10 years' under s.21. The PRS copy of the Act (ULG-01) still could not be read at s.21; only the appended amendments of 2017 and 2019 come up, and none of them change s.21. This is a quotation of the statute in an official SUDA document, not the Act itself, so a person should check it against the Act text if possible.
C1 (periodic revision mandated) = YES. The verb is 'shall revise'. The bracketed exclusion in the methodology is garbled. I read it as 'modifications (as distinct from revision or creation of a new plan, say after ten years) to the plans shall not be considered'. On that reading, ad-hoc variations such as s.19 (and the DPC/MPC ss.10B variations) do not count, but a mandatory 10-yearly revision does. This is the only reading under which C2 (timeline) makes sense alongside C1. METHODOLOGY TEAM PLEASE CONFIRM: if the exclusion is meant to remove 10-year revision clauses, C1 should go blank or be re-scored.
C2 (timeline) = YES: 'Atleast once in ten years from the date on which a final development plan comes into force'.
C3 (responsible authority) = YES: 'the area development authority shall revise'. Rule 8 of the 1979 Rules applies rules 3-7 to the urban development authority mutatis mutandis. For Surat, SUDA is the plan-revising body, not SMC (the city government). SUDA prepared the 1986, 2004 and 2035 plans (ULG-06, ULG-11).
C4 (DCR revision) = blank, not NO. s.21 applies ss.9-20 'so far as may be' to the revision. The Rules (ULG-04, r.6 and r.7, as amended 22-01-1987) treat the 'draft development plan and regulations' as one package, submitted under s.16 and sanctioned together ('The State Government may sanction the draft development plan and the regulations submitted to it under section 16 within a period of 12 months'). This suggests regulations are re-done as part of a revision. However, the Act text of ss.9-20 that would make regulations part of the plan could not be read on the Citation Sheet, and nothing found states an express duty to revise the DCRs after a plan revision. I checked ULG-01 (amendments only reachable), ULG-04 (r.3-8), ULG-05 (CGDCR 2017; state-wide, not read in full), ULG-03 (GPMC Act; only re-development provisions reached) and ULG-13. Affirmative absence is not established, so this is left for a person to score: they should read GTPUD Act ss.9 and 12 for whether the draft plan must include regulations.
Period: s.21 as in force in 2013 and cited again in 2017. The 2017 and 2019 amendments in ULG-01 do not touch s.21. Confidence is low because one input is blank and the s.21 wording comes from an official quotation, not the Act text.
Quote: "Atleast once in ten years from the date on which a final development plan comes into force, the area development authority shall revise the development plan after carrying out, if necessary, a fresh survey and the provisions of sections 9 to 20, shall, so far as may be, apply to such revision."
"Corresponding DCR revision required" left blank: the Citation Sheet doesn't decide it.</t>
  </si>
  <si>
    <t xml:space="preserve">Chapter 19 (Development Plan proposals), para 19.11.5 Public Purpose, pp.195-196 of the SUDA DP 2035 report</t>
  </si>
  <si>
    <t xml:space="preserve">Section 12(2) of the Gujarat Town Planning and Urban Development Act, 1976, as SUDA restates it in its report</t>
  </si>
  <si>
    <t xml:space="preserve">12(2)(c) 'proposals for water supply, drainage, sewage disposal, other public utility amenities and services including supply of electricity and gas'; 12(2)(f) 'proposals for flood control and prevention of river pollution'</t>
  </si>
  <si>
    <t xml:space="preserve">212</t>
  </si>
  <si>
    <t xml:space="preserve">AI (low confidence), from Step 2 answer (Partially Answered) and ULG-06: I left all three inputs blank. A person needs to score this question.
Why no input can be decided:
(1) The Citation Sheet does not hold the Act's own text of section 12 (contents of the draft development plan). I read ULG-01 (the PRS copy of the 1976 Act) again, looking for section 12. It only returns the amendment Acts of 2017 and 2019. The 2019 Act adds a proviso to s.9(1), deletes the words in s.12(1) about conforming to the MPC Act plan, and inserts s.19A. None of these concerns water, sanitation or solid waste.
(2) The only wording of s.12(2) available is SUDA's restatement in its DP 2035 report (ULG-06, pp.195-196). That is a planning report, not the law. It says the plan 'shall provide for all or any of the following', and the list includes (c) water supply, drainage and sewage disposal.
Water supply / sewerage: clause (c), as restated, would fit this component. But I cannot confirm the Act's actual verb and structure from the primary text. The words 'all or any of' may also make each item optional, and the methodology says optional ('may') provisions are not credited. So I did not mark YES. Someone needs to confirm against the official Act text whether s.12(2) uses 'shall' and how 'all or any' should be read under this rubric.
City sanitation: the restated list has no sanitation plan or sanitation component as such. It only has 'drainage, sewage disposal' in (c) and 'prevention of river pollution' in (f). Whether these count as sanitation is a judgement for a reviewer. I did not mark NO because the Act's text is not available, so absence cannot be confirmed.
Solid waste management: there is no solid waste or refuse item in the visible list (a)-(g). But the list is cut off at (g), and the full Act text is not in the sheet. Without that, absence is not established, so I did not mark NO. This is 'not found', not 'absent'.
Other sources checked, none of which requires a water, sanitation or solid waste plan:
- ULG-04 (1979 Rules): covers procedure and forms. The Form C layout requirements concern individual permission applications, not the city plan.
- ULG-05 (CGDCR 2017): building-level rules only.
- ULG-06 p.16: lists 'Solid Waste Management' and 'Utility services for water supply, sewerage, drainage' as parts of DP 2035. That is what SUDA did in practice, not a legal mandate.
- I searched the whole sheet for refuse, solid waste and sanitation in plan-content provisions. Nothing turned up.
Not fully checked: ULG-03 (the 1949 Municipal Corporations Act) and the Gujarat Metropolitan Planning Committees Act, 2008. The MPC Act is not in the sheet as a separate source.
To resolve this, the next step is to get the official Gujarat Legislative Department text of s.12 of the 1976 Act, then re-score.
Quote: "As per provisions of section 12(2) of the Act, the draft development plan shall provide for all or any of  the following public purposes:"
"Water supply / sewerage" left blank: the Citation Sheet doesn't decide it.
"City sanitation" left blank: the Citation Sheet doesn't decide it.
"Solid waste management" left blank: the Citation Sheet doesn't decide it.</t>
  </si>
  <si>
    <t xml:space="preserve">AI: left for a person. Step 2 found no evidence (Insufficient Evidence). Source needed: Needed: (a) an official, readable consolidated text of the Gujarat Town Planning and Urban Development Act, 1976, especially section 12 (contents of the draft development plan) and any later amendments; (b) the full Gujarat Metropolitan Planning Committees Act, 2008, as amended; (c) the full current GTPUD Rules; (d) the Gujarat State Disaster Management Act, 2003 and any GO requiring development plans or urban development authorities to include a disaster or resilience component.</t>
  </si>
  <si>
    <t xml:space="preserve">Chapter 19 (Proposals), §19.11.5 Public Purpose, p.195-196 of DP 2035 report (paraphrasing GTPUD Act 1976 s.12(2))</t>
  </si>
  <si>
    <t xml:space="preserve">Gujarat Town Planning and Urban Development Act, 1976, s.12(2) (as paraphrased in SUDA DP 2035)</t>
  </si>
  <si>
    <t xml:space="preserve">s.12(2)(b) 'transport and communications, such as roads, highways, railways, and airport, including their extension and development'</t>
  </si>
  <si>
    <t xml:space="preserve">AI (low confidence), from Step 2 answer (Partially Answered) and ULG-06: Left blank: the Citation Sheet does not let me decide YES or NO.
(1) Closest provision: GTPUD Act 1976 s.12(2). I only have it as SUDA's DP 2035 report (ULG-06, §19.11.5) restates it, not as primary Act text. It says the draft development plan 'shall provide for all or any of' a list of public purposes. One item is '(b) transport and communications, such as roads, highways, railways, and airport'. The words 'all or any' let the authority choose which items to include, and the item is a land reservation for transport works. It is neither a comprehensive mobility plan nor a clearly mandatory mobility component. The methodology excludes optional provisions, so I cannot credit YES on this wording without human review.
(2) I re-read ULG-01 (GTPUD Act, PRS copy). It shows only the 2017 amendments (s.7, s.23, s.49, s.52, s.76A Local Area Plan) and the 2019 amendments (s.9(1) proviso on including MPC/DPC spatial-planning proposals; s.12(1) wording deleted; new s.19A). None mentions mobility. The original s.12 text, including any 'so far as may be necessary' wording, is not readable in the sheet.
(3) GTPUD Rules 1979 (ULG-04): r.3 deals with surveys and r.4 assigns a colour to the 'Transport and communications' land use. No mobility-plan duty.
(4) CGDCR 2017 (ULG-05), p.130: 'The competent authority shall plan for proper access, circulation and mobility in the area, prepare a road network plan'. This is a mandatory 'shall', but it is a regulation (not the T&amp;CP Act), applies only to development in non-TP-scheme areas, and requires a road network plan, not a comprehensive mobility plan or a city-plan mobility component. The Local Area Plan definition uses 'may' (transportation network, parking), so it cannot be credited.
(5) ULG-06 p.216 and ULG-07 (Parking Policy 2018) show that a CMP exists in practice (2008 CMP; a new CMP was being prepared). That is practice, not a legal mandate.
NO is not supportable either, because affirmative absence is not established: the primary s.12 text was not retrieved; the Gujarat Metropolitan Planning Committees Act 2008 (Surat Metropolitan Area declared on 11/03/2016) is not in the sheet as a full text, and only its 2019 s.10A-10C insertions are visible in ULG-01; and the full GPMC Act (ULG-03) was not checked for transport-planning provisions.
A person should: (a) read the official GTPUD Act s.12 text, to decide whether 'all or any' or 'so far as may be necessary' makes the transport item optional; (b) review the MPC Act 2008 for the contents of the metropolitan development plan; (c) decide whether the CGDCR non-TP road-network duty counts. Step 2 also left this undetermined, and I agree after checking the sources.
Quote: "As per provisions of section 12(2) of the Act, the draft development plan shall provide for all or any of  the following public purposes:"
"Answer" left blank: the Citation Sheet doesn't decide it.</t>
  </si>
  <si>
    <t xml:space="preserve">Chapter 19 (Development Plan proposals), para 19.11.5 Public Purpose, pp.195-196 (report pages); quotes Gujarat Town Planning and Urban Development Act, 1976</t>
  </si>
  <si>
    <t xml:space="preserve">GTPUDA 1976 s.12(2), as quoted in SUDA DP-2035 report</t>
  </si>
  <si>
    <t xml:space="preserve">s.12(2)(f) 'proposals for flood control and prevention of river pollution'</t>
  </si>
  <si>
    <t xml:space="preserve">AI (low confidence), from Step 2 answer (Partially Answered) and ULG-06: I left the answer blank because the Citation Sheet does not settle it either way. (1) The only plan-content wording found is the Gujarat Town Planning and Urban Development Act (GTPUDA) s.12(2). It appears only as quoted in SUDA's Development Plan 2035 report (ULG-06, dated 22 Feb 2017), not in the Act's own text. The quote says the draft development plan 'shall provide for all or any of' a list of purposes. It includes one environmental item: '(f) proposals for flood control and prevention of river pollution'. The words 'all or any of' let the planning authority choose which items to include. So no environmental part is clearly required. This works like an optional 'may' provision, which the methodology says not to count. Also, flood control and river pollution are narrow items, not a general sustainability, climate or environmental-conservation part of the plan. A YES is therefore not supported. (2) The excerpt is cut off after clause (g), so I could not check whether s.12(2) has other environmental clauses, such as natural scenery, forest or wildlife conservation. I also could not check the exact operative verb in the Act's own text. ULG-01, the PRS copy of GTPUDA, showed only the 2017 and 2019 amending Acts, not s.12 itself. The 2019 Act deleted the words requiring conformity with the Metropolitan Planning Committee (MPC) Act plan from s.12(1), added a proviso to s.9(1), and inserted s.19A on spatial-planning proposals. None of these adds an environmental mandate. (3) What I checked: ULG-01 (GTPUDA plus 2017 and 2019 amendments; no primary s.12 text); ULG-02 (2019 amending Bill); ULG-03 (Gujarat Provincial Municipal Corporations Act 1949; redevelopment-plan sections only); ULG-04 (GTPUD Rules 1979, r.3 and r.4 on how to prepare the plan and map colours; no environmental mandate); ULG-05 (CGDCR 2017, the state's development control regulations; no plan-content mandate); ULG-06 (DP-2035 report). The report's environmental goals (e.g. 'balanced development with environmental protection') show practice, not a legal mandate. I also searched the whole sheet for a 'preservation, conservation ... natural scenery, forest, wild life' clause and found nothing. A NO cannot be given either: the full primary text of GTPUDA s.12 and the Gujarat MPC Act 2008's own plan-content sections (as opposed to its amendments) are not in the Citation Sheet, so absence is not proven. TO DO for the human scorer: read the full official text of GTPUDA s.12 (both sub-sections and all clauses) and the Gujarat MPC Act 2008's provisions on plan contents. Then decide whether 'shall provide for all or any of' counts as a mandate under ASICS practice.
Quote: "As per provisions of section 12(2) of the Act, the draft development plan shall provide for all or any of  the following public purposes:"
"Answer" left blank: the Citation Sheet doesn't decide it.</t>
  </si>
  <si>
    <t xml:space="preserve">AI: left for a person. Step 2 found no evidence (Insufficient Evidence). Source needed: The full consolidated text of GTPUD Act 1976 s.12 (contents of the draft development plan), especially any clause on preserving buildings or places of historical or architectural interest, and whether it says 'shall' or 'may'. Also any Gujarat heritage conservation regulations or GO under the GTPUD Act or GPMC Act that require a heritage conservation plan or plan component.</t>
  </si>
  <si>
    <t xml:space="preserve">Chapter 19 (Proposals), §19.11.5 Public Purpose</t>
  </si>
  <si>
    <t xml:space="preserve">Gujarat Town Planning and Urban Development Act, 1976, Section 12(2), as paraphrased in the SUDA Development Plan 2035 report</t>
  </si>
  <si>
    <t xml:space="preserve">s.12(2)(a): 'proposals for the reservation of land for public purposes, such as schools, colleges, and other educational institutions, medical and public health institutions, markets, social welfare and cultural institutions...'</t>
  </si>
  <si>
    <t xml:space="preserve">AI (low confidence), from Step 2 answer (Partially Answered) and ULG-06: I left all three inputs blank for a person to score. This is a Law/Policy question, but the Citation Sheet does not contain the text of the deciding provision.
(1) The Act itself (ULG-01) can't be read. ULG-01 is the PRS copy of the GTPUD Act, 1976. Pages 2-86, which hold the principal Act, come back with no text, apparently because they are scanned images. Only the 2017 and 2019 amending Acts can be read. The 2019 Act deletes the MPC-conformity words from s.12(1), adds a proviso to s.9(1) and adds a new s.19A. That proviso and s.19A require the development plan to include the spatial-planning proposals of the MPC/DPC development plan. None of this covers health, education or housing. So the wording of s.12(2) cannot be checked against the official text.
(2) The only evidence is a plan report's paraphrase of the Act. ULG-06 (SUDA Development Plan 2035, 22 Feb 2017, §19.11.5, pp.212-213) is a secondary paraphrase. It says the draft plan 'shall provide for all or any of' a list of public purposes. Item (a) includes educational institutions and medical and public health institutions. Two problems:
- 'All or any of' arguably lets the authority choose which items to include. The methodology does not count optional ('may'-type) provisions and gives no rule for this wording.
- The provision covers reserving land for facilities, not a social development plan or component. Whether that counts needs a reviewer's call.
If a reviewer decides 'shall provide for all or any' is a mandate and that land reservation counts, Public health and Education would likely be YES.
(3) No affordable housing item was found. The paraphrased list, items (a)-(g), shows no item on housing for weaker sections or affordable housing, and the text is cut off at (g). Without the Act's own text I can't rule out such an item elsewhere in s.12. So a NO has no affordable housing finding either way. A NO would need proof that nothing exists, which I could not establish.
(4) The other sources don't help:
- ULG-03, GPMC Act 1949 (as modified to 30 Nov 2017), s.284F: housing for the poorer classes applies only in a re-development area after a Corporation resolution under s.284E. It is not a city-wide plan duty.
- ULG-04, GTPUD Rules 1979: rr.3-4 deal with how the plan is prepared and the land-use colours, not plan content of this kind.
- ULG-05, CGDCR 2017: its 'Public Purpose' definition is in development control regulations and is not a duty to plan.
- My search of the whole sheet for EWS or affordable housing in development plans found no binding provision.
- The Gujarat Metropolitan Planning Committees Act, 2008 is not in the sheet as a full text, apart from the 2019 amendments.
For a reviewer:
(a) Get the official s.12 text of the GTPUD Act 1976 (state Legislative Department or gazette copy).
(b) Rule on whether 'shall provide for all or any of' counts as a mandate.
(c) Check whether s.12 has any housing or weaker-sections item.
Period: GTPUD Act as amended to 2019; DP 2035 report dated 2017. Era: n/a.
Quote: "As per provisions of section 12(2) of the Act, the draft development plan shall provide for all or any of  the following public purposes:"
"Public health" left blank: the Citation Sheet doesn't decide it.
"Education" left blank: the Citation Sheet doesn't decide it.
"Affordable housing" left blank: the Citation Sheet doesn't decide it.</t>
  </si>
  <si>
    <t xml:space="preserve">Chapter 1 (Introduction), p.2 of report (PDF p.19); Chapter 21 (Proposed Land-use submitted under section 16), p.216 (PDF p.233)</t>
  </si>
  <si>
    <t xml:space="preserve">Gujarat Metropolitan Planning Committees Act, 2008; Gujarat Town Planning and Urban Development Act, 1976 ss.9, 13, 16</t>
  </si>
  <si>
    <t xml:space="preserve">AI (low confidence), from Step 2 answer (Partially Answered) and ULG-06: Answer left blank. The Citation Sheet does not show a notified metropolitan or regional plan for Surat, but it also does not prove that none exists. (1) ULG-06, SUDA's DP 2035 report dated 22 Feb 2017, p.19: the Surat Metropolitan area was declared on 11/03/2016 under the Gujarat Metropolitan Planning Committees Act, 2008, and the Metropolitan Committee was set up without its elected members. The report says the plan to be made under that Act 'is not in place as on today'. That statement is from 2017 and may be out of date. (2) The SUDA Draft DP 2035 (ULG-06 p.216) was sent to the State under s.9 on 9 May 2016 and published in the Gazette under s.13 on 10 May 2016 for objections. Two problems: (a) this is only a draft published for objections, and the Sheet has no s.16 sanction or final notification; (b) it is a development authority plan made under the GTPUD Act 1976 and is never called a metropolitan or regional plan. It does use the loose phrases 'SUDA region' and 'growth in the region'. Whether that counts as a synonym under the methodology is a judgement call for the reviewer. (3) ULG-09, the NITI Aayog Economic Master Plan for the Surat Economic Region (Sept 2024): this is a regional plan, but an economic one. Only a steering committee and support units were notified, not the plan, so it fails the scorer note's 'notified document' test. (4) ULG-01, the 2019 amendment inserting s.10A into the MPC Act: this sets the legal framework only and is not evidence that a plan exists. Searches of the Sheet for a sanction of DP 2035 or a plan notified under the MPC Act found nothing. 'NO' cannot be given: there is no affirmative absence, because current SUDA, SMC and Metropolitan Planning Committee website pages and later Gazette notifications are not in the Sheet (VERIFICATION-LIMIT). Reviewer to check: (i) whether DP 2035 or a later plan was finally sanctioned and notified; (ii) whether any plan was made under the Gujarat MPC Act after 2017; (iii) whether a UDA development plan covering several municipalities plus villages counts as a 'regional plan' here.
Quote: "The Draft Development Plan to be framed under the provisions of the Gujarat Metropolitan Planning Committees Act, 2008, is not in place as on today."
"Answer" left blank: the Citation Sheet doesn't decide it.</t>
  </si>
  <si>
    <t xml:space="preserve">Chapter 21 – Proposed Land-use (submitted under section 16); see also Chapter 4 – Review of Sanctioned Development Plan 2004</t>
  </si>
  <si>
    <t xml:space="preserve">Report p.216 (PDF page 233); report p.23 (PDF page 40)</t>
  </si>
  <si>
    <t xml:space="preserve">Gazette publication under s.13, Gujarat Town Planning and Urban Development Act, 1976; DP-2004 sanctioned and in force from 15.09.2004</t>
  </si>
  <si>
    <t xml:space="preserve">AI (low confidence), from Step 2 answer (Partially Answered) and ULG-06: I answered YES. This sub-question asks whether a Municipal/City Plan exists: a document that uses the words 'development plan', which may come from the urban development authority, the city government (ULG) or the town planning department. The note says it must be a notified document, not just maps. ULG-06 meets this. It is the Development Plan 2035 report by the Surat Urban Development Authority (SUDA), dated 22 Feb 2017, covering Surat Municipal Corporation (SMC) and 195 villages. (1) The Draft Development Plan 2035 was sent to the State under s.9 on 9 May 2016. It was published in the Official Gazette on 10 May 2016 under s.13, and in a Gujarati daily on 11 May 2016. That gazette publication is the notification of the plan document. (2) The earlier plans were sanctioned by the State Government: the first plan in 1986 (in force from 3 Mar 1986) and the revised plan DP-2004 (in force from 15 Sep 2004). The report says DP-2004 'is the DP which is under implementation'. So a notified development plan for the city existed in either case. I disagree with Step 2, which left this blank: the methodology names the development authority as a valid source, so a SUDA plan counts as the city plan even though SMC is not the planning body. Points for the reviewer: (a) The newest evidence is from 2017. The sheet does not show whether the final DP-2035 was sanctioned under s.17 after the January 2015 amendment (s.16 approval). I searched the whole sheet and found no sanction notification, and no SUDA, SMC or Urban Development &amp; Urban Housing Department web page showing which plan is in force in 2026. (b) What was gazetted for DP-2035 is the draft (s.13), not the sanctioned plan. If the reviewer reads 'notified' as meaning only the final sanctioned plan, then DP-2004 is the sanctioned plan on the sheet, and it is old. (c) According to ULG-06 p.2, the metropolitan plan under the Gujarat Metropolitan Planning Committees Act, 2008 did not exist as of 2017. Other sources I checked contain no city plan: ULG-03 (s.284F covers redevelopment plans only), ULG-04 (Rules: process only), ULG-05 (CGDCR), ULG-07, ULG-09 (NITI Aayog economic master plan), ULG-10 and ULG-11 (2013 workshop presentation). The reviewer should capture a dated screenshot of the current sanctioned DP on SUDA's website. ULG-06 has no web address on the sheet, so where it is hosted is not confirmed.
Quote: "SUDA prepared and submitted the Draft Development Plan - 2035 under section 9 to the State Government on 9th May, 2016 for the area admeasuring 1351 Km2.  As per the statutory requirement the same was published in the Official G azette the on 10 th May 2016 under section 13 for inviting public opinion."</t>
  </si>
  <si>
    <t xml:space="preserve">Map title block: Plan No. 3, Drg. No. 59/3 (showing original and final plots)</t>
  </si>
  <si>
    <t xml:space="preserve">STAGE :-- DRAFT SANCTIONED</t>
  </si>
  <si>
    <t xml:space="preserve">AI (low confidence), from Step 2 answer (Partially Answered) and ULG-12: I left 'Answer' blank because neither YES nor NO is supported. RUBRIC-GAP: the evidence does not clearly fit the rubric.
Why not YES: the methodology says the document 'should mention the word ward development plan/zonal plan/local area plan'. The only Surat local-scale spatial plan in the Citation Sheet is ULG-12, the map of Draft Town Planning Scheme Surat No. 59 (Unn), made by SMC's Town Planning Department. It is a neighbourhood-scale spatial plan showing plots, roads, gardens, ward offices and S.E.W.S. housing. But it never uses any of those three terms, its stage is only 'DRAFT SANCTIONED' and its date field is blank. Under the GTPUD Act, Gujarat runs a two-tier system: ULG-11 (SUDA presentation, 2013, p.5) describes 'MICRO LEVEL Town Planning Schemes covering approx. 100 ha'. Whether a TPS counts as a 'local area plan' for ASICS is a methodology decision for a reviewer, not something I can infer.
Why not NO: a 0 needs affirmative absence, and that is not met. The sheet has no SMC Town Planning page listing schemes or plans and no SUDA or SMC Local Area Plan listing or notification. ULG-01 (GTPUD Act s.76A) shows only that Local Area Plans are provided for in law, not that one exists for Surat. ULG-05 (CGDCR 2017, p.163) refers to an AUDA/Ahmedabad CBD Local Area Plan, which is not about Surat.
What I checked:
- searches across the whole sheet for 'local area plan Surat' and 'zonal plan ward development plan': no Surat LAP, ward plan or zonal plan found. The hits were only 'Ward and Zonal Offices' in CGDCR and ward boundaries in DP 2035.
- ULG-06: DP 2035, a city-wide macro plan.
- ULG-10: ward and zone disaster management plans are mentioned, but they are not spatial plans and the plans themselves are not in the sheet.
- the Step 2 review of ULG-01, 03, 04, 05, 09 and 11.
For the reviewer:
(1) Decide whether a Gujarat TPS meets the rubric. If it does, the answer would be YES on the basis of ULG-12, although that scheme is only a draft and undated.
(2) Otherwise, collect SMC's Town Planning scheme listings or any SUDA/SMC Local Area Plan notification, so the question can be decided either way.
Quote: "DRAFT TOWN PLANNING SCHEME SURAT NO. 59(UNN)"
"Answer" left blank: the Citation Sheet doesn't decide it.</t>
  </si>
  <si>
    <t xml:space="preserve">Months elapsed since end of validity period</t>
  </si>
  <si>
    <t xml:space="preserve">Chapter 21, Proposed Land-use (submitted under section 16)</t>
  </si>
  <si>
    <t xml:space="preserve">Gujarat Town Planning and Urban Development Act, 1976: ss.9, 13, 14, 16 and 21, as described in the SUDA report</t>
  </si>
  <si>
    <t xml:space="preserve">ULG-06 p.233 (report p.216); p.30 (report p.13) for DP-2004 coming into force on 15.09.2004</t>
  </si>
  <si>
    <t xml:space="preserve">AI (low confidence), from Step 2 answer (Partially Answered) and ULG-06: ANSWER LEFT BLANK. The Citation Sheet cannot show whether Surat's current plan is in force and within its validity period. A NO also needs affirmative absence, and the Sheet does not establish that.
What the Sheet does show:
(1) The plan covering the SMC area is the SUDA Development Plan. SUDA prepares it under the Gujarat Town Planning and Urban Development Act, 1976, and the State sanctions it. The Draft DP-2035 report (ULG-06, 2017) says DP-2004 'came into force from 15.09.2004'. ULG-06 p.40 calls it 'the DP which is under implementation'.
(2) Section 21 says the authority 'shall revise the development plan' at least once in ten years from the date the final plan comes into force. This wording is quoted on the SUDA 2013 presentation (ULG-11, p.10), not taken from the Act's own text in ULG-01. ULG-11 p.11 gives the deadline: 'Development Plan to be revised before = 15.09.2014'. So DP-2004's 10-year revision period ended on 15.09.2014.
(3) Draft DP-2035 went to the State under s.9 on 09.05.2016. It was published in the Gazette under s.13 on 10.05.2016. As of 22.02.2017 it was still a draft awaiting submission and approval under s.16 (ULG-06, p.233).
(4) ULG-09 (NITI Aayog, September 2024) describes DP-2035 with a 985 sq km area. It cites 'SUDA Development Plan 2035. (2020)'. It does not say the plan was sanctioned or give a date it came into force.
I searched the Sheet for a sanction notification or a date DP-2035 came into force and found neither. I checked ULG-06, ULG-09, ULG-11, ULG-01, ULG-04, ULG-05, ULG-03, ULG-07 and ULG-10.
Why neither value can be chosen:
- YES needs the date DP-2035 was sanctioned and notified, plus its validity. Without these I cannot tell whether it is in force and within its period.
- NO needs proof that no sanctioned plan replaced DP-2004. Evidence that stops in 2017, plus a 2024 secondary mention, does not prove that. Also, s.21 is worded as a duty to revise, and nothing in the Sheet says a plan lapses after 10 years.
- The months since validity ended cannot be counted. If DP-2004 were the current plan, that would be from 15.09.2014. Whether DP-2004 is still current is unconfirmed.
PERSON TO CHECK:
(a) The State (UD&amp;UHD) Gazette notification sanctioning SUDA DP-2035 under s.17, and the date it came into force.
(b) The Act's own text of s.21, from an official copy.
(c) Confirmation that the SUDA DP counts as the 'municipal/city plan' for SMC.
(d) The source contradicts itself on dates. ULG-06 p.203 gives a first-revision date of 15.09.2014. ULG-11 gives the first DP date as 03.03.1986, but ULG-06 p.30 gives 31.01.1986.
Quote: "SUDA prepared and submitted the Draft Development Plan - 2035 under section 9 to the State Government on 9th May, 2016 for the area admeasuring 1351 Km2.  As per the statutory requirement the same was published in the Official G azette the on 10 th May 2016 under section 13 for inviting public opinion."
"Answer" left blank: the Citation Sheet doesn't decide it.</t>
  </si>
  <si>
    <t xml:space="preserve">Chapter 1 Introduction (DP 2035 report, 22 Feb 2017)</t>
  </si>
  <si>
    <t xml:space="preserve">p.2 [page 19]; see also p.196-197 (plan period 2015-2035) and Ch.21 [page 233]</t>
  </si>
  <si>
    <t xml:space="preserve">AI (low confidence), from Step 2 answer (Partially Answered) and ULG-06: I left the Answer blank because the Citation Sheet does not show the validity periods of two separate plan levels, so they cannot be compared.
What the sources show:
- The only statutory spatial plan with a timeline is SUDA's Development Plan 2035 (ULG-06). It was prepared under the GTPUD Act, 1976, covers the SMC area plus surrounding villages and has a plan period of 2015-2035.
- ULG-11, SUDA's 2013 presentation, describes a two-tier process: a 10-year macro-level Development Plan, then micro-level Town Planning (TP) schemes. Section 21 requires the plan to be revised at least once every 10 years.
- No separate SMC city-level development plan is in the sheet. SMC's role is preparing TP schemes. ULG-12 is a single TP scheme map with no stated validity period.
- Metropolitan level: the Surat Metropolitan Area was declared and its committee constituted on 11/03/2016, but in Feb 2017 ULG-06 says the metropolitan draft plan 'is not in place as on today.' The sheet has nothing on whether one was made after 2017.
- ULG-01 and ULG-02 (the 2019 amendment adding ss.10A-10C to the GMPC Act) are law only. They do not show that a metropolitan plan exists or what period it covers.
- ULG-09, NITI Aayog's EMP (Sept 2024, horizon 2047), calls itself an 'indicative framework'. It is an economic plan, not a notified statutory spatial plan with a validity period.
Why neither YES nor NO:
- YES needs evidence that two plan levels have aligned or nested validity. There isn't any.
- NO needs affirmative absence or evidence that the timelines conflict. The only absence statement dates from 2017, and post-2017 metropolitan plan status is not covered. So this is 'not found', not proven absent.
Open questions for a reviewer:
1. Should SUDA's DP 2035 count as the 'regional' plan or as the 'municipal/city' plan?
2. Has a metropolitan development plan under the GMPC Act been sanctioned since 2017, and for what period?
3. When was DP 2035 sanctioned and when did it come into force? Only the 2017 submission report is in the sheet. The EMP cites a 2020 version.
Suggested RTI requests: UD&amp;UHD, Govt. of Gujarat / Surat Metropolitan Planning Committee PIO, and the SUDA PIO.
Quote: "The Draft Development Plan to be framed under the provisions of the Gujarat Metropolitan Planning Committees Act, 2008, is not in place as on today."
"Answer" left blank: the Citation Sheet doesn't decide it.</t>
  </si>
  <si>
    <t xml:space="preserve">NA ONLY WHERE THE CITY HAS NO WARD/LOCAL PLAN</t>
  </si>
  <si>
    <t xml:space="preserve">AI: left for a person. Step 2 found no evidence (Insufficient Evidence). Source needed: Four documents would answer this: (a) the Gujarat government's s.17 sanction notification for SUDA DP 2035, with its date of coming into force; (b) the sanctioned preliminary or final TP Scheme notifications, or a Local Area Plan or ward/zonal plan notification for Surat, with dates and any validity period; (c) the GTPUD Act provisions on how long a TP Scheme lasts and how it relates to the Development Plan (s.40 onwards); (d) any SMC ward-level spatial plan with its period.</t>
  </si>
  <si>
    <t xml:space="preserve">https://bdakarnataka.in/
https://data.opencity.in/dataset/bda-revised-master-plan-2015/resource/dc23b4ae-e020-4499-b18d-8e4ed2f86a24
</t>
  </si>
  <si>
    <t xml:space="preserve">Scored 0 as there is no mention of involvement of all sectoral public departments and agencies in RMP 2015. There is no evidence of such MoM/ Meeting notice or notes on the BDA, BWSSB, BMTC websites. GBA website is not functional.</t>
  </si>
  <si>
    <t xml:space="preserve">16 Stakeholders Consultation</t>
  </si>
  <si>
    <t xml:space="preserve">16.3.2 Secondary Stakeholders – Consultations with Committees</t>
  </si>
  <si>
    <t xml:space="preserve">Report p.166 (PDF page 183); see also s.2.2 Process, report pp.14-15 (PDF pages 31-32), and s.19.6</t>
  </si>
  <si>
    <t xml:space="preserve">183</t>
  </si>
  <si>
    <t xml:space="preserve">AI (low confidence), from Step 2 answer (Partially Answered) and ULG-06: I left the Answer blank because the Citation Sheet cannot settle YES or NO.
Why not YES: The methodology asks whether the plan process included a committee to which all sectoral departments and agencies were invited, at minimum water and sewerage, traffic, electricity, transport, health and education. For the city-level plan, SUDA's Draft Development Plan 2035 (report dated 22 Feb 2017), a committee process did exist:
- a Core Committee and eight sub-committees, SC-1 to SC-8, including SC-5 Traffic and Transportation and SC-6 Infrastructure Planning &amp; ORR Implications;
- about 60 meetings;
- the Core Committee 'obtained advice and assistance of a number of other experts and officials' (s.2.2);
- s.19.6 says the participants included 'experts from several Government and Semi Government institutes'.
However, the plan never names the departments or agencies that sat on or were invited to these committees. It says only 'internal as well as external members from all fields'. The stakeholders it does name are sarpanchs, the Chamber of Commerce, IIA, GICEA, GIDC estate members, SVNIT, NGOs, MPs, MLAs, the Zilla Panchayat President and the Mayor. Suggestions are recorded only for housing (SC-4), traffic and transport (SC-5) and infrastructure (SC-6: water, storm water, sewerage). There is no evidence that the electricity distributor (DGVCL/GEB), traffic police, health or education departments took part.
ULG-11 (SUDA presentation, 03-08-2013) doesn't fill the gap:
- Slide 37 lists four expert committees by topic only.
- Slide 40 records a 'Meeting of authorities for which land is reserved' in Jan 2013. Its purpose was to start land acquisition, not to deliberate on what the plan should contain. Even if it counted, the 21 agencies on slide 9 (e.g. GEB, GSRTC, PWD, GIDC) don't clearly include health, education or traffic police.
Searching the whole sheet found no membership lists, invitation letters or minutes.
Why not NO: A NO would need affirmative absence, and committee membership is unknown, not shown to be missing. The micro level (Town Planning Schemes, e.g. ULG-12, TPS 59) also has no evidence either way. So both levels are 'not found', not 'absent'.
Using ULG-09 (NITI Aayog Economic Master Plan, 2024) would also be wrong: it is not the statutory city plan, and its committees exclude the water, electricity, health and education agencies.
For the person scoring this, please check:
1. Get SUDA's office orders and membership or invitee lists for the DP-2035 Core Committee and SC-1 to SC-8, and their minutes for 2013-2017 (RTI to the SUDA PIO).
2. Get the SMC Town Planning Department's records of inter-departmental consultation on TP schemes.
3. Decide whether a plan prepared by SUDA counts as the ULG's 'municipal/city plan'. SMC is represented on SUDA, but SUDA, not SMC, prepares the plan.
4. Confirm whether DP 2035 (a draft submitted under s.16 of the GTPUD Act 1976) has been sanctioned. It covers the 2013-2017 process.
Quote: "Following committees were formed that included internal as well as external members  from all fields, to  focus on key areas. Consultation meetings with the committees were held at regular intervals."
"Answer" left blank: the Citation Sheet doesn't decide it.</t>
  </si>
  <si>
    <t xml:space="preserve">https://data.opencity.in/dataset/bda-revised-master-plan-2015/resource/dc23b4ae-e020-4499-b18d-8e4ed2f86a24</t>
  </si>
  <si>
    <t xml:space="preserve">RMP 2015 does not identify clear economic development priorities and associated interventions. </t>
  </si>
  <si>
    <t xml:space="preserve">Ch.19 Development Plan Proposals (s.19.2 Plan Objective; s.19.11 Zoning proposals); Ch.21 (s.16 submission, Table 154)</t>
  </si>
  <si>
    <t xml:space="preserve">s.19.11.2 Industrial Zone; s.19.11.3 SIGR; s.19.11.4 Commercial Zone; s.19.11.9 Logistics Zone; Tables 137/138/154</t>
  </si>
  <si>
    <t xml:space="preserve">PDF pp.202, 210-213, 219, 223-225, 239</t>
  </si>
  <si>
    <t xml:space="preserve">210</t>
  </si>
  <si>
    <t xml:space="preserve">AI (low confidence), from Step 2 answer (Partially Answered) and ULG-06: Both inputs filled in from what ULG-06 actually says. This is SUDA's Development Plan 2035 report, dated 22 Feb 2017. Its plan area of 1351 sq.km includes the 326 sq.km SMC area.
(1) Priorities and interventions = YES. s.19.2 'Plan Objective' lists 'Diversification of economic activities' as a guiding principle. s.19.11.4 states the vision of SUDA as the 'growth engine of South Gujarat region'. The plan also names specific actions: General and Obnoxious/Hazardous Industrial zones; the Surat Industrial Growth Region (SIGR), to be developed through a TP Scheme by an SPV and tied to the Hazira port cargo forecast; a new commercial zone at Chaltan as an APMC commercial centre; a Logistics Park; a DREAM City zone; an Industrial Shift Zone, with the State to develop land at Pinjarat for the relocated industries; and SMC reservations for a vegetable market, a wholesale market and district centres (Table 156).
(2) Measurable targets = YES. The Detailed Methodology expressly lists 'Land identified/allocated for economic activities' as an acceptable target. The plan quantifies this land for the 2035 horizon:
- s.13 draft: Industrial 136.30 sq.km (17.32% of urbanised area), Commercial 11.82 sq.km (1.50%), SIGR 40.09 sq.km (5.09%), Logistics Park 0.80 sq.km, DREAM City 9.45 sq.km, Industrial Shift Zone 4.35 sq.km.
- Revised version submitted to the State under s.16 (Table 154): Industrial 112.96, Commercial 10.48, SIGR 28.14, Logistics Park 0.80 sq.km.
The Step 2 answer is consistent with the source.
FOR A PERSON TO CHECK:
(a) The only quantified targets are land areas. There are no targets for jobs, workforce participation or number of enterprises, and no street-vending provisions. The diagnosis chapters on workforce participation and informal work are not turned into targets. If ASICS reviewers do not accept land allocations alone as outcome indicators, the second input becomes NO, which puts the question in the 5 band.
(b) Plan status. The Citation Sheet contains only the s.13 draft and the s.16 submission. A search found no State sanction or 'came into force' notification for DP 2035, so whether the final sanctioned plan keeps these allocations is unverified. The report itself also says the SIGR is 'now affected' because villages were removed from SUDA's area by the 24.10.2016 notification.
(c) Which plan counts. DP 2035 is SUDA's statutory plan, not a separate SMC plan. Whether ASICS treats it as Surat's 'municipal/city plan' needs to be confirmed.
Not counted: ULG-09, NITI Aayog's Economic Master Plan (Sept 2024). It is a central regional economic plan, not the municipal/city plan.
Indicative band: 10, subject to (a)-(c).
Quote: "Total area proposed under Industrial zone (including  DP 2004 proposal) is 136 sq.km., which is 17.32% of the total urbanised area proposed in DP 2035."</t>
  </si>
  <si>
    <t xml:space="preserve">Environmental conservation and related aspects are not mentioned in RMP 2015. </t>
  </si>
  <si>
    <t xml:space="preserve">Chapter 19 (Development Plan 2035 proposals); also Chapter 16.4.4 (SC 7: Tapi River Front, CRZ and Environment)</t>
  </si>
  <si>
    <t xml:space="preserve">s.19.8.3.5 Emphasis on green development; s.19.8.3.6 Preserving water channels/water bodies/natural drains; s.19.8.3.10 Shifting of existing industries outside residential area; s.19.9 Locational challenges; s.19.11.6 Recreational Zone; Tables 137, 138 and 154 (proposed land use 2035)</t>
  </si>
  <si>
    <t xml:space="preserve">s.19.11.6 Recreational Zone (p.198-199); Table 154 Recreational row (p.222)</t>
  </si>
  <si>
    <t xml:space="preserve">215</t>
  </si>
  <si>
    <t xml:space="preserve">AI (medium confidence), from Step 2 answer (Answered — Verified Source) and ULG-06: Plan used: SUDA Development Plan 2035 (report dated 22 Feb 2017, plan horizon 2035, era n/a). It covers the whole SMC area (327.11 sq km of the 1351.53 sq km SUDA area, Table 137). I checked it against the source myself and it backs up the Step 2 answer. (1) Clear priorities with actions: YES. The plan sets several environmental priorities, each with actions. Under s.19.8.3.5 it will link gardens and open spaces through 'Green Streets', provide adequate parks and promote green development through GDCR. Under s.19.8.3.6 it will preserve water bodies and natural drains by discouraging development around them, and promote farming around water bodies. Under s.19.11.6, land around existing talavs (ponds) is zoned for gardens and recreation. Under s.19.8.3.10, polluting industries move out of residential areas through a 4.35 sq km Industrial Shift Zone (Table 154). Under s.19.9 the plan takes flood and cyclone risk into account. Section 16.4.4 (SC 7) also lists conservation of eco-sensitive areas, rainwater harvesting and green belts around industrial zones. Section 19.8.3.9 ('Protect and enhance environmental assets') is general wording only and was not counted. (2) Measurable targets: YES. Recreational space rises from 2 sq km (2015) to 39.48 sq km in the u/s 16 column or 45.97 sq km in the u/s 9 column by 2035, per Table 154 and Table 138. The text puts it as 46 sq km, against 12 sq km in DP 2004. Table 137 gives the SMC area's share as 16.90 sq km (up from 10.63 sq km in DP 2004). The water-body, flood and pollution priorities have no numbers attached. There are no targets for greenhouse gases, renewable energy or biodiversity. Proposed band: 5. Items for a person to check: (a) Whether a land-use area allocation counts as a 'measurable target/outcome indicator'. I treated it as a quantified target. (b) Whether a plan prepared by SUDA under the GTPUD Act 1976, not an SMC document, counts as Surat's 'municipal/city plan'. (c) The State Government sanction notification for DP 2035 (s.17 GTPUD Act) is not in the Citation Sheet. So it is not confirmed that the plan is in force or which recreational figure (39.48 or 45.97 sq km) is final. (d) The methodology mentions 'two components' but lists only one, and the max score for this sub-question is 5. I treated it as one component, so the band scale matches the max score. ULG-10 (Disaster Management Plan) and ULG-09 (NITI Aayog regional economic plan) are not the city plan and were not relied on.
Quote: "The land around e xisting Talavs are proposed for Ga rdens and Recreational uses. Garden and open spaces at the neighbourhood level can be obtained in the TP schemes. Considering the large area and future population  of SUDA region, total 46 sq.km. of recreational spaces are proposed in DP 2035 as compared to 12 sq.km. proposed in DP 2004."</t>
  </si>
  <si>
    <t xml:space="preserve">The term heritage conservation is mentioned, without identified priorities and associated interventions.</t>
  </si>
  <si>
    <t xml:space="preserve">Chapter 14 – Heritage and Conservation (also checked: Ch.16 Stakeholders Consultation, Ch.19 Plan Objective/Vision/Principles, Ch.21 Proposed Land-use)</t>
  </si>
  <si>
    <t xml:space="preserve">Intro to Ch.14; 14.1–14.4 (report pp.146–149, PDF pp.163–166)</t>
  </si>
  <si>
    <t xml:space="preserve">14.4 Issues (14.4.1–14.4.5)</t>
  </si>
  <si>
    <t xml:space="preserve">163</t>
  </si>
  <si>
    <t xml:space="preserve">AI (low confidence), from Step 2 answer (Partially Answered) and ULG-06: Both inputs are left blank. The evidence points to Score 0, but absence is not confirmed, so this is 'not found' rather than a 0. I checked the Step 2 answer against the source and it holds. The only city-level plan in the Citation Sheet is SUDA's Development Plan 2035 report (dated 22 Feb 2017; the draft was published on 10 May 2016 under s.13 and submitted under s.16). In Chapter 14 the introduction promises 'strategies to be adopted for its preservation'. The chapter itself only lists heritage assets: building categories (14.1.1), heritage wards, streetscapes and riverine heritage (14.1.2), 7 monuments of national importance (Table 107), religious structures, urban villages and the Walled City (14.1.3–14.1.4), intangible heritage (14.2) and built heritage definitions (14.3). It then lists issues (14.4.1–14.4.5): lack of local government interest, the failed SMC heritage walk, no facilities at sites, low public awareness, and no area planning rules around heritage sites (encroachment at Gopi Talav and Mirza Sami's tomb). The chapter stops at 14.4. It sets out no priorities, no interventions or actions, and no targets. I also checked three other chapters. Ch.16: none of the 8 stakeholder sub-committees (SC-1 to SC-8) covers heritage, and the suggestions I read have nothing on heritage; SC-7 is about the environment. Ch.19: the objectives, vision and principles speak only generally of 'conservation' and protecting 'the best of existing character of Surat'. That is aspirational wording, not a priority with actions. Ch.21: the land-use reservations I saw are for recreation, eco-tourism and gardens, with no heritage zones. Other sources: ULG-05 (CGDCR 2017) is a set of state building rules. It says heritage areas are to be notified through a Heritage Conservation Plan that the Competent Authority will prepare, but nothing in the sheet shows a Surat plan was ever prepared. ULG-09 (NITI Aayog regional economic plan, 2024) proposes adaptive reuse of heritage but sets no targets, and it is not the municipal/city plan. ULG-03, ULG-07 and ULG-10 have no heritage plan content. Why I did not enter NO: (a) the tool shows only parts of the long DP 2035 document, so I cannot confirm the whole report has no heritage actions; (b) the sanctioned DP 2035, its notification and its GDCR, and any SMC heritage conservation plan, heritage list or Smart City heritage component are not in the sheet; (c) it is unresolved whether a SUDA Development Plan counts as the 'municipal/city plan' for SMC. A reviewer should: confirm which plan is the municipal/city plan; get the sanctioned DP 2035 and its GDCR; and check for any SMC heritage plan. If none has heritage priorities with actions, both inputs should be NO (Score 0).
Quote: "This chapter focuses on the need for identification of the heritage structures in the city and the strategies to be adopted for its preservation."
"Clear priorities &amp; interventions identified" left blank: the Citation Sheet doesn't decide it.
"Measurable targets / outcome indicators (counts only if priorities = YES)" left blank: the Citation Sheet doesn't decide it.</t>
  </si>
  <si>
    <t xml:space="preserve">The component is absent in RMP 2015.</t>
  </si>
  <si>
    <t xml:space="preserve">Ch. 12 Social Infrastructure; Ch. 17.2.7; Ch. 19.11 Zoning</t>
  </si>
  <si>
    <t xml:space="preserve">s.12.1 Education (report pp.128-130); s.17.2.7 Education (newly added villages); s.19.11.5 Public Purpose / Tables 137, 138, 154</t>
  </si>
  <si>
    <t xml:space="preserve">Tables 95-100, 126</t>
  </si>
  <si>
    <t xml:space="preserve">146</t>
  </si>
  <si>
    <t xml:space="preserve">AI (low confidence), from Step 2 answer (Partially Answered) and ULG-06: Both inputs are left blank for a person to score. I checked the Step 2 answer against the source and went further than Step 2 did. (1) I read the whole of DP 2035 s.12.1 Education, pp.128-130 of the report, including the pages Step 2 could not reach. The section ends with Table 100 (Colleges in SUDA) and goes straight into s.12.2 Health. It only describes what exists: schools by medium and area, 2008 data from the Revised CDP 2008-13; anganwadis and primary schools in the 95 villages; teachers; high schools; colleges. It notes gaps (10 villages with no primary school; 55% of secondary schools are private). It has no education priorities, interventions, norms or targets, and no 'Strategies' or 'Future Requirements' heading like the one in the solid waste section (11.5.3.6-7). s.17.2.7 is also descriptive only (101 schools; 5 villages with no school). In Ch.19 the plan lists 'Institutional/ Educational' as a zone. It sets aside land for it: Educational Zone 5.57 sq.km under s.16 / 6.10 sq.km under s.9 (Tables 137, 138, 154). It also restates the general public-purpose reservation power in s.12(2)(a) of the GTP&amp;UD Act (schools, colleges). That is land allocation, not an education-service priority with interventions. On what I read, DP 2035 would point to 0 for the Education component (general mentions only). (2) I still cannot score 0, because affirmative absence is not met. (a) It is not settled which plan is 'the municipal/city plan' for Surat Municipal Corporation. DP 2035 is a SUDA development plan made under the GTP&amp;UD Act 1976, not an SMC plan. No SMC-prepared plan (e.g. a CDP) and no finally sanctioned DP 2035 notification is in the Citation Sheet. ULG-09, the NITI Aayog Economic Master Plan (Sept 2024), does set education interventions (Edu-city, PPP schools, ITI curriculum revision), but it is a regional economic plan by a central body. (b) The descriptive text for the Educational zone in s.19.11 and the full list of school reservations in Table 156 did not come up in full in my reads. CONFIRM: which plan counts for this question. If DP 2035 alone counts, a reviewer can likely enter 'NO', which scores 0. If the EMP counts, its priorities may support 'YES', but its measurable education targets would need to be checked. The data in DP 2035 is old (2008-2014), and the report is dated 22-02-2017.
Quote: "In the SUDA region within 95 villages, there are about 65 Anganwadis and in total there are 108 schools. There are 10 villages (10.52%) with no primary schools at all remaining 85 (89.48%) villages have at least one primary school."
"Clear priorities &amp; interventions identified" left blank: the Citation Sheet doesn't decide it.
"Measurable targets / outcome indicators (counts only if priorities = YES)" left blank: the Citation Sheet doesn't decide it.</t>
  </si>
  <si>
    <t xml:space="preserve">12 Social Infrastructure; 21.3 Reservations</t>
  </si>
  <si>
    <t xml:space="preserve">12.2 Health (12.2.1 Health Facilities, 12.2.2 Present Health Services); Table 156 List of reservations</t>
  </si>
  <si>
    <t xml:space="preserve">Report pp.130-133 (PDF pp.147-150); Table 156 row 151 (P-106 Hospital, S.U.D.A., Damka) at PDF p.253</t>
  </si>
  <si>
    <t xml:space="preserve">148</t>
  </si>
  <si>
    <t xml:space="preserve">AI (low confidence), from Step 2 answer (Partially Answered) and ULG-06: Both inputs are left blank. No score is proposed; this needs a person to decide.
(1) Which plan counts is unresolved. The only plan in the Citation Sheet close to a city plan is ULG-06, SUDA's Development Plan 2035. It is a land-use plan made under the Gujarat Town Planning and Urban Development Act, 1976. It was prepared by the Surat Urban Development Authority, not by SMC, and covers SMC plus the SUDA villages. Whether it counts as 'the municipal/city plan' needs confirming. The sheet has no plan of SMC's own, such as a City Development Plan or a city health plan.
(2) I checked the Step 2 answer against the source. Chapter 12.2 Health only describes existing facilities, using 2006-07, 2009 and 2014 data (Tables 101-104). It has no health strategies, interventions or targets. Compare the solid waste chapter, which has 'Strategies' and 'Future Requirements' sections. This time I read more of Table 156 (List of reservations) than Step 2 did. I found one health reservation: row 151, P-106 'Hospital', agency S.U.D.A., Damka, 1,58,099 sq.m. Several runs of rows (about 8-76 and 100-144) were cut off in the text I could see, so there may be other health reservations, such as dispensaries or health centres for SMC. One hospital site is a single land-reservation action. It does not meet the rubric's 'two or more clear priorities and associated interventions'. It also gives no health target or outcome indicator. Because I did not read the whole table, I cannot claim absence. A 0 needs affirmative absence, so I left the inputs blank rather than entering NO.
(3) ULG-10, SMC's Disaster Management and Preparedness Plan (undated), has action plans for water-borne disease (ch.6), vector-borne disease (ch.7) and heatwaves (ch.8). It is an emergency plan, not the municipal/city plan, and Step 2 saw no targets in it. ULG-09, the NITI Aayog Economic Master Plan (September 2024), sets numeric bed targets and proposes hospitals. However, it is a Government of India regional plan covering six districts, not this city government's plan. I did not use either for the inputs.
Period: the Development Plan 2035 report is dated 22 February 2017 and covers 2015-2035. Its health data is from 2006-2014, and the sheet does not show whether the plan was finally sanctioned.
To check: (a) which document is the municipal/city plan; (b) the rows of Table 156 I could not read, for further health reservations; (c) whether ULG-10's disease action plans should count.
Quote: "The ev er‐increasing population in the city is expected to put pressures on the existing health facilities. By the year 2009, around 305 medical facilities are registered with the SMC, of these as many as 92.59 percent hospitals are run by private organizations."
"Clear priorities &amp; interventions identified" left blank: the Citation Sheet doesn't decide it.
"Measurable targets / outcome indicators (counts only if priorities = YES)" left blank: the Citation Sheet doesn't decide it.</t>
  </si>
  <si>
    <t xml:space="preserve">Chapter 9 Housing (pp.74-87); Chapter 19 Proposed Land-Use (Submitted under Section 9)</t>
  </si>
  <si>
    <t xml:space="preserve">Sections 9.4 to 9.9.4 (housing shortfall, slums, emerging issues); Section 19, residential zone proposals, p.191 (PDF p.208)</t>
  </si>
  <si>
    <t xml:space="preserve">Table 58 (housing shortfall to 2035); s.9.9.3 'Lack of access to land for affordable housing'; s.9.9.4; p.191 8.58 sq.km housing reservation and permission for affordable housing in any urbanised land use</t>
  </si>
  <si>
    <t xml:space="preserve">208</t>
  </si>
  <si>
    <t xml:space="preserve">AI (low confidence), from Step 2 answer (Partially Answered) and ULG-06: Both inputs are left blank. A person needs to score this, because the Citation Sheet supports neither YES nor a 0.
**What I checked.** I re-read the Step 2 evidence in ULG-06 (Development Plan 2035, SUDA, report dated 22 Feb 2017). I read Chapter 9 Housing and the Chapter 19 land-use proposals, and searched the whole Citation Sheet for affordable housing and Residential Affordable Housing (RAH) zone content.
**What the plan contains on affordable housing:**
- **Need:** a total housing requirement of 24,51,778 units for 2035 in Table 58. There is no EWS/LIG/affordable split.
- **Slums:** the 399 slum pockets from the 2013-14 Rajiv Awas Yojana (RAY) survey, plus a description of past Surat Municipal Corporation (SMC) programmes (LIG, EWS, VAMBAY, BSUP, RAY, Mukhyamantri Gruh Yojana) and their past targets and achievements. These are history, not plan targets. There is no number or percentage of slums to be rehabilitated.
- **Issue identified:** s.9.9.3 'Lack of access to land for affordable housing'. Under s.9.9.4, government is to act as a regulatory authority giving private agencies access to land.
- **Interventions, p.191:**
  - (a) About 8.58 sq.km reserved for SMC, SUDA, GHB, PWD and others 'for the purpose of developing these lands for housing'. This is housing; the text never says it is affordable housing.
  - (b) Affordable housing projects are allowed in any urbanised land use under Government of Gujarat guidelines.
- **Missing:** no share-of-stock target, no affordable-specific unit target, and no livelihood or transport linkage beyond diagnosis.
**Why priorities is blank, not YES.** YES needs at least two clear affordable-housing priorities, each with an intervention. Only (b) is explicitly affordable. Whether (a) counts as affordable housing land parcels cannot be decided, because the reservation list annexure is not in the Sheet (it is shown as removed).
**Why priorities is blank, not NO.** A NO would need affirmative absence. The document text in the Sheet is reduced to excerpts and the reservation list is missing, so absence cannot be shown.
**Targets.** This input counts only if priorities is YES, so it is also left blank. If a scorer sets priorities to YES, targets would likely be NO: I found no affordable-specific measurable target, and the 8.58 sq.km figure is for housing in general. That would give 1.67.
**Other sources checked:**
- ULG-05 (CGDCR 2017) contains the RAH zone and affordable-housing FSI rules. These are state regulations, not plan priorities.
- ULG-09 (NITI Aayog Economic Master Plan) is a regional plan and only aspirational on housing.
- ULG-07 and ULG-10 contain nothing on affordable housing.
**For the reviewer to confirm:**
1. Whether a SUDA Development Plan counts as the 'municipal/city plan' for SMC. The Sheet contains no SMC plan of its own (no city development plan, slum-free city plan of action, or PMAY housing-for-all plan of action).
2. Whether the 8.58 sq.km reservation is for EWS/LIG/affordable housing (needs the reservation list).
3. Whether this 2017 report is the sanctioned DP 2035 text. No sanction notification is in the Sheet.
Quote: "The Government of Gujarat has issue d guidelines for construction of affordable housing within the development authority area. It is proposed to allo w the affordable housing project as per the Government guidelines in any of the urbanized land use. The beneficiaries shall be as per the guidelines of the Government."
"Clear priorities &amp; interventions identified" left blank: the Citation Sheet doesn't decide it.
"Measurable targets / outcome indicators (counts only if priorities = YES)" left blank: the Citation Sheet doesn't decide it.</t>
  </si>
  <si>
    <t xml:space="preserve">Chapter 19 (Planning Concept), Development Plan 2035 report, SUDA, 22 February 2017</t>
  </si>
  <si>
    <t xml:space="preserve">19.8.3.7 Improved safety and security environment (printed p.189)</t>
  </si>
  <si>
    <t xml:space="preserve">Also checked: 19.8.1 Vision, 19.8.2 Aim, 19.8.3 Principles; Section 13 (p.137); Sections 6.7 and 10 to 12</t>
  </si>
  <si>
    <t xml:space="preserve">206</t>
  </si>
  <si>
    <t xml:space="preserve">AI (low confidence), from Step 2 answer (Partially Answered) and ULG-06: Both inputs are blank, so no score is given. The evidence points toward the 0 band, but I cannot show that women's objectives are absent from every relevant plan.
What I checked in ULG-06 (Development Plan 2035 report, SUDA, February 2017; plan period to 2035):
- Vision (19.8.1), aim (19.8.2) and principles (19.8.3.1-19.8.3.10). All are gender-neutral.
- 19.8.3.7 (safety and security) is aimed at 'the population' in general and has no women-specific action.
- The parks and open spaces, physical infrastructure, solid waste, social infrastructure and zoning proposals I read have no women-specific priority, intervention or target.
- Step 2 says the only mentions of women are sex-ratio and workforce figures and a repeat of the state objective 'Empowerment of the youth and women' (Section 13). Under the methodology, references like these are general or aspirational and earn no credit.
- My own read of ULG-06 and a search of the whole Citation Sheet ('women safety gender action plan') found no women-specific priority in any city plan.
Why NO (which would score 0) is not entered:
- The tools return excerpts, so ULG-06 was not read end to end.
- The sanctioned or gazetted Development Plan 2035 is not in the Citation Sheet. It is also unclear whether this 2017 report matches the sanctioned plan.
- Surat Municipal Corporation's own plans (City Development Plan, Comprehensive Mobility Plan, Smart City proposal, any gender or women's safety plan) are not in the Citation Sheet.
- The Development Plan is prepared by SUDA under the Gujarat Town Planning and Urban Development Act, 1976, not by the city government. Which document counts as 'the municipal/city plan' for Surat Municipal Corporation needs confirmation.
Other sources:
- ULG-09 (NITI Aayog Economic Master Plan, September 2024; horizon 2047). Its proposed MSME cluster includes a hostel for women workers, rental housing 'particularly women' and a crèche (pp.69 and 170 printed). There are no targets or indicators, and the plan covers a multi-district region. It is not the municipal/city plan, so it is not credited. If a reviewer decides to count it, it would at most support priorities = YES and targets = NO (the 5 band). That would be a stretch.
- ULG-07 (Parking Policy) and ULG-10 (Disaster Management Plan) are sector plans with no women-related content found.
The second input (targets) only counts if priorities = YES, so it stays blank too.
A reviewer should obtain: the sanctioned Development Plan 2035 and its notification, and Surat Municipal Corporation's own city plans or any gender plan.
Quote: "To create an environment where safety and security of the population shall  be of utmost importance"
"Clear priorities &amp; interventions identified" left blank: the Citation Sheet doesn't decide it.
"Measurable targets / outcome indicators (counts only if priorities = YES)" left blank: the Citation Sheet doesn't decide it.</t>
  </si>
  <si>
    <t xml:space="preserve">https://ksrsac.karnataka.gov.in/map.aspx</t>
  </si>
  <si>
    <t xml:space="preserve">The Karnataka State Remote Sensing Centre has data on land-use, transport, ward boundaries etc.</t>
  </si>
  <si>
    <t xml:space="preserve">AI: left for a person. Step 2 found no evidence (Insufficient Evidence). Source needed: Needed: the official website or data portal of Gujarat's state spatial data or remote-sensing centre (or the state geoportal), showing (1) a common base map open to all state agencies and parastatals, and (2) a catalogue of downloadable shapefile or KML layers for land use, transport networks (roads, rail, metro) and administrative boundaries (ward, corporation, metropolitan), with the date of the last update. A dated SMC or SUDA notice or page showing that GIS layers are shared with sectoral agencies and updated on a fixed schedule would add context but would not replace the state-centre evidence.</t>
  </si>
  <si>
    <t xml:space="preserve">https://bwssb.karnataka.gov.in/storage/pdf-files/documents/Vision%20Document%202050%20%20new.pdf</t>
  </si>
  <si>
    <t xml:space="preserve">BWSSB has published a Vision document with Strategic Plan for 2050 on its website. No evidence of SWM plan on the BSWML website. No evidence of a city sanitation plan for Bengaluru. GBA website is not functional. </t>
  </si>
  <si>
    <t xml:space="preserve">AI: left for a person. Step 2 found no evidence (Insufficient Evidence). Source needed: Two things would answer this. First, the Gujarat UD&amp;UHD gazette notification sanctioning SUDA's Development Plan 2035 under the GTPUD Act 1976 and setting the date it came into force. Second, a current SUDA or SMC webpage showing the sanctioned DP and that it is in force. If the question is meant to cover a sectoral plan, the answer would instead need that plan as currently approved and notified (e.g. a current Comprehensive Mobility Plan or City Sanitation Plan), with its approval record.</t>
  </si>
  <si>
    <t xml:space="preserve">The plan has specific priorities/ interventions and objectives against identified projects.</t>
  </si>
  <si>
    <t xml:space="preserve">Chapter 11 (Physical infrastructure) – Sewerage</t>
  </si>
  <si>
    <t xml:space="preserve">s.11.4.10 Future Requirements</t>
  </si>
  <si>
    <t xml:space="preserve">p.116-117 of report (PDF page 133-134)</t>
  </si>
  <si>
    <t xml:space="preserve">133</t>
  </si>
  <si>
    <t xml:space="preserve">AI (low confidence), from Step 2 answer (Partially Answered) and ULG-06: All three inputs are left blank: the plans were not found in the Citation Sheet, which does not prove they don't exist.
What the question needs: a Surat water supply and sewerage plan, a solid waste management (SWM) plan and a City Sanitation Plan. Each should set out development priorities and measurable targets.
What the sheet has: none of these three plans. I checked the Step 2 work and searched the whole sheet for 'city sanitation plan solid waste management plan water supply master plan SMC'. The only hits were in ULG-06, which is SUDA's draft Development Plan 2035 (report dated 22 Feb 2017).
Why ULG-06 is not used to score:
- It is a land-use development plan prepared by the Surat Urban Development Authority (SUDA) under the Gujarat Town Planning and Urban Development Act, 1976 (GTPUD Act). It is not a sectoral plan of Surat Municipal Corporation (SMC).
- It is a draft submitted for State approval under s.16. The sheet has no sanction notification.
- It does have sector chapters with figures, for example: sewer coverage of 206 sq.km by 2025 and another 163 sq.km by 2035 (Tables 144-145); SWM projections of 3420 TPD (2025) and 4325 TPD (2035) with segregation at source (Table 146); and 100% water coverage in SMC area 'By 2015', a target that has already passed. But these are mostly demand and cost projections inside a development plan, not the sector plans the question asks about.
- ULG-06 s.11.4.10 says SMC has prepared a separate master plan for a comprehensive sewerage system (horizon 2026). That shows a sectoral sewerage plan exists, but it is not in the Citation Sheet, so its priorities and targets cannot be checked.
Other sources checked: ULG-07 (Parking Policy), ULG-09 (NITI Aayog Economic Master Plan 2047), ULG-10 (SMC Disaster Management Plan), ULG-11 (SUDA DP workshop presentation). None is a water and sewerage, SWM or sanitation plan. ULG-01 to ULG-05 and ULG-13 are laws and regulations, not plans.
NO would score 0, and NO needs proof that the plans are absent. This is an implementation question, and these plans would sit on SMC or state portals outside the sheet. So 'not found' cannot be scored as NO.
For the reviewer to get or check:
1. SMC's sewerage master plan (mentioned in ULG-06 s.11.4.10) and any water supply master plan.
2. SMC's SWM plan (e.g. under the SWM Rules 2016 / Swachh Bharat Mission (SBM)).
3. A Surat City Sanitation Plan.
4. Whether DP 2035 was finally sanctioned, and whether a SUDA plan should count for SMC.
Quote: "SMC has prepared a master plan for comprehensive sewerage system (more than 1500 km of sewers and 10 sewage treatment works)"
"UPD23b1: Water Supply &amp; Sewerage Plan" left blank: the Citation Sheet doesn't decide it.
"UPD23b2: Solid Waste Management Plan" left blank: the Citation Sheet doesn't decide it.
"UPD23b3: City Sanitation Plan" left blank: the Citation Sheet doesn't decide it.</t>
  </si>
  <si>
    <t xml:space="preserve">No evidence of clearly defined role of ULG in the BWSSB plan.</t>
  </si>
  <si>
    <t xml:space="preserve">Ch.11 Physical Infrastructure (water supply tables cite 'Water Supply Master Plan 2041, SMC'); Ch.15 Environment</t>
  </si>
  <si>
    <t xml:space="preserve">15.13.2.2 Strategies (report page 162, PDF page 179); tables 69-76 (report pages 99-104)</t>
  </si>
  <si>
    <t xml:space="preserve">179</t>
  </si>
  <si>
    <t xml:space="preserve">AI (low confidence), from Step 2 answer (Partially Answered) and ULG-06: All three inputs are left blank because the evidence was not found. That is not the same as finding the plans absent. UPD23c asks whether each sectoral plan (Water Supply &amp; Sewerage Plan, Solid Waste Management Plan, City Sanitation Plan) clearly gives the ULG (SMC) a defined role. None of these three plans is in the Citation Sheet (ULG-01 to ULG-13). I searched the sheet for 'City Sanitation Plan', 'solid waste management plan', 'water supply sewerage master plan' and 'sewerage master plan sanitation plan'. The only hits were in ULG-06 (SUDA Draft Development Plan 2035, 22 Feb 2017) and ULG-09 (NITI Aayog Economic Master Plan 2024). Neither is one of the sectoral plans being assessed. ULG-06 is a statutory development plan prepared by SUDA, not SMC, so its scattered SMC tasks cannot stand in for the sectoral plans. Those tasks include the 'shall initiate a dialogue' water-body monitoring role, MSW rules responsibility described as a general role, and SWM strategies with no named agency. The Step 2 answer judged roles within ULG-06. That is useful context, but it scores the wrong plan for this sub-question. ULG-06 also shows that at least one sectoral plan exists in practice: it cites 'Water Supply Master Plan 2041, SMC' as the source of tables 69-76 and says 'SMC has prepared Master Planning'. That plan's text is not in the sheet, so whether it assigns SMC roles cannot be checked. A 'NO' would need affirmative absence, meaning each plan was in the sheet and read, and nothing was found. That condition is not met. Evidence still needed: (1) SMC Water Supply Master Plan 2041 and any sewerage master plan or DPR; (2) SMC City Sanitation Plan (e.g., under NUSP, AMRUT or SBM); (3) SMC Solid Waste Management Plan or Action Plan under the SWM Rules 2016. Ideally each should come from suratmunicipal.gov.in or a gov.in source, and each should be checked for SMC roles in delivery, infrastructure, financing, O&amp;M or monitoring. A person should score this once those plans are added to the Citation Sheet.
Quote: "SMC has prepared Master Planning to meet the future demand and envisaged the demand of more than 2300 MLD in 2041 Accordingly various water supply schemes ar e being executed."
"UPD23c1: Water Supply &amp; Sewerage Plan" left blank: the Citation Sheet doesn't decide it.
"UPD23c2: Solid Waste Management Plan" left blank: the Citation Sheet doesn't decide it.
"UPD23c3: City Sanitation Plan" left blank: the Citation Sheet doesn't decide it.</t>
  </si>
  <si>
    <t xml:space="preserve">https://apps.bbmpgov.in/bcap/
https://apps.bbmpgov.in/bcap/PDF/BCAP_FullReport_091224.pdf
https://apps.bbmpgov.in/bcap/images/Executive%20summary_English_cover%20page%20english%2017072025.jpg
https://apps.bbmpgov.in/bcap/PDF/BCAP_Sector%20Actions_01042024.pdf
</t>
  </si>
  <si>
    <t xml:space="preserve">BCAP was launched by BBMP and climate action cell was established in BBMP, now GBA. There is a climate action plan and a roadmap but formal adoption/ notification could not be confirmed. </t>
  </si>
  <si>
    <t xml:space="preserve">AI: left for a person. Step 2 found no evidence (Human Verification Required).</t>
  </si>
  <si>
    <t xml:space="preserve">https://apps.bbmpgov.in/bcap/PDF/BCAP_FullReport_091224.pdf
https://apps.bbmpgov.in/bcap/PDF/BCAP_Sector%20Actions_01042024.pdf</t>
  </si>
  <si>
    <t xml:space="preserve">The plan has clearly defined targets and objectives.</t>
  </si>
  <si>
    <t xml:space="preserve">Chapter 5 – Pre-monsoon contingency plan (also Ch.7 Action plan for prevention of Vector-borne diseases; Ch.8 Extreme Heat; Ch.12 Flood in creeks; Ch.13 Tapi River Flood protection scheme)</t>
  </si>
  <si>
    <t xml:space="preserve">Pre-monsoon contingency plan, 'All Zones' instructions</t>
  </si>
  <si>
    <t xml:space="preserve">All Zones item 1 (PDF p.23, plan p.17); related dated deadlines in items 15, 17, 18, 19, 20, 22</t>
  </si>
  <si>
    <t xml:space="preserve">AI (medium confidence), from Step 2 answer (Partially Answered) and ULG-10: I scored YES, but this is a judgement call and a person should confirm it. The only city-level plan of this kind in the Citation Sheet is SMC's Disaster Management and Preparedness Plan (ULG-10, 2026 edition). The methodology names 'disaster management plan' as a qualifying plan type.
(1) Two or more clear priorities: met. The plan gives each priority hazard its own chapter: Ch.5 pre-monsoon contingency (flooding), Ch.6 water-borne disease, Ch.7 vector-borne disease, Ch.8 extreme heat, Ch.12 creek floods and Ch.13 the Tapi River flood protection scheme.
(2) Measurable objectives or targets against those priorities: met if quantitative operational targets count.
- Flood (Ch.5): 'minimum 2000 bags of sand' in every zone or department; excavation for water and drainage pipelines 'completed and ... made safe by 20th May 2026'; flood gates serviced and certified 'by 15th May'; survey of dilapidated buildings 'by 20th May 2026'; control rooms 'started from 1st June or first rain whichever is earlier'.
- Vector-borne disease (Ch.7, per the Step 2 extract): surveillance slide-collection rates of 1.5% and 2%; fortnightly survey of 10,000 people; fogging around 50 houses of each positive case.
- These are specific and measurable, not the 'general statement of intent' that the methodology excludes. The methodology allows 'quantitative or qualitative indicators, as appropriate', and its examples begin with 'may include', so the list is not exhaustive.
Why a reviewer might score NO instead:
- These are annual operational or preparedness inputs, not resilience outcome targets. There is no target for reduced flood or heat exposure, green cover, emissions or water security.
- The heat chapter (Ch.8) is advisory Do's and Don'ts with no figures.
- If the methodology team reads 'measurable objectives' as outcome targets only, this should become NO.
- I did not find outcome targets in ULG-10, so a NO would rest on the outcome reading, not on missing evidence.
Other sources:
- ULG-09 (NITI Aayog Economic Master Plan, September 2024) mentions 'targeting 100% treated wastewater (TWW) by 2035'. That is a regional recommendation in a Government of India economic plan, not a plan adopted by the city government, so I did not use it.
- No Surat Climate Action Plan, Resilience Strategy, Heat Action Plan or Sustainability Strategy is in the Citation Sheet. My search for climate, heat, resilience, net-zero and green-cover targets returned only ULG-09.
Things to check:
- UPD24a (whether the plan was formally adopted). The DMP has a preface signed by the Commissioner and the Mayor, but the Citation Sheet has no council resolution adopting it.
- I took the Ch.7 surveillance figures from the Step 2 extract; my own reading surfaced the 50-house fogging figure.
Quote: "All zones / departments should keep a ready stock of minimum 2000 bags of sand."</t>
  </si>
  <si>
    <t xml:space="preserve">The plan clearly articulates the responsibilities of the ULG. </t>
  </si>
  <si>
    <t xml:space="preserve">References (Economic Master Plan for Surat Economic Region, NITI Aayog, Sept 2024)</t>
  </si>
  <si>
    <t xml:space="preserve">Reference list entries 52, 57 and 58</t>
  </si>
  <si>
    <t xml:space="preserve">AI (low confidence), from Step 2 answer (Partially Answered) and ULG-09: I left the input blank. None of Surat's actual sustainability, resilience or climate plans is in the Citation Sheet, so I cannot score YES. Finding a plan's text missing from the sheet is not the same as finding no role for the ULG in it, so I cannot score NO either.
Why I set aside the Step 2 answer: it scored the question from the SUDA Development Plan 2035 (ULG-06, draft dated 22 Feb 2017). That is a statutory land-use plan made under the Gujarat Town Planning and Urban Development Act, 1976. It is not a sustainability strategy, a resilience strategy or a climate action plan. The question asks whether that kind of plan sets out the ULG's role, so the Development Plan's scattered mentions of SMC do not answer it. Those mentions are SMC as the body acquiring reserved land, as the implementer of the town planning schemes, and the proposal that SMC hire an estate management consultant.
The actual plans exist but are not in the sheet. ULG-09 (NITI Aayog Economic Master Plan, 2024) lists them in its references: 'Resilient Surat' (Surat Climate Change Trust / SMC, 2017), the 'Surat Heat Wave Action Plan' (SMC/GSDMA, 2018) and the 'Surat Clean Air Action Plan' (2021). ULG-09 is a regional economic plan and does not itself set out SMC's role in any climate plan. Its p.126 text only recommends 'having plans &amp; institutions (such as energy efficiency cell, resilience strategy, heat action plan, etc.)' for the wider region.
I also checked ULG-10, SMC's Disaster Management and Preparedness Plan, published by SMC. It lists the 'specific roles and responsibilities of employees/officers in case of disaster', the SMC set-up and standing instructions to departments. But it is a plan for disaster response and preparedness, with no edition date visible. It is not a sustainability or resilience strategy or a climate action plan, so I did not use it as the plan here. A reviewer may decide otherwise. If the reviewer accepts the disaster plan as a resilience plan, its contents would likely support YES.
Other sources reviewed: ULG-01 to ULG-05, ULG-07, ULG-08 and ULG-11 to ULG-13. They are laws, rules, regulations, a parking policy, an organogram, a workshop presentation, a town planning scheme map and building regulations. None is a sustainability, resilience or climate plan.
Evidence still needed: the text of the Resilient Surat strategy (2017) and/or the Surat Heat Action Plan, or any current SMC Climate Action Plan, from an official SMC or gov.in source. Each should be checked for a section on SMC's role in preparing and implementing the plan.
Quote: "57. Surat Climate Change Trust, "Resilient Surat," Surat Municipal Corporation, Surat, 2017."
"Answer" left blank: the Citation Sheet doesn't decide it.</t>
  </si>
  <si>
    <t xml:space="preserve">https://dult.karnataka.gov.in/assets/front/pdf/Comprehensive_Mobility_Plan.pdf</t>
  </si>
  <si>
    <t xml:space="preserve">Bengaluru Comprehensive Mobility Plan 2020, published on the Directorate of Urban Land Transport website. </t>
  </si>
  <si>
    <t xml:space="preserve">AI: left for a person. Step 2 found no evidence (Insufficient Evidence). Source needed: Any of these would answer it: an SMC General Board or Standing Committee resolution adopting a CMP (2008 or the newer one); a Gujarat UD&amp;UHD or Transport Department order or notification approving the Surat CMP; UMTA/UMTC approval minutes; or the final CMP on SMC's official website with its approval details and date. Ideally the source would also show that the plan is still in force today.</t>
  </si>
  <si>
    <t xml:space="preserve">Bengaluru CMP 2020 has a clearly defined target – “Aim to increase the share of public transport in Bengaluru to at least 60% by 2031 and to 70% beyond that.”</t>
  </si>
  <si>
    <t xml:space="preserve">AI: left for a person. Step 2 found no evidence (Insufficient Evidence). Source needed: The current Comprehensive Mobility Plan for Surat (the full report, ideally the latest version that replaced the 2008 CMP), along with proof that SMC, the Urban Development Department or a transport authority adopted it. We need its chapters on vision and goals, targets and indicators (e.g. mode share, road safety, emissions), and its implementation, phasing and cost estimates.</t>
  </si>
  <si>
    <t xml:space="preserve">CMP clearly articulates the roles and responsibilities of the ULG in implementation.</t>
  </si>
  <si>
    <t xml:space="preserve">AI: left for a person. Step 2 found no evidence (Insufficient Evidence). Source needed: The full text of Surat's current CMP (the 2008 CMP and any revised CMP), especially its institutional or implementation chapter: steering or technical committee membership, any city council resolution adopting it, which agency carries out and pays for each project, and how progress is monitored. Ideally also the city government's resolution or the state order approving it.</t>
  </si>
  <si>
    <t xml:space="preserve">https://www.thehindu.com/news/cities/bangalore/proposed-economic-masterplan-for-bengaluru-metropolitan-region-targets-75-public-transport/article71420718.ece</t>
  </si>
  <si>
    <t xml:space="preserve">No evidence of a published Economic Vision Plan for Bengaluru. GBA website is not functional. There is a mention of a draft economic masterplan presented to the government but the draft is not in public domain.</t>
  </si>
  <si>
    <t xml:space="preserve">Front matter (Disclaimer); Chapter 1 (s.1.3–1.4); Chapter 10 (Regulatory &amp; governance framework)</t>
  </si>
  <si>
    <t xml:space="preserve">Disclaimer p.2; pp.27-28 (GoG Order No. UDUHD/MSM/e-file/18/2023/8053/DH Section dated 15.09.2023); pp.144-148 (proposed SREDA/DMO/PMU)</t>
  </si>
  <si>
    <t xml:space="preserve">AI (low confidence), from Step 2 answer (Partially Answered) and ULG-09: I left the answer blank: the Citation Sheet does not let me decide YES or NO. (a) Why not YES: ULG-09, NITI Aayog's 'Economic Master Plan for Surat Economic Region' (September 2024, horizon 2047), is a final, published economic strategy, and it would be current if adopted. But the methodology also requires formal adoption by a competent authority: an SMC resolution, a Government Order, or integration into the statutory Development Plan. No source in the sheet shows this. The only GoG order cited is UDUHD Order dated 15.09.2023 (pp.27-28). That order set up the Steering Committee, the G-Hub Crack Unit and a Nodal officer to prepare the plan; it did not approve the finished plan. The plan's own text treats its key institutions as proposals: Ch.10 says SREDA is 'proposed' and that it 'may be suggested to establish three new institutes'. The Executive Summary says the three-tier framework 'has been proposed'. The Disclaimer says project details rest on 'initial analysis and stakeholder consultation'. The CM's message (p.i) is an image with no readable text, and a message is not an approval anyway. The plan also covers a 6-district region (Surat, Bharuch, Navsari, Tapi, Valsad, Dang, p.28), so it is a separate question whether it counts as a 'city-level' strategy. (b) Why not NO: a 0 needs affirmative absence. The sheet has no SMC General Board or Standing Committee resolutions, no UDUHD GO register, and no SMC/SUDA web page on economic planning, so I cannot confirm that no adoption exists. What I checked: ULG-09 (searched for approval, adoption, notification, launch and implementation wording); ULG-06 SUDA DP 2035 (Feb 2017; a land-use plan written before the EMP, so it cannot show the EMP was integrated into it); ULG-03 GPMC Act; ULG-01 GTPUD Act; ULG-04 GTPUD Rules; ULG-05 CGDCR 2017; ULG-07 Parking Policy; ULG-10 SMC DM Plan; and sheet-wide searches for an adoption or resolution. None of these contains or adopts a city economic vision or economic development plan. I agree with the Step 2 answer ('Not determined'). For the reviewer: (1) find any GoG resolution or order, or SMC resolution, adopting or approving the Sept 2024 EMP (RTI to the PIOs at UDUHD GoG and SMC), or any formal SREDA constitution notification; (2) decide whether a regional (6-district) EMP prepared by NITI Aayog counts as the city's economic strategy. If both are confirmed, the answer would be YES (3.33).
Quote: "The project cost, land area, and locations indicated have been determined based on initial analysis and stakeholder consultation. The respective implementing authorities will need to adhere to the standard procedures of feasibility studies while implementing the projects outlined in the report."
"Answer" left blank: the Citation Sheet doesn't decide it.</t>
  </si>
  <si>
    <t xml:space="preserve">No evidence of a published Economic Vision Plan for Bengaluru. </t>
  </si>
  <si>
    <t xml:space="preserve">AI: left for a person. The AI's quote couldn't be found word for word in ULG-09, so its answer was discarded. AI comments: I answered YES based on what the Economic Master Plan (EMP) says. Whether this plan counts as the city's plan is decided in UPD26a and is still open.
What the EMP contains (ULG-09, NITI Aayog with GoG, September 2024, horizon 2047):
- Clear priorities: four pillars and nine growth drivers. The pillars are (a) sustaining and growing manufacturing, (b) the service economy through business and trading, (c) new growth avenues, and (d) a lifestyle and learning ecosystem. Named sector priorities are the chemical hub, the diamond/gems and jewellery hub, textiles, and tourism/hospitality.
- Measurable targets against those priorities: manufacturing to add about two million jobs by 2047 (s.3.3). Per capita GDP to rise from about $4,600 to over about $45,000 by 2047 (s.3.2). The region to become an economy of about $1.5 trillion (Ch.10). Table 4 gives the extra workforce needed by 2030 by sector: Textile 78,000+, Chemical 22,000+, Mineral processing 6,500+, Healthcare 18,000+, Logistics 62,000+. Figure 11 projects sectoral GDP and extra jobs, but its values are images and cannot be read.
- This goes beyond a general statement of intent. It names at least two priorities (manufacturing and services/trading) with quantified job and GDP targets, which meets the 3.33 rule.
What a reviewer must check:
1. Dependency on UPD26a. UPD26b scores 'the plan' accepted in UPD26a. The Citation Sheet has no GO, gazette notice, or Surat Municipal Corporation or SUDA resolution adopting the finished EMP. The only state document cited is the GoG order of 15.09.2023, which set up a Steering Committee, a G-Hub Crack Unit and a nodal officer to prepare the plan. That is not adoption. If UPD26a finds no qualifying city plan, this YES should not earn points; it should become 0 or be gated out.
2. Scope. The EMP covers a six-district region (Surat, Bharuch, Navsari, Tapi, Valsad, Dang), not only the city. Its roles are assigned mainly to a proposed new authority, SREDA, not to the city government. A reviewer must decide whether a regional plan is acceptable.
3. The other candidate plan, SUDA Development Plan 2035 (ULG-06, report dated 22 February 2017): its economic content is mainly industrial and commercial land-area targets (136 sq km industrial zone; Table 154). Its diversification aim is qualitative only. The Sheet does not show that DP 2035 was sanctioned under s.17 of the GTPUD Act. If DP 2035 is the plan scored in UPD26a, this answer needs to be re-checked.
I also searched the Citation Sheet for any record of adoption or approval of the EMP and found none beyond the GoG order on preparation.</t>
  </si>
  <si>
    <t xml:space="preserve">Chapter 10: Regulatory &amp; governance framework to achieve the transformation of SER (also Executive Summary s.7 and Annexures I, IV, VII)</t>
  </si>
  <si>
    <t xml:space="preserve">Section 10.1 Institutional Framework (p.145, PDF p.168); s.10.2 Monitoring Framework (pp.147-148)</t>
  </si>
  <si>
    <t xml:space="preserve">SREDA representation clause; Annexure I Tables 9-10 (State Steering Committee, G-Hub Crack Unit); Annexure VII agency tags on tourism projects</t>
  </si>
  <si>
    <t xml:space="preserve">168</t>
  </si>
  <si>
    <t xml:space="preserve">AI (low confidence), from Step 2 answer (Partially Answered) and ULG-09: I scored NO with low confidence. A reviewer should confirm it before it stands.
**The plan.** ULG-09 is the Economic Master Plan for the Surat Economic Region. NITI Aayog prepared it, dated September 2024, with a vision to 2047. It is a six-district regional plan and says its framework is 'indicative'.
**What I checked for a role given to Surat Municipal Corporation (SMC) or urban local bodies (ULBs).** On top of the Step 2 passages, I ran targeted searches across the EMP:
- Executive summary s.7: three-tier framework of the Empowered Group of Ministers (EGM), the State High Power Steering Committee (SHPSC) and the proposed regional authority, SREDA. SMC has no tier of its own.
- Chapter 10.1:
  - SREDA is the responsible entity, and ULBs only have 'official representation' on it.
  - Implementation duties go to the G-Hub Crack Unit (coordination and KPI monitoring), a tourism body (DMO) and a Project Management Unit (structuring and financing). None of these is SMC.
- Chapter 10.2: monitoring names 'State Governments and Development Authorities'. ULBs are not named.
- Annexure I: the SMC Municipal Commissioner, a Deputy Municipal Commissioner, the City Engineer and the Chief Town Planner sit on the state-chaired Steering Committee and the G-Hub Crack Unit, which the Urban Development and Urban Housing Department chairs. I treated this as individual officers on state bodies, not a role assigned to the ULG.
- Annexure IV (chemicals): GIDC and iNDEXTb are named. 'ICCC of Surat' (the Integrated Command and Control Centre) is to be the nodal monitoring entity for environmental compliance.
  - Elsewhere the plan calls it the 'ICCC of Surat Smart City' and never says SMC owns it.
  - The task is environmental compliance, not economic targets.
- Annexure VII (tourism): implementing agencies are tagged on each project, namely GMB, State Tourism Department, Development Authority, Forest Department, DRDA and private parties. None is SMC or a ULB.
- Annexure VIII (agriculture): projects list locations, with no ULG named.
- s.8.1: green-building guidelines 'can be ... implemented by Local Authorities'. This is a discretionary, generic climate measure that names no ULG.
- Every other SMC mention I found is descriptive, such as a groundwater statistic or a bibliography entry.
**Conclusion.** Wherever the plan does assign implementers, SMC is never named. ULBs appear only as represented members or stakeholders, which the methodology says does not qualify. That supports NO, i.e. 0 out of 3.33.
**Caveats for the reviewer:**
- The read tool returns only the most relevant passages, so I could not read every page word for word. In particular, I did not fully see the sector chapters 5-9 or the real-estate and other annexures. A page-by-page check for any project naming SMC as implementing or financing agency would make this affirmative absence conclusive.
- Please confirm two judgements:
  - (a) SMC officers on state-chaired committees do not count as a role for the ULG.
  - (b) The Surat ICCC monitoring role is not attributable to SMC as given in the plan.
- I did not check UPD26a/b, so it is unconfirmed that this regional EMP is the 'city Economic Vision Plan' the question means.
- ULG-06 (SUDA Development Plan 2035) is a statutory land-use plan by the Surat Urban Development Authority, not an economic vision plan.
- The Step 2 answer left this undetermined. My extra reads found no SMC assignment, and they found agency-tagged project lists that leave SMC out.
Quote: "It would have official representation from all 6 districts in the region, including Surat Urban Development Authority (SUDA) and other development authorities in the region and all Urban Local Bodies (ULBs)."</t>
  </si>
  <si>
    <t xml:space="preserve">Points = (city planners per lakh / highest planners per lakh among cities assessed) x 5. Every city's score updates as other cities are entered.</t>
  </si>
  <si>
    <t xml:space="preserve">ENTER A WHOLE NUMBER</t>
  </si>
  <si>
    <t xml:space="preserve">ENTER POPULATION</t>
  </si>
  <si>
    <t xml:space="preserve">AUTO - DO NOT ENTER</t>
  </si>
  <si>
    <t xml:space="preserve">Filled town planners - ULG</t>
  </si>
  <si>
    <t xml:space="preserve">Filled town planners - Development/Planning Authority</t>
  </si>
  <si>
    <t xml:space="preserve">Census 2011 population</t>
  </si>
  <si>
    <t xml:space="preserve">Town planners per lakh (auto)</t>
  </si>
  <si>
    <t xml:space="preserve">Sanctioned positions - ULG</t>
  </si>
  <si>
    <t xml:space="preserve">Sanctioned positions - Development/Planning Authority</t>
  </si>
  <si>
    <t xml:space="preserve">Vacancies &amp; vacancy rate</t>
  </si>
  <si>
    <t xml:space="preserve">Women among filled positions</t>
  </si>
  <si>
    <t xml:space="preserve">Men among filled positions</t>
  </si>
  <si>
    <t xml:space="preserve">1. Introduction to Surat</t>
  </si>
  <si>
    <t xml:space="preserve">Parking Policy for Surat City (sanctioned by GR dated 05/12/2018), page 5</t>
  </si>
  <si>
    <t xml:space="preserve">AI (low confidence), from Step 2 answer (Partially Answered) and ULG-07: Only one of the three inputs can be filled, so the score stays blank.
1) Census 2011 population is 44,62,826, taken from ULG-07 (the SMC Parking Policy, 2018). The question uses the Census 2011 city population. ULG-06 (the SUDA Development Plan 2035, Table 9) gives about 48.05 lakh for the wider SUDA area. A reviewer should confirm which base to use if SUDA planners are added. The city boundary was later expanded, but the Census 2011 figure does not change.
2) Filled town planners in the city government (SMC) is left blank. ULG-10 (the SMC Disaster Management Plan, pp. 73-74) lists 'Officers / Employees to remain present at time of / during emergency (As On Dt.16/05/26)'. It names 10 Dy. Town Planners (entries 15-24) and 7 Asst. Town Planners (entries 25-31) in the Town Planning Department. That makes 17, or about 0.38 per lakh.
- The list is not a staffing roster. For other departments it names only Executive and Deputy Engineers, which suggests it covers senior grades only. Junior planning grades may be left out, so 17 is a lower limit, not the filled strength.
- It does not show whether these staff are qualified planners.
- Entry 30 is marked 'Working with Suda' and needs to be assigned to one body so it is not counted twice.
- ULG-08 (the SMC organogram, 07/09/2026) shows the Town Planner post held only 'I/c' (in charge) by J. N. Parikh and by T. T. Patel, who is an Executive Engineer.
- No sanctioned posts or vacancies were found. A reviewer could enter 17 as an indicative figure once the list is confirmed to be complete and the staff qualified.
3) Filled town planners in the Development/Planning Authority (SUDA) is left blank. ULG-06 and ULG-11 show that SUDA prepares the development plan. A search of the Citation Sheet found no figures for SUDA's sanctioned or filled planner posts. This is 'not found', not proof that there are none, so 0 is not entered.
4) The scorer notes ask for sanctioned posts, vacancies, vacancy rate and the women/men split. None of these can be filled. Every name on the ULG-10 list carries the honorific 'Shri', so gender cannot be told from it.
5) The proportional score also needs the highest planners-per-lakh figure among the cities assessed. That figure is not available here.
Suggested RTI requests: to the PIO, SMC (Central Establishment / Town Planning), and to the PIO, SUDA, asking for sanctioned, filled and vacant planner posts by grade, with qualifications and gender, as of 2026.
Quote: "As per the 2011 census, the city had a population of 44,62,826 with a density 13,680 persons per sq.km."
"Filled town planners - ULG" left blank: the Citation Sheet doesn't decide it.
"Filled town planners - Development/Planning Authority" left blank: the Citation Sheet doesn't decide it.</t>
  </si>
  <si>
    <t xml:space="preserve">Points: &gt;= 33% = 5; 15% to below 33% = 2.5; below 15% = 0.</t>
  </si>
  <si>
    <t xml:space="preserve">ENTER %, e.g. 25%</t>
  </si>
  <si>
    <t xml:space="preserve">% women in town-planning workforce (enter %)</t>
  </si>
  <si>
    <t xml:space="preserve">Share of women in senior / decision-making posts</t>
  </si>
  <si>
    <t xml:space="preserve">List of Officers / Employees to remain present at time of / during emergency (As On Dt.16/05/26)</t>
  </si>
  <si>
    <t xml:space="preserve">Items 15-31 (Town Planning Department: Dy. Town Planners and Asst. Town Planners), pp. 73-74 of the PDF; officers' telephone list item 46, p. 106</t>
  </si>
  <si>
    <t xml:space="preserve">73</t>
  </si>
  <si>
    <t xml:space="preserve">AI (low confidence), from Step 2 answer (Partially Answered) and ULG-10: I left the input blank because the Citation Sheet has no sex-disaggregated count of filled town-planner posts. I agree with the Step 2 answer after checking it against the source. ULG-10 lists 17 Surat Municipal Corporation (SMC) town-planning officers as on 16/05/2026: items 15-24 are 10 Deputy Town Planners and items 25-31 are 7 Assistant Town Planners. The list does not record gender. It puts 'Shri' before every name, including women elsewhere in the same document, for example 'Shri Pratimaben H. Rathod', 'Shri Hemabahen P. Jariwala', 'Shri Meeta B. Gandhi' and 'Shri Kavita R. Goswami'. Going by first names only, 4 look female (Rachita S. Desai, Niyati K. Desai, Bhavini A. Desai, Nitya Dave) and 1 could be either (Tasnim M. Barbhaiwala). That gives about 23.5% (4/17) or 29.4% (5/17), both in the 15-32% band (score 2.5). This is a guess from names, not recorded data, so I did not use it to score. Other limits on the count: (1) This is a list of staff who must stay on duty in an emergency, not a full roster of filled posts, and it does not show qualifications. (2) The Surat Urban Development Authority (SUDA) is the planning authority whose staff the methodology says should also be counted. The Citation Sheet has no SUDA staffing data. Item 30 (an Assistant Town Planner 'Working with Suda') could be counted twice. (3) The two people holding the in-charge Town Planner post are J. N. Parikh, a Deputy Town Planner, and T. T. Patel, an Executive Engineer in the C.E. Special Cell (ULG-10 item 58; ULG-08). It is unclear whether Patel counts as a qualified town planner. Senior/decision-making level, recorded as the notes ask: both in-charge Town Planners appear to be men going by first names (women 0 of 2), which is also unconfirmed. A search across the Citation Sheet for 'Smt.', female or women staff in ULG-08 and ULG-10 found no record of gender. The Acts, Rules and plans (ULG-01 to ULG-07, ULG-09, ULG-11 to ULG-13) contain no staffing data. To check: a sex-disaggregated list of filled and sanctioned Town Planner, Deputy Town Planner and Assistant Town Planner posts with qualifications, from SMC (General Administration Department/Central Establishment or the Town Planning Department) and from SUDA, for example through an RTI request. If that confirms 4-5 women out of 17 with no SUDA staff to add, the score would be 2.5.
Quote: "17. Shri Rachita S. Desai Dy. Town Planner Town Planning"
"% women in town-planning workforce (enter %)" left blank: the Citation Sheet doesn't decide it.</t>
  </si>
  <si>
    <t xml:space="preserve">SMC organogram / allocation of departments (as on 07/09/2026)</t>
  </si>
  <si>
    <t xml:space="preserve">Public Infrastructure Cell (Dt.25/03/2026)</t>
  </si>
  <si>
    <t xml:space="preserve">Sub-unit 'Central Designing Cell (Dt.10/01/2024)', headed by the Exe. Eng. (PIC) (Dt.10/03/2026)</t>
  </si>
  <si>
    <t xml:space="preserve">AI (low confidence), from Step 2 answer (Partially Answered) and ULG-08: I left 'Answer' blank. The Citation Sheet does not show whether Surat Municipal Corporation (SMC) has an Urban Design Cell/Unit/Vertical or an equivalent, so a person needs to score this.
(1) What the organogram shows: I checked the Step 2 answer against ULG-08, SMC's organogram as on 07/09/2026. No unit is called 'Urban Design Cell', 'Urban Design Unit' or 'Urban Design Vertical'. There is a 'Central Designing Cell' (dated 10/01/2024) inside the Public Infrastructure Cell. It is headed by an Executive Engineer and listed with the Swimming Pool unit and the SMC New Administrative Bhavan Project. That grouping suggests engineering or building design. However, no source in the sheet says what the cell does, so I cannot treat it as an urban design cell, and I cannot rule it out either.
(2) Other units that might be relevant: the organogram also lists a Garden Project Cell (Including City Beautification), a Heritage Cell, the Town Planning Department (City Development, Advertisement Cell), the Town Development Department, the Central GIS Cell and the Smart City Cell. None is named as an urban design unit, and none has a stated function.
(3) Why 'NO' cannot be entered: 'NO' scores 0, which needs affirmative absence. That is not met. The methodology also accepts official government sources, credible media reports and RTI or email replies, and the sheet contains none of these on this question. My searches of the sheet ('urban design cell'; 'Central Designing Cell functions architect') found only the CGDCR 2017 (ULG-05), the SMC Disaster Management Plan (ULG-10), the GTPUD Act 1976 (ULG-01) and the SUDA Development Plan 2035 (ULG-06). None of them describes an SMC urban design unit or the Central Designing Cell's work.
(4) Population rule: Surat's 2011 Census population was 44,62,826 (ULG-07), well above five lakh. So the option to count a shared State or district-level resource does not apply.
(5) What to check next: whether the Central Designing Cell does urban design (streetscapes, public realm, place-making) or only civil or architectural project design. Possible sources are an SMC office order or circular setting it up, an SMC web page on the cell, or an RTI request to the SMC Public Information Officer (Public Infrastructure Cell / Town Planning Department). If it does urban design, the answer is YES (2.5).
This is an Implementation question, and a current dated organogram is the right kind of evidence; a statutory mandate would not be.
Quote: "Central Designing Cell (Dt.10/01/2024)"
"Answer" left blank: the Citation Sheet doesn't decide it.</t>
  </si>
  <si>
    <t xml:space="preserve">Portfolio of Sh. M. D. Chavda, Add. City Eng. (Civil)</t>
  </si>
  <si>
    <t xml:space="preserve">Line item '- Disaster Management (Dt.01/07/2026)', page 1</t>
  </si>
  <si>
    <t xml:space="preserve">AI (medium confidence), from Step 2 answer (Answered — Verified Source) and ULG-08: The answer is YES (2.5 points). The sources support the Step 2 answer. ULG-08 is SMC's own organogram on suratmunicipal.gov.in, dated 07/09/2026. It shows that since 01/07/2026, Disaster Management has been a separate portfolio under the Additional City Engineer (Civil), M. D. Chavda. That counts as a 'unit/vertical or equivalent' under the methodology. The same document also lists a Fire &amp; Emergency Service under the CFO, an Environment Improvement &amp; Protection Cell (Tapi Rejuvenation &amp; Creek Rehabilitation), Pre-Monsoon Work and the ICCC. I read ULG-10, SMC's Disaster Management and Preparedness Plan, to check that the unit is functional. Its preface says the plan has been published since 2002 and is updated every year. Chapter 2 sets up an Emergency Control Room under the Commissioner, and there is a Central Flood Control Room at the ICCC with phone 0261-2451756. Standing instruction 22 says the ICCC central control room and the zone control rooms 'should be started from 1st June or first rain whichever is earlier'. The instructions also set deadlines for 2026, such as 1 April, 1 May and 20 May 2026. This shows a current operating process run by SMC. Surat's population is well above 5 lakh, so the rule allowing a shared state or district resource does not apply. The Collector Office's Disaster Management Cell (ULG-10 ch. 23) is a district body, so I did not rely on it. Caveats: (1) The organogram calls it a portfolio, not a separately named 'Cell', and names no dedicated officer under it. (2) The Citation Sheet has no dated record of activity, such as monsoon 2026 control room bulletins. 'Functional' therefore rests on the 2026 allocation together with the annually updated plan that has 2026 deadlines. (3) The Citation Sheet has no separate climate action or sustainability cell, but a disaster management unit is enough on its own. A reviewer should take a dated screenshot of the organogram and, if possible, of the DMP page.
Quote: "- Disaster Management (Dt.01/07/2026)"</t>
  </si>
  <si>
    <t xml:space="preserve">NA ONLY FOR NON-MILLION-PLUS CITIES</t>
  </si>
  <si>
    <t xml:space="preserve">SMC organogram / allocation of departments, as on 07/09/2026</t>
  </si>
  <si>
    <t xml:space="preserve">Municipal Commissioner's Office entry; Women &amp; child, Social Welfare &amp; Cultural Department entry; North Zone entry</t>
  </si>
  <si>
    <t xml:space="preserve">AI (low confidence), from Step 2 answer (Partially Answered) and ULG-08: Answer left blank. The Citation Sheet does not show that Surat has a working economic development cell, and it does not prove that none exists, so neither YES nor NO can be given.
(1) The question applies to Surat. ULG-06, Table 1 gives SMC's 2011 Census population as 44.67 lakh, so Surat is million-plus and NA is ruled out.
(2) I read the whole SMC organogram (ULG-08, as on 07/09/2026). No entry is called an 'Economic Development' cell, unit or vertical. Some entries could count as equivalents:
- 'Startup &amp; Innovation' under the Municipal Commissioner's Office (Dt.18/05/2026)
- 'Employment &amp; Livelihood Cell' (Dt.15/06/16) and 'Tourism' (Dt.25/03/2026) under the Women &amp; child, Social Welfare &amp; Cultural Department
- 'SURATi iLab' (Dt.27/07/2026) under the North Zone Deputy Commissioner
No officer is named for any of these, and the organogram does not describe what they do. Whether any of them is an 'equivalent' is a judgement the methodology leaves open. Even if one is, there is no evidence that it is working. The 2.5 score needs proof that the cell exists AND works, so YES is not supported.
(3) The NITI Aayog Economic Master Plan (ULG-09, Sept 2024) does not change this:
- The 'G-Hub Crack Unit' is a state-level body. The Gujarat government set it up by Order No. UDUHD/MSM/e-file/18/2023/8053/DH Section dated 15.09.2023. It is chaired by the ACS/PS of UDUHD, with the SMC Municipal Commissioner and some SMC officers as members.
- NITI Aayog and WRI officials were placed at SMC for the plan.
- SREDA, the Destination Management Organisation and the PMU are only proposals, and they are regional, not SMC units.
None of this is a dedicated SMC economic development cell.
(4) NO would need proof of absence, which the Citation Sheet does not give. I searched the whole sheet for an economic development or investment promotion cell and found nothing. The legal and plan documents in the sheet (ULG-03 BPMC Act, ULG-04 Rules, ULG-05 CGDCR, ULG-06 DP 2035, ULG-07 Parking Policy, ULG-10 DM Plan) contain nothing on such a cell. But the sheet has no SMC department web pages, budget heads, office orders or RTI reply. The methodology also allows media reports, RTI or email as evidence, and none of these were collected.
The Step 2 answer agrees with the source and I agree it should stay undetermined.
For a person to resolve this:
(a) Decide whether 'Startup &amp; Innovation', 'SURATi iLab' or the 'Employment &amp; Livelihood Cell' counts as an economic development equivalent. If one does, get dated evidence that it is working (an office order, its staffing, recent activities).
(b) Otherwise, send an RTI to the SMC PIO (General Administration Department / Municipal Commissioner's Office) to confirm whether such a cell exists before giving NO.
Quote: "Municipal Commissioner's Office (Dt.18/05/2026)
- Startup &amp; Innovation(Dt.18/05/2026)"
"Answer" left blank: the Citation Sheet doesn't decide it.</t>
  </si>
  <si>
    <t xml:space="preserve">page 1, department block 'Women &amp; child, Social Welfare &amp; Cultural Department' and the units under it</t>
  </si>
  <si>
    <t xml:space="preserve">AI (low confidence), from Step 2 answer (Partially Answered) and ULG-08: I left the Answer blank. The Citation Sheet cannot settle whether a dedicated women's cell exists and is working. The Step 2 'Partly' answer is consistent with the source.
Applicability: Surat is a million-plus city. ULG-07 gives its 2011 population as 44,62,826, so the indicator applies and NA is not appropriate.
Why not YES:
(a) Not dedicated. The only unit naming women in ULG-08 (SMC organogram as on 07/09/2026) is a combined 'Women &amp; child, Social Welfare &amp; Cultural Department' (dated 25/03/2026). It also covers the Heritage Cell, Tourism, Sports &amp; Sports Development, the Cultural Deptt. and the Kavi Narmad Central Library. The units under it are 'I.C.D.S.(All units)', which serves women and children, 'UCD (Including Ummid pro.)' and the 'Employment &amp; Livelihood Cell'. None of these is shown to have a women-only remit, and no officer is named for women's work as such.
(b) Not shown to be functional. The sheet has no SMC page, order setting up a cell, list of schemes or activity record showing women's welfare work in practice.
Why not NO: A 0 needs affirmative absence, and the sheet does not provide it. It lacks SMC's department web pages, any UCD or women's-programme pages, media reports and RTI replies, all of which the methodology allows. A department with 'Women' in its title also exists, so absence cannot be shown.
What I checked:
- ULG-08, read in full.
- A search across all citations for 'women welfare cell mahila'. The only other matches were ULG-03 (GPMC Act 1949), where s.5 mentions women only for seat reservation, and passages in ULG-10 (Disaster Management Plan) with nothing relevant.
- Per Step 2, ULG-04, 05, 06, 07 and 09 have nothing on a women's cell. ULG-01, 02, 11, 12 and 13 are planning and building law documents that are not relevant to this question.
For a person to decide:
1. Does a combined women &amp; child / social welfare / culture department count as a 'vertical or equivalent'?
2. Is there evidence it works for women in practice, such as UCD women's self-help-group or Ummid activity in FY 2025-26 or 2026-27, a set-up order or staffing?
Suggested RTI target: the SMC PIO for the Women &amp; child, Social Welfare &amp; Cultural Department. The reviewer should also capture a dated screenshot of the department's page on the SMC website.
Quote: "Women &amp; child, Social Welfare &amp; Cultural Department (Dt.25/03/2026)"
"Answer" left blank: the Citation Sheet doesn't decide it.</t>
  </si>
  <si>
    <t xml:space="preserve">Per category: SHALL = full share, MAY = half share, NONE = 0.</t>
  </si>
  <si>
    <t xml:space="preserve">SHALL / MAY / NONE</t>
  </si>
  <si>
    <t xml:space="preserve">CGDCR 2017, Performance/Building Requirements (Access Path, Entrance, Minimum Clearance Height, Design of Parking), pp.178-185; also GPMC Act 1949 Ch. XIV s.206 and Ch. XV s.458 (ULG-03)</t>
  </si>
  <si>
    <t xml:space="preserve">CGDCR 2017 'Access Path' (p.178), 'Entrance' (p.179), 'Minimum Clearance Height in Buildings' (p.180), accessible car parking (p.185); GPMC Act s.206(1)</t>
  </si>
  <si>
    <t xml:space="preserve">CGDCR Access Path, 'For all Buildings (Except dwelling-1&amp;2)' item 1</t>
  </si>
  <si>
    <t xml:space="preserve">178</t>
  </si>
  <si>
    <t xml:space="preserve">SHALL</t>
  </si>
  <si>
    <t xml:space="preserve">AI (low confidence), from Step 2 answer (Partially Answered) and ULG-05: I scored three of the five categories. The other two are left blank because I could not settle them from the Citation Sheet; they are not scored 0.
Roads &amp; streetscapes = SHALL. GPMC Act s.206(1) (ULG-03, p.127) says: 'The Corporation shall from time to time with the sanction of the State Government specify the minimum width for different classes of public streets acco[rding...]'. This is a duty to set a width standard for each class of street, which matches the methodology's 'categories/hierarchies of urban roads'. The excerpt I could read stops partway through s.206, so a person should read the rest of it. Note that this provision rests on ULG-03, not on the quoted ULG-05.
Built-form codes = SHALL. CGDCR 2017 (ULG-05, p.180) says: 'All habitable spaces shall have minimum height of 2.9mts between finished floor levels'. Floor height is one of the items the methodology names. The CGDCR also has a 'Road Width and Building Height' table (Table 8.3.1, p.112) and plinth-height rules (p.179). Its table of contents lists a 'Build-to-Line' section (p.112), but I could not read that text before the tool limit. On their own, GPMC s.458(12)-(13) (set-backs, height) and s.269 (frontage and architectural features) are only 'may' powers.
Universal accessibility = SHALL. CGDCR 2017 (pp.178-185) sets mandatory 'shall' standards: an accessible entrance for people with disability; ramp gradients of no more than 1:12, with set widths and handrails; guiding floor material for visually impaired persons; a 900mm minimum door opening; and two accessible car-parking spaces for every 25 spaces or fewer. The Step 2 answer said it found no accessibility provision; the CGDCR text shows otherwise. The CGDCR are regulations notified by the Gujarat UD&amp;UHD Department under the state town-planning law. I have counted them as part of 'the law' under the whole-instrument-stack rule. A reviewer should confirm that regulations count when the methodology names the 'T&amp;CP Act or Municipal Act'.
Footpaths = blank (not found, not absent). The GPMC Act gives only s.203(1), which says the Commissioner 'may place and keep in repair fences and posts for the safety of pedestrians'. Beyond that, its Schedule (private streets) r.3 lets the Commissioner call for plans showing carriage-way and foot-way proportions. That is a requirement to submit documents, not a design standard. The CGDCR access-path rules cover paths inside the building plot, not public footpaths. The rest of the CGDCR, GTPUD Act s.12 and the 1979 Rules were not fully read, so I cannot claim the required affirmative absence.
Underground utilities = blank. GPMC s.458(1) lets the Corporation make by-laws ('may') on drains, drainage works and municipal water-works. That supports at least MAY, but only for water and drainage, not electricity, telecom or gas. The GTPUD Act's contents provisions and the CGDCR services chapters were not read, so I cannot rule out a SHALL. A person should check the GTPUD Act s.12 (development plan contents) and the town planning scheme contents provisions, and the CGDCR infrastructure regulations.
Periods: GPMC Act as modified up to 30 Nov 2017; CGDCR notified 12 Oct 2017 (copy hosted by AUDA). Era n/a.
Quote: "Minimum one entrance shall be provided that is accessible by people with disability and accompanied by appropriate signages as per Regulation 21.7"
"Footpaths / pedestrian infrastructure" left blank: the Citation Sheet doesn't decide it.
"Underground public utilities" left blank: the Citation Sheet doesn't decide it.</t>
  </si>
  <si>
    <t xml:space="preserve">CGDCR 2017, Section A (Applicability, Table 1.1.1); Planning Regulations on margins, building-unit and access path / accessibility (pp.122-123, 177-179)</t>
  </si>
  <si>
    <t xml:space="preserve">Applicability clause and Table 1.1.1 (SUDA is listed in Category D1); Access Path regulation and the 'For all Buildings (Except dwelling-1&amp;2)' accessibility provisions (p.178); margin and façade-projection provisions (pp.122-123)</t>
  </si>
  <si>
    <t xml:space="preserve">Access Path cl.1-3 and the accessible entrance and ramp cl.1-4 (p.178); marginal open space cl.14 (façade projections allowed above 2.4 m); road-side margin definition (p.265)</t>
  </si>
  <si>
    <t xml:space="preserve">AI (low confidence), from Step 2 answer (Partially Answered) and ULG-05: Two inputs are YES and three are left blank. Score so far: 2 of 5, with categories (a) to (c) still open.
Why the CGDCR counts for Surat: the CGDCR 2017 (UD&amp;UHD Notification GH/V/269 dated 12-10-2017) says it applies 'to the land development and building construction in the entire Gujarat State'. Table 1.1.1 puts the Surat Urban Development Authority (SUDA) in Category D1. Its appeal committee and forms name the 'Municipal Commissioner of municipal Corporation' as the competent authority. So these are binding, notified regulations that apply to Surat, not national or model guidance that was merely mentioned.
(d) Built-form codes = YES. The CGDCR sets road-side, side and rear margins, defines the 'Front' (main frontage on the road side), and controls façade projections: weather sheds and sun breakers up to 0.60 m, allowed only above 2.4 m from ground level. It also covers building-unit levels relative to the road crown, plinth levels and material specifications. These are built-form controls in the DCRs, which the methodology allows for category (d). I did not see the 2.9 m floor-to-floor height that Step 2 cites on pp.165-166 in the passages I read; the margin and façade provisions are enough on their own.
(e) Universal accessibility = YES. Page 178 requires access paths at least 1.8 m wide with no steps and a gradient no steeper than 1:12. It requires guiding floor material for visually impaired people and non-slip finishes a wheelchair can cross. Every building except dwelling-1&amp;2 must have at least one accessible entrance, and ramps must meet width, length and 800 mm handrail rules.
(a) Roads and streetscapes, (b) footpaths and (c) underground utilities are left blank, not NO. What I found:
- The CGDCR has only plot- or layout-level items: Schedule 26 illustrations of internal and approach roads, the road and amenity definitions, and the drainage and water-line details asked for on site plans.
- GPMC Act (ULG-03) ss.205-206 deal with how wide new public streets must be. They are not design standards for streetscapes, footpaths or utilities.
- I searched the sheet for street design, footpath and utility-duct standards and found none.
This does not prove absence. The SMC and SUDA websites, any Surat street design guidelines, footpath or utility-corridor standards, and the UD&amp;UHD design guidance are not in the Citation Sheet. So these three are 'not found' and need a reviewer to check the SMC and SUDA websites for adopted street or utility design standards.
Also check:
- The sheet copy of the CGDCR is hosted by AUDA, and the sheet shows no amendments after 2017.
- The methodology names the ULG, DA and UDD websites as places to look. A reviewer should confirm that a state-notified DCR applying to SMC/SUDA counts as 'adopted for the city' under the question's Implementation level.
- Capture a dated screenshot.
Quote: "Selection of floor material shall be made suitably to attract or to guide visually impaired persons"
"Roads &amp; streetscapes" left blank: the Citation Sheet doesn't decide it.
"Footpaths / pedestrian infrastructure" left blank: the Citation Sheet doesn't decide it.
"Underground public utilities" left blank: the Citation Sheet doesn't decide it.</t>
  </si>
  <si>
    <t xml:space="preserve">SHALL = full marks, MAY = half marks, NONE = 0.</t>
  </si>
  <si>
    <t xml:space="preserve">Mandate for city parking policy in law</t>
  </si>
  <si>
    <t xml:space="preserve">Gujarat Provincial Municipal Corporations Act, 1949 (as modified up to 30.11.2017): by-law powers</t>
  </si>
  <si>
    <t xml:space="preserve">Section 458</t>
  </si>
  <si>
    <t xml:space="preserve">Clause (9A) (inserted by Guj. 11 of 2010); see also s.458(36) and s.209(2)</t>
  </si>
  <si>
    <t xml:space="preserve">217</t>
  </si>
  <si>
    <t xml:space="preserve">AI (low confidence), from Step 2 answer (Partially Answered) and ULG-03: Input left blank. The Citation Sheet shows no 'shall' or 'may' mandate for Surat Municipal Corporation to prepare or adopt a standalone parking policy. However, I cannot enter NONE because affirmative absence cannot be shown.
What the readable sources show:
(1) GPMC Act (ULG-03), s.458(9A): by-laws on 'parking space ... for buildings'. These are building-level parking standards, which the methodology excludes.
(2) GPMC Act s.458(36): by-laws regulating public parking places and fees. This is a power to regulate, also excluded.
(3) GPMC Act s.209(2): land acquisition for parking. Not a policy mandate.
(4) GPMC Act s.63 (obligatory duties) and s.66 (discretionary duties) list no parking policy.
(5) GTPUD Rules 1979 (ULG-04), in the parts read: nothing on parking policy.
(6) CGDCR 2017 (ULG-05): only building parking requirements (PR 8.12) and deficit-parking fees. The Transit Oriented Zone Local Area Plan with parking management applies to AUDA (Ahmedabad) only.
(7) The Surat Parking Policy (ULG-07) exists and was sanctioned by GR dated 05/12/2018. That is an executive act and practice, not a statutory provision, so it cannot earn credit here. It cites GPMC s.458 only for the city's role in providing and enforcing parking.
(8) A sheet-wide search for 'parking policy' found only CGDCR building parking rules and ULG-07.
Why NONE cannot be entered: in the GTPUD Act 1976 (ULG-01, a PRS secondary copy), pages 2-86 return no text. This looks like a scanned copy without readable text. As a result, the main Act, including s.12 on the contents of a development plan, could not be read. Only the amending Acts of 2017 and 2019 were readable, and they contain nothing on parking.
Also missing from the sheet: the Gujarat Metropolitan Planning Committees Act 2008, any SMC by-laws under s.458, and any state parking-policy rules.
The Step 2 answer is consistent with the sources.
To check: read the official full text of the GTPUD Act 1976 (s.12 and related sections) and confirm there is no newer Gujarat amendment. If neither the GTPUD Act nor the GPMC Act provides for a city parking policy, enter NONE (score 0).
Quote: "the provision and maintenance of parking space and loading and unloading space, for buildings erected or re-erected in such locality or for such use as may be specified;"
"Mandate for city parking policy in law" left blank: the Citation Sheet doesn't decide it.</t>
  </si>
  <si>
    <t xml:space="preserve">Cover page</t>
  </si>
  <si>
    <t xml:space="preserve">Cover page (page 1), sanction statement</t>
  </si>
  <si>
    <t xml:space="preserve">AI (medium confidence), from Step 2 answer (Answered — Verified Source) and ULG-07: Answer is YES (5 points). Surat has a city-level parking policy, and there is evidence it was formally adopted. The scoring method gives 5 if a city-level parking policy exists or its formal adoption can be shown, whether or not any law requires one. ULG-07, the 'Parking Policy for Surat City', is hosted on the Surat Municipal Corporation's official website (suratmunicipal.gov.in, Traffic Cell page). Its cover says it was sanctioned by Government Resolution No. P.R.CH./10018/CM-419/P dated 05/12/2018. The policy covers the whole Surat Municipal Corporation area. In section 9 it sets out eight policy directives, including charging for parking and issuing parking permits, and names the Corporation's Traffic Cell. I checked the Step 2 answer against the source, and the cover text matches. Things a reviewer should check: (1) Page 2, the contents page, is still headed 'DRAFT PARKING POLICY FOR SURAT CITY', which does not match the 'sanctioned' cover. (2) The text of the 2018 Government Resolution is not in the Citation Sheet, and neither is any resolution of the Corporation's General Board. The adoption rests only on the cover statement. (3) The question title says 'implemented', but the scoring method tests only whether the policy exists or was adopted. No evidence of how well it works on the ground (charging, permits, enforcement) was assessed, and this score makes no claim about it. Confidence is medium because of the draft/sanctioned mismatch and because the sanctioning resolution itself is not in the Citation Sheet.
Quote: "PARKING POLICY FOR SURAT CITY SANCTIONED VIDE GOVERNMENT RESOLUTION NO. P.R.CH./ 10018/CM-419/P DATE. 05/12/2018"</t>
  </si>
  <si>
    <t xml:space="preserve">NA ONLY FOR CITIES BELOW ONE MILLION</t>
  </si>
  <si>
    <t xml:space="preserve">DCR applicable to the city &amp; its status</t>
  </si>
  <si>
    <t xml:space="preserve">Section A: Preamble, Short Title, Applicability</t>
  </si>
  <si>
    <t xml:space="preserve">Applicability; Table 1.1.1 Classification of Development Authorities and ULB's (Category D1 includes SUDA); Regulation 7.7 / Table 7.7.4 Use Zone and F.S.I.: Category D1 SUDA</t>
  </si>
  <si>
    <t xml:space="preserve">Applicability clause (p.33); Table 1.1.1 (pp.33-34); Repeal and Saving (p.36)</t>
  </si>
  <si>
    <t xml:space="preserve">AI (low confidence), from Step 2 answer (Partially Answered) and ULG-05: I left the answer blank. It can't be decided from the Citation Sheet for two reasons: the rubric doesn't cover this case (RUBRIC-GAP), and the evidence that would be needed to answer NO is missing.
(1) NA does not apply. Surat's population is above one million: ULG-06 (SUDA Development Plan 2035) gives the SMC population as about 44.68 lakh (2011).
(2) The rules in force for Surat are the Comprehensive General Development Control Regulations 2017 (CGDCR). The Gujarat UD&amp;UHD Department notified them on 12-10-2017 (No. GH/V/269 of 2017), under s.116A read with s.122 of the GTPUD Act 1976. They apply 'in the entire Gujarat State'. That points to a state-wide instrument, which is the 0 band. But the same instrument names SUDA in Category D1 (Table 1.1.1) and has a FSI table that applies only to SUDA (Table 7.7.4). So it is a hybrid. The rubric doesn't say whether a state-wide regulation with city-specific tables counts as a 'city-specific DCR' (10) or as a 'generic/state-wide DCR' (0). I did not create a band; the ASICS team needs to rule on this.
(3) Even if the rubric is read strictly, a NO (0) needs proof that no Surat DCR exists, and the sheet doesn't give that. ULG-06 (DP-2035 report, 22-02-2017, pp.17-18 and 216) says the draft DP 'was prepared including the General Development Control Regulations- GDCR'. It also says SUDA must submit 'the Draft Development Plan-2035 along with the Draft GDCR under section 16' for state approval. The sheet has no gazette notification sanctioning DP-2035 or its GDCR. So I can't tell whether a SUDA-specific GDCR was sanctioned, or whether it was folded into the CGDCR (whose Repeal clause only modifies conflicting regulations 'to the extent of' inconsistency).
(4) Current version: the copy I used is the CGDCR as notified in 2017 (AUDA-hosted copy). The sheet has no later amended text, and no SMC or SUDA page showing which DCR is applied to building permissions today. The Implementation part of the question therefore can't be checked.
What I checked: ULG-05 (Applicability, Table 1.1.1, Repeal/Saving, Reg. 7.7 tables), ULG-06 (DP-2035 report on the GDCR), and the Step 2 review of ULG-01/03/04/11. I also searched the whole sheet for a separate Surat DCR or a sanctioned SUDA GDCR and found none.
Reviewer should: (a) get an ASICS ruling on whether a state-wide CGDCR with SUDA-specific tables counts as city-specific; (b) get the gazette notification sanctioning SUDA DP-2035 and its GDCR, the current consolidated CGDCR with amendments, and a dated SMC/SUDA web page on the DCR now in force.
Quote: "These regulations shall apply to the land development and building construction in the entire Gujarat State vide the Notification No.- GH / V/ 269 / of 2017 / EDB – 102016 – 3629 – L, dated 12th october 2017  from the same date . Based on the ju risdiction under different Acts , the Urabun Local Bodies are grouped and shown in Table 1.1.1"
"Answer" left blank: the Citation Sheet doesn't decide it.</t>
  </si>
  <si>
    <t xml:space="preserve">SELECT 2 / 1 / 0</t>
  </si>
  <si>
    <t xml:space="preserve">Score (select 2 / 1 / 0)</t>
  </si>
  <si>
    <t xml:space="preserve">No evidence of provision of development controls, standards or incentives to enable different types and scales of economic activity.</t>
  </si>
  <si>
    <t xml:space="preserve">Chapter 7 (Use Zones, Permissible Uses, Use Classification and FSI), CGDCR 2017</t>
  </si>
  <si>
    <t xml:space="preserve">Table 7.3.1 (Use Zone and Permissible Uses for D1–D7(A)/D7(B)); Table 7.4 (Use permitted in each category); Table 7-6.2 (Road Width and Commercial Use Permissible) and its notes 1–2; Table 1.1.1 (D1 includes SUDA); TOZ regulation 'Relaxation in Parking'</t>
  </si>
  <si>
    <t xml:space="preserve">Note 2 below Table 7-6.2 (page 97); Table 7.4 Dwelling-2/Dwelling-3/Mercantile-1/Mercantile-3 rows (page 92); TOZ parking relaxation (page 159)</t>
  </si>
  <si>
    <t xml:space="preserve">AI (medium confidence), from Step 2 answer (Answered — Verified Source) and ULG-05: Score 2. I checked the Step 2 answer against the text of ULG-05 (CGDCR 2017, Notification GH/V/269 of 2017, dated 12-10-2017). The source supports it. Under Table 1.1.1 the regulations apply state-wide, and Category D1 names 'Surat Urban Development Authority(SUDA)'. Table 7.3.1 sets the zones for D1–D7. The DCR goes beyond simply zoning land as commercial or industrial. It has specific provisions that enable at least two kinds and sizes of economic activity:
(1) Home-based and cottage enterprise. Under Table 7.4, Dwelling-2 includes 'Cottage Industry' that does not create noise or vibration, and Dwelling-3 also includes Cottage Industry. Mercantile-1 includes 'Light Home Workshop'. Part of a residential building may be used as a professional office, capped at 50 sq.m, with parking on the commercial basis (note 2 under Table 7-6.2).
(2) Mixed use and commercial use in residential zones. R1, R2 and R4 allow 'All uses except Industrial-1,2,3,4 and Agriculture'. Commercial use in a building is allowed on more floors as the abutting road gets wider: ground floor only on roads of 9 m to under 12 m, ground and first floor on 12 m to under 18 m, all floors on 18 m and above (Table 7-6.2). Non-residential uses may go on any floor of a residential building if it has a separate access (note 1). The RAH zone allows ancillary commercial use.
(3) Flexible use categories for specialised trades. Mercantile-3 covers 'Whole sale Market ... Diamond Industry ... Activity Related to I.T.'.
(4) Transit Oriented Zone (TOZ) / Smart City node. This is a mixed-use, high-density overlay with a 'Relaxation in Parking' for Mercantile-1 (minimum parking 35% of utilised FSI). Its text was read at page 159. However, the zone description says the high-density 200 m transit band applies to AUDA, RUDA and smart city nodes, so how far it applies to Surat should be confirmed. The score does not depend on it.
Caveats:
- I did not re-verify the SUDA-specific FSI table (7.7.4) in the excerpts I read. The read only showed the AUDA table (7.7.1), so the road-linked FSI figures in Step 2 are not relied on here.
- No MSME-specific or street-vending provision was found in the parts read.
- ULG-05 is the 2017 text as notified. No later amendments are in the Citation Sheet; a person should check whether amendments changed Tables 7.3.1, 7.4 or 7-6.2.
- Whether these rules apply in the SMC area rests on the state-wide applicability clause and on SMC lying within SUDA's area (ULG-11, a 2013 presentation).
- The question's assessment level says 'Law or Policy' although the group label says Implementation. I scored the regulatory provisions, as the Detailed Methodology directs.
Quote: "A part of residential building may be permitted for use as office  in case of professional requirements such as for advocates, doctors, architects, engineers, chartered accountants etc. This is subject to a maximum 50 sq.mt and parking for this purpose shall be provided as per commercial basis."</t>
  </si>
  <si>
    <t xml:space="preserve">Text of relevant provisions &amp; incentives</t>
  </si>
  <si>
    <t xml:space="preserve">No evidence of provision of development controls, standards or incentives to improve access, safety, affordability and development outcomes for women and the urban poor.</t>
  </si>
  <si>
    <t xml:space="preserve">Residential Affordable Housing (RAH) chapter (pp.157-158); Performance Regulation 21.9 Sanitation (pp.189-191)</t>
  </si>
  <si>
    <t xml:space="preserve">RAH: Permissible FSI (a)-(c), Table 12.2.1 Chargeable FSI for RAH Dwelling; Permissible Ground Coverage; Table 12.4.1 Parking Requirement</t>
  </si>
  <si>
    <t xml:space="preserve">Table 12.2.1 (additional FSI charged at 10%/20%/30% of jantri rates by unit size); Table 12.4.1 (parking at 10%/20% of utilised FSI)</t>
  </si>
  <si>
    <t xml:space="preserve">157</t>
  </si>
  <si>
    <t xml:space="preserve">AI (low confidence), from Step 2 answer (Partially Answered) and ULG-05: I scored 1: the DCR has several specific provisions for the urban poor, but I found none written specifically for women.
Applicability: Step 2 reports that CGDCR 2017 (Notification GH/V/269 of 2017, dated 12.10.2017) lists SUDA in category D1. I did not re-check that table myself.
Urban poor (met, with more than two provisions):
(a) RAH covers dwelling units up to 80 sq.m. It needs a minimum density of 225 dwelling units per hectare. It is allowed as a use in most zones.
(b) Additional FSI is charged at reduced rates: 10%, 20% or 30% of jantri rates depending on unit size (Table 12.2.1). The general rate is 40% (Table 7.7.4, per Step 2).
(c) The entire area left after margins and common plot may be built on (ground coverage).
(d) Parking is lower: 10% or 20% of utilised FSI (Table 12.4.1).
(e) If the RAH zone line divides a plot, the whole plot gets the maximum FSI.
(f) Owners may build under Mukhyamantri Awas Yojana.
These are all development controls or incentives tied to affordable housing, not just mentions of it.
Women (not met): Reg. 21.9 says 'Water closets shall be provided for each gender', with numbers based on users of each gender and gender signage. The rule is written neutrally for every gender and every building user. Under the QB note, general provisions applicable to all users do not count unless they specifically address women's needs, so I did not count it. It would also be only one provision.
I searched ULG-05 for female, ladies, women, crèche and toilet, and searched across the whole Citation Sheet for ladies, female, crèche and working women hostel. The only women-related text was the definition of 'Use-Institutional', which mentions care centres for 'abandoned women'. That is a definition of a use, not a control or incentive.
I checked the Act (ULG-01), the Rules (ULG-04), BPMC Act Chapter XV (ULG-13) and the Parking Policy (ULG-07) only through the sheet-wide searches. None of them showed a women-specific development provision.
A person should check:
1. Confirm the treatment of the gender-wise WC rule. If the reviewer treats it as a women-specific standard, the score could be 2.
2. Any CGDCR amendments after 2017, and any Surat-specific slum or redevelopment regulation. These are not in the Citation Sheet and could add women-specific provisions.
3. Long documents were shown only as their most relevant passages, so I cannot fully rule out a women-specific provision somewhere else in ULG-05.
The score of 1 rests on the urban-poor provisions being clearly present. I did not establish full affirmative absence on the women side.
Quote: "Projects under Residential Affordable Housing (RAH) shall utilize a minimum FSI of 1.8 and maximum 2.7 to avail the benefits of “RAH”."</t>
  </si>
  <si>
    <t xml:space="preserve">No evidence of provision of development controls, standards or incentives to promote environmental sustainability and climate resilience.</t>
  </si>
  <si>
    <t xml:space="preserve">Part on Rain Water Management, Solid Waste Management, Solar and Energy Efficient Buildings (Regulation 25 series, by table numbering), CGDCR 2017</t>
  </si>
  <si>
    <t xml:space="preserve">Energy Efficient Buildings (p.234-235); Rain Water Harvesting (p.229-230); Rain Water Storage (p.230); Solar Water Heating System (Table 25-1, p.234); Roof Top Solar Energy Installations (Table 25.6-2, p.234)</t>
  </si>
  <si>
    <t xml:space="preserve">Green-building chargeable-FSI 5% discount; RWH mandatory for ground coverage of 80 sq.mt and above; rain water storage tank mandatory for building-units over 1000 sq.m; mandatory rooftop solar PV and solar water heating for listed categories</t>
  </si>
  <si>
    <t xml:space="preserve">235</t>
  </si>
  <si>
    <t xml:space="preserve">AI (medium confidence), from Step 2 answer (Answered — Verified Source) and ULG-05: Score 2. I checked the Step 2 answer against ULG-05 and the source supports it. Gujarat's statewide Comprehensive General Development Control Regulations (CGDCR) 2017 have both binding environmental standards and an incentive, which is what Score 2 requires. (1) Incentive: an owner who holds a GRIHA rating certificate (or one from another government-recognised institute) gets a 5% discount on the chargeable FSI payable. The text says 'The Competent Authority shall offer some incentives' (p.234-235). (2) Standards: 'Rain water harvesting is mandatory for all buildings with ground coverage 80 sq.mt and above.' Percolation pits, percolating wells or a retention pond are required depending on plot size (p.229-230). A rain water storage tank is 'mandatory' for building-units over 1000 sq.m (p.230). Solar-assisted water heating 'shall' be provided in listed building types (Table 25-1). Rooftop solar PV must generate at least 5% of connected load or 20W/sqft of available roof, whichever is less (Table 25.6-2). Source segregation of dry and wet solid waste is also required. Under the methodology, green-building incentives and standards of this kind score 2. The score does not rely on the Environment Impact Assessment clause (p.235), which only requires SEIAA (state environment impact assessment authority) clearance by project size; the Note says that alone does not qualify. Applicability to Surat: the Applicability clause says 'These regulations shall apply to the land development and building construction in the entire Gujarat State'. Table 1.1.1 lists the Surat Urban Development Authority (SUDA) under category D1. Form 7 (grant of development permission) cites Sections 253 and 254 of the Gujarat Provincial Municipal Corporations Act, 1949 and is addressed to the Municipal Commissioner, which supports applicability to the Surat Municipal Corporation's area. Limits: the Citation Sheet copy is the base notification of 12 Oct 2017 (hosted by AUDA, the Ahmedabad Urban Development Authority). Later CGDCR amendments were not available or reviewed. A reviewer should confirm that the current consolidated CGDCR keeps the green-building incentive and the rainwater and solar mandates. Regulation numbers are inferred from table numbering (25.x). Context only, not used for scoring: ULG-04 (the 1979 Rules made under the Gujarat Town Planning and Urban Development Act) and ULG-06 (SUDA Development Plan 2035 report, not a DCR).
Quote: "chargeable FSI for the energy efficient buildings (Green Building) as 5% discount in the total payable amount."</t>
  </si>
  <si>
    <t xml:space="preserve">No evidence of provision of development controls, standards to promote positive public health outcomes.</t>
  </si>
  <si>
    <t xml:space="preserve">Section D: Performance Regulations – Pollution Control (p.236); also Planning Regulations – Mining, Quarrying and Brick Kiln (p.164); Performance Regulations – Drainage / Provision of Septic Tank, Seepage Pit and Soak Well (p.191)</t>
  </si>
  <si>
    <t xml:space="preserve">Pollution Control – Industrial Pollution</t>
  </si>
  <si>
    <t xml:space="preserve">Industrial Pollution, paras 1 and 3 (p.236). Also used: Mining/Quarrying/Brick Kiln items 1, 2 and 5 (p.164); Septic Tank item 1 (Location and sub-soil dispersion) and item 2(c) (p.191); Applicability, Table 1.1.1, D1 (p.33)</t>
  </si>
  <si>
    <t xml:space="preserve">236</t>
  </si>
  <si>
    <t xml:space="preserve">AI (medium confidence), from Step 2 answer (Answered — Verified Source) and ULG-05: Score 2. The Step 2 answer was checked against ULG-05, and I confirmed each passage it relies on myself.
(1) It applies to Surat. The Applicability clause (p.33) says the CGDCR 2017 covers 'the entire Gujarat State' under Notification GH/V/269 of 12-10-2017. Table 1.1.1 lists Surat Urban Development Authority (SUDA) under D1.
The CGDCR has health controls that go beyond routine minimum building standards in two or more places:
(a) Industrial Pollution (p.236): 'No industrial effluent shall be disposed or exposed so as to cause nuisance and endanger to public health and shall not be disposed in a water body of any kind.' Effluent from industries in the special industrial zone must also be 'purified and rendered harmless from the public health point of view'.
(b) Mining, Quarrying and Brick Kiln (p.164): operations involving blasting are 'not permitted within a distance of 200mts from any public road, railway line, canal, transmission line or any other building'. Item 1 sets a 75 m distance for operations without blasting. Its printed wording says 'shall be permitted within', which looks like a drafting error, but the 200 m blasting buffer is unambiguous. Operations 'shall not cause any nuisance to people in the vicinity'.
(c) Septic Tank, item 1 (p.191): a sub-soil dispersion system 'shall not be closer than 12mts to any source of drinking water, such as a well, to mitigate the possibility of bacterial pollution of water supply'. Item 2(c) bars untreated septic effluent from open drains or water bodies.
Basic standards are also present: ventilation of rooms and of WCs/bathrooms (pp.186-187) and minimum sanitary facilities (pp.189-191).
This matches the Score 2 band, which covers separation distances from polluting or hazardous uses and controls that explicitly address health-related spatial risks. The Step 2 answer also cites zoning that keeps hazardous industry in IZ5/IZ6 (p.85). That passage did not come up in my reads, but the score does not depend on it.
Incentives: the scorer notes ask us to record incentives. No health-specific incentive (FSI or relaxation) was found, and the rubric does not require one.
For a person to check:
- The text read is the CGDCR as notified on 12-10-2017, in a copy hosted by AUDA. Later amendments and any Surat-specific special regulations are not in the Citation Sheet.
- Please confirm that the current amended CGDCR keeps these provisions and is the operative DCR for the SMC area. The Step 2 answer links them through SUDA D1 plus the DP 2035 report (ULG-06).
- The QB evidence requirement calls for a dated screenshot.
Quote: "Industries in the special industrial zone which emit liquid and gaseous effluents shall not be allowed to emit such effluent unless they are purified and rendered harmless from the public health point of view by provision of purification plants, as may be prescribed by the Competent Authority and/or the Gujarat Pollution Control Board."</t>
  </si>
  <si>
    <t xml:space="preserve">There is a mention of heritage conservation but there is no evidence of provision of development controls, standards or incentives to enable the conservation and adaptive reuse of heritage buildings, precincts or historic areas.</t>
  </si>
  <si>
    <t xml:space="preserve">AI: left for a person. The AI's quote couldn't be found word for word in ULG-05, so its answer was discarded. AI comments: I left Answer blank because the Act layer can't be decided. The question asks whether the Act (the T&amp;CP Act or the Municipal Act) mandates or enables green-building incentives. (1) T&amp;CP Act: ULG-01 is the PRS copy of the Gujarat Town Planning and Urban Development Act, 1976. Its main text (about pp.2-86) came back with no readable text. The amendment Acts I could read contain nothing on green buildings or incentives: the 2017 gazette amendments to ss.7, 23, 49, 52, 76A and 119, and Gujarat Act 14 of 2019 amending ss.9 and 12, adding s.19A, and amending the DPC and MPC Acts. So I can't confirm the T&amp;CP Act has no such provision, and nothing in it supports YES. (2) Municipal Act: ULG-03 is the GPMC Act 1949, modified to 30 Nov 2017. The only rebate section I found is s.141E: a 15% general-tax rebate where there is no municipal water supply, and 20% for cellars and upper floors of non-residential buildings. Neither is a green-building incentive. ULG-13 (SMC Chapter XV building regulations, ss.265-269) has nothing on incentives. Searches for green, energy, solar and rebate terms in ULG-03 found nothing more, but those searches return only the most relevant excerpts, so this was not a full read. (3) Rules: ULG-04 (the GTPUD Rules 1979) was seen only in excerpt in Step 2, with nothing on incentives. (4) Regulations: CGDCR 2017 (ULG-05, notified 12 Oct 2017) has a binding 'shall' provision: a 5% discount on chargeable FSI for GRIHA-rated green buildings. This is a regulation-level incentive, not an Act provision. The methodology scores only the Act ('Score 5 if the Act provides...'), so I did not use it to give YES. ULG-06, ULG-09, ULG-07 and ULG-10 are plans and policies, not law. ULG-09 only 'encourages' green practices. RESULT: I can't give YES because no Act provision was found. I can't give NO because absence isn't proven: the main T&amp;CP Act text is unreadable and the Municipal Act was not read in full. A reviewer should check: (a) the readable GTPUD Act 1976, especially s.12 (contents of the development plan) and the section under which GDCRs are made, for any enabling provision on incentives or FSI; (b) a full read of the GPMC Act; (c) whether the methodology lets a regulation-level 'shall' incentive (CGDCR) count as 'the law'. If so, YES may be justified, subject to confirming that the CGDCR category covering SMC/SUDA applies to Surat. Period: GPMC Act as modified to 2017; T&amp;CP Act amendments up to 2019; CGDCR as of 2017. Later CGDCR amendments are not in the Citation Sheet. I agree with the Step 2 answer.</t>
  </si>
  <si>
    <t xml:space="preserve">AI: left for a person. The AI's quote couldn't be found word for word in ULG-05, so its answer was discarded. AI comments: Left blank for human review. YES is not established because nothing shows the incentive works in practice. NO cannot be given because an incentive provision exists.
(1) What the source shows: I checked the Step 2 answer against ULG-05 and it is accurate. The Gujarat Comprehensive General Development Control Regulations 2017 (CGDCR, notified 12 Oct 2017) say a building rated by GRIHA or another government-recognised institute gets a 5% discount on the total amount payable for chargeable FSI. The verb is 'shall' ("The Competent Authority shall offer"). The CGDCR applies to the 'entire Gujarat State', and Category D1 names the Surat Urban Development Authority (SUDA). The Appeal Committee clause also lists a 'Municipal Commissioner of municipal Corporation' as a competent authority. Page 99 shows Category D1 covering a city corporation's area through its development authority ('GUDA (for GMC Area)'), the same pattern as SUDA. So the incentive probably applies inside the Surat Municipal Corporation (SMC) area, but this is not said expressly for Surat.
(2) Why not YES: This sub-question is assessed at Implementation level. To score 5, at least one green-building incentive must be 'operational in the city'. The Citation Sheet has only the 2017 text of the regulation. There is no current consolidated or amended CGDCR to confirm the clause survived later amendments. There is also nothing from SMC or SUDA applying the discount: no fee or chargeable-FSI schedule, circular, approval record or GRIHA/IGBC listing. Under the rules, a legal provision is not proof of practice. A reviewer could still accept a binding statewide DCR incentive as 'provided in the city', because the methodology names the DCR as a place to look. If they do, the answer should be YES (score 5).
(3) Why not NO: An incentive provision does exist, so there is no affirmative absence.
(4) Other sources checked:
- ULG-06 (SUDA Development Plan 2035, s.13.5.14) only recommends extra FSI for green industrial buildings, so it is not credited.
- ULG-09 (NITI Aayog, 2024) only recommends that guidelines be drafted.
- ULG-03 (Gujarat Provincial Municipal Corporations Act) contains no green-building property-tax rebate.
- ULG-01, ULG-04, ULG-07, ULG-10 and ULG-13 have no relevant incentive.
- A search across the whole Citation Sheet for green building / GRIHA / IGBC / rebate returned only the ULG-05 clause.
PERIOD: CGDCR as notified on 12 Oct 2017; current status not checked. Era: n/a.
CONFIRM: (a) Is a binding DCR incentive enough to count as 'operational'? (b) Is the clause still in force in the current amended CGDCR, and does it apply within SMC limits?</t>
  </si>
  <si>
    <t xml:space="preserve">Chapter VIII; Form R</t>
  </si>
  <si>
    <t xml:space="preserve">Rule 53(3), Gujarat Town Planning and Urban Development Rules, 1979</t>
  </si>
  <si>
    <t xml:space="preserve">Form R 'Certificate of Tenure and Title' (pp. 56-57)</t>
  </si>
  <si>
    <t xml:space="preserve">57</t>
  </si>
  <si>
    <t xml:space="preserve">AI (low confidence), from Step 2 answer (Partially Answered) and ULG-04: Both inputs are blank and no score is proposed.
What the source says: I checked the Step 2 answer against ULG-04, and the source supports it. Under Rule 53(3), the head of the Town Planning and Valuation Department 'may' issue a Form R 'Certificate of Tenure and Title'. This is only possible when an owner applies, and only for a Final Plot in a sanctioned Town Planning Scheme. The certificate is 'primafacie proof' of title and stays valid only 'unless declared otherwise by a decree from a Civil Court'. In Note (3) of the form, the 'period of guarantee' means the period of the land revenue assessment, not a guarantee of title.
Part A is blank, not YES:
- The question asks about a 'guaranteed' land titling system, and the methodology asks for 'certification/guarantee of land titles' by a titling law or Government Order.
- This certificate has no state guarantee, can be overridden by a Civil Court, is issued at the department's discretion ('may'), and covers only Town Planning Scheme final plots. It falls well short of a land titling framework.
- The methodology team needs to confirm whether a certificate like this could ever qualify. My view is that it does not.
Part A is not NO either: a NO would score 0, which needs affirmative absence, and these instruments are not in the Citation Sheet:
- the Gujarat / Bombay Land Revenue Code, 1879 and its rules on the record of rights;
- any Gujarat land titling Act or Bill;
- any Revenue Department Government Order or notification on conclusive titling or title certification;
- the Gujarat legislation and gazette indexes.
What I checked:
- ULG-01: Town Planning Act, as amended to 2019.
- ULG-03: Gujarat Provincial Municipal Corporations Act, as modified to 30.11.2017. It mentions 'title' only in other contexts.
- ULG-04: Town Planning Rules, 1979.
- ULG-05: CGDCR 2017. It is a permission form, not a titling instrument.
- ULG-06, ULG-07, ULG-09, ULG-10: plans and policies, none of them about titling.
- A search of the whole Citation Sheet for 'land titling conclusive title guarantee' found nothing beyond Form R.
Part B: depends on Part A, so it is also blank.
Next step for the research team: add the Gujarat Revenue Department and land-records instruments, and check whether any Gujarat titling Act or GO exists. If none exists and those instruments are read, Part A = NO and the score is 0.
Period: the Rules are the 1979 text as hosted by SUDA. I could not check later amendments to Rule 53 or Form R.
Quote: "This Certificate is granted under Rule 53(3) of the rules under the Gujarat Town Planning and Urban Development Act,1976, as a primafacie proof of the tenure, and title of the owner above named and shall be valid unless declared otherwise by a decree from a Civil Court"
"Part A: Land titling Act / Government Order exists" left blank: the Citation Sheet doesn't decide it.
"Part B: Rules notified / framework operational (counts only if Part A = YES)" left blank: the Citation Sheet doesn't decide it.</t>
  </si>
  <si>
    <t xml:space="preserve">Mechanism: TPS / land pooling / both</t>
  </si>
  <si>
    <t xml:space="preserve">Chapter V (Town Planning Schemes); also Chapter VIII</t>
  </si>
  <si>
    <t xml:space="preserve">Rules 16, 17, 18, 23, 24, 26 and 53(3); Forms J, K and R</t>
  </si>
  <si>
    <t xml:space="preserve">Rule 17 (meeting of owners and framing of tentative proposals, for the draft scheme under s.42)</t>
  </si>
  <si>
    <t xml:space="preserve">AI (medium confidence), from Step 2 answer (Answered — Verified Source) and ULG-04: Mechanism to record: TPS/land reconstitution only. The Citation Sheet has no separate land pooling Act, Government Order or circular. Part A = YES. Gujarat provides a land reconstitution mechanism through Town Planning Schemes under the Gujarat Town Planning and Urban Development Act, 1976. The evidence: (i) The 2017 amending Act (Gazette Extraordinary dated 13-04-2017, appended in ULG-01) adds a proviso to s.49(1)(b) about permissions being 'in accordance with the Draft Town Planning Scheme sanctioned under sub-section (2) of section 48'. It also amends s.52(1) and ss.7(1)(ii) and 23(1)(ii). (ii) The GTPUD Rules 1979 (ULG-04) apply the Act's TPS sections: s.41 declaration, s.42 draft scheme, s.46 disputed ownership, s.48 sanction, s.50 Town Planning Officer, ss.51-52 preliminary and final schemes. Form R (Rule 53(3)) is a certificate of tenure and title for the 'Final Plot', with rights 'transferred to his final plot from the original plot'. That is the reconstitution step. (iii) CGDCR 2017 (ULG-05, UD&amp;UHD notification dated 12-10-2017) says that in non-TP areas the contributed land 'shall be adjusted by preparing TPS'. Part B = YES. The GTPUD Rules 1979, Chapter V, set out the procedure that makes TPS work: Rules 16-18, 23, 24, 26 and 53, with Forms J, K and R. They were amended later (a notification dated 22-01-87 is noted in the text). The State's 2017 CGDCR still refers to them, e.g. 'FORM NO. C (See Rule-9)'. That supports their being in force; no repeal was found in the sheet. What a person should check: (a) The Act's own TPS chapter (ss.40-52 and nearby sections) is not in the retrieved text of ULG-01. ULG-01 is a secondary PRS copy, although the appended amendments are official gazette text. A reviewer should confirm those sections in an official consolidated text. (b) The Rules copy is hosted on the SUDA website and does not show the gazette notification date of the 1979 Rules. There is also no current consolidated official text, so 'currently in force' rests on the 2017 CGDCR and the DP 2035 (ULG-06) relying on the Rules. (c) The research team should confirm whether Gujarat has issued any separate land pooling GO; none is in the sheet. This does not change the score, because TPS alone satisfies Part A. Confidence is medium because the inputs depend on reading the Act's amendments, the Rules and the CGDCR together, and because of the secondary/hosted copies.
Quote: "For the purpose of making the draft scheme under section 42 the appropriate authority shall call a meeting or meetings of the owners of the lands included in a town planning scheme by a public notice as well as by individual notice"</t>
  </si>
  <si>
    <t xml:space="preserve">AI: left for a person. Step 2 found no evidence (Insufficient Evidence). Source needed: Needed: the live, dated page of the online development or building permission portal used by Surat Municipal Corporation / SUDA (e.g. Gujarat's online development permission system or the Investor Facilitation Portal). It should show online filing of a complete application, which project categories are accepted (education, health, affordable housing), and an application-status tracking option. A government order or SMC notice making that portal the single window for Surat would also help.</t>
  </si>
  <si>
    <t xml:space="preserve">Full marks only if ALL columns are YES; otherwise 0.</t>
  </si>
  <si>
    <t xml:space="preserve">Approval authority at each level</t>
  </si>
  <si>
    <t xml:space="preserve">Process for rejection / variance approvals</t>
  </si>
  <si>
    <t xml:space="preserve">Registry of public &amp; private projects</t>
  </si>
  <si>
    <t xml:space="preserve">Public disclosure of approvals / denials / variances</t>
  </si>
  <si>
    <t xml:space="preserve">Section B – Procedure Regulations</t>
  </si>
  <si>
    <t xml:space="preserve">Reg. 4.1 Grant or Refusal of a Development Permission (p.58); Common Protocol (pp.60-61)</t>
  </si>
  <si>
    <t xml:space="preserve">p.58: 'Reasons for rejection of application shall be communicated to the applicant.' Common Protocol item 4 (p.61): online display of grant/rejection</t>
  </si>
  <si>
    <t xml:space="preserve">58</t>
  </si>
  <si>
    <t xml:space="preserve">AI (low confidence), from Step 2 answer (Partially Answered) and ULG-05: UPD37 scores 10 only if all four parts are met. Otherwise it scores 0. The overall score is left open because parts 3 and 4 cannot be decided from the Citation Sheet.
Part 1 (approval authority at each level) = YES, with a caveat:
- CGDCR 2017 (ULG-05, notified under the GTPUD Act) names a 'Competent Authority' that grants or refuses Development Permission. The CGDCR forms (p.337) are addressed to the 'Chief Executive Authority / Municipal Commissioner / Chief Officer'.
- BPMC/GPMC Act Chapter XV (ULG-13, SMC copy) makes the Commissioner the body that receives building notices and plans in SMC limits (ss.253-256). It can reject plans (s.255) and cancel permissions (s.258).
- The State sanctions or refuses the metropolitan final development plan, and sanctions variations to it, under MPC Act ss.10A-10B, inserted by the 2019 amendment (ULG-01, PRS copy).
- SUDA is the development authority preparing DP 2035 (ULG-06).
- Caveat: the sheet has neither the CGDCR's own definition of Competent Authority nor GTPUD Act s.2(iii) ('appropriate authority'). So the exact split between SMC and SUDA should be confirmed by a person.
Part 2 (rejection/variance process) = YES, in law:
- CGDCR p.58: Competent Authority 'may grant or refuse'. 'Reasons for rejection of application shall be communicated to the applicant.' Permission is granted only when the proposal complies.
- CGDCR p.60: revalidation is scrutinised 'in context of proposals of Development Plan'.
- GTPUD s.49(1)(b) proviso (2017): permission 'shall be in accordance with the Draft Town Planning Scheme'.
- MPC Act s.10B: State variation procedure for the development plan (objections invited, MPC consulted).
- Caveat: s.10B uses 'may sanction'. It is a procedure for varying the plan, not a project-level variance procedure.
Part 3 (registry of public and private projects) = blank. This part needs evidence from the SMC or SUDA website, and no such page is in the sheet. Checked, with nothing found: ULG-01, ULG-03, ULG-04 (Rule 53 only allows inspection of TP schemes), ULG-05, ULG-06, ULG-07, ULG-09, ULG-10 and ULG-13. ULG-12 is a single TP scheme map, not a registry. Not finding a website here is a VERIFICATION-LIMIT, not proof that no registry exists, so this cannot be marked NO.
Part 4 (public disclosure) = blank. CGDCR Common Protocol item 4 (p.61) creates a legal duty: the Competent Authority 'must display the grant of permission or rejection or suspension online in public domain'. But there is no evidence that SMC or SUDA actually publishes approvals, denials and variances. A legal mandate is not proof of practice. VERIFICATION-LIMIT.
A person should:
1. Confirm which body is the Competent Authority within SMC limits and which in the SUDA area.
2. Capture dated screenshots of any SMC/SUDA online building-permission portal that shows a project registry and lists of approvals and rejections, then complete parts 3 and 4.
The PRS copy of the GTPUD Act is a secondary source.
Quote: "On receipt of the application  for Development  Permission,  the Competent  Authority may grant or refuse permission  to the applicant  as per the provisions of the Act within thirty days from the date of payment of the Scrutiny fees. The permission may be granted with or without conditions or subject to any general or special orders made by the State Government in this behalf."
"Registry of public &amp; private projects" left blank: the Citation Sheet doesn't decide it.
"Public disclosure of approvals / denials / variances" left blank: the Citation Sheet doesn't decide it.</t>
  </si>
  <si>
    <t xml:space="preserve">Authority to inspect ongoing construction</t>
  </si>
  <si>
    <t xml:space="preserve">Stage-wise inspections / monitoring</t>
  </si>
  <si>
    <t xml:space="preserve">Power to issue notices / stop-work directions</t>
  </si>
  <si>
    <t xml:space="preserve">CGDCR 2017, Procedure During Construction (Inspection of Construction; Progress of Construction and Inspection); Unauthorized Building (p.41); Schedule 13</t>
  </si>
  <si>
    <t xml:space="preserve">Inspection of construction at any time / where Development Permission is granted (p.64); Reg 5.5 with Forms 10 and 11; Schedule 13 (p.309); Reg 6.1 Final Inspection; 'Dealing with Unauthorized Building' (p.41)</t>
  </si>
  <si>
    <t xml:space="preserve">Schedule 13 stages: lower basement slab, plinth, ground floor, middle storey, last storey; Common Protocol items 10 and 12</t>
  </si>
  <si>
    <t xml:space="preserve">64</t>
  </si>
  <si>
    <t xml:space="preserve">AI (medium confidence), from Step 2 answer (Answered — Verified Source) and ULG-05: I scored this as a question about the law, following the Detailed Methodology ('Check the applicable T&amp;CP Act or the allied Act, and Municipal Act for provisions'). The question bank tags it as 'Implementation', but the Citation Sheet has no dated evidence of inspections actually happening in Surat. A reviewer should confirm that the law-based reading is intended. If practice evidence is required, these inputs should be left blank.
All three aspects are met, so the band is 5/5.
(1) Authority to inspect:
- ULG-05 (CGDCR 2017, p.64): 'the Competent Authority reserves the right to inspect such buildings at any time during the Period of Construction without giving prior notice', and owners 'shall Permit authorized officers ... to enter'.
- I checked this against ULG-13, the Municipal Act's Chapter XV as published by SMC. The Step 2 answer had not read it. s.259: 'The Commissioner may at any time during the erection of a building ... make an inspection thereof, without giving previous notice'.
- s.261 allows suspect work to be cut into and laid open for inspection.
(2) Stage-wise monitoring:
- ULG-05 says buildings 'shall be subject to periodic inspection ... during construction'.
- Form 10 is the notice of commencement. Under Reg 5.5.3, Schedule 13 and Form 11, the professionals must notify progress and certify compliance at basement slab, plinth, ground floor, middle storey and last storey.
- On a progress notice, the authority has a duty, 'if found necessary', to check deviation from the sanctioned plan within 7 days.
- Protocol item 10 requires e-intimation at plinth and later stages. Item 12 requires inspection at different stages.
- Reg 6.1: the authority 'shall undertake final inspection' within 21 days of the completion notice.
- Caveat: stage reporting is mainly the builder's duty, and the authority checks 'if found necessary'. Still, the regulations set up a mandatory stage-wise monitoring system with commencement, plinth, intermediate and completion stages, which is what the rubric asks for.
(3) Notice and stop-work power:
- ULG-05 p.41: the Competent Authority 'may, by a written notice, require the person undertaking construction of the building to stop the same forthwith'. It 'shall' take action including demolition and directions for alteration, and may seal the site with police help.
- The Municipal Act (ULG-13 / ULG-03) gives the same powers: s.260 (show-cause notice), s.262 (notice of contravention during erection) and s.267(1) (notice to 'stop the same forthwith').
- ULG-04, the 1979 Rules, adds a stop-work notice.
- These stop-work powers use 'may'. The rubric only asks whether the power exists.
Period covered:
- CGDCR as notified on 12.10.2017; I did not check later amendments. The copy is hosted by AUDA, but the instrument is a statewide Government of Gujarat notification.
- ULG-13 is an undated SMC copy of the Act; ULG-03 is the text as modified to 30.11.2017.
- I did not read the enforcement sections of the Town Planning Act 1976 (ULG-01). They are not needed, because every input is already met.
Quote: "All buildings for which Development Permission has been granted shall be subject to periodic inspection by the Competent Authority during construction. It shall be the responsibility of the Owner, the Architect on Record or Engineer on Record, and the Clerk of Works on Record for the building to report commencement, progress at various stages, and completion of construction to the Competent Authority as specified in Regulation No. 5.5."</t>
  </si>
  <si>
    <t xml:space="preserve">Online self-reporting with photos / documents</t>
  </si>
  <si>
    <t xml:space="preserve">Periodic ground surveys / inspections</t>
  </si>
  <si>
    <t xml:space="preserve">Public disclosure of monitoring information</t>
  </si>
  <si>
    <t xml:space="preserve">AI: left for a person. Step 2 found no evidence (Insufficient Evidence). Source needed: Dated pages from SMC (or SUDA) websites showing: (1) a working online building-permission portal where builders report each construction stage and upload photos and compliance documents; (2) records of regular or sampled site inspections of approved projects (inspection reports, an inspection register, or the inspection module of the portal); (3) published monitoring information such as compliance figures, violations registered and action taken (a dashboard, MIS reports or annual reports).</t>
  </si>
  <si>
    <t xml:space="preserve">Points = 2 per provision, capped at 10 (5 or more provisions = 10)</t>
  </si>
  <si>
    <t xml:space="preserve">No. of penalty provisions found</t>
  </si>
  <si>
    <t xml:space="preserve">CGDCR 2017, Schedule 16 (Penalties for Making Unauthorized Use of a Building); also Regulation on unauthorised development (p.41) referring to Schedule 6</t>
  </si>
  <si>
    <t xml:space="preserve">Schedule 16 (refers to Regulations 2.12.1, 6.1.5, 6.2.6); Schedule 6 (penalty for development started without permission)</t>
  </si>
  <si>
    <t xml:space="preserve">312</t>
  </si>
  <si>
    <t xml:space="preserve">AI (low confidence), from Step 2 answer (Partially Answered) and ULG-05: I left the count blank. The question tests the planning Act, the Gujarat Town Planning and Urban Development Act, 1976 (GTPUDA). The Citation Sheet copy of it (ULG-01, PRS) has no readable text for the principal Act, which should be on pages 2-86. Only the amendment Acts appended to it can be read. So the Act's own penal sections cannot be mapped head by head. A partial count of 2-3 would push the answer to 'No', and that needs affirmative absence, which I cannot show. I agree with Step 2 that the score should stay blank, but I found more evidence than Step 2 did.
What the Citation Sheet does show, by head:
(a) Head 5, work without permission: covered.
- CGDCR 2017 (ULG-05, p.41), for development started without permission: 'Such development will be considered unauthorised and over and above the Development Permission Scrutiny fees as leviable and stipulated in Schedule 3, penalty shall be charged as per Schedule 6.' The same regulation lets the authority demolish unauthorised works, seal the building unit and use police help.
- GTPUD Rules 1979, r.11 and Form E (ULG-04): for breaches of s.27/28/29, s.34 and s.49, the authority 'shall serve a notice in writing upon the person contravening' requiring removal, alteration or demolition, stopping of work, ending of use or restoration of the land.
(b) Head 1b, permitted use / change of use: covered. CGDCR Schedule 16 (quoted above) sets a fine of four times the scrutiny fee for unauthorised use of a building.
(c) Head 6, urban design / signage: only partly. CGDCR Schedule 18 says the authority 'may also decide penalty norms for non-compliance of Regulations specified for Advertising Display Structures'. That is 'may' and leaves the penalty to be set later, so I did not count it.
(d) Encroachment / plan contravention, Local Area Plans only: GTPUDA s.76A(8), added by Act 22 of 2017 (ULG-01), says the authority 'shall' remove buildings that contravene a Local Area Plan and recover the costs.
(e) Town Planning schemes: Form L (r.34, s.69 GTPUDA) allows removal of works that contravene a scheme.
(f) The Municipal Act (GPMC Act 1949, ULG-03) also has penal provisions:
- s.392 and Appendix II give fines for contravening listed sections, plus daily fines for continuing offences.
- A provision on p.197 lets the Magistrate order removal of a building or discontinuance of use after conviction.
- ULG-13 (Chapter XV, Building Regulations) has s.261, 262, 267 and 268: enforcement against unlawful building work and unlawful occupation.
This is the Municipal Act, not the planning Act the methodology names. I did not map its Appendix II items to the heads, because I could not read the full table.
Not found in what I could read: specific penalties for setbacks, height, FSI, parking, heritage, environment, fire and other building-code items, NOC breaches (fire, water, electricity, pollution, solid waste, airport height), or general encroachment.
A person needs to:
(i) get a readable official text of GTPUDA 1976 and check its penalty and unauthorised-development sections (around s.35-36 and the offences chapter);
(ii) read CGDCR Schedule 6 and the enforcement regulations 2.12 and 6.1.5 in full;
(iii) decide whether removal and stop-use orders count as 'penal provisions';
(iv) decide whether CGDCR and GPMC provisions count, given that the methodology says 'T&amp;CP Act'.
Periods covered: GTPUDA as amended up to Act 14 of 2019; GTPUD Rules 1979 (SUDA copy); CGDCR notified 12 Oct 2017; GPMC Act as modified up to 30 Nov 2017.
Quote: "Financial Penalty for Making Unauthorised Use of a Building shall be four times the Development Permission Scrutiny Fees that is leviable for the built‐up area of the Building."
"No. of penalty provisions found" left blank: the Citation Sheet doesn't decide it.</t>
  </si>
</sst>
</file>

<file path=xl/styles.xml><?xml version="1.0" encoding="utf-8"?>
<styleSheet xmlns="http://schemas.openxmlformats.org/spreadsheetml/2006/main">
  <numFmts count="4">
    <numFmt numFmtId="164" formatCode="General"/>
    <numFmt numFmtId="165" formatCode="0.00"/>
    <numFmt numFmtId="166" formatCode="0"/>
    <numFmt numFmtId="167" formatCode="0%"/>
  </numFmts>
  <fonts count="41">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0"/>
      <color theme="1"/>
      <name val="Verdana"/>
      <family val="2"/>
      <charset val="1"/>
    </font>
    <font>
      <i val="true"/>
      <sz val="10"/>
      <color theme="1"/>
      <name val="Verdana"/>
      <family val="2"/>
      <charset val="1"/>
    </font>
    <font>
      <b val="true"/>
      <sz val="10"/>
      <color rgb="FF000000"/>
      <name val="Verdana"/>
      <family val="2"/>
      <charset val="1"/>
    </font>
    <font>
      <b val="true"/>
      <sz val="10"/>
      <color theme="1"/>
      <name val="Verdana"/>
      <family val="2"/>
      <charset val="1"/>
    </font>
    <font>
      <b val="true"/>
      <i val="true"/>
      <sz val="10"/>
      <color rgb="FF000000"/>
      <name val="Verdana"/>
      <family val="2"/>
      <charset val="1"/>
    </font>
    <font>
      <sz val="10"/>
      <color rgb="FF000000"/>
      <name val="Verdana"/>
      <family val="2"/>
      <charset val="1"/>
    </font>
    <font>
      <i val="true"/>
      <sz val="10"/>
      <color rgb="FF000000"/>
      <name val="Verdana"/>
      <family val="2"/>
      <charset val="1"/>
    </font>
    <font>
      <sz val="10"/>
      <name val="Verdana"/>
      <family val="2"/>
      <charset val="1"/>
    </font>
    <font>
      <b val="true"/>
      <sz val="10"/>
      <name val="Verdana"/>
      <family val="2"/>
      <charset val="1"/>
    </font>
    <font>
      <i val="true"/>
      <sz val="10"/>
      <name val="Verdana"/>
      <family val="2"/>
      <charset val="1"/>
    </font>
    <font>
      <b val="true"/>
      <sz val="10"/>
      <name val="Calibri"/>
      <family val="0"/>
      <charset val="1"/>
    </font>
    <font>
      <b val="true"/>
      <sz val="11"/>
      <color rgb="FF0070C0"/>
      <name val="Calibri"/>
      <family val="0"/>
      <charset val="1"/>
    </font>
    <font>
      <b val="true"/>
      <sz val="11"/>
      <color rgb="FFC00000"/>
      <name val="Calibri"/>
      <family val="0"/>
      <charset val="1"/>
    </font>
    <font>
      <sz val="10"/>
      <name val="Calibri"/>
      <family val="0"/>
      <charset val="1"/>
    </font>
    <font>
      <sz val="11"/>
      <name val="Calibri"/>
      <family val="0"/>
      <charset val="1"/>
    </font>
    <font>
      <b val="true"/>
      <sz val="11"/>
      <name val="Calibri"/>
      <family val="0"/>
      <charset val="1"/>
    </font>
    <font>
      <sz val="10"/>
      <color theme="1"/>
      <name val="Calibri"/>
      <family val="2"/>
      <charset val="1"/>
    </font>
    <font>
      <sz val="11"/>
      <color theme="1"/>
      <name val="Verdana"/>
      <family val="0"/>
      <charset val="1"/>
    </font>
    <font>
      <b val="true"/>
      <sz val="10"/>
      <color rgb="FF000000"/>
      <name val="Verdana"/>
      <family val="0"/>
      <charset val="1"/>
    </font>
    <font>
      <b val="true"/>
      <sz val="10"/>
      <color theme="1"/>
      <name val="Verdana"/>
      <family val="0"/>
      <charset val="1"/>
    </font>
    <font>
      <sz val="10"/>
      <color rgb="FF000000"/>
      <name val="Verdana"/>
      <family val="0"/>
      <charset val="1"/>
    </font>
    <font>
      <sz val="10"/>
      <color theme="1"/>
      <name val="Verdana"/>
      <family val="0"/>
      <charset val="1"/>
    </font>
    <font>
      <i val="true"/>
      <sz val="10"/>
      <color rgb="FF000000"/>
      <name val="Verdana"/>
      <family val="0"/>
      <charset val="1"/>
    </font>
    <font>
      <i val="true"/>
      <sz val="10"/>
      <color rgb="FFFF0000"/>
      <name val="Verdana"/>
      <family val="2"/>
      <charset val="1"/>
    </font>
    <font>
      <sz val="11"/>
      <color rgb="FF000000"/>
      <name val="Verdana"/>
      <family val="0"/>
      <charset val="1"/>
    </font>
    <font>
      <sz val="10"/>
      <name val="Verdana"/>
      <family val="0"/>
      <charset val="1"/>
    </font>
    <font>
      <b val="true"/>
      <sz val="11"/>
      <color theme="1"/>
      <name val="Calibri"/>
      <family val="2"/>
      <charset val="1"/>
    </font>
    <font>
      <sz val="10"/>
      <color rgb="FFFF0000"/>
      <name val="Verdana"/>
      <family val="2"/>
      <charset val="1"/>
    </font>
    <font>
      <i val="true"/>
      <sz val="9"/>
      <color rgb="FF000000"/>
      <name val="Verdana"/>
      <family val="0"/>
      <charset val="1"/>
    </font>
    <font>
      <i val="true"/>
      <sz val="12"/>
      <color rgb="FF000000"/>
      <name val="Verdana"/>
      <family val="0"/>
      <charset val="1"/>
    </font>
    <font>
      <sz val="11"/>
      <color rgb="FFFF0000"/>
      <name val="Calibri"/>
      <family val="2"/>
      <charset val="1"/>
    </font>
    <font>
      <b val="true"/>
      <sz val="10"/>
      <color rgb="FFFF0000"/>
      <name val="Verdana"/>
      <family val="2"/>
      <charset val="1"/>
    </font>
    <font>
      <i val="true"/>
      <sz val="10"/>
      <color theme="1"/>
      <name val="Verdana"/>
      <family val="0"/>
      <charset val="1"/>
    </font>
    <font>
      <i val="true"/>
      <sz val="11"/>
      <color rgb="FF000000"/>
      <name val="Verdana"/>
      <family val="0"/>
      <charset val="1"/>
    </font>
    <font>
      <b val="true"/>
      <sz val="9"/>
      <name val="Calibri"/>
      <family val="0"/>
      <charset val="1"/>
    </font>
    <font>
      <u val="single"/>
      <sz val="11"/>
      <color theme="10"/>
      <name val="Calibri"/>
      <family val="2"/>
      <charset val="1"/>
    </font>
  </fonts>
  <fills count="13">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BD5B5"/>
      </patternFill>
    </fill>
    <fill>
      <patternFill patternType="solid">
        <fgColor rgb="FFFFFF00"/>
        <bgColor rgb="FFFFFF00"/>
      </patternFill>
    </fill>
    <fill>
      <patternFill patternType="solid">
        <fgColor theme="0"/>
        <bgColor rgb="FFE7E6E6"/>
      </patternFill>
    </fill>
    <fill>
      <patternFill patternType="solid">
        <fgColor rgb="FFBDD6EE"/>
        <bgColor rgb="FFB4C7E7"/>
      </patternFill>
    </fill>
    <fill>
      <patternFill patternType="solid">
        <fgColor rgb="FFA8D08D"/>
        <bgColor rgb="FFC5E0B3"/>
      </patternFill>
    </fill>
    <fill>
      <patternFill patternType="solid">
        <fgColor theme="4" tint="0.5998"/>
        <bgColor rgb="FFBDD6EE"/>
      </patternFill>
    </fill>
    <fill>
      <patternFill patternType="solid">
        <fgColor rgb="FFC00000"/>
        <bgColor rgb="FFFF0000"/>
      </patternFill>
    </fill>
    <fill>
      <patternFill patternType="solid">
        <fgColor rgb="FFC5E0B3"/>
        <bgColor rgb="FFBDD6EE"/>
      </patternFill>
    </fill>
    <fill>
      <patternFill patternType="solid">
        <fgColor rgb="FFE7E6E6"/>
        <bgColor rgb="FFDDE7F0"/>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0" fillId="0" borderId="0" applyFont="true" applyBorder="true" applyAlignment="true" applyProtection="true">
      <alignment horizontal="general" vertical="bottom" textRotation="0" wrapText="false" indent="0" shrinkToFit="false"/>
      <protection locked="true" hidden="false"/>
    </xf>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9" fillId="5" borderId="2"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center" vertical="top" textRotation="0" wrapText="true" indent="0" shrinkToFit="false"/>
      <protection locked="true" hidden="false"/>
    </xf>
    <xf numFmtId="165" fontId="13" fillId="0"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false" indent="0" shrinkToFit="false"/>
      <protection locked="true" hidden="false"/>
    </xf>
    <xf numFmtId="164" fontId="12" fillId="6"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center" vertical="top" textRotation="0" wrapText="true" indent="0" shrinkToFit="false"/>
      <protection locked="true" hidden="false"/>
    </xf>
    <xf numFmtId="165" fontId="14" fillId="0"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6" fillId="6" borderId="2" xfId="0" applyFont="true" applyBorder="true" applyAlignment="true" applyProtection="false">
      <alignment horizontal="general"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0" fillId="0" borderId="3" xfId="0" applyFont="true" applyBorder="true" applyAlignment="true" applyProtection="false">
      <alignment horizontal="center" vertical="top" textRotation="0" wrapText="false" indent="0" shrinkToFit="false"/>
      <protection locked="true" hidden="false"/>
    </xf>
    <xf numFmtId="164" fontId="10" fillId="0" borderId="3" xfId="0" applyFont="true" applyBorder="true" applyAlignment="true" applyProtection="false">
      <alignment horizontal="general" vertical="top" textRotation="0" wrapText="true" indent="0" shrinkToFit="false"/>
      <protection locked="true" hidden="false"/>
    </xf>
    <xf numFmtId="164" fontId="5" fillId="0" borderId="3" xfId="0" applyFont="true" applyBorder="true" applyAlignment="true" applyProtection="false">
      <alignment horizontal="general" vertical="top" textRotation="0" wrapText="false" indent="0" shrinkToFit="false"/>
      <protection locked="true" hidden="false"/>
    </xf>
    <xf numFmtId="164" fontId="5" fillId="0" borderId="3" xfId="0" applyFont="true" applyBorder="true" applyAlignment="true" applyProtection="false">
      <alignment horizontal="general" vertical="top" textRotation="0" wrapText="true" indent="0" shrinkToFit="false"/>
      <protection locked="true" hidden="false"/>
    </xf>
    <xf numFmtId="165" fontId="10" fillId="0" borderId="3" xfId="0" applyFont="true" applyBorder="true" applyAlignment="true" applyProtection="false">
      <alignment horizontal="center" vertical="top" textRotation="0" wrapText="fals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5" fillId="7" borderId="1" xfId="0" applyFont="true" applyBorder="true" applyAlignment="true" applyProtection="false">
      <alignment horizontal="left" vertical="center" textRotation="0" wrapText="true" indent="0" shrinkToFit="false"/>
      <protection locked="true" hidden="false"/>
    </xf>
    <xf numFmtId="164" fontId="15" fillId="8" borderId="1" xfId="0" applyFont="true" applyBorder="true" applyAlignment="true" applyProtection="false">
      <alignment horizontal="center" vertical="center" textRotation="90" wrapText="false" indent="0" shrinkToFit="false"/>
      <protection locked="true" hidden="false"/>
    </xf>
    <xf numFmtId="164" fontId="16" fillId="5"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5" fontId="18" fillId="0" borderId="1" xfId="0" applyFont="true" applyBorder="true" applyAlignment="true" applyProtection="false">
      <alignment horizontal="right" vertical="center" textRotation="0" wrapText="false" indent="0" shrinkToFit="false"/>
      <protection locked="true" hidden="false"/>
    </xf>
    <xf numFmtId="165" fontId="19" fillId="0" borderId="1" xfId="0" applyFont="true" applyBorder="true" applyAlignment="true" applyProtection="false">
      <alignment horizontal="right" vertical="center"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0"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21" fillId="0" borderId="1" xfId="0" applyFont="true" applyBorder="true" applyAlignment="true" applyProtection="false">
      <alignment horizontal="general" vertical="top" textRotation="0" wrapText="fals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center" vertical="top" textRotation="0" wrapText="false" indent="0" shrinkToFit="false"/>
      <protection locked="true" hidden="false"/>
    </xf>
    <xf numFmtId="164" fontId="23" fillId="5" borderId="1" xfId="0" applyFont="true" applyBorder="true" applyAlignment="true" applyProtection="false">
      <alignment horizontal="center" vertical="top" textRotation="0" wrapText="true" indent="0" shrinkToFit="false"/>
      <protection locked="true" hidden="false"/>
    </xf>
    <xf numFmtId="164" fontId="24" fillId="5" borderId="1" xfId="0" applyFont="true" applyBorder="true" applyAlignment="true" applyProtection="false">
      <alignment horizontal="center" vertical="top" textRotation="0" wrapText="true" indent="0" shrinkToFit="false"/>
      <protection locked="true" hidden="false"/>
    </xf>
    <xf numFmtId="164" fontId="23" fillId="5" borderId="2" xfId="0" applyFont="true" applyBorder="true" applyAlignment="true" applyProtection="false">
      <alignment horizontal="center" vertical="top" textRotation="0" wrapText="true" indent="0" shrinkToFit="false"/>
      <protection locked="true" hidden="false"/>
    </xf>
    <xf numFmtId="164" fontId="23" fillId="5" borderId="1" xfId="0" applyFont="true" applyBorder="true" applyAlignment="true" applyProtection="false">
      <alignment horizontal="center"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false" indent="0" shrinkToFit="false"/>
      <protection locked="true" hidden="false"/>
    </xf>
    <xf numFmtId="165" fontId="25" fillId="0" borderId="1" xfId="0" applyFont="true" applyBorder="true" applyAlignment="true" applyProtection="false">
      <alignment horizontal="center" vertical="top" textRotation="0" wrapText="true" indent="0" shrinkToFit="false"/>
      <protection locked="true" hidden="false"/>
    </xf>
    <xf numFmtId="164" fontId="25" fillId="0" borderId="2"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23" fillId="0" borderId="1" xfId="0" applyFont="true" applyBorder="true" applyAlignment="true" applyProtection="false">
      <alignment horizontal="center" vertical="top"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5" fontId="23" fillId="0" borderId="1" xfId="0" applyFont="true" applyBorder="true" applyAlignment="true" applyProtection="false">
      <alignment horizontal="center" vertical="top" textRotation="0" wrapText="true" indent="0" shrinkToFit="false"/>
      <protection locked="true" hidden="false"/>
    </xf>
    <xf numFmtId="164" fontId="23" fillId="0" borderId="2"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5" fontId="27" fillId="0" borderId="1" xfId="0" applyFont="true" applyBorder="true" applyAlignment="true" applyProtection="false">
      <alignment horizontal="center" vertical="top" textRotation="0" wrapText="tru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27" fillId="0" borderId="3" xfId="0" applyFont="true" applyBorder="true" applyAlignment="true" applyProtection="false">
      <alignment horizontal="general" vertical="top" textRotation="0" wrapText="true" indent="0" shrinkToFit="false"/>
      <protection locked="true" hidden="false"/>
    </xf>
    <xf numFmtId="164" fontId="27" fillId="0" borderId="3" xfId="0" applyFont="true" applyBorder="true" applyAlignment="true" applyProtection="false">
      <alignment horizontal="center" vertical="top" textRotation="0" wrapText="true" indent="0" shrinkToFit="false"/>
      <protection locked="true" hidden="false"/>
    </xf>
    <xf numFmtId="164" fontId="27" fillId="0" borderId="4" xfId="0" applyFont="true" applyBorder="true" applyAlignment="true" applyProtection="false">
      <alignment horizontal="general" vertical="top" textRotation="0" wrapText="true" indent="0" shrinkToFit="false"/>
      <protection locked="true" hidden="false"/>
    </xf>
    <xf numFmtId="164" fontId="25" fillId="0" borderId="3" xfId="0" applyFont="true" applyBorder="true" applyAlignment="true" applyProtection="false">
      <alignment horizontal="general" vertical="top" textRotation="0" wrapText="true" indent="0" shrinkToFit="false"/>
      <protection locked="true" hidden="false"/>
    </xf>
    <xf numFmtId="164" fontId="26" fillId="0" borderId="3" xfId="0" applyFont="true" applyBorder="true" applyAlignment="true" applyProtection="false">
      <alignment horizontal="general"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12" fillId="0" borderId="6" xfId="0" applyFont="true" applyBorder="true" applyAlignment="true" applyProtection="false">
      <alignment horizontal="center" vertical="top" textRotation="0" wrapText="false" indent="0" shrinkToFit="false"/>
      <protection locked="true" hidden="false"/>
    </xf>
    <xf numFmtId="164" fontId="12" fillId="0" borderId="7" xfId="0" applyFont="tru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false" indent="0" shrinkToFit="false"/>
      <protection locked="true" hidden="false"/>
    </xf>
    <xf numFmtId="164" fontId="26" fillId="0" borderId="5"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12" fillId="0" borderId="7" xfId="0" applyFont="true" applyBorder="true" applyAlignment="true" applyProtection="false">
      <alignment horizontal="left"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26" fillId="0" borderId="6" xfId="0" applyFont="true" applyBorder="true" applyAlignment="true" applyProtection="false">
      <alignment horizontal="general" vertical="top" textRotation="0" wrapText="fals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25" fillId="0" borderId="4" xfId="0" applyFont="true" applyBorder="true" applyAlignment="true" applyProtection="false">
      <alignment horizontal="general"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5" fontId="25" fillId="0" borderId="2" xfId="0" applyFont="true" applyBorder="true" applyAlignment="true" applyProtection="false">
      <alignment horizontal="center" vertical="top" textRotation="0" wrapText="false" indent="0" shrinkToFit="false"/>
      <protection locked="true" hidden="false"/>
    </xf>
    <xf numFmtId="165" fontId="25" fillId="0" borderId="1" xfId="0" applyFont="true" applyBorder="true" applyAlignment="true" applyProtection="false">
      <alignment horizontal="center" vertical="top" textRotation="0" wrapText="false" indent="0" shrinkToFit="false"/>
      <protection locked="true" hidden="false"/>
    </xf>
    <xf numFmtId="164" fontId="25" fillId="0" borderId="9"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top" textRotation="0" wrapText="false" indent="0" shrinkToFit="false"/>
      <protection locked="true" hidden="false"/>
    </xf>
    <xf numFmtId="164" fontId="29" fillId="0" borderId="1" xfId="0" applyFont="true" applyBorder="true" applyAlignment="true" applyProtection="false">
      <alignment horizontal="general" vertical="top" textRotation="0" wrapText="fals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4" fontId="30" fillId="0" borderId="3" xfId="0" applyFont="true" applyBorder="true" applyAlignment="true" applyProtection="false">
      <alignment horizontal="general" vertical="top" textRotation="0" wrapText="true" indent="0" shrinkToFit="false"/>
      <protection locked="true" hidden="false"/>
    </xf>
    <xf numFmtId="165" fontId="23" fillId="0" borderId="2" xfId="0" applyFont="true" applyBorder="true" applyAlignment="true" applyProtection="false">
      <alignment horizontal="center" vertical="top" textRotation="0" wrapText="true" indent="0" shrinkToFit="false"/>
      <protection locked="true" hidden="false"/>
    </xf>
    <xf numFmtId="165" fontId="27" fillId="0" borderId="2" xfId="0" applyFont="true" applyBorder="true" applyAlignment="true" applyProtection="false">
      <alignment horizontal="center"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center" vertical="top" textRotation="0" wrapText="true" indent="0" shrinkToFit="false"/>
      <protection locked="true" hidden="false"/>
    </xf>
    <xf numFmtId="164" fontId="22" fillId="0" borderId="1" xfId="0" applyFont="true" applyBorder="true" applyAlignment="true" applyProtection="false">
      <alignment horizontal="general" vertical="top" textRotation="0" wrapText="false" indent="0" shrinkToFit="false"/>
      <protection locked="true" hidden="false"/>
    </xf>
    <xf numFmtId="164" fontId="0" fillId="0" borderId="10" xfId="0" applyFont="fals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top" textRotation="0" wrapText="true" indent="0" shrinkToFit="false"/>
      <protection locked="true" hidden="false"/>
    </xf>
    <xf numFmtId="164" fontId="23" fillId="0" borderId="9"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25" fillId="0" borderId="1" xfId="0" applyFont="true" applyBorder="true" applyAlignment="true" applyProtection="false">
      <alignment horizontal="general" vertical="top" textRotation="0" wrapText="false" indent="0" shrinkToFit="false"/>
      <protection locked="true" hidden="false"/>
    </xf>
    <xf numFmtId="164" fontId="25" fillId="0" borderId="2" xfId="0" applyFont="true" applyBorder="tru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top" textRotation="0" wrapText="false" indent="0" shrinkToFit="false"/>
      <protection locked="true" hidden="false"/>
    </xf>
    <xf numFmtId="164" fontId="23" fillId="0" borderId="1" xfId="0" applyFont="true" applyBorder="true" applyAlignment="true" applyProtection="false">
      <alignment horizontal="center" vertical="top" textRotation="0" wrapText="false" indent="0" shrinkToFit="false"/>
      <protection locked="true" hidden="false"/>
    </xf>
    <xf numFmtId="165" fontId="23" fillId="0" borderId="1" xfId="0" applyFont="true" applyBorder="true" applyAlignment="true" applyProtection="false">
      <alignment horizontal="center" vertical="top" textRotation="0" wrapText="false" indent="0" shrinkToFit="false"/>
      <protection locked="true" hidden="false"/>
    </xf>
    <xf numFmtId="164" fontId="27" fillId="5" borderId="1" xfId="0" applyFont="true" applyBorder="true" applyAlignment="true" applyProtection="false">
      <alignment horizontal="center" vertical="top" textRotation="0" wrapText="false" indent="0" shrinkToFit="false"/>
      <protection locked="true" hidden="false"/>
    </xf>
    <xf numFmtId="164" fontId="29" fillId="5" borderId="1" xfId="0" applyFont="true" applyBorder="true" applyAlignment="true" applyProtection="false">
      <alignment horizontal="general" vertical="top" textRotation="0" wrapText="false" indent="0" shrinkToFit="false"/>
      <protection locked="true" hidden="false"/>
    </xf>
    <xf numFmtId="164" fontId="21" fillId="5" borderId="1" xfId="0" applyFont="true" applyBorder="true" applyAlignment="true" applyProtection="false">
      <alignment horizontal="general" vertical="top" textRotation="0" wrapText="false" indent="0" shrinkToFit="false"/>
      <protection locked="true" hidden="false"/>
    </xf>
    <xf numFmtId="164" fontId="26"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31" fillId="5" borderId="0" xfId="0" applyFont="true" applyBorder="false" applyAlignment="true" applyProtection="false">
      <alignment horizontal="general" vertical="top" textRotation="0" wrapText="true" indent="0" shrinkToFit="false"/>
      <protection locked="true" hidden="false"/>
    </xf>
    <xf numFmtId="164" fontId="25" fillId="5" borderId="1" xfId="0" applyFont="true" applyBorder="true" applyAlignment="true" applyProtection="false">
      <alignment horizontal="center" vertical="top" textRotation="0" wrapText="false" indent="0" shrinkToFit="false"/>
      <protection locked="true" hidden="false"/>
    </xf>
    <xf numFmtId="165" fontId="25" fillId="5" borderId="1" xfId="0" applyFont="true" applyBorder="true" applyAlignment="true" applyProtection="false">
      <alignment horizontal="center" vertical="top" textRotation="0" wrapText="false" indent="0" shrinkToFit="false"/>
      <protection locked="true" hidden="false"/>
    </xf>
    <xf numFmtId="164" fontId="25" fillId="5" borderId="2" xfId="0" applyFont="true" applyBorder="true" applyAlignment="true" applyProtection="false">
      <alignment horizontal="general" vertical="top" textRotation="0" wrapText="true" indent="0" shrinkToFit="false"/>
      <protection locked="true" hidden="false"/>
    </xf>
    <xf numFmtId="164" fontId="30" fillId="5"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general" vertical="top" textRotation="0" wrapText="fals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5" fontId="25" fillId="5" borderId="5" xfId="0" applyFont="true" applyBorder="true" applyAlignment="true" applyProtection="false">
      <alignment horizontal="center" vertical="top" textRotation="0" wrapText="false" indent="0" shrinkToFit="false"/>
      <protection locked="true" hidden="false"/>
    </xf>
    <xf numFmtId="164" fontId="27" fillId="6" borderId="1" xfId="0" applyFont="true" applyBorder="true" applyAlignment="true" applyProtection="false">
      <alignment horizontal="center" vertical="top" textRotation="0" wrapText="false" indent="0" shrinkToFit="false"/>
      <protection locked="true" hidden="false"/>
    </xf>
    <xf numFmtId="164" fontId="29" fillId="6" borderId="1" xfId="0" applyFont="true" applyBorder="true" applyAlignment="true" applyProtection="false">
      <alignment horizontal="general" vertical="top" textRotation="0" wrapText="false" indent="0" shrinkToFit="false"/>
      <protection locked="true" hidden="false"/>
    </xf>
    <xf numFmtId="164" fontId="21" fillId="6" borderId="1" xfId="0" applyFont="true" applyBorder="true" applyAlignment="true" applyProtection="false">
      <alignment horizontal="general" vertical="top" textRotation="0" wrapText="false" indent="0" shrinkToFit="false"/>
      <protection locked="true" hidden="false"/>
    </xf>
    <xf numFmtId="164" fontId="32" fillId="6" borderId="1" xfId="0" applyFont="true" applyBorder="true" applyAlignment="true" applyProtection="false">
      <alignment horizontal="general" vertical="top" textRotation="0" wrapText="false" indent="0" shrinkToFit="false"/>
      <protection locked="true" hidden="false"/>
    </xf>
    <xf numFmtId="164" fontId="13" fillId="0" borderId="5"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false" indent="0" shrinkToFit="false"/>
      <protection locked="true" hidden="false"/>
    </xf>
    <xf numFmtId="164" fontId="26" fillId="0" borderId="6" xfId="0" applyFont="true" applyBorder="true" applyAlignment="true" applyProtection="false">
      <alignment horizontal="general" vertical="top" textRotation="0" wrapText="true" indent="0" shrinkToFit="false"/>
      <protection locked="true" hidden="false"/>
    </xf>
    <xf numFmtId="164" fontId="13" fillId="0" borderId="8" xfId="0" applyFont="true" applyBorder="true" applyAlignment="true" applyProtection="false">
      <alignment horizontal="center" vertical="top" textRotation="0" wrapText="true" indent="0" shrinkToFit="false"/>
      <protection locked="true" hidden="false"/>
    </xf>
    <xf numFmtId="164" fontId="12" fillId="0" borderId="6" xfId="0" applyFont="true" applyBorder="true" applyAlignment="true" applyProtection="false">
      <alignment horizontal="general" vertical="top" textRotation="0" wrapText="true" indent="0" shrinkToFit="false"/>
      <protection locked="true" hidden="false"/>
    </xf>
    <xf numFmtId="164" fontId="11" fillId="6" borderId="6" xfId="0" applyFont="true" applyBorder="true" applyAlignment="true" applyProtection="false">
      <alignment horizontal="general" vertical="top" textRotation="0" wrapText="true" indent="0" shrinkToFit="false"/>
      <protection locked="true" hidden="false"/>
    </xf>
    <xf numFmtId="164" fontId="14" fillId="0" borderId="6" xfId="0" applyFont="true" applyBorder="true" applyAlignment="true" applyProtection="false">
      <alignment horizontal="general" vertical="top" textRotation="0" wrapText="true" indent="0" shrinkToFit="false"/>
      <protection locked="true" hidden="false"/>
    </xf>
    <xf numFmtId="164" fontId="14" fillId="0" borderId="8" xfId="0" applyFont="true" applyBorder="true" applyAlignment="true" applyProtection="false">
      <alignment horizontal="center" vertical="top" textRotation="0" wrapText="true" indent="0" shrinkToFit="false"/>
      <protection locked="true" hidden="false"/>
    </xf>
    <xf numFmtId="164" fontId="14" fillId="0" borderId="6" xfId="0" applyFont="true" applyBorder="true" applyAlignment="true" applyProtection="false">
      <alignment horizontal="general" vertical="bottom" textRotation="0" wrapText="true" indent="0" shrinkToFit="false"/>
      <protection locked="true" hidden="false"/>
    </xf>
    <xf numFmtId="164" fontId="27" fillId="6" borderId="6" xfId="0" applyFont="true" applyBorder="true" applyAlignment="true" applyProtection="false">
      <alignment horizontal="general" vertical="top" textRotation="0" wrapText="true" indent="0" shrinkToFit="false"/>
      <protection locked="true" hidden="false"/>
    </xf>
    <xf numFmtId="164" fontId="23" fillId="6" borderId="1" xfId="0" applyFont="true" applyBorder="true" applyAlignment="true" applyProtection="false">
      <alignment horizontal="general" vertical="top" textRotation="0" wrapText="true" indent="0" shrinkToFit="false"/>
      <protection locked="true" hidden="false"/>
    </xf>
    <xf numFmtId="164" fontId="27" fillId="6" borderId="1" xfId="0" applyFont="true" applyBorder="true" applyAlignment="true" applyProtection="false">
      <alignment horizontal="general" vertical="top" textRotation="0" wrapText="true" indent="0" shrinkToFit="false"/>
      <protection locked="true" hidden="false"/>
    </xf>
    <xf numFmtId="164" fontId="25" fillId="6" borderId="1" xfId="0" applyFont="true" applyBorder="true" applyAlignment="true" applyProtection="false">
      <alignment horizontal="general" vertical="top" textRotation="0" wrapText="true" indent="0" shrinkToFit="false"/>
      <protection locked="true" hidden="false"/>
    </xf>
    <xf numFmtId="165" fontId="23" fillId="0" borderId="2" xfId="0" applyFont="true" applyBorder="true" applyAlignment="true" applyProtection="false">
      <alignment horizontal="center" vertical="top" textRotation="0" wrapText="false" indent="0" shrinkToFit="false"/>
      <protection locked="true" hidden="false"/>
    </xf>
    <xf numFmtId="164" fontId="26" fillId="6" borderId="0" xfId="0" applyFont="true" applyBorder="false" applyAlignment="true" applyProtection="false">
      <alignment horizontal="general" vertical="top" textRotation="0" wrapText="false" indent="0" shrinkToFit="false"/>
      <protection locked="true" hidden="false"/>
    </xf>
    <xf numFmtId="164" fontId="25" fillId="6" borderId="9" xfId="0" applyFont="true" applyBorder="true" applyAlignment="true" applyProtection="false">
      <alignment horizontal="general" vertical="top" textRotation="0" wrapText="true" indent="0" shrinkToFit="false"/>
      <protection locked="true" hidden="false"/>
    </xf>
    <xf numFmtId="164" fontId="25" fillId="6" borderId="2" xfId="0" applyFont="true" applyBorder="true" applyAlignment="true" applyProtection="false">
      <alignment horizontal="general" vertical="top" textRotation="0" wrapText="tru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center" vertical="top" textRotation="0" wrapText="false" indent="0" shrinkToFit="false"/>
      <protection locked="true" hidden="false"/>
    </xf>
    <xf numFmtId="164" fontId="29" fillId="0" borderId="0" xfId="0" applyFont="tru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top" textRotation="0" wrapText="true" indent="0" shrinkToFit="false"/>
      <protection locked="true" hidden="false"/>
    </xf>
    <xf numFmtId="164" fontId="21" fillId="0" borderId="6" xfId="0" applyFont="true" applyBorder="true" applyAlignment="true" applyProtection="false">
      <alignment horizontal="general" vertical="top" textRotation="0" wrapText="false" indent="0" shrinkToFit="false"/>
      <protection locked="true" hidden="false"/>
    </xf>
    <xf numFmtId="164" fontId="21" fillId="0" borderId="6" xfId="0" applyFont="true" applyBorder="tru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general" vertical="top" textRotation="0" wrapText="true" indent="0" shrinkToFit="false"/>
      <protection locked="true" hidden="false"/>
    </xf>
    <xf numFmtId="164" fontId="25" fillId="5" borderId="1" xfId="0" applyFont="true" applyBorder="true" applyAlignment="true" applyProtection="false">
      <alignment horizontal="center" vertical="top" textRotation="0" wrapText="true" indent="0" shrinkToFit="false"/>
      <protection locked="true" hidden="false"/>
    </xf>
    <xf numFmtId="164" fontId="25" fillId="5" borderId="1" xfId="0" applyFont="true" applyBorder="true" applyAlignment="true" applyProtection="false">
      <alignment horizontal="general" vertical="top" textRotation="0" wrapText="true" indent="0" shrinkToFit="false"/>
      <protection locked="true" hidden="false"/>
    </xf>
    <xf numFmtId="164" fontId="26" fillId="5" borderId="1" xfId="0" applyFont="true" applyBorder="true" applyAlignment="true" applyProtection="false">
      <alignment horizontal="general" vertical="top" textRotation="0" wrapText="false" indent="0" shrinkToFit="false"/>
      <protection locked="true" hidden="false"/>
    </xf>
    <xf numFmtId="164" fontId="23" fillId="5" borderId="1" xfId="0" applyFont="true" applyBorder="true" applyAlignment="true" applyProtection="false">
      <alignment horizontal="general" vertical="top" textRotation="0" wrapText="true" indent="0" shrinkToFit="false"/>
      <protection locked="true" hidden="false"/>
    </xf>
    <xf numFmtId="165" fontId="25" fillId="5" borderId="1" xfId="0" applyFont="true" applyBorder="true" applyAlignment="true" applyProtection="false">
      <alignment horizontal="center" vertical="top" textRotation="0" wrapText="true" indent="0" shrinkToFit="false"/>
      <protection locked="true" hidden="false"/>
    </xf>
    <xf numFmtId="164" fontId="27" fillId="5" borderId="1" xfId="0" applyFont="true" applyBorder="true" applyAlignment="true" applyProtection="false">
      <alignment horizontal="general" vertical="top" textRotation="0" wrapText="tru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2" fillId="0" borderId="1" xfId="0" applyFont="true" applyBorder="tru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general" vertical="top" textRotation="0" wrapText="true" indent="0" shrinkToFit="false"/>
      <protection locked="true" hidden="false"/>
    </xf>
    <xf numFmtId="165" fontId="23" fillId="5" borderId="1" xfId="0" applyFont="true" applyBorder="true" applyAlignment="true" applyProtection="false">
      <alignment horizontal="center" vertical="top" textRotation="0" wrapText="true" indent="0" shrinkToFit="false"/>
      <protection locked="true" hidden="false"/>
    </xf>
    <xf numFmtId="164" fontId="27" fillId="5" borderId="1" xfId="0" applyFont="true" applyBorder="true" applyAlignment="true" applyProtection="false">
      <alignment horizontal="center" vertical="top" textRotation="0" wrapText="true" indent="0" shrinkToFit="false"/>
      <protection locked="true" hidden="false"/>
    </xf>
    <xf numFmtId="165" fontId="27" fillId="5" borderId="1" xfId="0" applyFont="true" applyBorder="true" applyAlignment="true" applyProtection="false">
      <alignment horizontal="center" vertical="top" textRotation="0" wrapText="true" indent="0" shrinkToFit="false"/>
      <protection locked="true" hidden="false"/>
    </xf>
    <xf numFmtId="164" fontId="27" fillId="9" borderId="1" xfId="0" applyFont="true" applyBorder="true" applyAlignment="true" applyProtection="false">
      <alignment horizontal="center" vertical="top" textRotation="0" wrapText="false" indent="0" shrinkToFit="false"/>
      <protection locked="true" hidden="false"/>
    </xf>
    <xf numFmtId="164" fontId="29" fillId="9" borderId="1" xfId="0" applyFont="true" applyBorder="tru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false" indent="0" shrinkToFit="false"/>
      <protection locked="true" hidden="false"/>
    </xf>
    <xf numFmtId="164" fontId="26" fillId="9" borderId="1" xfId="0" applyFont="true" applyBorder="true" applyAlignment="true" applyProtection="false">
      <alignment horizontal="general" vertical="top" textRotation="0" wrapText="false" indent="0" shrinkToFit="false"/>
      <protection locked="true" hidden="false"/>
    </xf>
    <xf numFmtId="164" fontId="37" fillId="9" borderId="1" xfId="0" applyFont="true" applyBorder="true" applyAlignment="true" applyProtection="false">
      <alignment horizontal="general" vertical="top" textRotation="0" wrapText="false" indent="0" shrinkToFit="false"/>
      <protection locked="true" hidden="false"/>
    </xf>
    <xf numFmtId="164" fontId="37" fillId="9" borderId="1" xfId="0" applyFont="true" applyBorder="true" applyAlignment="true" applyProtection="false">
      <alignment horizontal="general" vertical="top" textRotation="0" wrapText="true" indent="0" shrinkToFit="false"/>
      <protection locked="true" hidden="false"/>
    </xf>
    <xf numFmtId="164" fontId="30" fillId="9" borderId="1" xfId="0" applyFont="true" applyBorder="true" applyAlignment="true" applyProtection="false">
      <alignment horizontal="general" vertical="top" textRotation="0" wrapText="true" indent="0" shrinkToFit="false"/>
      <protection locked="true" hidden="false"/>
    </xf>
    <xf numFmtId="164" fontId="25" fillId="9" borderId="1" xfId="0" applyFont="true" applyBorder="true" applyAlignment="true" applyProtection="false">
      <alignment horizontal="center" vertical="top" textRotation="0" wrapText="false" indent="0" shrinkToFit="false"/>
      <protection locked="true" hidden="false"/>
    </xf>
    <xf numFmtId="165" fontId="25" fillId="9" borderId="1" xfId="0" applyFont="true" applyBorder="true" applyAlignment="true" applyProtection="false">
      <alignment horizontal="center" vertical="top" textRotation="0" wrapText="false" indent="0" shrinkToFit="false"/>
      <protection locked="true" hidden="false"/>
    </xf>
    <xf numFmtId="164" fontId="25" fillId="9" borderId="1" xfId="0" applyFont="true" applyBorder="true" applyAlignment="true" applyProtection="false">
      <alignment horizontal="left" vertical="top" textRotation="0" wrapText="false" indent="0" shrinkToFit="false"/>
      <protection locked="true" hidden="false"/>
    </xf>
    <xf numFmtId="164" fontId="0" fillId="9" borderId="0" xfId="0" applyFont="fals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true" applyProtection="false">
      <alignment horizontal="general" vertical="top" textRotation="0" wrapText="false" indent="0" shrinkToFit="false"/>
      <protection locked="true" hidden="false"/>
    </xf>
    <xf numFmtId="164" fontId="28" fillId="0" borderId="1" xfId="0" applyFont="true" applyBorder="true" applyAlignment="true" applyProtection="false">
      <alignment horizontal="general" vertical="top" textRotation="0" wrapText="false" indent="0" shrinkToFit="false"/>
      <protection locked="true" hidden="false"/>
    </xf>
    <xf numFmtId="164" fontId="38" fillId="0" borderId="1" xfId="0" applyFont="true" applyBorder="true" applyAlignment="true" applyProtection="false">
      <alignment horizontal="general" vertical="top" textRotation="0" wrapText="fals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5" fontId="27"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0" fillId="5" borderId="0" xfId="0" applyFont="fals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20" fillId="10"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fals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40" fillId="0" borderId="1" xfId="20" applyFont="true" applyBorder="true" applyAlignment="true" applyProtection="false">
      <alignment horizontal="general" vertical="center" textRotation="0" wrapText="false" indent="0" shrinkToFit="false"/>
      <protection locked="true" hidden="false"/>
    </xf>
    <xf numFmtId="164" fontId="35" fillId="0" borderId="1" xfId="0" applyFont="true" applyBorder="true" applyAlignment="true" applyProtection="false">
      <alignment horizontal="general" vertical="center" textRotation="0" wrapText="fals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5" fontId="0" fillId="12"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3">
    <dxf>
      <fill>
        <patternFill patternType="solid">
          <fgColor rgb="FFDDE7F0"/>
          <bgColor rgb="FF000000"/>
        </patternFill>
      </fill>
    </dxf>
    <dxf>
      <fill>
        <patternFill patternType="solid">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FBD5B5"/>
        </patternFill>
      </fill>
    </dxf>
    <dxf>
      <fill>
        <patternFill>
          <bgColor rgb="FFF4B6B6"/>
        </patternFill>
      </fill>
    </dxf>
    <dxf>
      <fill>
        <patternFill patternType="solid">
          <fgColor rgb="FFFFFF00"/>
          <bgColor rgb="FF000000"/>
        </patternFill>
      </fill>
    </dxf>
    <dxf>
      <fill>
        <patternFill patternType="solid">
          <fgColor rgb="FFFFFFFF"/>
          <bgColor rgb="FF000000"/>
        </patternFill>
      </fill>
    </dxf>
    <dxf>
      <fill>
        <patternFill>
          <bgColor rgb="FFFFC7CE"/>
        </patternFill>
      </fill>
    </dxf>
    <dxf>
      <font>
        <i val="1"/>
        <color rgb="FF7F7F7F"/>
      </font>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70C0"/>
      <rgbColor rgb="FFB4C7E7"/>
      <rgbColor rgb="FF7F7F7F"/>
      <rgbColor rgb="FF9999FF"/>
      <rgbColor rgb="FF993366"/>
      <rgbColor rgb="FFFFF2B3"/>
      <rgbColor rgb="FFDDE7F0"/>
      <rgbColor rgb="FF660066"/>
      <rgbColor rgb="FFFF8080"/>
      <rgbColor rgb="FF0563C1"/>
      <rgbColor rgb="FFBDD6EE"/>
      <rgbColor rgb="FF000080"/>
      <rgbColor rgb="FFFF00FF"/>
      <rgbColor rgb="FFFFFF00"/>
      <rgbColor rgb="FF00FFFF"/>
      <rgbColor rgb="FF800080"/>
      <rgbColor rgb="FF800000"/>
      <rgbColor rgb="FF008080"/>
      <rgbColor rgb="FF0000FF"/>
      <rgbColor rgb="FF00CCFF"/>
      <rgbColor rgb="FFE7E6E6"/>
      <rgbColor rgb="FFC5E0B3"/>
      <rgbColor rgb="FFFFC7CE"/>
      <rgbColor rgb="FFA8D08D"/>
      <rgbColor rgb="FFF4B6B6"/>
      <rgbColor rgb="FFCC99FF"/>
      <rgbColor rgb="FFFBD5B5"/>
      <rgbColor rgb="FF3366FF"/>
      <rgbColor rgb="FF33CCCC"/>
      <rgbColor rgb="FF99CC00"/>
      <rgbColor rgb="FFF2C2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38.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3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4.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5.xml.rels><?xml version="1.0" encoding="UTF-8"?>
<Relationships xmlns="http://schemas.openxmlformats.org/package/2006/relationships"><Relationship Id="rId1" Type="http://schemas.openxmlformats.org/officeDocument/2006/relationships/hyperlink" Target="https://ksrsac.karnataka.gov.in/map.aspx" TargetMode="External"/>
</Relationships>
</file>

<file path=xl/worksheets/_rels/sheet46.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7.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8.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52.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3.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4.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5.xml.rels><?xml version="1.0" encoding="UTF-8"?>
<Relationships xmlns="http://schemas.openxmlformats.org/package/2006/relationships"><Relationship Id="rId1" Type="http://schemas.openxmlformats.org/officeDocument/2006/relationships/hyperlink" Target="https://www.thehindu.com/news/cities/bangalore/proposed-economic-masterplan-for-bengaluru-metropolitan-region-targets-75-public-transport/article71420718.ece" TargetMode="External"/>
</Relationships>
</file>

<file path=xl/worksheets/_rels/sheet6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16"/>
    <col collapsed="false" customWidth="true" hidden="false" outlineLevel="0" max="10" min="10" style="0" width="20"/>
    <col collapsed="false" customWidth="true" hidden="false" outlineLevel="0" max="11" min="11" style="0" width="60"/>
    <col collapsed="false" customWidth="true" hidden="false" outlineLevel="0" max="12" min="12" style="0" width="36"/>
    <col collapsed="false" customWidth="true" hidden="false" outlineLevel="0" max="13" min="13" style="0" width="30"/>
    <col collapsed="false" customWidth="true" hidden="false" outlineLevel="0" max="14" min="14" style="0" width="50"/>
    <col collapsed="false" customWidth="true" hidden="false" outlineLevel="0" max="15" min="15" style="0" width="70"/>
    <col collapsed="false" customWidth="true" hidden="false" outlineLevel="0" max="16" min="16" style="0" width="50"/>
  </cols>
  <sheetData>
    <row r="1" customFormat="false" ht="39.55" hidden="false" customHeight="fals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row>
    <row r="2" customFormat="false" ht="147" hidden="false" customHeight="false" outlineLevel="0" collapsed="false">
      <c r="A2" s="3" t="s">
        <v>16</v>
      </c>
      <c r="B2" s="3" t="s">
        <v>17</v>
      </c>
      <c r="C2" s="3" t="s">
        <v>18</v>
      </c>
      <c r="D2" s="3" t="str">
        <f aca="false">IFERROR('UPD1'!J33,"")</f>
        <v/>
      </c>
      <c r="E2" s="3" t="s">
        <v>19</v>
      </c>
      <c r="F2" s="4"/>
      <c r="G2" s="4"/>
      <c r="H2" s="5" t="str">
        <f aca="false">IF(OR(F2="",NOT(ISNUMBER(D2))),"",IF(ABS(F2-D2)&lt;0.001,"Yes","No"))</f>
        <v/>
      </c>
      <c r="I2" s="3" t="s">
        <v>20</v>
      </c>
      <c r="J2" s="3" t="s">
        <v>21</v>
      </c>
      <c r="K2" s="3"/>
      <c r="L2" s="3"/>
      <c r="M2" s="3"/>
      <c r="N2" s="3"/>
      <c r="O2" s="3"/>
      <c r="P2" s="3" t="s">
        <v>22</v>
      </c>
    </row>
    <row r="3" customFormat="false" ht="426.85" hidden="false" customHeight="false" outlineLevel="0" collapsed="false">
      <c r="A3" s="3" t="s">
        <v>23</v>
      </c>
      <c r="B3" s="3" t="s">
        <v>17</v>
      </c>
      <c r="C3" s="3" t="s">
        <v>24</v>
      </c>
      <c r="D3" s="6" t="n">
        <f aca="false">IFERROR('UPD2'!I33,"")</f>
        <v>10</v>
      </c>
      <c r="E3" s="3" t="s">
        <v>19</v>
      </c>
      <c r="F3" s="4"/>
      <c r="G3" s="4"/>
      <c r="H3" s="5" t="str">
        <f aca="false">IF(OR(F3="",NOT(ISNUMBER(D3))),"",IF(ABS(F3-D3)&lt;0.001,"Yes","No"))</f>
        <v/>
      </c>
      <c r="I3" s="3" t="s">
        <v>25</v>
      </c>
      <c r="J3" s="3" t="s">
        <v>26</v>
      </c>
      <c r="K3" s="3" t="s">
        <v>27</v>
      </c>
      <c r="L3" s="3" t="s">
        <v>28</v>
      </c>
      <c r="M3" s="3" t="s">
        <v>29</v>
      </c>
      <c r="N3" s="3" t="s">
        <v>30</v>
      </c>
      <c r="O3" s="3" t="s">
        <v>31</v>
      </c>
      <c r="P3" s="3"/>
    </row>
    <row r="4" customFormat="false" ht="471.6" hidden="false" customHeight="false" outlineLevel="0" collapsed="false">
      <c r="A4" s="3" t="s">
        <v>32</v>
      </c>
      <c r="B4" s="3" t="s">
        <v>17</v>
      </c>
      <c r="C4" s="3" t="s">
        <v>33</v>
      </c>
      <c r="D4" s="3" t="str">
        <f aca="false">IFERROR(UPD3a!I33,"")</f>
        <v/>
      </c>
      <c r="E4" s="3" t="s">
        <v>34</v>
      </c>
      <c r="F4" s="4"/>
      <c r="G4" s="4"/>
      <c r="H4" s="5" t="str">
        <f aca="false">IF(OR(F4="",NOT(ISNUMBER(D4))),"",IF(ABS(F4-D4)&lt;0.001,"Yes","No"))</f>
        <v/>
      </c>
      <c r="I4" s="3" t="s">
        <v>20</v>
      </c>
      <c r="J4" s="3" t="s">
        <v>26</v>
      </c>
      <c r="K4" s="3" t="s">
        <v>35</v>
      </c>
      <c r="L4" s="3" t="s">
        <v>36</v>
      </c>
      <c r="M4" s="3" t="s">
        <v>37</v>
      </c>
      <c r="N4" s="3" t="s">
        <v>38</v>
      </c>
      <c r="O4" s="3" t="s">
        <v>39</v>
      </c>
      <c r="P4" s="3" t="s">
        <v>40</v>
      </c>
    </row>
    <row r="5" customFormat="false" ht="382.05" hidden="false" customHeight="false" outlineLevel="0" collapsed="false">
      <c r="A5" s="3" t="s">
        <v>41</v>
      </c>
      <c r="B5" s="3" t="s">
        <v>17</v>
      </c>
      <c r="C5" s="3" t="s">
        <v>42</v>
      </c>
      <c r="D5" s="6" t="n">
        <f aca="false">IFERROR(UPD3b!I33,"")</f>
        <v>3.33</v>
      </c>
      <c r="E5" s="3" t="s">
        <v>34</v>
      </c>
      <c r="F5" s="4"/>
      <c r="G5" s="4"/>
      <c r="H5" s="5" t="str">
        <f aca="false">IF(OR(F5="",NOT(ISNUMBER(D5))),"",IF(ABS(F5-D5)&lt;0.001,"Yes","No"))</f>
        <v/>
      </c>
      <c r="I5" s="3" t="s">
        <v>25</v>
      </c>
      <c r="J5" s="3" t="s">
        <v>26</v>
      </c>
      <c r="K5" s="3" t="s">
        <v>43</v>
      </c>
      <c r="L5" s="3" t="s">
        <v>44</v>
      </c>
      <c r="M5" s="3" t="s">
        <v>45</v>
      </c>
      <c r="N5" s="3" t="s">
        <v>46</v>
      </c>
      <c r="O5" s="3" t="s">
        <v>47</v>
      </c>
      <c r="P5" s="3"/>
    </row>
    <row r="6" customFormat="false" ht="605.95" hidden="false" customHeight="false" outlineLevel="0" collapsed="false">
      <c r="A6" s="3" t="s">
        <v>48</v>
      </c>
      <c r="B6" s="3" t="s">
        <v>17</v>
      </c>
      <c r="C6" s="3" t="s">
        <v>49</v>
      </c>
      <c r="D6" s="3" t="str">
        <f aca="false">IFERROR(UPD3c!I33,"")</f>
        <v/>
      </c>
      <c r="E6" s="3" t="s">
        <v>34</v>
      </c>
      <c r="F6" s="4"/>
      <c r="G6" s="4"/>
      <c r="H6" s="5" t="str">
        <f aca="false">IF(OR(F6="",NOT(ISNUMBER(D6))),"",IF(ABS(F6-D6)&lt;0.001,"Yes","No"))</f>
        <v/>
      </c>
      <c r="I6" s="3" t="s">
        <v>20</v>
      </c>
      <c r="J6" s="3" t="s">
        <v>26</v>
      </c>
      <c r="K6" s="3" t="s">
        <v>50</v>
      </c>
      <c r="L6" s="3" t="s">
        <v>36</v>
      </c>
      <c r="M6" s="3" t="s">
        <v>37</v>
      </c>
      <c r="N6" s="3" t="s">
        <v>51</v>
      </c>
      <c r="O6" s="3" t="s">
        <v>52</v>
      </c>
      <c r="P6" s="3" t="s">
        <v>40</v>
      </c>
    </row>
    <row r="7" customFormat="false" ht="415.65" hidden="false" customHeight="false" outlineLevel="0" collapsed="false">
      <c r="A7" s="3" t="s">
        <v>53</v>
      </c>
      <c r="B7" s="3" t="s">
        <v>17</v>
      </c>
      <c r="C7" s="3" t="s">
        <v>54</v>
      </c>
      <c r="D7" s="6" t="n">
        <f aca="false">IFERROR('UPD4'!I33,"")</f>
        <v>0</v>
      </c>
      <c r="E7" s="3" t="s">
        <v>19</v>
      </c>
      <c r="F7" s="4"/>
      <c r="G7" s="4"/>
      <c r="H7" s="5" t="str">
        <f aca="false">IF(OR(F7="",NOT(ISNUMBER(D7))),"",IF(ABS(F7-D7)&lt;0.001,"Yes","No"))</f>
        <v/>
      </c>
      <c r="I7" s="3" t="s">
        <v>25</v>
      </c>
      <c r="J7" s="3" t="s">
        <v>26</v>
      </c>
      <c r="K7" s="3" t="s">
        <v>55</v>
      </c>
      <c r="L7" s="3" t="s">
        <v>28</v>
      </c>
      <c r="M7" s="3" t="s">
        <v>29</v>
      </c>
      <c r="N7" s="3" t="s">
        <v>56</v>
      </c>
      <c r="O7" s="3" t="s">
        <v>57</v>
      </c>
      <c r="P7" s="3"/>
    </row>
    <row r="8" customFormat="false" ht="505.2" hidden="false" customHeight="false" outlineLevel="0" collapsed="false">
      <c r="A8" s="3" t="s">
        <v>58</v>
      </c>
      <c r="B8" s="3" t="s">
        <v>17</v>
      </c>
      <c r="C8" s="3" t="s">
        <v>59</v>
      </c>
      <c r="D8" s="6" t="n">
        <f aca="false">IFERROR(UPD5a!I33,"")</f>
        <v>3.33</v>
      </c>
      <c r="E8" s="3" t="s">
        <v>34</v>
      </c>
      <c r="F8" s="4"/>
      <c r="G8" s="4"/>
      <c r="H8" s="5" t="str">
        <f aca="false">IF(OR(F8="",NOT(ISNUMBER(D8))),"",IF(ABS(F8-D8)&lt;0.001,"Yes","No"))</f>
        <v/>
      </c>
      <c r="I8" s="3" t="s">
        <v>25</v>
      </c>
      <c r="J8" s="3" t="s">
        <v>60</v>
      </c>
      <c r="K8" s="3" t="s">
        <v>61</v>
      </c>
      <c r="L8" s="3" t="s">
        <v>36</v>
      </c>
      <c r="M8" s="3" t="s">
        <v>37</v>
      </c>
      <c r="N8" s="3" t="s">
        <v>62</v>
      </c>
      <c r="O8" s="3" t="s">
        <v>63</v>
      </c>
      <c r="P8" s="3"/>
    </row>
    <row r="9" customFormat="false" ht="482.8" hidden="false" customHeight="false" outlineLevel="0" collapsed="false">
      <c r="A9" s="3" t="s">
        <v>64</v>
      </c>
      <c r="B9" s="3" t="s">
        <v>17</v>
      </c>
      <c r="C9" s="3" t="s">
        <v>65</v>
      </c>
      <c r="D9" s="3" t="str">
        <f aca="false">IFERROR(UPD5b!I33,"")</f>
        <v/>
      </c>
      <c r="E9" s="3" t="s">
        <v>34</v>
      </c>
      <c r="F9" s="4"/>
      <c r="G9" s="4"/>
      <c r="H9" s="5" t="str">
        <f aca="false">IF(OR(F9="",NOT(ISNUMBER(D9))),"",IF(ABS(F9-D9)&lt;0.001,"Yes","No"))</f>
        <v/>
      </c>
      <c r="I9" s="3" t="s">
        <v>20</v>
      </c>
      <c r="J9" s="3" t="s">
        <v>26</v>
      </c>
      <c r="K9" s="3" t="s">
        <v>66</v>
      </c>
      <c r="L9" s="3" t="s">
        <v>67</v>
      </c>
      <c r="M9" s="3" t="s">
        <v>68</v>
      </c>
      <c r="N9" s="3" t="s">
        <v>69</v>
      </c>
      <c r="O9" s="3" t="s">
        <v>70</v>
      </c>
      <c r="P9" s="3" t="s">
        <v>40</v>
      </c>
    </row>
    <row r="10" customFormat="false" ht="460.4" hidden="false" customHeight="false" outlineLevel="0" collapsed="false">
      <c r="A10" s="3" t="s">
        <v>71</v>
      </c>
      <c r="B10" s="3" t="s">
        <v>17</v>
      </c>
      <c r="C10" s="3" t="s">
        <v>72</v>
      </c>
      <c r="D10" s="3" t="str">
        <f aca="false">IFERROR(UPD5c!I33,"")</f>
        <v/>
      </c>
      <c r="E10" s="3" t="s">
        <v>34</v>
      </c>
      <c r="F10" s="4"/>
      <c r="G10" s="4"/>
      <c r="H10" s="5" t="str">
        <f aca="false">IF(OR(F10="",NOT(ISNUMBER(D10))),"",IF(ABS(F10-D10)&lt;0.001,"Yes","No"))</f>
        <v/>
      </c>
      <c r="I10" s="3" t="s">
        <v>20</v>
      </c>
      <c r="J10" s="3" t="s">
        <v>26</v>
      </c>
      <c r="K10" s="3" t="s">
        <v>73</v>
      </c>
      <c r="L10" s="3" t="s">
        <v>36</v>
      </c>
      <c r="M10" s="3" t="s">
        <v>37</v>
      </c>
      <c r="N10" s="3" t="s">
        <v>74</v>
      </c>
      <c r="O10" s="3" t="s">
        <v>75</v>
      </c>
      <c r="P10" s="3" t="s">
        <v>40</v>
      </c>
    </row>
    <row r="11" customFormat="false" ht="124.6" hidden="false" customHeight="false" outlineLevel="0" collapsed="false">
      <c r="A11" s="3" t="s">
        <v>76</v>
      </c>
      <c r="B11" s="3" t="s">
        <v>17</v>
      </c>
      <c r="C11" s="3" t="s">
        <v>77</v>
      </c>
      <c r="D11" s="3" t="str">
        <f aca="false">IFERROR('UPD6'!K33,"")</f>
        <v/>
      </c>
      <c r="E11" s="3" t="s">
        <v>19</v>
      </c>
      <c r="F11" s="4"/>
      <c r="G11" s="4"/>
      <c r="H11" s="5" t="str">
        <f aca="false">IF(OR(F11="",NOT(ISNUMBER(D11))),"",IF(ABS(F11-D11)&lt;0.001,"Yes","No"))</f>
        <v/>
      </c>
      <c r="I11" s="3" t="s">
        <v>20</v>
      </c>
      <c r="J11" s="3" t="s">
        <v>21</v>
      </c>
      <c r="K11" s="3"/>
      <c r="L11" s="3"/>
      <c r="M11" s="3"/>
      <c r="N11" s="3"/>
      <c r="O11" s="3"/>
      <c r="P11" s="3" t="s">
        <v>78</v>
      </c>
    </row>
    <row r="12" customFormat="false" ht="258.95" hidden="false" customHeight="false" outlineLevel="0" collapsed="false">
      <c r="A12" s="3" t="s">
        <v>79</v>
      </c>
      <c r="B12" s="3" t="s">
        <v>17</v>
      </c>
      <c r="C12" s="3" t="s">
        <v>80</v>
      </c>
      <c r="D12" s="3" t="str">
        <f aca="false">IFERROR(UPD7a!J33,"")</f>
        <v/>
      </c>
      <c r="E12" s="3" t="s">
        <v>81</v>
      </c>
      <c r="F12" s="4"/>
      <c r="G12" s="4"/>
      <c r="H12" s="5" t="str">
        <f aca="false">IF(OR(F12="",NOT(ISNUMBER(D12))),"",IF(ABS(F12-D12)&lt;0.001,"Yes","No"))</f>
        <v/>
      </c>
      <c r="I12" s="3" t="s">
        <v>20</v>
      </c>
      <c r="J12" s="3" t="s">
        <v>82</v>
      </c>
      <c r="K12" s="3" t="s">
        <v>83</v>
      </c>
      <c r="L12" s="3"/>
      <c r="M12" s="3"/>
      <c r="N12" s="3"/>
      <c r="O12" s="3"/>
      <c r="P12" s="3" t="s">
        <v>84</v>
      </c>
    </row>
    <row r="13" customFormat="false" ht="124.6" hidden="false" customHeight="false" outlineLevel="0" collapsed="false">
      <c r="A13" s="3" t="s">
        <v>85</v>
      </c>
      <c r="B13" s="3" t="s">
        <v>17</v>
      </c>
      <c r="C13" s="3" t="s">
        <v>86</v>
      </c>
      <c r="D13" s="3" t="str">
        <f aca="false">IFERROR(UPD7b!I33,"")</f>
        <v/>
      </c>
      <c r="E13" s="3" t="s">
        <v>81</v>
      </c>
      <c r="F13" s="4"/>
      <c r="G13" s="4"/>
      <c r="H13" s="5" t="str">
        <f aca="false">IF(OR(F13="",NOT(ISNUMBER(D13))),"",IF(ABS(F13-D13)&lt;0.001,"Yes","No"))</f>
        <v/>
      </c>
      <c r="I13" s="3" t="s">
        <v>20</v>
      </c>
      <c r="J13" s="3" t="s">
        <v>21</v>
      </c>
      <c r="K13" s="3"/>
      <c r="L13" s="3"/>
      <c r="M13" s="3"/>
      <c r="N13" s="3"/>
      <c r="O13" s="3"/>
      <c r="P13" s="3" t="s">
        <v>87</v>
      </c>
    </row>
    <row r="14" customFormat="false" ht="505.2" hidden="false" customHeight="false" outlineLevel="0" collapsed="false">
      <c r="A14" s="3" t="s">
        <v>88</v>
      </c>
      <c r="B14" s="3" t="s">
        <v>17</v>
      </c>
      <c r="C14" s="3" t="s">
        <v>89</v>
      </c>
      <c r="D14" s="3" t="str">
        <f aca="false">IFERROR('UPD8'!I33,"")</f>
        <v/>
      </c>
      <c r="E14" s="3" t="s">
        <v>19</v>
      </c>
      <c r="F14" s="4"/>
      <c r="G14" s="4"/>
      <c r="H14" s="5" t="str">
        <f aca="false">IF(OR(F14="",NOT(ISNUMBER(D14))),"",IF(ABS(F14-D14)&lt;0.001,"Yes","No"))</f>
        <v/>
      </c>
      <c r="I14" s="3" t="s">
        <v>20</v>
      </c>
      <c r="J14" s="3" t="s">
        <v>26</v>
      </c>
      <c r="K14" s="3" t="s">
        <v>90</v>
      </c>
      <c r="L14" s="3" t="s">
        <v>28</v>
      </c>
      <c r="M14" s="3" t="s">
        <v>29</v>
      </c>
      <c r="N14" s="3" t="s">
        <v>91</v>
      </c>
      <c r="O14" s="3" t="s">
        <v>92</v>
      </c>
      <c r="P14" s="3" t="s">
        <v>40</v>
      </c>
    </row>
    <row r="15" customFormat="false" ht="393.25" hidden="false" customHeight="false" outlineLevel="0" collapsed="false">
      <c r="A15" s="3" t="s">
        <v>93</v>
      </c>
      <c r="B15" s="3" t="s">
        <v>17</v>
      </c>
      <c r="C15" s="3" t="s">
        <v>94</v>
      </c>
      <c r="D15" s="3" t="str">
        <f aca="false">IFERROR('UPD9'!I33,"")</f>
        <v/>
      </c>
      <c r="E15" s="3" t="s">
        <v>19</v>
      </c>
      <c r="F15" s="4"/>
      <c r="G15" s="4"/>
      <c r="H15" s="5" t="str">
        <f aca="false">IF(OR(F15="",NOT(ISNUMBER(D15))),"",IF(ABS(F15-D15)&lt;0.001,"Yes","No"))</f>
        <v/>
      </c>
      <c r="I15" s="3" t="s">
        <v>20</v>
      </c>
      <c r="J15" s="3" t="s">
        <v>26</v>
      </c>
      <c r="K15" s="3" t="s">
        <v>95</v>
      </c>
      <c r="L15" s="3" t="s">
        <v>36</v>
      </c>
      <c r="M15" s="3" t="s">
        <v>37</v>
      </c>
      <c r="N15" s="3" t="s">
        <v>96</v>
      </c>
      <c r="O15" s="3" t="s">
        <v>97</v>
      </c>
      <c r="P15" s="3" t="s">
        <v>40</v>
      </c>
    </row>
    <row r="16" customFormat="false" ht="538.8" hidden="false" customHeight="false" outlineLevel="0" collapsed="false">
      <c r="A16" s="3" t="s">
        <v>98</v>
      </c>
      <c r="B16" s="3" t="s">
        <v>17</v>
      </c>
      <c r="C16" s="3" t="s">
        <v>99</v>
      </c>
      <c r="D16" s="3" t="str">
        <f aca="false">IFERROR('UPD10'!J33,"")</f>
        <v/>
      </c>
      <c r="E16" s="3" t="s">
        <v>19</v>
      </c>
      <c r="F16" s="4"/>
      <c r="G16" s="4"/>
      <c r="H16" s="5" t="str">
        <f aca="false">IF(OR(F16="",NOT(ISNUMBER(D16))),"",IF(ABS(F16-D16)&lt;0.001,"Yes","No"))</f>
        <v/>
      </c>
      <c r="I16" s="3" t="s">
        <v>20</v>
      </c>
      <c r="J16" s="3" t="s">
        <v>26</v>
      </c>
      <c r="K16" s="3" t="s">
        <v>100</v>
      </c>
      <c r="L16" s="3" t="s">
        <v>67</v>
      </c>
      <c r="M16" s="3" t="s">
        <v>68</v>
      </c>
      <c r="N16" s="3" t="s">
        <v>101</v>
      </c>
      <c r="O16" s="3" t="s">
        <v>102</v>
      </c>
      <c r="P16" s="3" t="s">
        <v>103</v>
      </c>
    </row>
    <row r="17" customFormat="false" ht="370.85" hidden="false" customHeight="false" outlineLevel="0" collapsed="false">
      <c r="A17" s="3" t="s">
        <v>104</v>
      </c>
      <c r="B17" s="3" t="s">
        <v>17</v>
      </c>
      <c r="C17" s="3" t="s">
        <v>105</v>
      </c>
      <c r="D17" s="3" t="str">
        <f aca="false">IFERROR(UPD11a!J33,"")</f>
        <v/>
      </c>
      <c r="E17" s="3" t="s">
        <v>81</v>
      </c>
      <c r="F17" s="4"/>
      <c r="G17" s="4"/>
      <c r="H17" s="5" t="str">
        <f aca="false">IF(OR(F17="",NOT(ISNUMBER(D17))),"",IF(ABS(F17-D17)&lt;0.001,"Yes","No"))</f>
        <v/>
      </c>
      <c r="I17" s="3" t="s">
        <v>20</v>
      </c>
      <c r="J17" s="3" t="s">
        <v>26</v>
      </c>
      <c r="K17" s="3" t="s">
        <v>106</v>
      </c>
      <c r="L17" s="3" t="s">
        <v>67</v>
      </c>
      <c r="M17" s="3" t="s">
        <v>68</v>
      </c>
      <c r="N17" s="3" t="s">
        <v>101</v>
      </c>
      <c r="O17" s="3" t="s">
        <v>107</v>
      </c>
      <c r="P17" s="3" t="s">
        <v>103</v>
      </c>
    </row>
    <row r="18" customFormat="false" ht="393.25" hidden="false" customHeight="false" outlineLevel="0" collapsed="false">
      <c r="A18" s="3" t="s">
        <v>108</v>
      </c>
      <c r="B18" s="3" t="s">
        <v>17</v>
      </c>
      <c r="C18" s="3" t="s">
        <v>109</v>
      </c>
      <c r="D18" s="6" t="n">
        <f aca="false">IFERROR(UPD11b!I33,"")</f>
        <v>5</v>
      </c>
      <c r="E18" s="3" t="s">
        <v>81</v>
      </c>
      <c r="F18" s="4"/>
      <c r="G18" s="4"/>
      <c r="H18" s="5" t="str">
        <f aca="false">IF(OR(F18="",NOT(ISNUMBER(D18))),"",IF(ABS(F18-D18)&lt;0.001,"Yes","No"))</f>
        <v/>
      </c>
      <c r="I18" s="3" t="s">
        <v>25</v>
      </c>
      <c r="J18" s="3" t="s">
        <v>60</v>
      </c>
      <c r="K18" s="3" t="s">
        <v>110</v>
      </c>
      <c r="L18" s="3" t="s">
        <v>28</v>
      </c>
      <c r="M18" s="3" t="s">
        <v>29</v>
      </c>
      <c r="N18" s="3" t="s">
        <v>111</v>
      </c>
      <c r="O18" s="3" t="s">
        <v>112</v>
      </c>
      <c r="P18" s="3"/>
    </row>
    <row r="19" customFormat="false" ht="505.2" hidden="false" customHeight="false" outlineLevel="0" collapsed="false">
      <c r="A19" s="3" t="s">
        <v>113</v>
      </c>
      <c r="B19" s="3" t="s">
        <v>17</v>
      </c>
      <c r="C19" s="3" t="s">
        <v>114</v>
      </c>
      <c r="D19" s="3" t="str">
        <f aca="false">IFERROR('UPD12'!L33,"")</f>
        <v/>
      </c>
      <c r="E19" s="3" t="s">
        <v>19</v>
      </c>
      <c r="F19" s="4"/>
      <c r="G19" s="4"/>
      <c r="H19" s="5" t="str">
        <f aca="false">IF(OR(F19="",NOT(ISNUMBER(D19))),"",IF(ABS(F19-D19)&lt;0.001,"Yes","No"))</f>
        <v/>
      </c>
      <c r="I19" s="3" t="s">
        <v>20</v>
      </c>
      <c r="J19" s="3" t="s">
        <v>26</v>
      </c>
      <c r="K19" s="3" t="s">
        <v>115</v>
      </c>
      <c r="L19" s="3" t="s">
        <v>44</v>
      </c>
      <c r="M19" s="3" t="s">
        <v>45</v>
      </c>
      <c r="N19" s="3" t="s">
        <v>46</v>
      </c>
      <c r="O19" s="3" t="s">
        <v>116</v>
      </c>
      <c r="P19" s="3" t="s">
        <v>117</v>
      </c>
    </row>
    <row r="20" customFormat="false" ht="550" hidden="false" customHeight="false" outlineLevel="0" collapsed="false">
      <c r="A20" s="3" t="s">
        <v>118</v>
      </c>
      <c r="B20" s="3" t="s">
        <v>17</v>
      </c>
      <c r="C20" s="3" t="s">
        <v>119</v>
      </c>
      <c r="D20" s="3" t="str">
        <f aca="false">IFERROR(UPD13a!K33,"")</f>
        <v/>
      </c>
      <c r="E20" s="3" t="s">
        <v>120</v>
      </c>
      <c r="F20" s="4"/>
      <c r="G20" s="4"/>
      <c r="H20" s="5" t="str">
        <f aca="false">IF(OR(F20="",NOT(ISNUMBER(D20))),"",IF(ABS(F20-D20)&lt;0.001,"Yes","No"))</f>
        <v/>
      </c>
      <c r="I20" s="3" t="s">
        <v>20</v>
      </c>
      <c r="J20" s="3" t="s">
        <v>26</v>
      </c>
      <c r="K20" s="3" t="s">
        <v>121</v>
      </c>
      <c r="L20" s="3" t="s">
        <v>28</v>
      </c>
      <c r="M20" s="3" t="s">
        <v>29</v>
      </c>
      <c r="N20" s="3" t="s">
        <v>122</v>
      </c>
      <c r="O20" s="3" t="s">
        <v>123</v>
      </c>
      <c r="P20" s="3" t="s">
        <v>124</v>
      </c>
    </row>
    <row r="21" customFormat="false" ht="135.8" hidden="false" customHeight="false" outlineLevel="0" collapsed="false">
      <c r="A21" s="3" t="s">
        <v>125</v>
      </c>
      <c r="B21" s="3" t="s">
        <v>17</v>
      </c>
      <c r="C21" s="3" t="s">
        <v>126</v>
      </c>
      <c r="D21" s="3" t="str">
        <f aca="false">IFERROR(UPD13b!I33,"")</f>
        <v/>
      </c>
      <c r="E21" s="3" t="s">
        <v>120</v>
      </c>
      <c r="F21" s="4"/>
      <c r="G21" s="4"/>
      <c r="H21" s="5" t="str">
        <f aca="false">IF(OR(F21="",NOT(ISNUMBER(D21))),"",IF(ABS(F21-D21)&lt;0.001,"Yes","No"))</f>
        <v/>
      </c>
      <c r="I21" s="3" t="s">
        <v>20</v>
      </c>
      <c r="J21" s="3" t="s">
        <v>21</v>
      </c>
      <c r="K21" s="3"/>
      <c r="L21" s="3"/>
      <c r="M21" s="3"/>
      <c r="N21" s="3"/>
      <c r="O21" s="3"/>
      <c r="P21" s="3" t="s">
        <v>127</v>
      </c>
    </row>
    <row r="22" customFormat="false" ht="505.2" hidden="false" customHeight="false" outlineLevel="0" collapsed="false">
      <c r="A22" s="3" t="s">
        <v>128</v>
      </c>
      <c r="B22" s="3" t="s">
        <v>17</v>
      </c>
      <c r="C22" s="3" t="s">
        <v>129</v>
      </c>
      <c r="D22" s="3" t="str">
        <f aca="false">IFERROR(UPD13c!I33,"")</f>
        <v/>
      </c>
      <c r="E22" s="3" t="s">
        <v>120</v>
      </c>
      <c r="F22" s="4"/>
      <c r="G22" s="4"/>
      <c r="H22" s="5" t="str">
        <f aca="false">IF(OR(F22="",NOT(ISNUMBER(D22))),"",IF(ABS(F22-D22)&lt;0.001,"Yes","No"))</f>
        <v/>
      </c>
      <c r="I22" s="3" t="s">
        <v>20</v>
      </c>
      <c r="J22" s="3" t="s">
        <v>26</v>
      </c>
      <c r="K22" s="3" t="s">
        <v>130</v>
      </c>
      <c r="L22" s="3" t="s">
        <v>28</v>
      </c>
      <c r="M22" s="3" t="s">
        <v>29</v>
      </c>
      <c r="N22" s="3" t="s">
        <v>122</v>
      </c>
      <c r="O22" s="3" t="s">
        <v>131</v>
      </c>
      <c r="P22" s="3" t="s">
        <v>40</v>
      </c>
    </row>
    <row r="23" customFormat="false" ht="382.05" hidden="false" customHeight="false" outlineLevel="0" collapsed="false">
      <c r="A23" s="3" t="s">
        <v>132</v>
      </c>
      <c r="B23" s="3" t="s">
        <v>17</v>
      </c>
      <c r="C23" s="3" t="s">
        <v>133</v>
      </c>
      <c r="D23" s="3" t="str">
        <f aca="false">IFERROR(UPD13d!I33,"")</f>
        <v/>
      </c>
      <c r="E23" s="3" t="s">
        <v>120</v>
      </c>
      <c r="F23" s="4"/>
      <c r="G23" s="4"/>
      <c r="H23" s="5" t="str">
        <f aca="false">IF(OR(F23="",NOT(ISNUMBER(D23))),"",IF(ABS(F23-D23)&lt;0.001,"Yes","No"))</f>
        <v/>
      </c>
      <c r="I23" s="3" t="s">
        <v>20</v>
      </c>
      <c r="J23" s="3" t="s">
        <v>26</v>
      </c>
      <c r="K23" s="3" t="s">
        <v>134</v>
      </c>
      <c r="L23" s="3" t="s">
        <v>28</v>
      </c>
      <c r="M23" s="3" t="s">
        <v>29</v>
      </c>
      <c r="N23" s="3" t="s">
        <v>122</v>
      </c>
      <c r="O23" s="3" t="s">
        <v>135</v>
      </c>
      <c r="P23" s="3" t="s">
        <v>40</v>
      </c>
    </row>
    <row r="24" customFormat="false" ht="102.2" hidden="false" customHeight="false" outlineLevel="0" collapsed="false">
      <c r="A24" s="3" t="s">
        <v>136</v>
      </c>
      <c r="B24" s="3" t="s">
        <v>17</v>
      </c>
      <c r="C24" s="3" t="s">
        <v>137</v>
      </c>
      <c r="D24" s="3" t="str">
        <f aca="false">IFERROR(UPD13e!I33,"")</f>
        <v/>
      </c>
      <c r="E24" s="3" t="s">
        <v>120</v>
      </c>
      <c r="F24" s="4"/>
      <c r="G24" s="4"/>
      <c r="H24" s="5" t="str">
        <f aca="false">IF(OR(F24="",NOT(ISNUMBER(D24))),"",IF(ABS(F24-D24)&lt;0.001,"Yes","No"))</f>
        <v/>
      </c>
      <c r="I24" s="3" t="s">
        <v>20</v>
      </c>
      <c r="J24" s="3" t="s">
        <v>21</v>
      </c>
      <c r="K24" s="3"/>
      <c r="L24" s="3"/>
      <c r="M24" s="3"/>
      <c r="N24" s="3"/>
      <c r="O24" s="3"/>
      <c r="P24" s="3" t="s">
        <v>138</v>
      </c>
    </row>
    <row r="25" customFormat="false" ht="572.35" hidden="false" customHeight="false" outlineLevel="0" collapsed="false">
      <c r="A25" s="3" t="s">
        <v>139</v>
      </c>
      <c r="B25" s="3" t="s">
        <v>17</v>
      </c>
      <c r="C25" s="3" t="s">
        <v>140</v>
      </c>
      <c r="D25" s="3" t="str">
        <f aca="false">IFERROR(UPD13f!K33,"")</f>
        <v/>
      </c>
      <c r="E25" s="3" t="s">
        <v>120</v>
      </c>
      <c r="F25" s="4"/>
      <c r="G25" s="4"/>
      <c r="H25" s="5" t="str">
        <f aca="false">IF(OR(F25="",NOT(ISNUMBER(D25))),"",IF(ABS(F25-D25)&lt;0.001,"Yes","No"))</f>
        <v/>
      </c>
      <c r="I25" s="3" t="s">
        <v>20</v>
      </c>
      <c r="J25" s="3" t="s">
        <v>26</v>
      </c>
      <c r="K25" s="3" t="s">
        <v>141</v>
      </c>
      <c r="L25" s="3" t="s">
        <v>28</v>
      </c>
      <c r="M25" s="3" t="s">
        <v>29</v>
      </c>
      <c r="N25" s="3" t="s">
        <v>122</v>
      </c>
      <c r="O25" s="3" t="s">
        <v>142</v>
      </c>
      <c r="P25" s="3" t="s">
        <v>143</v>
      </c>
    </row>
    <row r="26" customFormat="false" ht="303.7" hidden="false" customHeight="false" outlineLevel="0" collapsed="false">
      <c r="A26" s="3" t="s">
        <v>144</v>
      </c>
      <c r="B26" s="3" t="s">
        <v>17</v>
      </c>
      <c r="C26" s="3" t="s">
        <v>145</v>
      </c>
      <c r="D26" s="3" t="str">
        <f aca="false">IFERROR(UPD14a!I33,"")</f>
        <v/>
      </c>
      <c r="E26" s="3" t="s">
        <v>34</v>
      </c>
      <c r="F26" s="4"/>
      <c r="G26" s="4"/>
      <c r="H26" s="5" t="str">
        <f aca="false">IF(OR(F26="",NOT(ISNUMBER(D26))),"",IF(ABS(F26-D26)&lt;0.001,"Yes","No"))</f>
        <v/>
      </c>
      <c r="I26" s="3" t="s">
        <v>20</v>
      </c>
      <c r="J26" s="3" t="s">
        <v>26</v>
      </c>
      <c r="K26" s="3" t="s">
        <v>146</v>
      </c>
      <c r="L26" s="3" t="s">
        <v>28</v>
      </c>
      <c r="M26" s="3" t="s">
        <v>29</v>
      </c>
      <c r="N26" s="3" t="s">
        <v>147</v>
      </c>
      <c r="O26" s="3" t="s">
        <v>148</v>
      </c>
      <c r="P26" s="3" t="s">
        <v>40</v>
      </c>
    </row>
    <row r="27" customFormat="false" ht="348.5" hidden="false" customHeight="false" outlineLevel="0" collapsed="false">
      <c r="A27" s="3" t="s">
        <v>149</v>
      </c>
      <c r="B27" s="3" t="s">
        <v>17</v>
      </c>
      <c r="C27" s="3" t="s">
        <v>150</v>
      </c>
      <c r="D27" s="6" t="n">
        <f aca="false">IFERROR(UPD14b!I33,"")</f>
        <v>3.33</v>
      </c>
      <c r="E27" s="3" t="s">
        <v>34</v>
      </c>
      <c r="F27" s="4"/>
      <c r="G27" s="4"/>
      <c r="H27" s="5" t="str">
        <f aca="false">IF(OR(F27="",NOT(ISNUMBER(D27))),"",IF(ABS(F27-D27)&lt;0.001,"Yes","No"))</f>
        <v/>
      </c>
      <c r="I27" s="3" t="s">
        <v>25</v>
      </c>
      <c r="J27" s="3" t="s">
        <v>26</v>
      </c>
      <c r="K27" s="3" t="s">
        <v>151</v>
      </c>
      <c r="L27" s="3" t="s">
        <v>28</v>
      </c>
      <c r="M27" s="3" t="s">
        <v>29</v>
      </c>
      <c r="N27" s="3" t="s">
        <v>152</v>
      </c>
      <c r="O27" s="3" t="s">
        <v>153</v>
      </c>
      <c r="P27" s="3"/>
    </row>
    <row r="28" customFormat="false" ht="404.45" hidden="false" customHeight="false" outlineLevel="0" collapsed="false">
      <c r="A28" s="3" t="s">
        <v>154</v>
      </c>
      <c r="B28" s="3" t="s">
        <v>17</v>
      </c>
      <c r="C28" s="3" t="s">
        <v>155</v>
      </c>
      <c r="D28" s="3" t="str">
        <f aca="false">IFERROR(UPD14c!I33,"")</f>
        <v/>
      </c>
      <c r="E28" s="3" t="s">
        <v>34</v>
      </c>
      <c r="F28" s="4"/>
      <c r="G28" s="4"/>
      <c r="H28" s="5" t="str">
        <f aca="false">IF(OR(F28="",NOT(ISNUMBER(D28))),"",IF(ABS(F28-D28)&lt;0.001,"Yes","No"))</f>
        <v/>
      </c>
      <c r="I28" s="3" t="s">
        <v>20</v>
      </c>
      <c r="J28" s="3" t="s">
        <v>26</v>
      </c>
      <c r="K28" s="3" t="s">
        <v>156</v>
      </c>
      <c r="L28" s="3" t="s">
        <v>157</v>
      </c>
      <c r="M28" s="3" t="s">
        <v>158</v>
      </c>
      <c r="N28" s="3" t="s">
        <v>159</v>
      </c>
      <c r="O28" s="3" t="s">
        <v>160</v>
      </c>
      <c r="P28" s="3" t="s">
        <v>40</v>
      </c>
    </row>
    <row r="29" customFormat="false" ht="494" hidden="false" customHeight="false" outlineLevel="0" collapsed="false">
      <c r="A29" s="3" t="s">
        <v>161</v>
      </c>
      <c r="B29" s="3" t="s">
        <v>17</v>
      </c>
      <c r="C29" s="3" t="s">
        <v>162</v>
      </c>
      <c r="D29" s="3" t="str">
        <f aca="false">IFERROR('UPD15'!I33,"")</f>
        <v/>
      </c>
      <c r="E29" s="3" t="s">
        <v>19</v>
      </c>
      <c r="F29" s="4"/>
      <c r="G29" s="4"/>
      <c r="H29" s="5" t="str">
        <f aca="false">IF(OR(F29="",NOT(ISNUMBER(D29))),"",IF(ABS(F29-D29)&lt;0.001,"Yes","No"))</f>
        <v/>
      </c>
      <c r="I29" s="3" t="s">
        <v>20</v>
      </c>
      <c r="J29" s="3" t="s">
        <v>26</v>
      </c>
      <c r="K29" s="3" t="s">
        <v>163</v>
      </c>
      <c r="L29" s="3" t="s">
        <v>28</v>
      </c>
      <c r="M29" s="3" t="s">
        <v>29</v>
      </c>
      <c r="N29" s="3" t="s">
        <v>152</v>
      </c>
      <c r="O29" s="3" t="s">
        <v>164</v>
      </c>
      <c r="P29" s="3" t="s">
        <v>40</v>
      </c>
    </row>
    <row r="30" customFormat="false" ht="460.4" hidden="false" customHeight="false" outlineLevel="0" collapsed="false">
      <c r="A30" s="3" t="s">
        <v>165</v>
      </c>
      <c r="B30" s="3" t="s">
        <v>17</v>
      </c>
      <c r="C30" s="3" t="s">
        <v>166</v>
      </c>
      <c r="D30" s="3" t="str">
        <f aca="false">IFERROR(UPD16a!I33,"")</f>
        <v/>
      </c>
      <c r="E30" s="3" t="s">
        <v>81</v>
      </c>
      <c r="F30" s="4"/>
      <c r="G30" s="4"/>
      <c r="H30" s="5" t="str">
        <f aca="false">IF(OR(F30="",NOT(ISNUMBER(D30))),"",IF(ABS(F30-D30)&lt;0.001,"Yes","No"))</f>
        <v/>
      </c>
      <c r="I30" s="3" t="s">
        <v>20</v>
      </c>
      <c r="J30" s="3" t="s">
        <v>26</v>
      </c>
      <c r="K30" s="3" t="s">
        <v>167</v>
      </c>
      <c r="L30" s="3" t="s">
        <v>28</v>
      </c>
      <c r="M30" s="3" t="s">
        <v>29</v>
      </c>
      <c r="N30" s="3" t="s">
        <v>147</v>
      </c>
      <c r="O30" s="3" t="s">
        <v>168</v>
      </c>
      <c r="P30" s="3" t="s">
        <v>40</v>
      </c>
    </row>
    <row r="31" customFormat="false" ht="124.6" hidden="false" customHeight="false" outlineLevel="0" collapsed="false">
      <c r="A31" s="3" t="s">
        <v>169</v>
      </c>
      <c r="B31" s="3" t="s">
        <v>17</v>
      </c>
      <c r="C31" s="3" t="s">
        <v>170</v>
      </c>
      <c r="D31" s="3" t="str">
        <f aca="false">IFERROR(UPD16b!I33,"")</f>
        <v/>
      </c>
      <c r="E31" s="3" t="s">
        <v>81</v>
      </c>
      <c r="F31" s="4"/>
      <c r="G31" s="4"/>
      <c r="H31" s="5" t="str">
        <f aca="false">IF(OR(F31="",NOT(ISNUMBER(D31))),"",IF(ABS(F31-D31)&lt;0.001,"Yes","No"))</f>
        <v/>
      </c>
      <c r="I31" s="3" t="s">
        <v>20</v>
      </c>
      <c r="J31" s="3" t="s">
        <v>21</v>
      </c>
      <c r="K31" s="3"/>
      <c r="L31" s="3"/>
      <c r="M31" s="3"/>
      <c r="N31" s="3"/>
      <c r="O31" s="3"/>
      <c r="P31" s="3" t="s">
        <v>171</v>
      </c>
    </row>
    <row r="32" customFormat="false" ht="594.75" hidden="false" customHeight="false" outlineLevel="0" collapsed="false">
      <c r="A32" s="3" t="s">
        <v>172</v>
      </c>
      <c r="B32" s="3" t="s">
        <v>17</v>
      </c>
      <c r="C32" s="3" t="s">
        <v>173</v>
      </c>
      <c r="D32" s="3" t="str">
        <f aca="false">IFERROR('UPD17'!I33,"")</f>
        <v/>
      </c>
      <c r="E32" s="3" t="s">
        <v>19</v>
      </c>
      <c r="F32" s="4"/>
      <c r="G32" s="4"/>
      <c r="H32" s="5" t="str">
        <f aca="false">IF(OR(F32="",NOT(ISNUMBER(D32))),"",IF(ABS(F32-D32)&lt;0.001,"Yes","No"))</f>
        <v/>
      </c>
      <c r="I32" s="3" t="s">
        <v>20</v>
      </c>
      <c r="J32" s="3" t="s">
        <v>26</v>
      </c>
      <c r="K32" s="3" t="s">
        <v>174</v>
      </c>
      <c r="L32" s="3" t="s">
        <v>28</v>
      </c>
      <c r="M32" s="3" t="s">
        <v>29</v>
      </c>
      <c r="N32" s="3" t="s">
        <v>175</v>
      </c>
      <c r="O32" s="3" t="s">
        <v>176</v>
      </c>
      <c r="P32" s="3" t="s">
        <v>40</v>
      </c>
    </row>
    <row r="33" customFormat="false" ht="505.2" hidden="false" customHeight="false" outlineLevel="0" collapsed="false">
      <c r="A33" s="3" t="s">
        <v>177</v>
      </c>
      <c r="B33" s="3" t="s">
        <v>17</v>
      </c>
      <c r="C33" s="3" t="s">
        <v>178</v>
      </c>
      <c r="D33" s="6" t="n">
        <f aca="false">IFERROR('UPD18'!J33,"")</f>
        <v>10</v>
      </c>
      <c r="E33" s="3" t="s">
        <v>19</v>
      </c>
      <c r="F33" s="4"/>
      <c r="G33" s="4"/>
      <c r="H33" s="5" t="str">
        <f aca="false">IF(OR(F33="",NOT(ISNUMBER(D33))),"",IF(ABS(F33-D33)&lt;0.001,"Yes","No"))</f>
        <v/>
      </c>
      <c r="I33" s="3" t="s">
        <v>25</v>
      </c>
      <c r="J33" s="3" t="s">
        <v>26</v>
      </c>
      <c r="K33" s="3" t="s">
        <v>179</v>
      </c>
      <c r="L33" s="3" t="s">
        <v>28</v>
      </c>
      <c r="M33" s="3" t="s">
        <v>29</v>
      </c>
      <c r="N33" s="3" t="s">
        <v>180</v>
      </c>
      <c r="O33" s="3" t="s">
        <v>181</v>
      </c>
      <c r="P33" s="3"/>
    </row>
    <row r="34" customFormat="false" ht="359.7" hidden="false" customHeight="false" outlineLevel="0" collapsed="false">
      <c r="A34" s="3" t="s">
        <v>182</v>
      </c>
      <c r="B34" s="3" t="s">
        <v>17</v>
      </c>
      <c r="C34" s="3" t="s">
        <v>183</v>
      </c>
      <c r="D34" s="6" t="n">
        <f aca="false">IFERROR(UPD19a!J33,"")</f>
        <v>5</v>
      </c>
      <c r="E34" s="3" t="s">
        <v>81</v>
      </c>
      <c r="F34" s="4"/>
      <c r="G34" s="4"/>
      <c r="H34" s="5" t="str">
        <f aca="false">IF(OR(F34="",NOT(ISNUMBER(D34))),"",IF(ABS(F34-D34)&lt;0.001,"Yes","No"))</f>
        <v/>
      </c>
      <c r="I34" s="3" t="s">
        <v>25</v>
      </c>
      <c r="J34" s="3" t="s">
        <v>60</v>
      </c>
      <c r="K34" s="3" t="s">
        <v>184</v>
      </c>
      <c r="L34" s="3" t="s">
        <v>28</v>
      </c>
      <c r="M34" s="3" t="s">
        <v>29</v>
      </c>
      <c r="N34" s="3" t="s">
        <v>185</v>
      </c>
      <c r="O34" s="3" t="s">
        <v>186</v>
      </c>
      <c r="P34" s="3"/>
    </row>
    <row r="35" customFormat="false" ht="393.25" hidden="false" customHeight="false" outlineLevel="0" collapsed="false">
      <c r="A35" s="3" t="s">
        <v>187</v>
      </c>
      <c r="B35" s="3" t="s">
        <v>17</v>
      </c>
      <c r="C35" s="3" t="s">
        <v>188</v>
      </c>
      <c r="D35" s="3" t="str">
        <f aca="false">IFERROR(UPD19b!J33,"")</f>
        <v/>
      </c>
      <c r="E35" s="3" t="s">
        <v>81</v>
      </c>
      <c r="F35" s="4"/>
      <c r="G35" s="4"/>
      <c r="H35" s="5" t="str">
        <f aca="false">IF(OR(F35="",NOT(ISNUMBER(D35))),"",IF(ABS(F35-D35)&lt;0.001,"Yes","No"))</f>
        <v/>
      </c>
      <c r="I35" s="3" t="s">
        <v>20</v>
      </c>
      <c r="J35" s="3" t="s">
        <v>26</v>
      </c>
      <c r="K35" s="3" t="s">
        <v>189</v>
      </c>
      <c r="L35" s="3" t="s">
        <v>28</v>
      </c>
      <c r="M35" s="3" t="s">
        <v>29</v>
      </c>
      <c r="N35" s="3" t="s">
        <v>190</v>
      </c>
      <c r="O35" s="3" t="s">
        <v>191</v>
      </c>
      <c r="P35" s="3" t="s">
        <v>192</v>
      </c>
    </row>
    <row r="36" customFormat="false" ht="337.3" hidden="false" customHeight="false" outlineLevel="0" collapsed="false">
      <c r="A36" s="3" t="s">
        <v>193</v>
      </c>
      <c r="B36" s="3" t="s">
        <v>17</v>
      </c>
      <c r="C36" s="3" t="s">
        <v>194</v>
      </c>
      <c r="D36" s="3" t="str">
        <f aca="false">IFERROR(UPD20a!J33,"")</f>
        <v/>
      </c>
      <c r="E36" s="3" t="s">
        <v>34</v>
      </c>
      <c r="F36" s="4"/>
      <c r="G36" s="4"/>
      <c r="H36" s="5" t="str">
        <f aca="false">IF(OR(F36="",NOT(ISNUMBER(D36))),"",IF(ABS(F36-D36)&lt;0.001,"Yes","No"))</f>
        <v/>
      </c>
      <c r="I36" s="3" t="s">
        <v>20</v>
      </c>
      <c r="J36" s="3" t="s">
        <v>26</v>
      </c>
      <c r="K36" s="3" t="s">
        <v>195</v>
      </c>
      <c r="L36" s="3" t="s">
        <v>28</v>
      </c>
      <c r="M36" s="3" t="s">
        <v>29</v>
      </c>
      <c r="N36" s="3" t="s">
        <v>196</v>
      </c>
      <c r="O36" s="3" t="s">
        <v>197</v>
      </c>
      <c r="P36" s="3" t="s">
        <v>192</v>
      </c>
    </row>
    <row r="37" customFormat="false" ht="438.05" hidden="false" customHeight="false" outlineLevel="0" collapsed="false">
      <c r="A37" s="3" t="s">
        <v>198</v>
      </c>
      <c r="B37" s="3" t="s">
        <v>17</v>
      </c>
      <c r="C37" s="3" t="s">
        <v>199</v>
      </c>
      <c r="D37" s="3" t="str">
        <f aca="false">IFERROR(UPD20b!J33,"")</f>
        <v/>
      </c>
      <c r="E37" s="3" t="s">
        <v>34</v>
      </c>
      <c r="F37" s="4"/>
      <c r="G37" s="4"/>
      <c r="H37" s="5" t="str">
        <f aca="false">IF(OR(F37="",NOT(ISNUMBER(D37))),"",IF(ABS(F37-D37)&lt;0.001,"Yes","No"))</f>
        <v/>
      </c>
      <c r="I37" s="3" t="s">
        <v>20</v>
      </c>
      <c r="J37" s="3" t="s">
        <v>26</v>
      </c>
      <c r="K37" s="3" t="s">
        <v>200</v>
      </c>
      <c r="L37" s="3" t="s">
        <v>28</v>
      </c>
      <c r="M37" s="3" t="s">
        <v>29</v>
      </c>
      <c r="N37" s="3" t="s">
        <v>201</v>
      </c>
      <c r="O37" s="3" t="s">
        <v>202</v>
      </c>
      <c r="P37" s="3" t="s">
        <v>192</v>
      </c>
    </row>
    <row r="38" customFormat="false" ht="639.55" hidden="false" customHeight="false" outlineLevel="0" collapsed="false">
      <c r="A38" s="3" t="s">
        <v>203</v>
      </c>
      <c r="B38" s="3" t="s">
        <v>17</v>
      </c>
      <c r="C38" s="3" t="s">
        <v>204</v>
      </c>
      <c r="D38" s="3" t="str">
        <f aca="false">IFERROR(UPD20c!J33,"")</f>
        <v/>
      </c>
      <c r="E38" s="3" t="s">
        <v>34</v>
      </c>
      <c r="F38" s="4"/>
      <c r="G38" s="4"/>
      <c r="H38" s="5" t="str">
        <f aca="false">IF(OR(F38="",NOT(ISNUMBER(D38))),"",IF(ABS(F38-D38)&lt;0.001,"Yes","No"))</f>
        <v/>
      </c>
      <c r="I38" s="3" t="s">
        <v>20</v>
      </c>
      <c r="J38" s="3" t="s">
        <v>26</v>
      </c>
      <c r="K38" s="3" t="s">
        <v>205</v>
      </c>
      <c r="L38" s="3" t="s">
        <v>28</v>
      </c>
      <c r="M38" s="3" t="s">
        <v>29</v>
      </c>
      <c r="N38" s="3" t="s">
        <v>206</v>
      </c>
      <c r="O38" s="3" t="s">
        <v>207</v>
      </c>
      <c r="P38" s="3" t="s">
        <v>192</v>
      </c>
    </row>
    <row r="39" customFormat="false" ht="527.6" hidden="false" customHeight="false" outlineLevel="0" collapsed="false">
      <c r="A39" s="3" t="s">
        <v>208</v>
      </c>
      <c r="B39" s="3" t="s">
        <v>17</v>
      </c>
      <c r="C39" s="3" t="s">
        <v>209</v>
      </c>
      <c r="D39" s="3" t="str">
        <f aca="false">IFERROR('UPD21'!J33,"")</f>
        <v/>
      </c>
      <c r="E39" s="3" t="s">
        <v>19</v>
      </c>
      <c r="F39" s="4"/>
      <c r="G39" s="4"/>
      <c r="H39" s="5" t="str">
        <f aca="false">IF(OR(F39="",NOT(ISNUMBER(D39))),"",IF(ABS(F39-D39)&lt;0.001,"Yes","No"))</f>
        <v/>
      </c>
      <c r="I39" s="3" t="s">
        <v>20</v>
      </c>
      <c r="J39" s="3" t="s">
        <v>26</v>
      </c>
      <c r="K39" s="3" t="s">
        <v>210</v>
      </c>
      <c r="L39" s="3" t="s">
        <v>28</v>
      </c>
      <c r="M39" s="3" t="s">
        <v>29</v>
      </c>
      <c r="N39" s="3" t="s">
        <v>211</v>
      </c>
      <c r="O39" s="3" t="s">
        <v>212</v>
      </c>
      <c r="P39" s="3" t="s">
        <v>192</v>
      </c>
    </row>
    <row r="40" customFormat="false" ht="158.2" hidden="false" customHeight="false" outlineLevel="0" collapsed="false">
      <c r="A40" s="3" t="s">
        <v>213</v>
      </c>
      <c r="B40" s="3" t="s">
        <v>17</v>
      </c>
      <c r="C40" s="3" t="s">
        <v>214</v>
      </c>
      <c r="D40" s="3" t="str">
        <f aca="false">IFERROR('UPD22'!J33,"")</f>
        <v/>
      </c>
      <c r="E40" s="3" t="s">
        <v>19</v>
      </c>
      <c r="F40" s="4"/>
      <c r="G40" s="4"/>
      <c r="H40" s="5" t="str">
        <f aca="false">IF(OR(F40="",NOT(ISNUMBER(D40))),"",IF(ABS(F40-D40)&lt;0.001,"Yes","No"))</f>
        <v/>
      </c>
      <c r="I40" s="3" t="s">
        <v>20</v>
      </c>
      <c r="J40" s="3" t="s">
        <v>21</v>
      </c>
      <c r="K40" s="3"/>
      <c r="L40" s="3"/>
      <c r="M40" s="3"/>
      <c r="N40" s="3"/>
      <c r="O40" s="3"/>
      <c r="P40" s="3" t="s">
        <v>215</v>
      </c>
    </row>
    <row r="41" customFormat="false" ht="135.8" hidden="false" customHeight="false" outlineLevel="0" collapsed="false">
      <c r="A41" s="3" t="s">
        <v>216</v>
      </c>
      <c r="B41" s="3" t="s">
        <v>17</v>
      </c>
      <c r="C41" s="3" t="s">
        <v>217</v>
      </c>
      <c r="D41" s="3" t="str">
        <f aca="false">IFERROR(UPD23a!K33,"")</f>
        <v/>
      </c>
      <c r="E41" s="3" t="s">
        <v>34</v>
      </c>
      <c r="F41" s="4"/>
      <c r="G41" s="4"/>
      <c r="H41" s="5" t="str">
        <f aca="false">IF(OR(F41="",NOT(ISNUMBER(D41))),"",IF(ABS(F41-D41)&lt;0.001,"Yes","No"))</f>
        <v/>
      </c>
      <c r="I41" s="3" t="s">
        <v>20</v>
      </c>
      <c r="J41" s="3" t="s">
        <v>21</v>
      </c>
      <c r="K41" s="3"/>
      <c r="L41" s="3"/>
      <c r="M41" s="3"/>
      <c r="N41" s="3"/>
      <c r="O41" s="3"/>
      <c r="P41" s="3" t="s">
        <v>218</v>
      </c>
    </row>
    <row r="42" customFormat="false" ht="516.4" hidden="false" customHeight="false" outlineLevel="0" collapsed="false">
      <c r="A42" s="3" t="s">
        <v>219</v>
      </c>
      <c r="B42" s="3" t="s">
        <v>17</v>
      </c>
      <c r="C42" s="3" t="s">
        <v>220</v>
      </c>
      <c r="D42" s="3" t="str">
        <f aca="false">IFERROR(UPD23b!K33,"")</f>
        <v/>
      </c>
      <c r="E42" s="3" t="s">
        <v>34</v>
      </c>
      <c r="F42" s="4"/>
      <c r="G42" s="4"/>
      <c r="H42" s="5" t="str">
        <f aca="false">IF(OR(F42="",NOT(ISNUMBER(D42))),"",IF(ABS(F42-D42)&lt;0.001,"Yes","No"))</f>
        <v/>
      </c>
      <c r="I42" s="3" t="s">
        <v>20</v>
      </c>
      <c r="J42" s="3" t="s">
        <v>26</v>
      </c>
      <c r="K42" s="3" t="s">
        <v>221</v>
      </c>
      <c r="L42" s="3" t="s">
        <v>28</v>
      </c>
      <c r="M42" s="3" t="s">
        <v>29</v>
      </c>
      <c r="N42" s="3" t="s">
        <v>222</v>
      </c>
      <c r="O42" s="3" t="s">
        <v>223</v>
      </c>
      <c r="P42" s="3" t="s">
        <v>224</v>
      </c>
    </row>
    <row r="43" customFormat="false" ht="292.5" hidden="false" customHeight="false" outlineLevel="0" collapsed="false">
      <c r="A43" s="3" t="s">
        <v>225</v>
      </c>
      <c r="B43" s="3" t="s">
        <v>17</v>
      </c>
      <c r="C43" s="3" t="s">
        <v>226</v>
      </c>
      <c r="D43" s="3" t="str">
        <f aca="false">IFERROR(UPD23c!K33,"")</f>
        <v/>
      </c>
      <c r="E43" s="3" t="s">
        <v>34</v>
      </c>
      <c r="F43" s="4"/>
      <c r="G43" s="4"/>
      <c r="H43" s="5" t="str">
        <f aca="false">IF(OR(F43="",NOT(ISNUMBER(D43))),"",IF(ABS(F43-D43)&lt;0.001,"Yes","No"))</f>
        <v/>
      </c>
      <c r="I43" s="3" t="s">
        <v>20</v>
      </c>
      <c r="J43" s="3" t="s">
        <v>26</v>
      </c>
      <c r="K43" s="3" t="s">
        <v>227</v>
      </c>
      <c r="L43" s="3" t="s">
        <v>28</v>
      </c>
      <c r="M43" s="3" t="s">
        <v>29</v>
      </c>
      <c r="N43" s="3" t="s">
        <v>228</v>
      </c>
      <c r="O43" s="3" t="s">
        <v>229</v>
      </c>
      <c r="P43" s="3" t="s">
        <v>230</v>
      </c>
    </row>
    <row r="44" customFormat="false" ht="258.95" hidden="false" customHeight="false" outlineLevel="0" collapsed="false">
      <c r="A44" s="3" t="s">
        <v>231</v>
      </c>
      <c r="B44" s="3" t="s">
        <v>17</v>
      </c>
      <c r="C44" s="3" t="s">
        <v>232</v>
      </c>
      <c r="D44" s="3" t="str">
        <f aca="false">IFERROR(UPD24a!I33,"")</f>
        <v/>
      </c>
      <c r="E44" s="3" t="s">
        <v>34</v>
      </c>
      <c r="F44" s="4"/>
      <c r="G44" s="4"/>
      <c r="H44" s="5" t="str">
        <f aca="false">IF(OR(F44="",NOT(ISNUMBER(D44))),"",IF(ABS(F44-D44)&lt;0.001,"Yes","No"))</f>
        <v/>
      </c>
      <c r="I44" s="3" t="s">
        <v>20</v>
      </c>
      <c r="J44" s="3" t="s">
        <v>82</v>
      </c>
      <c r="K44" s="3" t="s">
        <v>233</v>
      </c>
      <c r="L44" s="3"/>
      <c r="M44" s="3"/>
      <c r="N44" s="3"/>
      <c r="O44" s="3"/>
      <c r="P44" s="3" t="s">
        <v>234</v>
      </c>
    </row>
    <row r="45" customFormat="false" ht="561.15" hidden="false" customHeight="false" outlineLevel="0" collapsed="false">
      <c r="A45" s="3" t="s">
        <v>235</v>
      </c>
      <c r="B45" s="3" t="s">
        <v>17</v>
      </c>
      <c r="C45" s="3" t="s">
        <v>236</v>
      </c>
      <c r="D45" s="6" t="n">
        <f aca="false">IFERROR(UPD24b!I33,"")</f>
        <v>3.33</v>
      </c>
      <c r="E45" s="3" t="s">
        <v>34</v>
      </c>
      <c r="F45" s="4"/>
      <c r="G45" s="4"/>
      <c r="H45" s="5" t="str">
        <f aca="false">IF(OR(F45="",NOT(ISNUMBER(D45))),"",IF(ABS(F45-D45)&lt;0.001,"Yes","No"))</f>
        <v/>
      </c>
      <c r="I45" s="3" t="s">
        <v>25</v>
      </c>
      <c r="J45" s="3" t="s">
        <v>26</v>
      </c>
      <c r="K45" s="3" t="s">
        <v>237</v>
      </c>
      <c r="L45" s="3" t="s">
        <v>238</v>
      </c>
      <c r="M45" s="3" t="s">
        <v>239</v>
      </c>
      <c r="N45" s="3" t="s">
        <v>240</v>
      </c>
      <c r="O45" s="3" t="s">
        <v>241</v>
      </c>
      <c r="P45" s="3"/>
    </row>
    <row r="46" customFormat="false" ht="460.4" hidden="false" customHeight="false" outlineLevel="0" collapsed="false">
      <c r="A46" s="3" t="s">
        <v>242</v>
      </c>
      <c r="B46" s="3" t="s">
        <v>17</v>
      </c>
      <c r="C46" s="3" t="s">
        <v>243</v>
      </c>
      <c r="D46" s="3" t="str">
        <f aca="false">IFERROR(UPD24c!I33,"")</f>
        <v/>
      </c>
      <c r="E46" s="3" t="s">
        <v>34</v>
      </c>
      <c r="F46" s="4"/>
      <c r="G46" s="4"/>
      <c r="H46" s="5" t="str">
        <f aca="false">IF(OR(F46="",NOT(ISNUMBER(D46))),"",IF(ABS(F46-D46)&lt;0.001,"Yes","No"))</f>
        <v/>
      </c>
      <c r="I46" s="3" t="s">
        <v>20</v>
      </c>
      <c r="J46" s="3" t="s">
        <v>26</v>
      </c>
      <c r="K46" s="3" t="s">
        <v>244</v>
      </c>
      <c r="L46" s="3" t="s">
        <v>245</v>
      </c>
      <c r="M46" s="3" t="s">
        <v>246</v>
      </c>
      <c r="N46" s="3" t="s">
        <v>247</v>
      </c>
      <c r="O46" s="3" t="s">
        <v>248</v>
      </c>
      <c r="P46" s="3" t="s">
        <v>40</v>
      </c>
    </row>
    <row r="47" customFormat="false" ht="113.4" hidden="false" customHeight="false" outlineLevel="0" collapsed="false">
      <c r="A47" s="3" t="s">
        <v>249</v>
      </c>
      <c r="B47" s="3" t="s">
        <v>17</v>
      </c>
      <c r="C47" s="3" t="s">
        <v>250</v>
      </c>
      <c r="D47" s="3" t="str">
        <f aca="false">IFERROR(UPD25a!I33,"")</f>
        <v/>
      </c>
      <c r="E47" s="3" t="s">
        <v>34</v>
      </c>
      <c r="F47" s="4"/>
      <c r="G47" s="4"/>
      <c r="H47" s="5" t="str">
        <f aca="false">IF(OR(F47="",NOT(ISNUMBER(D47))),"",IF(ABS(F47-D47)&lt;0.001,"Yes","No"))</f>
        <v/>
      </c>
      <c r="I47" s="3" t="s">
        <v>20</v>
      </c>
      <c r="J47" s="3" t="s">
        <v>21</v>
      </c>
      <c r="K47" s="3"/>
      <c r="L47" s="3"/>
      <c r="M47" s="3"/>
      <c r="N47" s="3"/>
      <c r="O47" s="3"/>
      <c r="P47" s="3" t="s">
        <v>251</v>
      </c>
    </row>
    <row r="48" customFormat="false" ht="113.4" hidden="false" customHeight="false" outlineLevel="0" collapsed="false">
      <c r="A48" s="3" t="s">
        <v>252</v>
      </c>
      <c r="B48" s="3" t="s">
        <v>17</v>
      </c>
      <c r="C48" s="3" t="s">
        <v>253</v>
      </c>
      <c r="D48" s="3" t="str">
        <f aca="false">IFERROR(UPD25b!I33,"")</f>
        <v/>
      </c>
      <c r="E48" s="3" t="s">
        <v>34</v>
      </c>
      <c r="F48" s="4"/>
      <c r="G48" s="4"/>
      <c r="H48" s="5" t="str">
        <f aca="false">IF(OR(F48="",NOT(ISNUMBER(D48))),"",IF(ABS(F48-D48)&lt;0.001,"Yes","No"))</f>
        <v/>
      </c>
      <c r="I48" s="3" t="s">
        <v>20</v>
      </c>
      <c r="J48" s="3" t="s">
        <v>21</v>
      </c>
      <c r="K48" s="3"/>
      <c r="L48" s="3"/>
      <c r="M48" s="3"/>
      <c r="N48" s="3"/>
      <c r="O48" s="3"/>
      <c r="P48" s="3" t="s">
        <v>254</v>
      </c>
    </row>
    <row r="49" customFormat="false" ht="113.4" hidden="false" customHeight="false" outlineLevel="0" collapsed="false">
      <c r="A49" s="3" t="s">
        <v>255</v>
      </c>
      <c r="B49" s="3" t="s">
        <v>17</v>
      </c>
      <c r="C49" s="3" t="s">
        <v>256</v>
      </c>
      <c r="D49" s="3" t="str">
        <f aca="false">IFERROR(UPD25c!I33,"")</f>
        <v/>
      </c>
      <c r="E49" s="3" t="s">
        <v>34</v>
      </c>
      <c r="F49" s="4"/>
      <c r="G49" s="4"/>
      <c r="H49" s="5" t="str">
        <f aca="false">IF(OR(F49="",NOT(ISNUMBER(D49))),"",IF(ABS(F49-D49)&lt;0.001,"Yes","No"))</f>
        <v/>
      </c>
      <c r="I49" s="3" t="s">
        <v>20</v>
      </c>
      <c r="J49" s="3" t="s">
        <v>21</v>
      </c>
      <c r="K49" s="3"/>
      <c r="L49" s="3"/>
      <c r="M49" s="3"/>
      <c r="N49" s="3"/>
      <c r="O49" s="3"/>
      <c r="P49" s="3" t="s">
        <v>257</v>
      </c>
    </row>
    <row r="50" customFormat="false" ht="348.5" hidden="false" customHeight="false" outlineLevel="0" collapsed="false">
      <c r="A50" s="3" t="s">
        <v>258</v>
      </c>
      <c r="B50" s="3" t="s">
        <v>17</v>
      </c>
      <c r="C50" s="3" t="s">
        <v>259</v>
      </c>
      <c r="D50" s="3" t="str">
        <f aca="false">IFERROR(UPD26a!I33,"")</f>
        <v/>
      </c>
      <c r="E50" s="3" t="s">
        <v>34</v>
      </c>
      <c r="F50" s="4"/>
      <c r="G50" s="4"/>
      <c r="H50" s="5" t="str">
        <f aca="false">IF(OR(F50="",NOT(ISNUMBER(D50))),"",IF(ABS(F50-D50)&lt;0.001,"Yes","No"))</f>
        <v/>
      </c>
      <c r="I50" s="3" t="s">
        <v>20</v>
      </c>
      <c r="J50" s="3" t="s">
        <v>26</v>
      </c>
      <c r="K50" s="3" t="s">
        <v>260</v>
      </c>
      <c r="L50" s="3" t="s">
        <v>245</v>
      </c>
      <c r="M50" s="3" t="s">
        <v>246</v>
      </c>
      <c r="N50" s="3" t="s">
        <v>261</v>
      </c>
      <c r="O50" s="3" t="s">
        <v>262</v>
      </c>
      <c r="P50" s="3" t="s">
        <v>40</v>
      </c>
    </row>
    <row r="51" customFormat="false" ht="650.7" hidden="false" customHeight="false" outlineLevel="0" collapsed="false">
      <c r="A51" s="3" t="s">
        <v>263</v>
      </c>
      <c r="B51" s="3" t="s">
        <v>17</v>
      </c>
      <c r="C51" s="3" t="s">
        <v>264</v>
      </c>
      <c r="D51" s="3" t="str">
        <f aca="false">IFERROR(UPD26b!I33,"")</f>
        <v/>
      </c>
      <c r="E51" s="3" t="s">
        <v>34</v>
      </c>
      <c r="F51" s="4"/>
      <c r="G51" s="4"/>
      <c r="H51" s="5" t="str">
        <f aca="false">IF(OR(F51="",NOT(ISNUMBER(D51))),"",IF(ABS(F51-D51)&lt;0.001,"Yes","No"))</f>
        <v/>
      </c>
      <c r="I51" s="3" t="s">
        <v>20</v>
      </c>
      <c r="J51" s="3" t="s">
        <v>26</v>
      </c>
      <c r="K51" s="3" t="s">
        <v>265</v>
      </c>
      <c r="L51" s="3"/>
      <c r="M51" s="3"/>
      <c r="N51" s="3"/>
      <c r="O51" s="3" t="s">
        <v>266</v>
      </c>
      <c r="P51" s="3" t="s">
        <v>267</v>
      </c>
    </row>
    <row r="52" customFormat="false" ht="684.3" hidden="false" customHeight="false" outlineLevel="0" collapsed="false">
      <c r="A52" s="3" t="s">
        <v>268</v>
      </c>
      <c r="B52" s="3" t="s">
        <v>17</v>
      </c>
      <c r="C52" s="3" t="s">
        <v>269</v>
      </c>
      <c r="D52" s="6" t="n">
        <f aca="false">IFERROR(UPD26c!I33,"")</f>
        <v>0</v>
      </c>
      <c r="E52" s="3" t="s">
        <v>34</v>
      </c>
      <c r="F52" s="4"/>
      <c r="G52" s="4"/>
      <c r="H52" s="5" t="str">
        <f aca="false">IF(OR(F52="",NOT(ISNUMBER(D52))),"",IF(ABS(F52-D52)&lt;0.001,"Yes","No"))</f>
        <v/>
      </c>
      <c r="I52" s="3" t="s">
        <v>25</v>
      </c>
      <c r="J52" s="3" t="s">
        <v>26</v>
      </c>
      <c r="K52" s="3" t="s">
        <v>270</v>
      </c>
      <c r="L52" s="3" t="s">
        <v>245</v>
      </c>
      <c r="M52" s="3" t="s">
        <v>246</v>
      </c>
      <c r="N52" s="3" t="s">
        <v>271</v>
      </c>
      <c r="O52" s="3" t="s">
        <v>272</v>
      </c>
      <c r="P52" s="3"/>
    </row>
    <row r="53" customFormat="false" ht="471.6" hidden="false" customHeight="false" outlineLevel="0" collapsed="false">
      <c r="A53" s="3" t="s">
        <v>273</v>
      </c>
      <c r="B53" s="3" t="s">
        <v>17</v>
      </c>
      <c r="C53" s="3" t="s">
        <v>274</v>
      </c>
      <c r="D53" s="3" t="str">
        <f aca="false">IFERROR(UPD27a!L33,"")</f>
        <v/>
      </c>
      <c r="E53" s="3" t="s">
        <v>81</v>
      </c>
      <c r="F53" s="4"/>
      <c r="G53" s="4"/>
      <c r="H53" s="5" t="str">
        <f aca="false">IF(OR(F53="",NOT(ISNUMBER(D53))),"",IF(ABS(F53-D53)&lt;0.001,"Yes","No"))</f>
        <v/>
      </c>
      <c r="I53" s="3" t="s">
        <v>20</v>
      </c>
      <c r="J53" s="3" t="s">
        <v>26</v>
      </c>
      <c r="K53" s="3" t="s">
        <v>275</v>
      </c>
      <c r="L53" s="3" t="s">
        <v>276</v>
      </c>
      <c r="M53" s="3" t="s">
        <v>277</v>
      </c>
      <c r="N53" s="3" t="s">
        <v>278</v>
      </c>
      <c r="O53" s="3" t="s">
        <v>279</v>
      </c>
      <c r="P53" s="3" t="s">
        <v>280</v>
      </c>
    </row>
    <row r="54" customFormat="false" ht="348.5" hidden="false" customHeight="false" outlineLevel="0" collapsed="false">
      <c r="A54" s="3" t="s">
        <v>281</v>
      </c>
      <c r="B54" s="3" t="s">
        <v>17</v>
      </c>
      <c r="C54" s="3" t="s">
        <v>282</v>
      </c>
      <c r="D54" s="3" t="str">
        <f aca="false">IFERROR(UPD27b!I33,"")</f>
        <v/>
      </c>
      <c r="E54" s="3" t="s">
        <v>81</v>
      </c>
      <c r="F54" s="4"/>
      <c r="G54" s="4"/>
      <c r="H54" s="5" t="str">
        <f aca="false">IF(OR(F54="",NOT(ISNUMBER(D54))),"",IF(ABS(F54-D54)&lt;0.001,"Yes","No"))</f>
        <v/>
      </c>
      <c r="I54" s="3" t="s">
        <v>20</v>
      </c>
      <c r="J54" s="3" t="s">
        <v>26</v>
      </c>
      <c r="K54" s="3" t="s">
        <v>283</v>
      </c>
      <c r="L54" s="3" t="s">
        <v>238</v>
      </c>
      <c r="M54" s="3" t="s">
        <v>239</v>
      </c>
      <c r="N54" s="3" t="s">
        <v>284</v>
      </c>
      <c r="O54" s="3" t="s">
        <v>285</v>
      </c>
      <c r="P54" s="3" t="s">
        <v>286</v>
      </c>
    </row>
    <row r="55" customFormat="false" ht="460.4" hidden="false" customHeight="false" outlineLevel="0" collapsed="false">
      <c r="A55" s="3" t="s">
        <v>287</v>
      </c>
      <c r="B55" s="3" t="s">
        <v>17</v>
      </c>
      <c r="C55" s="3" t="s">
        <v>288</v>
      </c>
      <c r="D55" s="3" t="str">
        <f aca="false">IFERROR(UPD28a!I33,"")</f>
        <v/>
      </c>
      <c r="E55" s="3" t="s">
        <v>289</v>
      </c>
      <c r="F55" s="4"/>
      <c r="G55" s="4"/>
      <c r="H55" s="5" t="str">
        <f aca="false">IF(OR(F55="",NOT(ISNUMBER(D55))),"",IF(ABS(F55-D55)&lt;0.001,"Yes","No"))</f>
        <v/>
      </c>
      <c r="I55" s="3" t="s">
        <v>20</v>
      </c>
      <c r="J55" s="3" t="s">
        <v>26</v>
      </c>
      <c r="K55" s="3" t="s">
        <v>290</v>
      </c>
      <c r="L55" s="3" t="s">
        <v>291</v>
      </c>
      <c r="M55" s="3" t="s">
        <v>292</v>
      </c>
      <c r="N55" s="3" t="s">
        <v>293</v>
      </c>
      <c r="O55" s="3" t="s">
        <v>294</v>
      </c>
      <c r="P55" s="3" t="s">
        <v>40</v>
      </c>
    </row>
    <row r="56" customFormat="false" ht="281.3" hidden="false" customHeight="false" outlineLevel="0" collapsed="false">
      <c r="A56" s="3" t="s">
        <v>295</v>
      </c>
      <c r="B56" s="3" t="s">
        <v>17</v>
      </c>
      <c r="C56" s="3" t="s">
        <v>296</v>
      </c>
      <c r="D56" s="6" t="n">
        <f aca="false">IFERROR(UPD28b!I33,"")</f>
        <v>2.5</v>
      </c>
      <c r="E56" s="3" t="s">
        <v>289</v>
      </c>
      <c r="F56" s="4"/>
      <c r="G56" s="4"/>
      <c r="H56" s="5" t="str">
        <f aca="false">IF(OR(F56="",NOT(ISNUMBER(D56))),"",IF(ABS(F56-D56)&lt;0.001,"Yes","No"))</f>
        <v/>
      </c>
      <c r="I56" s="3" t="s">
        <v>25</v>
      </c>
      <c r="J56" s="3" t="s">
        <v>60</v>
      </c>
      <c r="K56" s="3" t="s">
        <v>297</v>
      </c>
      <c r="L56" s="3" t="s">
        <v>291</v>
      </c>
      <c r="M56" s="3" t="s">
        <v>292</v>
      </c>
      <c r="N56" s="3" t="s">
        <v>298</v>
      </c>
      <c r="O56" s="3" t="s">
        <v>299</v>
      </c>
      <c r="P56" s="3"/>
    </row>
    <row r="57" customFormat="false" ht="583.55" hidden="false" customHeight="false" outlineLevel="0" collapsed="false">
      <c r="A57" s="3" t="s">
        <v>300</v>
      </c>
      <c r="B57" s="3" t="s">
        <v>17</v>
      </c>
      <c r="C57" s="3" t="s">
        <v>301</v>
      </c>
      <c r="D57" s="3" t="str">
        <f aca="false">IFERROR(UPD28c!I33,"")</f>
        <v/>
      </c>
      <c r="E57" s="3" t="s">
        <v>289</v>
      </c>
      <c r="F57" s="4"/>
      <c r="G57" s="4"/>
      <c r="H57" s="5" t="str">
        <f aca="false">IF(OR(F57="",NOT(ISNUMBER(D57))),"",IF(ABS(F57-D57)&lt;0.001,"Yes","No"))</f>
        <v/>
      </c>
      <c r="I57" s="3" t="s">
        <v>20</v>
      </c>
      <c r="J57" s="3" t="s">
        <v>26</v>
      </c>
      <c r="K57" s="3" t="s">
        <v>302</v>
      </c>
      <c r="L57" s="3" t="s">
        <v>291</v>
      </c>
      <c r="M57" s="3" t="s">
        <v>292</v>
      </c>
      <c r="N57" s="3" t="s">
        <v>303</v>
      </c>
      <c r="O57" s="3" t="s">
        <v>304</v>
      </c>
      <c r="P57" s="3" t="s">
        <v>40</v>
      </c>
    </row>
    <row r="58" customFormat="false" ht="337.3" hidden="false" customHeight="false" outlineLevel="0" collapsed="false">
      <c r="A58" s="3" t="s">
        <v>305</v>
      </c>
      <c r="B58" s="3" t="s">
        <v>17</v>
      </c>
      <c r="C58" s="3" t="s">
        <v>306</v>
      </c>
      <c r="D58" s="3" t="str">
        <f aca="false">IFERROR(UPD28d!I33,"")</f>
        <v/>
      </c>
      <c r="E58" s="3" t="s">
        <v>289</v>
      </c>
      <c r="F58" s="4"/>
      <c r="G58" s="4"/>
      <c r="H58" s="5" t="str">
        <f aca="false">IF(OR(F58="",NOT(ISNUMBER(D58))),"",IF(ABS(F58-D58)&lt;0.001,"Yes","No"))</f>
        <v/>
      </c>
      <c r="I58" s="3" t="s">
        <v>20</v>
      </c>
      <c r="J58" s="3" t="s">
        <v>26</v>
      </c>
      <c r="K58" s="3" t="s">
        <v>307</v>
      </c>
      <c r="L58" s="3" t="s">
        <v>291</v>
      </c>
      <c r="M58" s="3" t="s">
        <v>292</v>
      </c>
      <c r="N58" s="3" t="s">
        <v>308</v>
      </c>
      <c r="O58" s="3" t="s">
        <v>309</v>
      </c>
      <c r="P58" s="3" t="s">
        <v>40</v>
      </c>
    </row>
    <row r="59" customFormat="false" ht="460.4" hidden="false" customHeight="false" outlineLevel="0" collapsed="false">
      <c r="A59" s="3" t="s">
        <v>310</v>
      </c>
      <c r="B59" s="3" t="s">
        <v>17</v>
      </c>
      <c r="C59" s="3" t="s">
        <v>311</v>
      </c>
      <c r="D59" s="3" t="str">
        <f aca="false">IFERROR(UPD29a!M33,"")</f>
        <v/>
      </c>
      <c r="E59" s="3" t="s">
        <v>81</v>
      </c>
      <c r="F59" s="4"/>
      <c r="G59" s="4"/>
      <c r="H59" s="5" t="str">
        <f aca="false">IF(OR(F59="",NOT(ISNUMBER(D59))),"",IF(ABS(F59-D59)&lt;0.001,"Yes","No"))</f>
        <v/>
      </c>
      <c r="I59" s="3" t="s">
        <v>20</v>
      </c>
      <c r="J59" s="3" t="s">
        <v>26</v>
      </c>
      <c r="K59" s="3" t="s">
        <v>312</v>
      </c>
      <c r="L59" s="3" t="s">
        <v>313</v>
      </c>
      <c r="M59" s="3" t="s">
        <v>314</v>
      </c>
      <c r="N59" s="3" t="s">
        <v>315</v>
      </c>
      <c r="O59" s="3" t="s">
        <v>316</v>
      </c>
      <c r="P59" s="3" t="s">
        <v>317</v>
      </c>
    </row>
    <row r="60" customFormat="false" ht="550" hidden="false" customHeight="false" outlineLevel="0" collapsed="false">
      <c r="A60" s="3" t="s">
        <v>318</v>
      </c>
      <c r="B60" s="3" t="s">
        <v>17</v>
      </c>
      <c r="C60" s="3" t="s">
        <v>319</v>
      </c>
      <c r="D60" s="3" t="str">
        <f aca="false">IFERROR(UPD29b!M33,"")</f>
        <v/>
      </c>
      <c r="E60" s="3" t="s">
        <v>81</v>
      </c>
      <c r="F60" s="4"/>
      <c r="G60" s="4"/>
      <c r="H60" s="5" t="str">
        <f aca="false">IF(OR(F60="",NOT(ISNUMBER(D60))),"",IF(ABS(F60-D60)&lt;0.001,"Yes","No"))</f>
        <v/>
      </c>
      <c r="I60" s="3" t="s">
        <v>20</v>
      </c>
      <c r="J60" s="3" t="s">
        <v>26</v>
      </c>
      <c r="K60" s="3" t="s">
        <v>320</v>
      </c>
      <c r="L60" s="3" t="s">
        <v>313</v>
      </c>
      <c r="M60" s="3" t="s">
        <v>314</v>
      </c>
      <c r="N60" s="3" t="s">
        <v>321</v>
      </c>
      <c r="O60" s="3" t="s">
        <v>322</v>
      </c>
      <c r="P60" s="3" t="s">
        <v>323</v>
      </c>
    </row>
    <row r="61" customFormat="false" ht="303.7" hidden="false" customHeight="false" outlineLevel="0" collapsed="false">
      <c r="A61" s="3" t="s">
        <v>324</v>
      </c>
      <c r="B61" s="3" t="s">
        <v>17</v>
      </c>
      <c r="C61" s="3" t="s">
        <v>325</v>
      </c>
      <c r="D61" s="3" t="str">
        <f aca="false">IFERROR(UPD30a!I33,"")</f>
        <v/>
      </c>
      <c r="E61" s="3" t="s">
        <v>81</v>
      </c>
      <c r="F61" s="4"/>
      <c r="G61" s="4"/>
      <c r="H61" s="5" t="str">
        <f aca="false">IF(OR(F61="",NOT(ISNUMBER(D61))),"",IF(ABS(F61-D61)&lt;0.001,"Yes","No"))</f>
        <v/>
      </c>
      <c r="I61" s="3" t="s">
        <v>20</v>
      </c>
      <c r="J61" s="3" t="s">
        <v>26</v>
      </c>
      <c r="K61" s="3" t="s">
        <v>326</v>
      </c>
      <c r="L61" s="3" t="s">
        <v>327</v>
      </c>
      <c r="M61" s="3" t="s">
        <v>328</v>
      </c>
      <c r="N61" s="3" t="s">
        <v>329</v>
      </c>
      <c r="O61" s="3" t="s">
        <v>330</v>
      </c>
      <c r="P61" s="3" t="s">
        <v>331</v>
      </c>
    </row>
    <row r="62" customFormat="false" ht="258.95" hidden="false" customHeight="false" outlineLevel="0" collapsed="false">
      <c r="A62" s="3" t="s">
        <v>332</v>
      </c>
      <c r="B62" s="3" t="s">
        <v>17</v>
      </c>
      <c r="C62" s="3" t="s">
        <v>333</v>
      </c>
      <c r="D62" s="6" t="n">
        <f aca="false">IFERROR(UPD30b!I33,"")</f>
        <v>5</v>
      </c>
      <c r="E62" s="3" t="s">
        <v>81</v>
      </c>
      <c r="F62" s="4"/>
      <c r="G62" s="4"/>
      <c r="H62" s="5" t="str">
        <f aca="false">IF(OR(F62="",NOT(ISNUMBER(D62))),"",IF(ABS(F62-D62)&lt;0.001,"Yes","No"))</f>
        <v/>
      </c>
      <c r="I62" s="3" t="s">
        <v>25</v>
      </c>
      <c r="J62" s="3" t="s">
        <v>60</v>
      </c>
      <c r="K62" s="3" t="s">
        <v>334</v>
      </c>
      <c r="L62" s="3" t="s">
        <v>276</v>
      </c>
      <c r="M62" s="3" t="s">
        <v>277</v>
      </c>
      <c r="N62" s="3" t="s">
        <v>335</v>
      </c>
      <c r="O62" s="3" t="s">
        <v>336</v>
      </c>
      <c r="P62" s="3"/>
    </row>
    <row r="63" customFormat="false" ht="460.4" hidden="false" customHeight="false" outlineLevel="0" collapsed="false">
      <c r="A63" s="3" t="s">
        <v>337</v>
      </c>
      <c r="B63" s="3" t="s">
        <v>17</v>
      </c>
      <c r="C63" s="3" t="s">
        <v>338</v>
      </c>
      <c r="D63" s="3" t="str">
        <f aca="false">IFERROR('UPD31'!I33,"")</f>
        <v/>
      </c>
      <c r="E63" s="3" t="s">
        <v>19</v>
      </c>
      <c r="F63" s="4"/>
      <c r="G63" s="4"/>
      <c r="H63" s="5" t="str">
        <f aca="false">IF(OR(F63="",NOT(ISNUMBER(D63))),"",IF(ABS(F63-D63)&lt;0.001,"Yes","No"))</f>
        <v/>
      </c>
      <c r="I63" s="3" t="s">
        <v>20</v>
      </c>
      <c r="J63" s="3" t="s">
        <v>26</v>
      </c>
      <c r="K63" s="3" t="s">
        <v>339</v>
      </c>
      <c r="L63" s="3" t="s">
        <v>313</v>
      </c>
      <c r="M63" s="3" t="s">
        <v>314</v>
      </c>
      <c r="N63" s="3" t="s">
        <v>340</v>
      </c>
      <c r="O63" s="3" t="s">
        <v>341</v>
      </c>
      <c r="P63" s="3" t="s">
        <v>40</v>
      </c>
    </row>
    <row r="64" customFormat="false" ht="382.05" hidden="false" customHeight="false" outlineLevel="0" collapsed="false">
      <c r="A64" s="3" t="s">
        <v>342</v>
      </c>
      <c r="B64" s="3" t="s">
        <v>17</v>
      </c>
      <c r="C64" s="3" t="s">
        <v>343</v>
      </c>
      <c r="D64" s="6" t="n">
        <f aca="false">IFERROR(UPD32a!I33,"")</f>
        <v>2</v>
      </c>
      <c r="E64" s="3" t="s">
        <v>344</v>
      </c>
      <c r="F64" s="4"/>
      <c r="G64" s="4"/>
      <c r="H64" s="5" t="str">
        <f aca="false">IF(OR(F64="",NOT(ISNUMBER(D64))),"",IF(ABS(F64-D64)&lt;0.001,"Yes","No"))</f>
        <v/>
      </c>
      <c r="I64" s="3" t="s">
        <v>25</v>
      </c>
      <c r="J64" s="3" t="s">
        <v>60</v>
      </c>
      <c r="K64" s="3" t="s">
        <v>345</v>
      </c>
      <c r="L64" s="3" t="s">
        <v>313</v>
      </c>
      <c r="M64" s="3" t="s">
        <v>314</v>
      </c>
      <c r="N64" s="3" t="s">
        <v>346</v>
      </c>
      <c r="O64" s="3" t="s">
        <v>347</v>
      </c>
      <c r="P64" s="3"/>
    </row>
    <row r="65" customFormat="false" ht="538.8" hidden="false" customHeight="false" outlineLevel="0" collapsed="false">
      <c r="A65" s="3" t="s">
        <v>348</v>
      </c>
      <c r="B65" s="3" t="s">
        <v>17</v>
      </c>
      <c r="C65" s="3" t="s">
        <v>349</v>
      </c>
      <c r="D65" s="6" t="n">
        <f aca="false">IFERROR(UPD32b!I33,"")</f>
        <v>1</v>
      </c>
      <c r="E65" s="3" t="s">
        <v>344</v>
      </c>
      <c r="F65" s="4"/>
      <c r="G65" s="4"/>
      <c r="H65" s="5" t="str">
        <f aca="false">IF(OR(F65="",NOT(ISNUMBER(D65))),"",IF(ABS(F65-D65)&lt;0.001,"Yes","No"))</f>
        <v/>
      </c>
      <c r="I65" s="3" t="s">
        <v>25</v>
      </c>
      <c r="J65" s="3" t="s">
        <v>26</v>
      </c>
      <c r="K65" s="3" t="s">
        <v>350</v>
      </c>
      <c r="L65" s="3" t="s">
        <v>313</v>
      </c>
      <c r="M65" s="3" t="s">
        <v>314</v>
      </c>
      <c r="N65" s="3" t="s">
        <v>351</v>
      </c>
      <c r="O65" s="3" t="s">
        <v>352</v>
      </c>
      <c r="P65" s="3"/>
    </row>
    <row r="66" customFormat="false" ht="359.7" hidden="false" customHeight="false" outlineLevel="0" collapsed="false">
      <c r="A66" s="3" t="s">
        <v>353</v>
      </c>
      <c r="B66" s="3" t="s">
        <v>17</v>
      </c>
      <c r="C66" s="3" t="s">
        <v>354</v>
      </c>
      <c r="D66" s="6" t="n">
        <f aca="false">IFERROR(UPD32c!I33,"")</f>
        <v>2</v>
      </c>
      <c r="E66" s="3" t="s">
        <v>344</v>
      </c>
      <c r="F66" s="4"/>
      <c r="G66" s="4"/>
      <c r="H66" s="5" t="str">
        <f aca="false">IF(OR(F66="",NOT(ISNUMBER(D66))),"",IF(ABS(F66-D66)&lt;0.001,"Yes","No"))</f>
        <v/>
      </c>
      <c r="I66" s="3" t="s">
        <v>25</v>
      </c>
      <c r="J66" s="3" t="s">
        <v>60</v>
      </c>
      <c r="K66" s="3" t="s">
        <v>355</v>
      </c>
      <c r="L66" s="3" t="s">
        <v>313</v>
      </c>
      <c r="M66" s="3" t="s">
        <v>314</v>
      </c>
      <c r="N66" s="3" t="s">
        <v>356</v>
      </c>
      <c r="O66" s="3" t="s">
        <v>357</v>
      </c>
      <c r="P66" s="3"/>
    </row>
    <row r="67" customFormat="false" ht="505.2" hidden="false" customHeight="false" outlineLevel="0" collapsed="false">
      <c r="A67" s="3" t="s">
        <v>358</v>
      </c>
      <c r="B67" s="3" t="s">
        <v>17</v>
      </c>
      <c r="C67" s="3" t="s">
        <v>359</v>
      </c>
      <c r="D67" s="6" t="n">
        <f aca="false">IFERROR(UPD32d!I33,"")</f>
        <v>2</v>
      </c>
      <c r="E67" s="3" t="s">
        <v>344</v>
      </c>
      <c r="F67" s="4"/>
      <c r="G67" s="4"/>
      <c r="H67" s="5" t="str">
        <f aca="false">IF(OR(F67="",NOT(ISNUMBER(D67))),"",IF(ABS(F67-D67)&lt;0.001,"Yes","No"))</f>
        <v/>
      </c>
      <c r="I67" s="3" t="s">
        <v>25</v>
      </c>
      <c r="J67" s="3" t="s">
        <v>60</v>
      </c>
      <c r="K67" s="3" t="s">
        <v>360</v>
      </c>
      <c r="L67" s="3" t="s">
        <v>313</v>
      </c>
      <c r="M67" s="3" t="s">
        <v>314</v>
      </c>
      <c r="N67" s="3" t="s">
        <v>361</v>
      </c>
      <c r="O67" s="3" t="s">
        <v>362</v>
      </c>
      <c r="P67" s="3"/>
    </row>
    <row r="68" customFormat="false" ht="258.95" hidden="false" customHeight="false" outlineLevel="0" collapsed="false">
      <c r="A68" s="3" t="s">
        <v>363</v>
      </c>
      <c r="B68" s="3" t="s">
        <v>17</v>
      </c>
      <c r="C68" s="3" t="s">
        <v>364</v>
      </c>
      <c r="D68" s="3" t="str">
        <f aca="false">IFERROR(UPD32e!I33,"")</f>
        <v/>
      </c>
      <c r="E68" s="3" t="s">
        <v>344</v>
      </c>
      <c r="F68" s="4"/>
      <c r="G68" s="4"/>
      <c r="H68" s="5" t="str">
        <f aca="false">IF(OR(F68="",NOT(ISNUMBER(D68))),"",IF(ABS(F68-D68)&lt;0.001,"Yes","No"))</f>
        <v/>
      </c>
      <c r="I68" s="3" t="s">
        <v>20</v>
      </c>
      <c r="J68" s="3" t="s">
        <v>82</v>
      </c>
      <c r="K68" s="3" t="s">
        <v>365</v>
      </c>
      <c r="L68" s="3"/>
      <c r="M68" s="3"/>
      <c r="N68" s="3"/>
      <c r="O68" s="3"/>
      <c r="P68" s="3" t="s">
        <v>234</v>
      </c>
    </row>
    <row r="69" customFormat="false" ht="550" hidden="false" customHeight="false" outlineLevel="0" collapsed="false">
      <c r="A69" s="3" t="s">
        <v>366</v>
      </c>
      <c r="B69" s="3" t="s">
        <v>17</v>
      </c>
      <c r="C69" s="3" t="s">
        <v>367</v>
      </c>
      <c r="D69" s="3" t="str">
        <f aca="false">IFERROR(UPD33a!I33,"")</f>
        <v/>
      </c>
      <c r="E69" s="3" t="s">
        <v>81</v>
      </c>
      <c r="F69" s="4"/>
      <c r="G69" s="4"/>
      <c r="H69" s="5" t="str">
        <f aca="false">IF(OR(F69="",NOT(ISNUMBER(D69))),"",IF(ABS(F69-D69)&lt;0.001,"Yes","No"))</f>
        <v/>
      </c>
      <c r="I69" s="3" t="s">
        <v>20</v>
      </c>
      <c r="J69" s="3" t="s">
        <v>26</v>
      </c>
      <c r="K69" s="3" t="s">
        <v>368</v>
      </c>
      <c r="L69" s="3"/>
      <c r="M69" s="3"/>
      <c r="N69" s="3"/>
      <c r="O69" s="3" t="s">
        <v>369</v>
      </c>
      <c r="P69" s="3" t="s">
        <v>370</v>
      </c>
    </row>
    <row r="70" customFormat="false" ht="717.9" hidden="false" customHeight="false" outlineLevel="0" collapsed="false">
      <c r="A70" s="3" t="s">
        <v>371</v>
      </c>
      <c r="B70" s="3" t="s">
        <v>17</v>
      </c>
      <c r="C70" s="3" t="s">
        <v>372</v>
      </c>
      <c r="D70" s="3" t="str">
        <f aca="false">IFERROR(UPD33b!I33,"")</f>
        <v/>
      </c>
      <c r="E70" s="3" t="s">
        <v>81</v>
      </c>
      <c r="F70" s="4"/>
      <c r="G70" s="4"/>
      <c r="H70" s="5" t="str">
        <f aca="false">IF(OR(F70="",NOT(ISNUMBER(D70))),"",IF(ABS(F70-D70)&lt;0.001,"Yes","No"))</f>
        <v/>
      </c>
      <c r="I70" s="3" t="s">
        <v>20</v>
      </c>
      <c r="J70" s="3" t="s">
        <v>26</v>
      </c>
      <c r="K70" s="3" t="s">
        <v>373</v>
      </c>
      <c r="L70" s="3"/>
      <c r="M70" s="3"/>
      <c r="N70" s="3"/>
      <c r="O70" s="3" t="s">
        <v>374</v>
      </c>
      <c r="P70" s="3" t="s">
        <v>375</v>
      </c>
    </row>
    <row r="71" customFormat="false" ht="538.8" hidden="false" customHeight="false" outlineLevel="0" collapsed="false">
      <c r="A71" s="3" t="s">
        <v>376</v>
      </c>
      <c r="B71" s="3" t="s">
        <v>17</v>
      </c>
      <c r="C71" s="3" t="s">
        <v>377</v>
      </c>
      <c r="D71" s="3" t="str">
        <f aca="false">IFERROR('UPD34'!J33,"")</f>
        <v/>
      </c>
      <c r="E71" s="3" t="s">
        <v>19</v>
      </c>
      <c r="F71" s="4"/>
      <c r="G71" s="4"/>
      <c r="H71" s="5" t="str">
        <f aca="false">IF(OR(F71="",NOT(ISNUMBER(D71))),"",IF(ABS(F71-D71)&lt;0.001,"Yes","No"))</f>
        <v/>
      </c>
      <c r="I71" s="3" t="s">
        <v>20</v>
      </c>
      <c r="J71" s="3" t="s">
        <v>26</v>
      </c>
      <c r="K71" s="3" t="s">
        <v>378</v>
      </c>
      <c r="L71" s="3" t="s">
        <v>67</v>
      </c>
      <c r="M71" s="3" t="s">
        <v>68</v>
      </c>
      <c r="N71" s="3" t="s">
        <v>379</v>
      </c>
      <c r="O71" s="3" t="s">
        <v>380</v>
      </c>
      <c r="P71" s="3" t="s">
        <v>381</v>
      </c>
    </row>
    <row r="72" customFormat="false" ht="348.5" hidden="false" customHeight="false" outlineLevel="0" collapsed="false">
      <c r="A72" s="3" t="s">
        <v>382</v>
      </c>
      <c r="B72" s="3" t="s">
        <v>17</v>
      </c>
      <c r="C72" s="3" t="s">
        <v>383</v>
      </c>
      <c r="D72" s="6" t="n">
        <f aca="false">IFERROR('UPD35'!J33,"")</f>
        <v>10</v>
      </c>
      <c r="E72" s="3" t="s">
        <v>19</v>
      </c>
      <c r="F72" s="4"/>
      <c r="G72" s="4"/>
      <c r="H72" s="5" t="str">
        <f aca="false">IF(OR(F72="",NOT(ISNUMBER(D72))),"",IF(ABS(F72-D72)&lt;0.001,"Yes","No"))</f>
        <v/>
      </c>
      <c r="I72" s="3" t="s">
        <v>25</v>
      </c>
      <c r="J72" s="3" t="s">
        <v>60</v>
      </c>
      <c r="K72" s="3" t="s">
        <v>384</v>
      </c>
      <c r="L72" s="3" t="s">
        <v>67</v>
      </c>
      <c r="M72" s="3" t="s">
        <v>68</v>
      </c>
      <c r="N72" s="3" t="s">
        <v>385</v>
      </c>
      <c r="O72" s="3" t="s">
        <v>386</v>
      </c>
      <c r="P72" s="3"/>
    </row>
    <row r="73" customFormat="false" ht="135.8" hidden="false" customHeight="false" outlineLevel="0" collapsed="false">
      <c r="A73" s="3" t="s">
        <v>387</v>
      </c>
      <c r="B73" s="3" t="s">
        <v>17</v>
      </c>
      <c r="C73" s="3" t="s">
        <v>388</v>
      </c>
      <c r="D73" s="3" t="str">
        <f aca="false">IFERROR('UPD36'!I33,"")</f>
        <v/>
      </c>
      <c r="E73" s="3" t="s">
        <v>19</v>
      </c>
      <c r="F73" s="4"/>
      <c r="G73" s="4"/>
      <c r="H73" s="5" t="str">
        <f aca="false">IF(OR(F73="",NOT(ISNUMBER(D73))),"",IF(ABS(F73-D73)&lt;0.001,"Yes","No"))</f>
        <v/>
      </c>
      <c r="I73" s="3" t="s">
        <v>20</v>
      </c>
      <c r="J73" s="3" t="s">
        <v>21</v>
      </c>
      <c r="K73" s="3"/>
      <c r="L73" s="3"/>
      <c r="M73" s="3"/>
      <c r="N73" s="3"/>
      <c r="O73" s="3"/>
      <c r="P73" s="3" t="s">
        <v>389</v>
      </c>
    </row>
    <row r="74" customFormat="false" ht="617.15" hidden="false" customHeight="false" outlineLevel="0" collapsed="false">
      <c r="A74" s="3" t="s">
        <v>390</v>
      </c>
      <c r="B74" s="3" t="s">
        <v>17</v>
      </c>
      <c r="C74" s="3" t="s">
        <v>391</v>
      </c>
      <c r="D74" s="3" t="str">
        <f aca="false">IFERROR('UPD37'!L33,"")</f>
        <v/>
      </c>
      <c r="E74" s="3" t="s">
        <v>19</v>
      </c>
      <c r="F74" s="4"/>
      <c r="G74" s="4"/>
      <c r="H74" s="5" t="str">
        <f aca="false">IF(OR(F74="",NOT(ISNUMBER(D74))),"",IF(ABS(F74-D74)&lt;0.001,"Yes","No"))</f>
        <v/>
      </c>
      <c r="I74" s="3" t="s">
        <v>20</v>
      </c>
      <c r="J74" s="3" t="s">
        <v>26</v>
      </c>
      <c r="K74" s="3" t="s">
        <v>392</v>
      </c>
      <c r="L74" s="3" t="s">
        <v>313</v>
      </c>
      <c r="M74" s="3" t="s">
        <v>314</v>
      </c>
      <c r="N74" s="3" t="s">
        <v>393</v>
      </c>
      <c r="O74" s="3" t="s">
        <v>394</v>
      </c>
      <c r="P74" s="3" t="s">
        <v>395</v>
      </c>
    </row>
    <row r="75" customFormat="false" ht="628.35" hidden="false" customHeight="false" outlineLevel="0" collapsed="false">
      <c r="A75" s="3" t="s">
        <v>396</v>
      </c>
      <c r="B75" s="3" t="s">
        <v>17</v>
      </c>
      <c r="C75" s="3" t="s">
        <v>397</v>
      </c>
      <c r="D75" s="6" t="n">
        <f aca="false">IFERROR(UPD38a!K33,"")</f>
        <v>5</v>
      </c>
      <c r="E75" s="3" t="s">
        <v>81</v>
      </c>
      <c r="F75" s="4"/>
      <c r="G75" s="4"/>
      <c r="H75" s="5" t="str">
        <f aca="false">IF(OR(F75="",NOT(ISNUMBER(D75))),"",IF(ABS(F75-D75)&lt;0.001,"Yes","No"))</f>
        <v/>
      </c>
      <c r="I75" s="3" t="s">
        <v>25</v>
      </c>
      <c r="J75" s="3" t="s">
        <v>60</v>
      </c>
      <c r="K75" s="3" t="s">
        <v>398</v>
      </c>
      <c r="L75" s="3" t="s">
        <v>313</v>
      </c>
      <c r="M75" s="3" t="s">
        <v>314</v>
      </c>
      <c r="N75" s="3" t="s">
        <v>399</v>
      </c>
      <c r="O75" s="3" t="s">
        <v>400</v>
      </c>
      <c r="P75" s="3"/>
    </row>
    <row r="76" customFormat="false" ht="135.8" hidden="false" customHeight="false" outlineLevel="0" collapsed="false">
      <c r="A76" s="3" t="s">
        <v>401</v>
      </c>
      <c r="B76" s="3" t="s">
        <v>17</v>
      </c>
      <c r="C76" s="3" t="s">
        <v>402</v>
      </c>
      <c r="D76" s="3" t="str">
        <f aca="false">IFERROR(UPD38b!K33,"")</f>
        <v/>
      </c>
      <c r="E76" s="3" t="s">
        <v>81</v>
      </c>
      <c r="F76" s="4"/>
      <c r="G76" s="4"/>
      <c r="H76" s="5" t="str">
        <f aca="false">IF(OR(F76="",NOT(ISNUMBER(D76))),"",IF(ABS(F76-D76)&lt;0.001,"Yes","No"))</f>
        <v/>
      </c>
      <c r="I76" s="3" t="s">
        <v>20</v>
      </c>
      <c r="J76" s="3" t="s">
        <v>21</v>
      </c>
      <c r="K76" s="3"/>
      <c r="L76" s="3"/>
      <c r="M76" s="3"/>
      <c r="N76" s="3"/>
      <c r="O76" s="3"/>
      <c r="P76" s="3" t="s">
        <v>403</v>
      </c>
    </row>
    <row r="77" customFormat="false" ht="717.9" hidden="false" customHeight="false" outlineLevel="0" collapsed="false">
      <c r="A77" s="3" t="s">
        <v>404</v>
      </c>
      <c r="B77" s="3" t="s">
        <v>17</v>
      </c>
      <c r="C77" s="3" t="s">
        <v>405</v>
      </c>
      <c r="D77" s="3" t="str">
        <f aca="false">IFERROR('UPD39'!I33,"")</f>
        <v/>
      </c>
      <c r="E77" s="3" t="s">
        <v>19</v>
      </c>
      <c r="F77" s="4"/>
      <c r="G77" s="4"/>
      <c r="H77" s="5" t="str">
        <f aca="false">IF(OR(F77="",NOT(ISNUMBER(D77))),"",IF(ABS(F77-D77)&lt;0.001,"Yes","No"))</f>
        <v/>
      </c>
      <c r="I77" s="3" t="s">
        <v>20</v>
      </c>
      <c r="J77" s="3" t="s">
        <v>26</v>
      </c>
      <c r="K77" s="3" t="s">
        <v>406</v>
      </c>
      <c r="L77" s="3" t="s">
        <v>313</v>
      </c>
      <c r="M77" s="3" t="s">
        <v>314</v>
      </c>
      <c r="N77" s="3" t="s">
        <v>407</v>
      </c>
      <c r="O77" s="3" t="s">
        <v>408</v>
      </c>
      <c r="P77" s="3" t="s">
        <v>409</v>
      </c>
    </row>
  </sheetData>
  <autoFilter ref="A1:P77"/>
  <conditionalFormatting sqref="I2:I77">
    <cfRule type="expression" priority="2" aboveAverage="0" equalAverage="0" bottom="0" percent="0" rank="0" text="" dxfId="6">
      <formula>$I2="Left for a person"</formula>
    </cfRule>
  </conditionalFormatting>
  <conditionalFormatting sqref="H2:H77">
    <cfRule type="expression" priority="3" aboveAverage="0" equalAverage="0" bottom="0" percent="0" rank="0" text="" dxfId="7">
      <formula>$H2="No"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76"/>
  <sheetViews>
    <sheetView showFormulas="false" showGridLines="true" showRowColHeaders="true" showZeros="true" rightToLeft="false" tabSelected="true" showOutlineSymbols="true" defaultGridColor="true" view="normal" topLeftCell="G2" colorId="64" zoomScale="62" zoomScaleNormal="62" zoomScalePageLayoutView="100" workbookViewId="0">
      <selection pane="topLeft" activeCell="M5" activeCellId="0" sqref="M5"/>
    </sheetView>
  </sheetViews>
  <sheetFormatPr defaultColWidth="9.1484375" defaultRowHeight="13.5" customHeight="false" zeroHeight="false" outlineLevelRow="0" outlineLevelCol="0"/>
  <cols>
    <col collapsed="false" customWidth="false" hidden="false" outlineLevel="0" max="1" min="1" style="7" width="9.14"/>
    <col collapsed="false" customWidth="false" hidden="true" outlineLevel="0" max="2" min="2" style="8" width="9.14"/>
    <col collapsed="false" customWidth="true" hidden="true" outlineLevel="0" max="3" min="3" style="8" width="7.57"/>
    <col collapsed="false" customWidth="true" hidden="true" outlineLevel="0" max="4" min="4" style="8" width="5.14"/>
    <col collapsed="false" customWidth="true" hidden="false" outlineLevel="0" max="5" min="5" style="8" width="12.86"/>
    <col collapsed="false" customWidth="true" hidden="false" outlineLevel="0" max="6" min="6" style="8" width="15"/>
    <col collapsed="false" customWidth="true" hidden="false" outlineLevel="0" max="7" min="7" style="8" width="22.29"/>
    <col collapsed="false" customWidth="true" hidden="false" outlineLevel="0" max="8" min="8" style="9" width="19.14"/>
    <col collapsed="false" customWidth="true" hidden="false" outlineLevel="0" max="9" min="9" style="8" width="79.86"/>
    <col collapsed="false" customWidth="true" hidden="false" outlineLevel="0" max="10" min="10" style="7" width="10.42"/>
    <col collapsed="false" customWidth="true" hidden="false" outlineLevel="0" max="11" min="11" style="7" width="19.57"/>
    <col collapsed="false" customWidth="true" hidden="false" outlineLevel="0" max="12" min="12" style="8" width="18.29"/>
    <col collapsed="false" customWidth="true" hidden="false" outlineLevel="0" max="13" min="13" style="10" width="98.29"/>
    <col collapsed="false" customWidth="true" hidden="false" outlineLevel="0" max="14" min="14" style="11" width="109.42"/>
    <col collapsed="false" customWidth="false" hidden="false" outlineLevel="0" max="16384" min="15" style="8" width="9.14"/>
  </cols>
  <sheetData>
    <row r="1" s="7" customFormat="true" ht="42.75" hidden="false" customHeight="true" outlineLevel="0" collapsed="false">
      <c r="A1" s="12" t="s">
        <v>410</v>
      </c>
      <c r="B1" s="12" t="s">
        <v>411</v>
      </c>
      <c r="C1" s="12" t="s">
        <v>412</v>
      </c>
      <c r="D1" s="12" t="s">
        <v>413</v>
      </c>
      <c r="E1" s="13" t="s">
        <v>414</v>
      </c>
      <c r="F1" s="13" t="s">
        <v>415</v>
      </c>
      <c r="G1" s="13" t="s">
        <v>416</v>
      </c>
      <c r="H1" s="13" t="s">
        <v>417</v>
      </c>
      <c r="I1" s="12" t="s">
        <v>0</v>
      </c>
      <c r="J1" s="12" t="s">
        <v>418</v>
      </c>
      <c r="K1" s="12" t="s">
        <v>419</v>
      </c>
      <c r="L1" s="12" t="s">
        <v>420</v>
      </c>
      <c r="M1" s="14" t="s">
        <v>421</v>
      </c>
      <c r="N1" s="15" t="s">
        <v>422</v>
      </c>
    </row>
    <row r="2" customFormat="false" ht="117" hidden="false" customHeight="true" outlineLevel="0" collapsed="false">
      <c r="A2" s="16" t="s">
        <v>423</v>
      </c>
      <c r="B2" s="17" t="s">
        <v>16</v>
      </c>
      <c r="C2" s="17" t="s">
        <v>16</v>
      </c>
      <c r="D2" s="17" t="s">
        <v>424</v>
      </c>
      <c r="E2" s="18" t="s">
        <v>16</v>
      </c>
      <c r="F2" s="18" t="s">
        <v>425</v>
      </c>
      <c r="G2" s="19" t="s">
        <v>426</v>
      </c>
      <c r="H2" s="19" t="s">
        <v>427</v>
      </c>
      <c r="I2" s="17" t="s">
        <v>18</v>
      </c>
      <c r="J2" s="16" t="s">
        <v>428</v>
      </c>
      <c r="K2" s="20" t="n">
        <v>10</v>
      </c>
      <c r="L2" s="17" t="s">
        <v>429</v>
      </c>
      <c r="M2" s="21" t="s">
        <v>430</v>
      </c>
      <c r="N2" s="22" t="s">
        <v>431</v>
      </c>
    </row>
    <row r="3" customFormat="false" ht="40.5" hidden="false" customHeight="true" outlineLevel="0" collapsed="false">
      <c r="A3" s="16" t="s">
        <v>432</v>
      </c>
      <c r="B3" s="17" t="s">
        <v>93</v>
      </c>
      <c r="C3" s="17" t="s">
        <v>76</v>
      </c>
      <c r="D3" s="17" t="s">
        <v>424</v>
      </c>
      <c r="E3" s="18" t="s">
        <v>23</v>
      </c>
      <c r="F3" s="18" t="s">
        <v>425</v>
      </c>
      <c r="G3" s="19" t="s">
        <v>426</v>
      </c>
      <c r="H3" s="19" t="s">
        <v>427</v>
      </c>
      <c r="I3" s="17" t="s">
        <v>24</v>
      </c>
      <c r="J3" s="16" t="s">
        <v>428</v>
      </c>
      <c r="K3" s="20" t="n">
        <v>10</v>
      </c>
      <c r="L3" s="17" t="s">
        <v>429</v>
      </c>
      <c r="M3" s="21" t="s">
        <v>433</v>
      </c>
      <c r="N3" s="22"/>
    </row>
    <row r="4" customFormat="false" ht="40.5" hidden="false" customHeight="true" outlineLevel="0" collapsed="false">
      <c r="A4" s="23" t="s">
        <v>434</v>
      </c>
      <c r="B4" s="24" t="s">
        <v>23</v>
      </c>
      <c r="C4" s="17" t="s">
        <v>23</v>
      </c>
      <c r="D4" s="17" t="s">
        <v>424</v>
      </c>
      <c r="E4" s="18" t="s">
        <v>435</v>
      </c>
      <c r="F4" s="18" t="s">
        <v>425</v>
      </c>
      <c r="G4" s="19" t="s">
        <v>426</v>
      </c>
      <c r="H4" s="19" t="s">
        <v>436</v>
      </c>
      <c r="I4" s="24" t="s">
        <v>437</v>
      </c>
      <c r="J4" s="23" t="s">
        <v>428</v>
      </c>
      <c r="K4" s="25" t="n">
        <v>10</v>
      </c>
      <c r="L4" s="24" t="s">
        <v>429</v>
      </c>
      <c r="M4" s="21" t="s">
        <v>438</v>
      </c>
      <c r="N4" s="22"/>
    </row>
    <row r="5" customFormat="false" ht="53.25" hidden="false" customHeight="true" outlineLevel="0" collapsed="false">
      <c r="A5" s="26" t="s">
        <v>439</v>
      </c>
      <c r="B5" s="27" t="s">
        <v>440</v>
      </c>
      <c r="C5" s="27" t="s">
        <v>440</v>
      </c>
      <c r="D5" s="17" t="s">
        <v>424</v>
      </c>
      <c r="E5" s="18" t="s">
        <v>32</v>
      </c>
      <c r="F5" s="18" t="s">
        <v>425</v>
      </c>
      <c r="G5" s="19" t="s">
        <v>426</v>
      </c>
      <c r="H5" s="19" t="s">
        <v>436</v>
      </c>
      <c r="I5" s="27" t="s">
        <v>441</v>
      </c>
      <c r="J5" s="26" t="s">
        <v>442</v>
      </c>
      <c r="K5" s="28" t="n">
        <v>3.33</v>
      </c>
      <c r="L5" s="27" t="s">
        <v>429</v>
      </c>
      <c r="M5" s="21" t="s">
        <v>443</v>
      </c>
      <c r="N5" s="22"/>
    </row>
    <row r="6" customFormat="false" ht="40.5" hidden="false" customHeight="true" outlineLevel="0" collapsed="false">
      <c r="A6" s="26" t="s">
        <v>444</v>
      </c>
      <c r="B6" s="27" t="s">
        <v>445</v>
      </c>
      <c r="C6" s="27" t="s">
        <v>445</v>
      </c>
      <c r="D6" s="17" t="s">
        <v>424</v>
      </c>
      <c r="E6" s="18" t="s">
        <v>41</v>
      </c>
      <c r="F6" s="18" t="s">
        <v>425</v>
      </c>
      <c r="G6" s="19" t="s">
        <v>426</v>
      </c>
      <c r="H6" s="19" t="s">
        <v>436</v>
      </c>
      <c r="I6" s="27" t="s">
        <v>446</v>
      </c>
      <c r="J6" s="26" t="s">
        <v>442</v>
      </c>
      <c r="K6" s="28" t="n">
        <v>3.33</v>
      </c>
      <c r="L6" s="27" t="s">
        <v>429</v>
      </c>
      <c r="M6" s="21" t="s">
        <v>447</v>
      </c>
      <c r="N6" s="22"/>
    </row>
    <row r="7" customFormat="false" ht="40.5" hidden="false" customHeight="true" outlineLevel="0" collapsed="false">
      <c r="A7" s="26" t="s">
        <v>448</v>
      </c>
      <c r="B7" s="27" t="s">
        <v>449</v>
      </c>
      <c r="C7" s="27" t="s">
        <v>449</v>
      </c>
      <c r="D7" s="17" t="s">
        <v>424</v>
      </c>
      <c r="E7" s="18" t="s">
        <v>48</v>
      </c>
      <c r="F7" s="18" t="s">
        <v>425</v>
      </c>
      <c r="G7" s="19" t="s">
        <v>426</v>
      </c>
      <c r="H7" s="19" t="s">
        <v>436</v>
      </c>
      <c r="I7" s="27" t="s">
        <v>450</v>
      </c>
      <c r="J7" s="26" t="s">
        <v>442</v>
      </c>
      <c r="K7" s="28" t="n">
        <v>3.33</v>
      </c>
      <c r="L7" s="27" t="s">
        <v>429</v>
      </c>
      <c r="M7" s="21" t="s">
        <v>451</v>
      </c>
      <c r="N7" s="22" t="s">
        <v>452</v>
      </c>
    </row>
    <row r="8" customFormat="false" ht="391.5" hidden="false" customHeight="true" outlineLevel="0" collapsed="false">
      <c r="A8" s="16" t="s">
        <v>453</v>
      </c>
      <c r="B8" s="17" t="s">
        <v>76</v>
      </c>
      <c r="C8" s="17" t="s">
        <v>454</v>
      </c>
      <c r="D8" s="17" t="s">
        <v>424</v>
      </c>
      <c r="E8" s="18" t="s">
        <v>53</v>
      </c>
      <c r="F8" s="18" t="s">
        <v>425</v>
      </c>
      <c r="G8" s="19" t="s">
        <v>426</v>
      </c>
      <c r="H8" s="19" t="s">
        <v>436</v>
      </c>
      <c r="I8" s="17" t="s">
        <v>54</v>
      </c>
      <c r="J8" s="16" t="s">
        <v>428</v>
      </c>
      <c r="K8" s="20" t="n">
        <v>10</v>
      </c>
      <c r="L8" s="17" t="s">
        <v>429</v>
      </c>
      <c r="M8" s="29" t="s">
        <v>455</v>
      </c>
      <c r="N8" s="22"/>
    </row>
    <row r="9" customFormat="false" ht="40.5" hidden="false" customHeight="true" outlineLevel="0" collapsed="false">
      <c r="A9" s="30" t="s">
        <v>456</v>
      </c>
      <c r="B9" s="30" t="s">
        <v>424</v>
      </c>
      <c r="C9" s="17" t="s">
        <v>454</v>
      </c>
      <c r="D9" s="17" t="s">
        <v>424</v>
      </c>
      <c r="E9" s="18" t="s">
        <v>457</v>
      </c>
      <c r="F9" s="18" t="s">
        <v>425</v>
      </c>
      <c r="G9" s="19" t="s">
        <v>426</v>
      </c>
      <c r="H9" s="19" t="s">
        <v>436</v>
      </c>
      <c r="I9" s="31" t="s">
        <v>458</v>
      </c>
      <c r="J9" s="32" t="s">
        <v>428</v>
      </c>
      <c r="K9" s="25" t="n">
        <v>10</v>
      </c>
      <c r="L9" s="24" t="s">
        <v>429</v>
      </c>
      <c r="M9" s="29" t="s">
        <v>459</v>
      </c>
      <c r="N9" s="33"/>
      <c r="O9" s="34"/>
      <c r="P9" s="35"/>
      <c r="R9" s="36"/>
      <c r="S9" s="37"/>
    </row>
    <row r="10" customFormat="false" ht="40.5" hidden="false" customHeight="true" outlineLevel="0" collapsed="false">
      <c r="A10" s="30" t="s">
        <v>460</v>
      </c>
      <c r="B10" s="30" t="s">
        <v>424</v>
      </c>
      <c r="C10" s="17" t="s">
        <v>454</v>
      </c>
      <c r="D10" s="17" t="s">
        <v>424</v>
      </c>
      <c r="E10" s="18" t="s">
        <v>58</v>
      </c>
      <c r="F10" s="18" t="s">
        <v>425</v>
      </c>
      <c r="G10" s="19" t="s">
        <v>426</v>
      </c>
      <c r="H10" s="19" t="s">
        <v>436</v>
      </c>
      <c r="I10" s="27" t="s">
        <v>461</v>
      </c>
      <c r="J10" s="30" t="s">
        <v>442</v>
      </c>
      <c r="K10" s="30" t="n">
        <v>3.33</v>
      </c>
      <c r="L10" s="17" t="s">
        <v>429</v>
      </c>
      <c r="M10" s="29" t="s">
        <v>462</v>
      </c>
      <c r="N10" s="33"/>
      <c r="P10" s="35"/>
      <c r="R10" s="36"/>
      <c r="S10" s="37"/>
    </row>
    <row r="11" customFormat="false" ht="54" hidden="false" customHeight="true" outlineLevel="0" collapsed="false">
      <c r="A11" s="30" t="s">
        <v>463</v>
      </c>
      <c r="B11" s="30" t="s">
        <v>424</v>
      </c>
      <c r="C11" s="17" t="s">
        <v>454</v>
      </c>
      <c r="D11" s="17" t="s">
        <v>424</v>
      </c>
      <c r="E11" s="18" t="s">
        <v>64</v>
      </c>
      <c r="F11" s="18" t="s">
        <v>425</v>
      </c>
      <c r="G11" s="19" t="s">
        <v>426</v>
      </c>
      <c r="H11" s="19" t="s">
        <v>436</v>
      </c>
      <c r="I11" s="27" t="s">
        <v>464</v>
      </c>
      <c r="J11" s="30" t="s">
        <v>442</v>
      </c>
      <c r="K11" s="30" t="n">
        <v>3.33</v>
      </c>
      <c r="L11" s="17" t="s">
        <v>429</v>
      </c>
      <c r="M11" s="29" t="s">
        <v>465</v>
      </c>
      <c r="N11" s="33"/>
      <c r="P11" s="35"/>
      <c r="R11" s="36"/>
      <c r="S11" s="37"/>
    </row>
    <row r="12" customFormat="false" ht="40.5" hidden="false" customHeight="true" outlineLevel="0" collapsed="false">
      <c r="A12" s="30" t="s">
        <v>466</v>
      </c>
      <c r="B12" s="30" t="s">
        <v>424</v>
      </c>
      <c r="C12" s="17" t="s">
        <v>454</v>
      </c>
      <c r="D12" s="17" t="s">
        <v>424</v>
      </c>
      <c r="E12" s="18" t="s">
        <v>71</v>
      </c>
      <c r="F12" s="18" t="s">
        <v>425</v>
      </c>
      <c r="G12" s="19" t="s">
        <v>426</v>
      </c>
      <c r="H12" s="19" t="s">
        <v>436</v>
      </c>
      <c r="I12" s="27" t="s">
        <v>467</v>
      </c>
      <c r="J12" s="30" t="s">
        <v>442</v>
      </c>
      <c r="K12" s="30" t="n">
        <v>3.33</v>
      </c>
      <c r="L12" s="17" t="s">
        <v>429</v>
      </c>
      <c r="M12" s="29" t="s">
        <v>468</v>
      </c>
      <c r="N12" s="33"/>
      <c r="P12" s="35"/>
      <c r="R12" s="36"/>
      <c r="S12" s="37"/>
    </row>
    <row r="13" customFormat="false" ht="121.5" hidden="false" customHeight="true" outlineLevel="0" collapsed="false">
      <c r="A13" s="16" t="s">
        <v>469</v>
      </c>
      <c r="B13" s="17" t="s">
        <v>457</v>
      </c>
      <c r="C13" s="17" t="s">
        <v>53</v>
      </c>
      <c r="D13" s="17" t="s">
        <v>424</v>
      </c>
      <c r="E13" s="18" t="s">
        <v>76</v>
      </c>
      <c r="F13" s="18" t="s">
        <v>425</v>
      </c>
      <c r="G13" s="19" t="s">
        <v>426</v>
      </c>
      <c r="H13" s="19" t="s">
        <v>470</v>
      </c>
      <c r="I13" s="17" t="s">
        <v>77</v>
      </c>
      <c r="J13" s="16" t="s">
        <v>428</v>
      </c>
      <c r="K13" s="20" t="n">
        <v>10</v>
      </c>
      <c r="L13" s="17" t="s">
        <v>429</v>
      </c>
      <c r="M13" s="21" t="s">
        <v>471</v>
      </c>
      <c r="N13" s="22"/>
    </row>
    <row r="14" customFormat="false" ht="40.5" hidden="false" customHeight="true" outlineLevel="0" collapsed="false">
      <c r="A14" s="16" t="s">
        <v>472</v>
      </c>
      <c r="B14" s="17" t="s">
        <v>473</v>
      </c>
      <c r="C14" s="17" t="s">
        <v>93</v>
      </c>
      <c r="D14" s="17" t="s">
        <v>424</v>
      </c>
      <c r="E14" s="18" t="s">
        <v>474</v>
      </c>
      <c r="F14" s="18" t="s">
        <v>425</v>
      </c>
      <c r="G14" s="19" t="s">
        <v>426</v>
      </c>
      <c r="H14" s="19" t="s">
        <v>475</v>
      </c>
      <c r="I14" s="17" t="s">
        <v>476</v>
      </c>
      <c r="J14" s="16" t="s">
        <v>428</v>
      </c>
      <c r="K14" s="20" t="n">
        <v>10</v>
      </c>
      <c r="L14" s="17" t="s">
        <v>477</v>
      </c>
      <c r="M14" s="21" t="s">
        <v>478</v>
      </c>
      <c r="N14" s="22"/>
    </row>
    <row r="15" customFormat="false" ht="67.5" hidden="false" customHeight="true" outlineLevel="0" collapsed="false">
      <c r="A15" s="26" t="s">
        <v>479</v>
      </c>
      <c r="B15" s="27" t="s">
        <v>165</v>
      </c>
      <c r="C15" s="27" t="s">
        <v>480</v>
      </c>
      <c r="D15" s="17" t="s">
        <v>424</v>
      </c>
      <c r="E15" s="18" t="s">
        <v>79</v>
      </c>
      <c r="F15" s="18" t="s">
        <v>425</v>
      </c>
      <c r="G15" s="19" t="s">
        <v>426</v>
      </c>
      <c r="H15" s="19" t="s">
        <v>475</v>
      </c>
      <c r="I15" s="27" t="s">
        <v>481</v>
      </c>
      <c r="J15" s="26" t="s">
        <v>442</v>
      </c>
      <c r="K15" s="28" t="n">
        <v>5</v>
      </c>
      <c r="L15" s="17" t="s">
        <v>482</v>
      </c>
      <c r="M15" s="21" t="s">
        <v>483</v>
      </c>
      <c r="N15" s="22"/>
    </row>
    <row r="16" customFormat="false" ht="94.5" hidden="false" customHeight="true" outlineLevel="0" collapsed="false">
      <c r="A16" s="26" t="s">
        <v>484</v>
      </c>
      <c r="B16" s="27" t="s">
        <v>169</v>
      </c>
      <c r="C16" s="27" t="s">
        <v>485</v>
      </c>
      <c r="D16" s="17" t="s">
        <v>424</v>
      </c>
      <c r="E16" s="18" t="s">
        <v>85</v>
      </c>
      <c r="F16" s="18" t="s">
        <v>425</v>
      </c>
      <c r="G16" s="19" t="s">
        <v>426</v>
      </c>
      <c r="H16" s="19" t="s">
        <v>475</v>
      </c>
      <c r="I16" s="27" t="s">
        <v>486</v>
      </c>
      <c r="J16" s="26" t="s">
        <v>442</v>
      </c>
      <c r="K16" s="28" t="n">
        <v>5</v>
      </c>
      <c r="L16" s="17" t="s">
        <v>487</v>
      </c>
      <c r="M16" s="21" t="s">
        <v>488</v>
      </c>
      <c r="N16" s="22"/>
    </row>
    <row r="17" customFormat="false" ht="81" hidden="false" customHeight="true" outlineLevel="0" collapsed="false">
      <c r="A17" s="26" t="s">
        <v>489</v>
      </c>
      <c r="B17" s="33" t="s">
        <v>454</v>
      </c>
      <c r="C17" s="33" t="s">
        <v>454</v>
      </c>
      <c r="D17" s="17" t="s">
        <v>424</v>
      </c>
      <c r="E17" s="38" t="s">
        <v>88</v>
      </c>
      <c r="F17" s="38" t="s">
        <v>425</v>
      </c>
      <c r="G17" s="19" t="s">
        <v>426</v>
      </c>
      <c r="H17" s="19" t="s">
        <v>475</v>
      </c>
      <c r="I17" s="17" t="s">
        <v>89</v>
      </c>
      <c r="J17" s="16" t="s">
        <v>428</v>
      </c>
      <c r="K17" s="28" t="n">
        <v>10</v>
      </c>
      <c r="L17" s="17" t="s">
        <v>490</v>
      </c>
      <c r="M17" s="21" t="s">
        <v>491</v>
      </c>
      <c r="N17" s="22"/>
    </row>
    <row r="18" customFormat="false" ht="81" hidden="false" customHeight="true" outlineLevel="0" collapsed="false">
      <c r="A18" s="16" t="s">
        <v>492</v>
      </c>
      <c r="B18" s="17" t="s">
        <v>53</v>
      </c>
      <c r="C18" s="17" t="s">
        <v>435</v>
      </c>
      <c r="D18" s="17" t="s">
        <v>424</v>
      </c>
      <c r="E18" s="18" t="s">
        <v>93</v>
      </c>
      <c r="F18" s="18" t="s">
        <v>425</v>
      </c>
      <c r="G18" s="19" t="s">
        <v>493</v>
      </c>
      <c r="H18" s="19" t="s">
        <v>494</v>
      </c>
      <c r="I18" s="17" t="s">
        <v>94</v>
      </c>
      <c r="J18" s="16" t="s">
        <v>428</v>
      </c>
      <c r="K18" s="20" t="n">
        <v>10</v>
      </c>
      <c r="L18" s="17" t="s">
        <v>429</v>
      </c>
      <c r="M18" s="21" t="s">
        <v>495</v>
      </c>
      <c r="N18" s="22"/>
    </row>
    <row r="19" customFormat="false" ht="94.5" hidden="false" customHeight="true" outlineLevel="0" collapsed="false">
      <c r="A19" s="39" t="s">
        <v>19</v>
      </c>
      <c r="B19" s="17" t="s">
        <v>496</v>
      </c>
      <c r="C19" s="17" t="s">
        <v>177</v>
      </c>
      <c r="D19" s="17" t="s">
        <v>424</v>
      </c>
      <c r="E19" s="18" t="s">
        <v>98</v>
      </c>
      <c r="F19" s="18" t="s">
        <v>425</v>
      </c>
      <c r="G19" s="19" t="s">
        <v>493</v>
      </c>
      <c r="H19" s="19" t="s">
        <v>497</v>
      </c>
      <c r="I19" s="17" t="s">
        <v>99</v>
      </c>
      <c r="J19" s="39" t="s">
        <v>428</v>
      </c>
      <c r="K19" s="40" t="n">
        <v>10</v>
      </c>
      <c r="L19" s="17" t="s">
        <v>429</v>
      </c>
      <c r="M19" s="21" t="s">
        <v>498</v>
      </c>
      <c r="N19" s="27"/>
    </row>
    <row r="20" customFormat="false" ht="54" hidden="false" customHeight="true" outlineLevel="0" collapsed="false">
      <c r="A20" s="39" t="s">
        <v>499</v>
      </c>
      <c r="B20" s="17" t="s">
        <v>376</v>
      </c>
      <c r="C20" s="17" t="s">
        <v>500</v>
      </c>
      <c r="D20" s="17" t="s">
        <v>424</v>
      </c>
      <c r="E20" s="18" t="s">
        <v>501</v>
      </c>
      <c r="F20" s="18" t="s">
        <v>425</v>
      </c>
      <c r="G20" s="19" t="s">
        <v>493</v>
      </c>
      <c r="H20" s="19" t="s">
        <v>497</v>
      </c>
      <c r="I20" s="17" t="s">
        <v>502</v>
      </c>
      <c r="J20" s="39" t="s">
        <v>428</v>
      </c>
      <c r="K20" s="40" t="n">
        <v>10</v>
      </c>
      <c r="L20" s="17" t="s">
        <v>477</v>
      </c>
      <c r="M20" s="21" t="s">
        <v>478</v>
      </c>
      <c r="N20" s="22"/>
    </row>
    <row r="21" customFormat="false" ht="94.5" hidden="false" customHeight="true" outlineLevel="0" collapsed="false">
      <c r="A21" s="39" t="s">
        <v>503</v>
      </c>
      <c r="B21" s="17" t="s">
        <v>504</v>
      </c>
      <c r="C21" s="17" t="s">
        <v>454</v>
      </c>
      <c r="D21" s="17" t="s">
        <v>424</v>
      </c>
      <c r="E21" s="18" t="s">
        <v>104</v>
      </c>
      <c r="F21" s="18" t="s">
        <v>425</v>
      </c>
      <c r="G21" s="19" t="s">
        <v>493</v>
      </c>
      <c r="H21" s="19" t="s">
        <v>497</v>
      </c>
      <c r="I21" s="17" t="s">
        <v>505</v>
      </c>
      <c r="J21" s="39" t="s">
        <v>442</v>
      </c>
      <c r="K21" s="40" t="n">
        <v>5</v>
      </c>
      <c r="L21" s="17" t="s">
        <v>482</v>
      </c>
      <c r="M21" s="21" t="s">
        <v>506</v>
      </c>
      <c r="N21" s="22"/>
    </row>
    <row r="22" customFormat="false" ht="45" hidden="false" customHeight="true" outlineLevel="0" collapsed="false">
      <c r="A22" s="39" t="s">
        <v>507</v>
      </c>
      <c r="B22" s="17" t="s">
        <v>508</v>
      </c>
      <c r="C22" s="17" t="s">
        <v>454</v>
      </c>
      <c r="D22" s="17" t="s">
        <v>424</v>
      </c>
      <c r="E22" s="18" t="s">
        <v>108</v>
      </c>
      <c r="F22" s="18" t="s">
        <v>425</v>
      </c>
      <c r="G22" s="19" t="s">
        <v>493</v>
      </c>
      <c r="H22" s="19" t="s">
        <v>497</v>
      </c>
      <c r="I22" s="17" t="s">
        <v>509</v>
      </c>
      <c r="J22" s="39" t="s">
        <v>442</v>
      </c>
      <c r="K22" s="40" t="n">
        <v>5</v>
      </c>
      <c r="L22" s="17" t="s">
        <v>487</v>
      </c>
      <c r="M22" s="21" t="s">
        <v>510</v>
      </c>
      <c r="N22" s="22"/>
    </row>
    <row r="23" customFormat="false" ht="162" hidden="false" customHeight="true" outlineLevel="0" collapsed="false">
      <c r="A23" s="41" t="s">
        <v>511</v>
      </c>
      <c r="B23" s="38" t="s">
        <v>454</v>
      </c>
      <c r="C23" s="17" t="s">
        <v>454</v>
      </c>
      <c r="D23" s="17" t="s">
        <v>424</v>
      </c>
      <c r="E23" s="18" t="s">
        <v>113</v>
      </c>
      <c r="F23" s="18" t="s">
        <v>425</v>
      </c>
      <c r="G23" s="19" t="s">
        <v>493</v>
      </c>
      <c r="H23" s="19" t="s">
        <v>512</v>
      </c>
      <c r="I23" s="42" t="s">
        <v>114</v>
      </c>
      <c r="J23" s="39" t="s">
        <v>428</v>
      </c>
      <c r="K23" s="40" t="n">
        <v>10</v>
      </c>
      <c r="L23" s="17" t="s">
        <v>429</v>
      </c>
      <c r="M23" s="43" t="s">
        <v>513</v>
      </c>
      <c r="N23" s="22"/>
    </row>
    <row r="24" customFormat="false" ht="40.5" hidden="false" customHeight="true" outlineLevel="0" collapsed="false">
      <c r="A24" s="16" t="s">
        <v>514</v>
      </c>
      <c r="B24" s="17" t="s">
        <v>454</v>
      </c>
      <c r="C24" s="17" t="s">
        <v>501</v>
      </c>
      <c r="D24" s="17" t="s">
        <v>424</v>
      </c>
      <c r="E24" s="18" t="s">
        <v>515</v>
      </c>
      <c r="F24" s="18" t="s">
        <v>425</v>
      </c>
      <c r="G24" s="19" t="s">
        <v>516</v>
      </c>
      <c r="H24" s="19" t="s">
        <v>517</v>
      </c>
      <c r="I24" s="17" t="s">
        <v>518</v>
      </c>
      <c r="J24" s="16" t="s">
        <v>428</v>
      </c>
      <c r="K24" s="20" t="n">
        <v>10</v>
      </c>
      <c r="L24" s="17" t="s">
        <v>519</v>
      </c>
      <c r="M24" s="21" t="s">
        <v>520</v>
      </c>
      <c r="N24" s="22"/>
    </row>
    <row r="25" customFormat="false" ht="112.5" hidden="false" customHeight="true" outlineLevel="0" collapsed="false">
      <c r="A25" s="39" t="s">
        <v>521</v>
      </c>
      <c r="B25" s="17" t="s">
        <v>454</v>
      </c>
      <c r="C25" s="17" t="s">
        <v>454</v>
      </c>
      <c r="D25" s="17" t="s">
        <v>424</v>
      </c>
      <c r="E25" s="18" t="s">
        <v>118</v>
      </c>
      <c r="F25" s="18" t="s">
        <v>425</v>
      </c>
      <c r="G25" s="19" t="s">
        <v>516</v>
      </c>
      <c r="H25" s="19" t="s">
        <v>517</v>
      </c>
      <c r="I25" s="17" t="s">
        <v>522</v>
      </c>
      <c r="J25" s="16" t="s">
        <v>442</v>
      </c>
      <c r="K25" s="20" t="n">
        <v>1.67</v>
      </c>
      <c r="L25" s="17" t="s">
        <v>482</v>
      </c>
      <c r="M25" s="21" t="s">
        <v>523</v>
      </c>
      <c r="N25" s="22"/>
    </row>
    <row r="26" customFormat="false" ht="54" hidden="false" customHeight="true" outlineLevel="0" collapsed="false">
      <c r="A26" s="39" t="s">
        <v>524</v>
      </c>
      <c r="B26" s="17" t="s">
        <v>454</v>
      </c>
      <c r="C26" s="17" t="s">
        <v>454</v>
      </c>
      <c r="D26" s="17" t="s">
        <v>424</v>
      </c>
      <c r="E26" s="18" t="s">
        <v>125</v>
      </c>
      <c r="F26" s="18" t="s">
        <v>425</v>
      </c>
      <c r="G26" s="19" t="s">
        <v>516</v>
      </c>
      <c r="H26" s="19" t="s">
        <v>517</v>
      </c>
      <c r="I26" s="17" t="s">
        <v>525</v>
      </c>
      <c r="J26" s="16" t="s">
        <v>442</v>
      </c>
      <c r="K26" s="20" t="n">
        <v>1.67</v>
      </c>
      <c r="L26" s="17" t="s">
        <v>482</v>
      </c>
      <c r="M26" s="21" t="s">
        <v>526</v>
      </c>
      <c r="N26" s="22"/>
    </row>
    <row r="27" customFormat="false" ht="63.75" hidden="false" customHeight="true" outlineLevel="0" collapsed="false">
      <c r="A27" s="39" t="s">
        <v>527</v>
      </c>
      <c r="B27" s="17" t="s">
        <v>454</v>
      </c>
      <c r="C27" s="17" t="s">
        <v>454</v>
      </c>
      <c r="D27" s="17" t="s">
        <v>424</v>
      </c>
      <c r="E27" s="18" t="s">
        <v>128</v>
      </c>
      <c r="F27" s="18" t="s">
        <v>425</v>
      </c>
      <c r="G27" s="19" t="s">
        <v>516</v>
      </c>
      <c r="H27" s="19" t="s">
        <v>517</v>
      </c>
      <c r="I27" s="17" t="s">
        <v>528</v>
      </c>
      <c r="J27" s="16" t="s">
        <v>442</v>
      </c>
      <c r="K27" s="20" t="n">
        <v>1.67</v>
      </c>
      <c r="L27" s="17" t="s">
        <v>482</v>
      </c>
      <c r="M27" s="21" t="s">
        <v>529</v>
      </c>
      <c r="N27" s="22"/>
    </row>
    <row r="28" customFormat="false" ht="54" hidden="false" customHeight="true" outlineLevel="0" collapsed="false">
      <c r="A28" s="39" t="s">
        <v>530</v>
      </c>
      <c r="B28" s="17" t="s">
        <v>454</v>
      </c>
      <c r="C28" s="17" t="s">
        <v>454</v>
      </c>
      <c r="D28" s="17" t="s">
        <v>424</v>
      </c>
      <c r="E28" s="18" t="s">
        <v>132</v>
      </c>
      <c r="F28" s="18" t="s">
        <v>425</v>
      </c>
      <c r="G28" s="19" t="s">
        <v>516</v>
      </c>
      <c r="H28" s="19" t="s">
        <v>517</v>
      </c>
      <c r="I28" s="17" t="s">
        <v>531</v>
      </c>
      <c r="J28" s="16" t="s">
        <v>442</v>
      </c>
      <c r="K28" s="20" t="n">
        <v>1.67</v>
      </c>
      <c r="L28" s="17" t="s">
        <v>482</v>
      </c>
      <c r="M28" s="21" t="s">
        <v>532</v>
      </c>
      <c r="N28" s="22"/>
    </row>
    <row r="29" customFormat="false" ht="54" hidden="false" customHeight="true" outlineLevel="0" collapsed="false">
      <c r="A29" s="39" t="s">
        <v>533</v>
      </c>
      <c r="B29" s="17" t="s">
        <v>454</v>
      </c>
      <c r="C29" s="17" t="s">
        <v>454</v>
      </c>
      <c r="D29" s="17" t="s">
        <v>424</v>
      </c>
      <c r="E29" s="18" t="s">
        <v>136</v>
      </c>
      <c r="F29" s="18" t="s">
        <v>425</v>
      </c>
      <c r="G29" s="19" t="s">
        <v>516</v>
      </c>
      <c r="H29" s="19" t="s">
        <v>517</v>
      </c>
      <c r="I29" s="17" t="s">
        <v>534</v>
      </c>
      <c r="J29" s="16" t="s">
        <v>442</v>
      </c>
      <c r="K29" s="20" t="n">
        <v>1.67</v>
      </c>
      <c r="L29" s="17" t="s">
        <v>482</v>
      </c>
      <c r="M29" s="21" t="s">
        <v>535</v>
      </c>
      <c r="N29" s="22"/>
    </row>
    <row r="30" customFormat="false" ht="121.5" hidden="false" customHeight="true" outlineLevel="0" collapsed="false">
      <c r="A30" s="39" t="s">
        <v>536</v>
      </c>
      <c r="B30" s="17" t="s">
        <v>454</v>
      </c>
      <c r="C30" s="17" t="s">
        <v>454</v>
      </c>
      <c r="D30" s="17" t="s">
        <v>424</v>
      </c>
      <c r="E30" s="18" t="s">
        <v>139</v>
      </c>
      <c r="F30" s="18" t="s">
        <v>425</v>
      </c>
      <c r="G30" s="19" t="s">
        <v>516</v>
      </c>
      <c r="H30" s="19" t="s">
        <v>517</v>
      </c>
      <c r="I30" s="17" t="s">
        <v>537</v>
      </c>
      <c r="J30" s="16" t="s">
        <v>442</v>
      </c>
      <c r="K30" s="20" t="n">
        <v>1.67</v>
      </c>
      <c r="L30" s="17" t="s">
        <v>482</v>
      </c>
      <c r="M30" s="21" t="s">
        <v>538</v>
      </c>
      <c r="N30" s="22"/>
    </row>
    <row r="31" customFormat="false" ht="40.5" hidden="false" customHeight="true" outlineLevel="0" collapsed="false">
      <c r="A31" s="23" t="s">
        <v>539</v>
      </c>
      <c r="B31" s="24" t="s">
        <v>435</v>
      </c>
      <c r="C31" s="24" t="s">
        <v>454</v>
      </c>
      <c r="D31" s="17" t="s">
        <v>424</v>
      </c>
      <c r="E31" s="18" t="s">
        <v>540</v>
      </c>
      <c r="F31" s="18" t="s">
        <v>487</v>
      </c>
      <c r="G31" s="19" t="s">
        <v>541</v>
      </c>
      <c r="H31" s="19" t="s">
        <v>542</v>
      </c>
      <c r="I31" s="24" t="s">
        <v>543</v>
      </c>
      <c r="J31" s="23" t="s">
        <v>428</v>
      </c>
      <c r="K31" s="25" t="n">
        <v>10</v>
      </c>
      <c r="L31" s="24" t="s">
        <v>487</v>
      </c>
      <c r="M31" s="21" t="s">
        <v>544</v>
      </c>
      <c r="N31" s="22"/>
    </row>
    <row r="32" customFormat="false" ht="54" hidden="false" customHeight="true" outlineLevel="0" collapsed="false">
      <c r="A32" s="26" t="s">
        <v>545</v>
      </c>
      <c r="B32" s="27" t="s">
        <v>32</v>
      </c>
      <c r="C32" s="24" t="s">
        <v>454</v>
      </c>
      <c r="D32" s="17" t="s">
        <v>424</v>
      </c>
      <c r="E32" s="18" t="s">
        <v>144</v>
      </c>
      <c r="F32" s="18" t="s">
        <v>487</v>
      </c>
      <c r="G32" s="19" t="s">
        <v>541</v>
      </c>
      <c r="H32" s="19" t="s">
        <v>542</v>
      </c>
      <c r="I32" s="27" t="s">
        <v>546</v>
      </c>
      <c r="J32" s="26" t="s">
        <v>442</v>
      </c>
      <c r="K32" s="28" t="n">
        <v>3.33</v>
      </c>
      <c r="L32" s="27" t="s">
        <v>487</v>
      </c>
      <c r="M32" s="21" t="s">
        <v>547</v>
      </c>
      <c r="N32" s="22" t="s">
        <v>548</v>
      </c>
    </row>
    <row r="33" customFormat="false" ht="40.5" hidden="false" customHeight="true" outlineLevel="0" collapsed="false">
      <c r="A33" s="26" t="s">
        <v>549</v>
      </c>
      <c r="B33" s="27" t="s">
        <v>41</v>
      </c>
      <c r="C33" s="24" t="s">
        <v>454</v>
      </c>
      <c r="D33" s="17" t="s">
        <v>424</v>
      </c>
      <c r="E33" s="18" t="s">
        <v>149</v>
      </c>
      <c r="F33" s="18" t="s">
        <v>487</v>
      </c>
      <c r="G33" s="19" t="s">
        <v>541</v>
      </c>
      <c r="H33" s="19" t="s">
        <v>542</v>
      </c>
      <c r="I33" s="27" t="s">
        <v>550</v>
      </c>
      <c r="J33" s="26" t="s">
        <v>442</v>
      </c>
      <c r="K33" s="28" t="n">
        <v>3.33</v>
      </c>
      <c r="L33" s="27" t="s">
        <v>487</v>
      </c>
      <c r="M33" s="21" t="s">
        <v>551</v>
      </c>
      <c r="N33" s="22" t="s">
        <v>548</v>
      </c>
    </row>
    <row r="34" customFormat="false" ht="40.5" hidden="false" customHeight="true" outlineLevel="0" collapsed="false">
      <c r="A34" s="26" t="s">
        <v>552</v>
      </c>
      <c r="B34" s="27" t="s">
        <v>48</v>
      </c>
      <c r="C34" s="24" t="s">
        <v>454</v>
      </c>
      <c r="D34" s="17" t="s">
        <v>424</v>
      </c>
      <c r="E34" s="18" t="s">
        <v>154</v>
      </c>
      <c r="F34" s="18" t="s">
        <v>487</v>
      </c>
      <c r="G34" s="19" t="s">
        <v>541</v>
      </c>
      <c r="H34" s="19" t="s">
        <v>542</v>
      </c>
      <c r="I34" s="27" t="s">
        <v>553</v>
      </c>
      <c r="J34" s="26" t="s">
        <v>442</v>
      </c>
      <c r="K34" s="28" t="n">
        <v>3.33</v>
      </c>
      <c r="L34" s="27" t="s">
        <v>487</v>
      </c>
      <c r="M34" s="21" t="s">
        <v>554</v>
      </c>
      <c r="N34" s="22"/>
    </row>
    <row r="35" customFormat="false" ht="135" hidden="false" customHeight="true" outlineLevel="0" collapsed="false">
      <c r="A35" s="41" t="s">
        <v>555</v>
      </c>
      <c r="B35" s="38" t="s">
        <v>454</v>
      </c>
      <c r="C35" s="38" t="s">
        <v>454</v>
      </c>
      <c r="D35" s="17" t="s">
        <v>424</v>
      </c>
      <c r="E35" s="18" t="s">
        <v>161</v>
      </c>
      <c r="F35" s="18" t="s">
        <v>487</v>
      </c>
      <c r="G35" s="19" t="s">
        <v>541</v>
      </c>
      <c r="H35" s="19" t="s">
        <v>556</v>
      </c>
      <c r="I35" s="17" t="s">
        <v>162</v>
      </c>
      <c r="J35" s="39" t="s">
        <v>428</v>
      </c>
      <c r="K35" s="40" t="n">
        <v>10</v>
      </c>
      <c r="L35" s="17" t="s">
        <v>487</v>
      </c>
      <c r="M35" s="43" t="s">
        <v>557</v>
      </c>
      <c r="N35" s="22"/>
    </row>
    <row r="36" customFormat="false" ht="40.5" hidden="false" customHeight="true" outlineLevel="0" collapsed="false">
      <c r="A36" s="23" t="s">
        <v>558</v>
      </c>
      <c r="B36" s="24" t="s">
        <v>474</v>
      </c>
      <c r="C36" s="24" t="s">
        <v>454</v>
      </c>
      <c r="D36" s="17" t="s">
        <v>424</v>
      </c>
      <c r="E36" s="18" t="s">
        <v>473</v>
      </c>
      <c r="F36" s="18" t="s">
        <v>487</v>
      </c>
      <c r="G36" s="19" t="s">
        <v>541</v>
      </c>
      <c r="H36" s="19" t="s">
        <v>559</v>
      </c>
      <c r="I36" s="24" t="s">
        <v>560</v>
      </c>
      <c r="J36" s="23" t="s">
        <v>428</v>
      </c>
      <c r="K36" s="25" t="n">
        <v>10</v>
      </c>
      <c r="L36" s="24" t="s">
        <v>487</v>
      </c>
      <c r="M36" s="43" t="s">
        <v>561</v>
      </c>
      <c r="N36" s="22"/>
    </row>
    <row r="37" customFormat="false" ht="54" hidden="false" customHeight="true" outlineLevel="0" collapsed="false">
      <c r="A37" s="26" t="s">
        <v>562</v>
      </c>
      <c r="B37" s="27" t="s">
        <v>79</v>
      </c>
      <c r="C37" s="24" t="s">
        <v>454</v>
      </c>
      <c r="D37" s="17" t="s">
        <v>424</v>
      </c>
      <c r="E37" s="18" t="s">
        <v>165</v>
      </c>
      <c r="F37" s="18" t="s">
        <v>487</v>
      </c>
      <c r="G37" s="19" t="s">
        <v>541</v>
      </c>
      <c r="H37" s="19" t="s">
        <v>559</v>
      </c>
      <c r="I37" s="27" t="s">
        <v>563</v>
      </c>
      <c r="J37" s="26" t="s">
        <v>442</v>
      </c>
      <c r="K37" s="28" t="n">
        <v>5</v>
      </c>
      <c r="L37" s="17" t="s">
        <v>487</v>
      </c>
      <c r="M37" s="43" t="s">
        <v>564</v>
      </c>
      <c r="N37" s="22"/>
    </row>
    <row r="38" customFormat="false" ht="67.5" hidden="false" customHeight="true" outlineLevel="0" collapsed="false">
      <c r="A38" s="26" t="s">
        <v>565</v>
      </c>
      <c r="B38" s="27" t="s">
        <v>85</v>
      </c>
      <c r="C38" s="24" t="s">
        <v>454</v>
      </c>
      <c r="D38" s="17" t="s">
        <v>424</v>
      </c>
      <c r="E38" s="18" t="s">
        <v>169</v>
      </c>
      <c r="F38" s="18" t="s">
        <v>487</v>
      </c>
      <c r="G38" s="19" t="s">
        <v>541</v>
      </c>
      <c r="H38" s="19" t="s">
        <v>559</v>
      </c>
      <c r="I38" s="27" t="s">
        <v>566</v>
      </c>
      <c r="J38" s="26" t="s">
        <v>442</v>
      </c>
      <c r="K38" s="28" t="n">
        <v>5</v>
      </c>
      <c r="L38" s="17" t="s">
        <v>487</v>
      </c>
      <c r="M38" s="21" t="s">
        <v>567</v>
      </c>
      <c r="N38" s="22"/>
    </row>
    <row r="39" customFormat="false" ht="67.5" hidden="false" customHeight="true" outlineLevel="0" collapsed="false">
      <c r="A39" s="16" t="s">
        <v>568</v>
      </c>
      <c r="B39" s="17" t="s">
        <v>113</v>
      </c>
      <c r="C39" s="17" t="s">
        <v>454</v>
      </c>
      <c r="D39" s="17" t="s">
        <v>424</v>
      </c>
      <c r="E39" s="18" t="s">
        <v>172</v>
      </c>
      <c r="F39" s="18" t="s">
        <v>487</v>
      </c>
      <c r="G39" s="19" t="s">
        <v>541</v>
      </c>
      <c r="H39" s="19" t="s">
        <v>569</v>
      </c>
      <c r="I39" s="17" t="s">
        <v>570</v>
      </c>
      <c r="J39" s="16" t="s">
        <v>428</v>
      </c>
      <c r="K39" s="20" t="n">
        <v>10</v>
      </c>
      <c r="L39" s="17" t="s">
        <v>487</v>
      </c>
      <c r="M39" s="21" t="s">
        <v>571</v>
      </c>
      <c r="N39" s="22"/>
    </row>
    <row r="40" customFormat="false" ht="351" hidden="false" customHeight="true" outlineLevel="0" collapsed="false">
      <c r="A40" s="39" t="s">
        <v>572</v>
      </c>
      <c r="B40" s="17" t="s">
        <v>573</v>
      </c>
      <c r="C40" s="17" t="s">
        <v>454</v>
      </c>
      <c r="D40" s="17" t="s">
        <v>424</v>
      </c>
      <c r="E40" s="18" t="s">
        <v>177</v>
      </c>
      <c r="F40" s="19" t="s">
        <v>487</v>
      </c>
      <c r="G40" s="19" t="s">
        <v>541</v>
      </c>
      <c r="H40" s="19" t="s">
        <v>574</v>
      </c>
      <c r="I40" s="17" t="s">
        <v>178</v>
      </c>
      <c r="J40" s="39" t="s">
        <v>428</v>
      </c>
      <c r="K40" s="40" t="n">
        <v>10</v>
      </c>
      <c r="L40" s="17" t="s">
        <v>487</v>
      </c>
      <c r="M40" s="21" t="s">
        <v>575</v>
      </c>
      <c r="N40" s="22"/>
    </row>
    <row r="41" customFormat="false" ht="40.5" hidden="false" customHeight="true" outlineLevel="0" collapsed="false">
      <c r="A41" s="39" t="s">
        <v>576</v>
      </c>
      <c r="B41" s="17" t="s">
        <v>577</v>
      </c>
      <c r="C41" s="17" t="s">
        <v>454</v>
      </c>
      <c r="D41" s="17" t="s">
        <v>424</v>
      </c>
      <c r="E41" s="18" t="s">
        <v>500</v>
      </c>
      <c r="F41" s="19" t="s">
        <v>487</v>
      </c>
      <c r="G41" s="19" t="s">
        <v>541</v>
      </c>
      <c r="H41" s="19" t="s">
        <v>574</v>
      </c>
      <c r="I41" s="17" t="s">
        <v>578</v>
      </c>
      <c r="J41" s="39" t="s">
        <v>428</v>
      </c>
      <c r="K41" s="40" t="n">
        <v>10</v>
      </c>
      <c r="L41" s="17" t="s">
        <v>487</v>
      </c>
      <c r="M41" s="21" t="s">
        <v>579</v>
      </c>
      <c r="N41" s="22"/>
    </row>
    <row r="42" customFormat="false" ht="337.5" hidden="false" customHeight="true" outlineLevel="0" collapsed="false">
      <c r="A42" s="39" t="s">
        <v>580</v>
      </c>
      <c r="B42" s="17" t="s">
        <v>454</v>
      </c>
      <c r="C42" s="17" t="s">
        <v>454</v>
      </c>
      <c r="D42" s="17" t="s">
        <v>424</v>
      </c>
      <c r="E42" s="18" t="s">
        <v>182</v>
      </c>
      <c r="F42" s="19" t="s">
        <v>487</v>
      </c>
      <c r="G42" s="19" t="s">
        <v>541</v>
      </c>
      <c r="H42" s="19" t="s">
        <v>574</v>
      </c>
      <c r="I42" s="17" t="s">
        <v>581</v>
      </c>
      <c r="J42" s="39" t="s">
        <v>442</v>
      </c>
      <c r="K42" s="40" t="n">
        <v>5</v>
      </c>
      <c r="L42" s="17" t="s">
        <v>487</v>
      </c>
      <c r="M42" s="21" t="s">
        <v>582</v>
      </c>
      <c r="N42" s="22"/>
    </row>
    <row r="43" customFormat="false" ht="270" hidden="false" customHeight="true" outlineLevel="0" collapsed="false">
      <c r="A43" s="39" t="s">
        <v>583</v>
      </c>
      <c r="B43" s="17" t="s">
        <v>454</v>
      </c>
      <c r="C43" s="17" t="s">
        <v>454</v>
      </c>
      <c r="D43" s="17" t="s">
        <v>424</v>
      </c>
      <c r="E43" s="18" t="s">
        <v>187</v>
      </c>
      <c r="F43" s="19" t="s">
        <v>487</v>
      </c>
      <c r="G43" s="19" t="s">
        <v>541</v>
      </c>
      <c r="H43" s="19" t="s">
        <v>574</v>
      </c>
      <c r="I43" s="17" t="s">
        <v>584</v>
      </c>
      <c r="J43" s="39" t="s">
        <v>442</v>
      </c>
      <c r="K43" s="40" t="n">
        <v>5</v>
      </c>
      <c r="L43" s="17" t="s">
        <v>487</v>
      </c>
      <c r="M43" s="21" t="s">
        <v>585</v>
      </c>
      <c r="N43" s="22"/>
    </row>
    <row r="44" customFormat="false" ht="40.5" hidden="false" customHeight="true" outlineLevel="0" collapsed="false">
      <c r="A44" s="39" t="s">
        <v>586</v>
      </c>
      <c r="B44" s="17" t="s">
        <v>587</v>
      </c>
      <c r="C44" s="17" t="s">
        <v>588</v>
      </c>
      <c r="D44" s="17" t="s">
        <v>424</v>
      </c>
      <c r="E44" s="18" t="s">
        <v>589</v>
      </c>
      <c r="F44" s="19" t="s">
        <v>487</v>
      </c>
      <c r="G44" s="19" t="s">
        <v>541</v>
      </c>
      <c r="H44" s="19" t="s">
        <v>574</v>
      </c>
      <c r="I44" s="17" t="s">
        <v>590</v>
      </c>
      <c r="J44" s="39" t="s">
        <v>428</v>
      </c>
      <c r="K44" s="40" t="n">
        <v>10</v>
      </c>
      <c r="L44" s="17" t="s">
        <v>487</v>
      </c>
      <c r="M44" s="21" t="s">
        <v>591</v>
      </c>
      <c r="N44" s="22"/>
    </row>
    <row r="45" customFormat="false" ht="202.5" hidden="false" customHeight="true" outlineLevel="0" collapsed="false">
      <c r="A45" s="39" t="s">
        <v>592</v>
      </c>
      <c r="B45" s="17" t="s">
        <v>454</v>
      </c>
      <c r="C45" s="17" t="s">
        <v>454</v>
      </c>
      <c r="D45" s="17" t="s">
        <v>424</v>
      </c>
      <c r="E45" s="18" t="s">
        <v>193</v>
      </c>
      <c r="F45" s="19" t="s">
        <v>487</v>
      </c>
      <c r="G45" s="19" t="s">
        <v>541</v>
      </c>
      <c r="H45" s="19" t="s">
        <v>574</v>
      </c>
      <c r="I45" s="17" t="s">
        <v>593</v>
      </c>
      <c r="J45" s="39" t="s">
        <v>442</v>
      </c>
      <c r="K45" s="40" t="n">
        <v>3.33</v>
      </c>
      <c r="L45" s="17" t="s">
        <v>487</v>
      </c>
      <c r="M45" s="21" t="s">
        <v>594</v>
      </c>
      <c r="N45" s="22"/>
    </row>
    <row r="46" customFormat="false" ht="229.5" hidden="false" customHeight="true" outlineLevel="0" collapsed="false">
      <c r="A46" s="39" t="s">
        <v>595</v>
      </c>
      <c r="B46" s="17" t="s">
        <v>454</v>
      </c>
      <c r="C46" s="17" t="s">
        <v>454</v>
      </c>
      <c r="D46" s="17" t="s">
        <v>424</v>
      </c>
      <c r="E46" s="18" t="s">
        <v>198</v>
      </c>
      <c r="F46" s="19" t="s">
        <v>487</v>
      </c>
      <c r="G46" s="19" t="s">
        <v>541</v>
      </c>
      <c r="H46" s="19" t="s">
        <v>574</v>
      </c>
      <c r="I46" s="17" t="s">
        <v>596</v>
      </c>
      <c r="J46" s="39" t="s">
        <v>442</v>
      </c>
      <c r="K46" s="40" t="n">
        <v>3.33</v>
      </c>
      <c r="L46" s="17" t="s">
        <v>487</v>
      </c>
      <c r="M46" s="21" t="s">
        <v>597</v>
      </c>
      <c r="N46" s="22"/>
    </row>
    <row r="47" customFormat="false" ht="229.5" hidden="false" customHeight="true" outlineLevel="0" collapsed="false">
      <c r="A47" s="39" t="s">
        <v>598</v>
      </c>
      <c r="B47" s="17" t="s">
        <v>454</v>
      </c>
      <c r="C47" s="17" t="s">
        <v>454</v>
      </c>
      <c r="D47" s="17" t="s">
        <v>424</v>
      </c>
      <c r="E47" s="18" t="s">
        <v>203</v>
      </c>
      <c r="F47" s="19" t="s">
        <v>487</v>
      </c>
      <c r="G47" s="19" t="s">
        <v>541</v>
      </c>
      <c r="H47" s="19" t="s">
        <v>574</v>
      </c>
      <c r="I47" s="17" t="s">
        <v>599</v>
      </c>
      <c r="J47" s="39" t="s">
        <v>442</v>
      </c>
      <c r="K47" s="40" t="n">
        <v>3.33</v>
      </c>
      <c r="L47" s="17" t="s">
        <v>487</v>
      </c>
      <c r="M47" s="21" t="s">
        <v>600</v>
      </c>
      <c r="N47" s="22"/>
    </row>
    <row r="48" customFormat="false" ht="305.25" hidden="false" customHeight="true" outlineLevel="0" collapsed="false">
      <c r="A48" s="39" t="s">
        <v>601</v>
      </c>
      <c r="B48" s="17" t="s">
        <v>602</v>
      </c>
      <c r="C48" s="17" t="s">
        <v>454</v>
      </c>
      <c r="D48" s="17" t="s">
        <v>424</v>
      </c>
      <c r="E48" s="18" t="s">
        <v>208</v>
      </c>
      <c r="F48" s="19" t="s">
        <v>487</v>
      </c>
      <c r="G48" s="19" t="s">
        <v>541</v>
      </c>
      <c r="H48" s="19" t="s">
        <v>574</v>
      </c>
      <c r="I48" s="17" t="s">
        <v>209</v>
      </c>
      <c r="J48" s="39" t="s">
        <v>428</v>
      </c>
      <c r="K48" s="40" t="n">
        <v>10</v>
      </c>
      <c r="L48" s="17" t="s">
        <v>487</v>
      </c>
      <c r="M48" s="21" t="s">
        <v>603</v>
      </c>
      <c r="N48" s="22"/>
    </row>
    <row r="49" customFormat="false" ht="81" hidden="false" customHeight="true" outlineLevel="0" collapsed="false">
      <c r="A49" s="16" t="s">
        <v>604</v>
      </c>
      <c r="B49" s="17" t="s">
        <v>515</v>
      </c>
      <c r="C49" s="17" t="s">
        <v>454</v>
      </c>
      <c r="D49" s="17" t="s">
        <v>424</v>
      </c>
      <c r="E49" s="18" t="s">
        <v>213</v>
      </c>
      <c r="F49" s="19" t="s">
        <v>487</v>
      </c>
      <c r="G49" s="19" t="s">
        <v>541</v>
      </c>
      <c r="H49" s="19" t="s">
        <v>605</v>
      </c>
      <c r="I49" s="17" t="s">
        <v>214</v>
      </c>
      <c r="J49" s="16" t="s">
        <v>428</v>
      </c>
      <c r="K49" s="20" t="n">
        <v>10</v>
      </c>
      <c r="L49" s="17" t="s">
        <v>487</v>
      </c>
      <c r="M49" s="21" t="s">
        <v>606</v>
      </c>
      <c r="N49" s="22"/>
    </row>
    <row r="50" customFormat="false" ht="54" hidden="false" customHeight="true" outlineLevel="0" collapsed="false">
      <c r="A50" s="16" t="s">
        <v>607</v>
      </c>
      <c r="B50" s="17" t="s">
        <v>454</v>
      </c>
      <c r="C50" s="17" t="s">
        <v>454</v>
      </c>
      <c r="D50" s="17" t="s">
        <v>424</v>
      </c>
      <c r="E50" s="18" t="s">
        <v>608</v>
      </c>
      <c r="F50" s="19" t="s">
        <v>487</v>
      </c>
      <c r="G50" s="19" t="s">
        <v>609</v>
      </c>
      <c r="H50" s="19" t="s">
        <v>610</v>
      </c>
      <c r="I50" s="24" t="s">
        <v>611</v>
      </c>
      <c r="J50" s="16" t="s">
        <v>428</v>
      </c>
      <c r="K50" s="20" t="n">
        <v>10</v>
      </c>
      <c r="L50" s="17" t="s">
        <v>487</v>
      </c>
      <c r="M50" s="44" t="s">
        <v>612</v>
      </c>
      <c r="N50" s="22"/>
    </row>
    <row r="51" customFormat="false" ht="102" hidden="false" customHeight="true" outlineLevel="0" collapsed="false">
      <c r="A51" s="16" t="s">
        <v>613</v>
      </c>
      <c r="B51" s="17" t="s">
        <v>454</v>
      </c>
      <c r="C51" s="17" t="s">
        <v>454</v>
      </c>
      <c r="D51" s="17" t="s">
        <v>424</v>
      </c>
      <c r="E51" s="18" t="s">
        <v>216</v>
      </c>
      <c r="F51" s="19" t="s">
        <v>487</v>
      </c>
      <c r="G51" s="19" t="s">
        <v>609</v>
      </c>
      <c r="H51" s="19" t="s">
        <v>610</v>
      </c>
      <c r="I51" s="27" t="s">
        <v>614</v>
      </c>
      <c r="J51" s="26" t="s">
        <v>442</v>
      </c>
      <c r="K51" s="28" t="n">
        <v>3.33</v>
      </c>
      <c r="L51" s="24" t="s">
        <v>487</v>
      </c>
      <c r="M51" s="21" t="s">
        <v>615</v>
      </c>
      <c r="N51" s="22"/>
    </row>
    <row r="52" customFormat="false" ht="67.5" hidden="false" customHeight="true" outlineLevel="0" collapsed="false">
      <c r="A52" s="16" t="s">
        <v>616</v>
      </c>
      <c r="B52" s="17" t="s">
        <v>454</v>
      </c>
      <c r="C52" s="17" t="s">
        <v>454</v>
      </c>
      <c r="D52" s="17" t="s">
        <v>424</v>
      </c>
      <c r="E52" s="18" t="s">
        <v>617</v>
      </c>
      <c r="F52" s="19" t="s">
        <v>487</v>
      </c>
      <c r="G52" s="19" t="s">
        <v>609</v>
      </c>
      <c r="H52" s="19" t="s">
        <v>610</v>
      </c>
      <c r="I52" s="27" t="s">
        <v>618</v>
      </c>
      <c r="J52" s="26" t="s">
        <v>619</v>
      </c>
      <c r="K52" s="28" t="n">
        <v>1.11</v>
      </c>
      <c r="L52" s="24" t="s">
        <v>487</v>
      </c>
      <c r="M52" s="21" t="s">
        <v>620</v>
      </c>
      <c r="N52" s="22"/>
    </row>
    <row r="53" customFormat="false" ht="67.5" hidden="false" customHeight="true" outlineLevel="0" collapsed="false">
      <c r="A53" s="16" t="s">
        <v>621</v>
      </c>
      <c r="B53" s="17" t="s">
        <v>454</v>
      </c>
      <c r="C53" s="17" t="s">
        <v>454</v>
      </c>
      <c r="D53" s="17" t="s">
        <v>424</v>
      </c>
      <c r="E53" s="18" t="s">
        <v>622</v>
      </c>
      <c r="F53" s="19" t="s">
        <v>487</v>
      </c>
      <c r="G53" s="19" t="s">
        <v>609</v>
      </c>
      <c r="H53" s="19" t="s">
        <v>610</v>
      </c>
      <c r="I53" s="27" t="s">
        <v>623</v>
      </c>
      <c r="J53" s="26" t="s">
        <v>624</v>
      </c>
      <c r="K53" s="28" t="n">
        <v>1.11</v>
      </c>
      <c r="L53" s="24" t="s">
        <v>487</v>
      </c>
      <c r="M53" s="21" t="s">
        <v>620</v>
      </c>
      <c r="N53" s="22"/>
    </row>
    <row r="54" customFormat="false" ht="67.5" hidden="false" customHeight="true" outlineLevel="0" collapsed="false">
      <c r="A54" s="16" t="s">
        <v>625</v>
      </c>
      <c r="B54" s="17" t="s">
        <v>454</v>
      </c>
      <c r="C54" s="17" t="s">
        <v>454</v>
      </c>
      <c r="D54" s="17" t="s">
        <v>424</v>
      </c>
      <c r="E54" s="18" t="s">
        <v>626</v>
      </c>
      <c r="F54" s="19" t="s">
        <v>487</v>
      </c>
      <c r="G54" s="19" t="s">
        <v>609</v>
      </c>
      <c r="H54" s="19" t="s">
        <v>610</v>
      </c>
      <c r="I54" s="27" t="s">
        <v>627</v>
      </c>
      <c r="J54" s="26" t="s">
        <v>628</v>
      </c>
      <c r="K54" s="28" t="n">
        <v>1.11</v>
      </c>
      <c r="L54" s="24" t="s">
        <v>487</v>
      </c>
      <c r="M54" s="21" t="s">
        <v>620</v>
      </c>
      <c r="N54" s="22"/>
    </row>
    <row r="55" customFormat="false" ht="135" hidden="false" customHeight="true" outlineLevel="0" collapsed="false">
      <c r="A55" s="16" t="s">
        <v>629</v>
      </c>
      <c r="B55" s="17" t="s">
        <v>454</v>
      </c>
      <c r="C55" s="17" t="s">
        <v>454</v>
      </c>
      <c r="D55" s="17" t="s">
        <v>424</v>
      </c>
      <c r="E55" s="18" t="s">
        <v>219</v>
      </c>
      <c r="F55" s="19" t="s">
        <v>487</v>
      </c>
      <c r="G55" s="19" t="s">
        <v>609</v>
      </c>
      <c r="H55" s="19" t="s">
        <v>610</v>
      </c>
      <c r="I55" s="27" t="s">
        <v>630</v>
      </c>
      <c r="J55" s="26" t="s">
        <v>442</v>
      </c>
      <c r="K55" s="28" t="n">
        <v>3.33</v>
      </c>
      <c r="L55" s="24" t="s">
        <v>487</v>
      </c>
      <c r="M55" s="21" t="s">
        <v>631</v>
      </c>
      <c r="N55" s="22"/>
    </row>
    <row r="56" customFormat="false" ht="67.5" hidden="false" customHeight="true" outlineLevel="0" collapsed="false">
      <c r="A56" s="16" t="s">
        <v>632</v>
      </c>
      <c r="B56" s="17" t="s">
        <v>454</v>
      </c>
      <c r="C56" s="17" t="s">
        <v>454</v>
      </c>
      <c r="D56" s="17" t="s">
        <v>424</v>
      </c>
      <c r="E56" s="18" t="s">
        <v>633</v>
      </c>
      <c r="F56" s="19" t="s">
        <v>487</v>
      </c>
      <c r="G56" s="19" t="s">
        <v>609</v>
      </c>
      <c r="H56" s="19" t="s">
        <v>610</v>
      </c>
      <c r="I56" s="27" t="s">
        <v>618</v>
      </c>
      <c r="J56" s="26" t="s">
        <v>619</v>
      </c>
      <c r="K56" s="28" t="n">
        <v>1.11</v>
      </c>
      <c r="L56" s="24" t="s">
        <v>487</v>
      </c>
      <c r="M56" s="21" t="s">
        <v>620</v>
      </c>
      <c r="N56" s="22"/>
    </row>
    <row r="57" customFormat="false" ht="67.5" hidden="false" customHeight="true" outlineLevel="0" collapsed="false">
      <c r="A57" s="16" t="s">
        <v>634</v>
      </c>
      <c r="B57" s="17" t="s">
        <v>454</v>
      </c>
      <c r="C57" s="17" t="s">
        <v>454</v>
      </c>
      <c r="D57" s="17" t="s">
        <v>424</v>
      </c>
      <c r="E57" s="18" t="s">
        <v>635</v>
      </c>
      <c r="F57" s="19" t="s">
        <v>487</v>
      </c>
      <c r="G57" s="19" t="s">
        <v>609</v>
      </c>
      <c r="H57" s="19" t="s">
        <v>610</v>
      </c>
      <c r="I57" s="27" t="s">
        <v>623</v>
      </c>
      <c r="J57" s="26" t="s">
        <v>624</v>
      </c>
      <c r="K57" s="28" t="n">
        <v>1.11</v>
      </c>
      <c r="L57" s="24" t="s">
        <v>487</v>
      </c>
      <c r="M57" s="21" t="s">
        <v>620</v>
      </c>
      <c r="N57" s="22"/>
    </row>
    <row r="58" customFormat="false" ht="67.5" hidden="false" customHeight="true" outlineLevel="0" collapsed="false">
      <c r="A58" s="16" t="s">
        <v>636</v>
      </c>
      <c r="B58" s="17" t="s">
        <v>454</v>
      </c>
      <c r="C58" s="17" t="s">
        <v>454</v>
      </c>
      <c r="D58" s="17" t="s">
        <v>424</v>
      </c>
      <c r="E58" s="18" t="s">
        <v>637</v>
      </c>
      <c r="F58" s="19" t="s">
        <v>487</v>
      </c>
      <c r="G58" s="19" t="s">
        <v>609</v>
      </c>
      <c r="H58" s="19" t="s">
        <v>610</v>
      </c>
      <c r="I58" s="27" t="s">
        <v>627</v>
      </c>
      <c r="J58" s="26" t="s">
        <v>628</v>
      </c>
      <c r="K58" s="28" t="n">
        <v>1.11</v>
      </c>
      <c r="L58" s="24" t="s">
        <v>487</v>
      </c>
      <c r="M58" s="21" t="s">
        <v>620</v>
      </c>
      <c r="N58" s="22"/>
    </row>
    <row r="59" customFormat="false" ht="81" hidden="false" customHeight="true" outlineLevel="0" collapsed="false">
      <c r="A59" s="16" t="s">
        <v>638</v>
      </c>
      <c r="B59" s="17" t="s">
        <v>454</v>
      </c>
      <c r="C59" s="17" t="s">
        <v>454</v>
      </c>
      <c r="D59" s="17" t="s">
        <v>424</v>
      </c>
      <c r="E59" s="18" t="s">
        <v>225</v>
      </c>
      <c r="F59" s="19" t="s">
        <v>487</v>
      </c>
      <c r="G59" s="19" t="s">
        <v>609</v>
      </c>
      <c r="H59" s="19" t="s">
        <v>610</v>
      </c>
      <c r="I59" s="27" t="s">
        <v>639</v>
      </c>
      <c r="J59" s="26" t="s">
        <v>442</v>
      </c>
      <c r="K59" s="28" t="n">
        <v>3.33</v>
      </c>
      <c r="L59" s="24" t="s">
        <v>487</v>
      </c>
      <c r="M59" s="21" t="s">
        <v>640</v>
      </c>
      <c r="N59" s="22"/>
    </row>
    <row r="60" customFormat="false" ht="67.5" hidden="false" customHeight="true" outlineLevel="0" collapsed="false">
      <c r="A60" s="16" t="s">
        <v>641</v>
      </c>
      <c r="B60" s="17" t="s">
        <v>454</v>
      </c>
      <c r="C60" s="17" t="s">
        <v>454</v>
      </c>
      <c r="D60" s="17" t="s">
        <v>424</v>
      </c>
      <c r="E60" s="18" t="s">
        <v>642</v>
      </c>
      <c r="F60" s="19" t="s">
        <v>487</v>
      </c>
      <c r="G60" s="19" t="s">
        <v>609</v>
      </c>
      <c r="H60" s="19" t="s">
        <v>610</v>
      </c>
      <c r="I60" s="27" t="s">
        <v>618</v>
      </c>
      <c r="J60" s="26" t="s">
        <v>619</v>
      </c>
      <c r="K60" s="28" t="n">
        <v>1.11</v>
      </c>
      <c r="L60" s="24" t="s">
        <v>487</v>
      </c>
      <c r="M60" s="21" t="s">
        <v>620</v>
      </c>
      <c r="N60" s="22"/>
    </row>
    <row r="61" customFormat="false" ht="67.5" hidden="false" customHeight="true" outlineLevel="0" collapsed="false">
      <c r="A61" s="16" t="s">
        <v>643</v>
      </c>
      <c r="B61" s="17" t="s">
        <v>454</v>
      </c>
      <c r="C61" s="17" t="s">
        <v>454</v>
      </c>
      <c r="D61" s="17" t="s">
        <v>424</v>
      </c>
      <c r="E61" s="18" t="s">
        <v>644</v>
      </c>
      <c r="F61" s="19" t="s">
        <v>487</v>
      </c>
      <c r="G61" s="19" t="s">
        <v>609</v>
      </c>
      <c r="H61" s="19" t="s">
        <v>610</v>
      </c>
      <c r="I61" s="27" t="s">
        <v>623</v>
      </c>
      <c r="J61" s="26" t="s">
        <v>624</v>
      </c>
      <c r="K61" s="28" t="n">
        <v>1.11</v>
      </c>
      <c r="L61" s="24" t="s">
        <v>487</v>
      </c>
      <c r="M61" s="21" t="s">
        <v>620</v>
      </c>
      <c r="N61" s="22"/>
    </row>
    <row r="62" customFormat="false" ht="67.5" hidden="false" customHeight="true" outlineLevel="0" collapsed="false">
      <c r="A62" s="16" t="s">
        <v>645</v>
      </c>
      <c r="B62" s="17" t="s">
        <v>454</v>
      </c>
      <c r="C62" s="17" t="s">
        <v>454</v>
      </c>
      <c r="D62" s="17" t="s">
        <v>424</v>
      </c>
      <c r="E62" s="18" t="s">
        <v>646</v>
      </c>
      <c r="F62" s="19" t="s">
        <v>487</v>
      </c>
      <c r="G62" s="19" t="s">
        <v>609</v>
      </c>
      <c r="H62" s="19" t="s">
        <v>610</v>
      </c>
      <c r="I62" s="27" t="s">
        <v>627</v>
      </c>
      <c r="J62" s="26" t="s">
        <v>628</v>
      </c>
      <c r="K62" s="28" t="n">
        <v>1.11</v>
      </c>
      <c r="L62" s="24" t="s">
        <v>487</v>
      </c>
      <c r="M62" s="21" t="s">
        <v>620</v>
      </c>
      <c r="N62" s="22"/>
    </row>
    <row r="63" customFormat="false" ht="40.5" hidden="false" customHeight="true" outlineLevel="0" collapsed="false">
      <c r="A63" s="16" t="s">
        <v>647</v>
      </c>
      <c r="B63" s="17" t="s">
        <v>500</v>
      </c>
      <c r="C63" s="17" t="s">
        <v>454</v>
      </c>
      <c r="D63" s="17" t="s">
        <v>424</v>
      </c>
      <c r="E63" s="18" t="s">
        <v>648</v>
      </c>
      <c r="F63" s="19" t="s">
        <v>487</v>
      </c>
      <c r="G63" s="19" t="s">
        <v>609</v>
      </c>
      <c r="H63" s="19" t="s">
        <v>649</v>
      </c>
      <c r="I63" s="24" t="s">
        <v>650</v>
      </c>
      <c r="J63" s="16" t="s">
        <v>428</v>
      </c>
      <c r="K63" s="20" t="n">
        <v>10</v>
      </c>
      <c r="L63" s="24" t="s">
        <v>487</v>
      </c>
      <c r="M63" s="21" t="s">
        <v>454</v>
      </c>
      <c r="N63" s="22"/>
    </row>
    <row r="64" customFormat="false" ht="108" hidden="false" customHeight="true" outlineLevel="0" collapsed="false">
      <c r="A64" s="26" t="s">
        <v>651</v>
      </c>
      <c r="B64" s="27" t="s">
        <v>182</v>
      </c>
      <c r="C64" s="27" t="s">
        <v>454</v>
      </c>
      <c r="D64" s="17" t="s">
        <v>424</v>
      </c>
      <c r="E64" s="18" t="s">
        <v>231</v>
      </c>
      <c r="F64" s="19" t="s">
        <v>487</v>
      </c>
      <c r="G64" s="19" t="s">
        <v>609</v>
      </c>
      <c r="H64" s="19" t="s">
        <v>649</v>
      </c>
      <c r="I64" s="27" t="s">
        <v>652</v>
      </c>
      <c r="J64" s="26" t="s">
        <v>442</v>
      </c>
      <c r="K64" s="20" t="n">
        <v>3.33</v>
      </c>
      <c r="L64" s="17" t="s">
        <v>487</v>
      </c>
      <c r="M64" s="21" t="s">
        <v>653</v>
      </c>
      <c r="N64" s="22" t="s">
        <v>654</v>
      </c>
    </row>
    <row r="65" customFormat="false" ht="135" hidden="false" customHeight="true" outlineLevel="0" collapsed="false">
      <c r="A65" s="26" t="s">
        <v>655</v>
      </c>
      <c r="B65" s="27" t="s">
        <v>187</v>
      </c>
      <c r="C65" s="27" t="s">
        <v>454</v>
      </c>
      <c r="D65" s="17" t="s">
        <v>424</v>
      </c>
      <c r="E65" s="18" t="s">
        <v>235</v>
      </c>
      <c r="F65" s="19" t="s">
        <v>487</v>
      </c>
      <c r="G65" s="19" t="s">
        <v>609</v>
      </c>
      <c r="H65" s="19" t="s">
        <v>649</v>
      </c>
      <c r="I65" s="27" t="s">
        <v>656</v>
      </c>
      <c r="J65" s="26" t="s">
        <v>442</v>
      </c>
      <c r="K65" s="20" t="n">
        <v>3.33</v>
      </c>
      <c r="L65" s="17" t="s">
        <v>487</v>
      </c>
      <c r="M65" s="21" t="s">
        <v>657</v>
      </c>
      <c r="N65" s="22"/>
    </row>
    <row r="66" customFormat="false" ht="40.5" hidden="false" customHeight="true" outlineLevel="0" collapsed="false">
      <c r="A66" s="26" t="s">
        <v>658</v>
      </c>
      <c r="B66" s="27" t="s">
        <v>454</v>
      </c>
      <c r="C66" s="27" t="s">
        <v>454</v>
      </c>
      <c r="D66" s="17" t="s">
        <v>424</v>
      </c>
      <c r="E66" s="18" t="s">
        <v>242</v>
      </c>
      <c r="F66" s="19" t="s">
        <v>487</v>
      </c>
      <c r="G66" s="19" t="s">
        <v>609</v>
      </c>
      <c r="H66" s="19" t="s">
        <v>649</v>
      </c>
      <c r="I66" s="27" t="s">
        <v>639</v>
      </c>
      <c r="J66" s="26" t="s">
        <v>442</v>
      </c>
      <c r="K66" s="20" t="n">
        <v>3.33</v>
      </c>
      <c r="L66" s="24" t="s">
        <v>487</v>
      </c>
      <c r="M66" s="21" t="s">
        <v>659</v>
      </c>
      <c r="N66" s="22"/>
    </row>
    <row r="67" customFormat="false" ht="40.5" hidden="false" customHeight="true" outlineLevel="0" collapsed="false">
      <c r="A67" s="16" t="s">
        <v>660</v>
      </c>
      <c r="B67" s="17" t="s">
        <v>589</v>
      </c>
      <c r="C67" s="17" t="s">
        <v>454</v>
      </c>
      <c r="D67" s="17" t="s">
        <v>424</v>
      </c>
      <c r="E67" s="18" t="s">
        <v>661</v>
      </c>
      <c r="F67" s="19" t="s">
        <v>487</v>
      </c>
      <c r="G67" s="19" t="s">
        <v>609</v>
      </c>
      <c r="H67" s="19" t="s">
        <v>662</v>
      </c>
      <c r="I67" s="24" t="s">
        <v>663</v>
      </c>
      <c r="J67" s="16" t="s">
        <v>428</v>
      </c>
      <c r="K67" s="20" t="n">
        <v>10</v>
      </c>
      <c r="L67" s="17" t="s">
        <v>487</v>
      </c>
      <c r="M67" s="21" t="s">
        <v>454</v>
      </c>
      <c r="N67" s="22"/>
    </row>
    <row r="68" customFormat="false" ht="216" hidden="false" customHeight="true" outlineLevel="0" collapsed="false">
      <c r="A68" s="16" t="s">
        <v>664</v>
      </c>
      <c r="B68" s="17" t="s">
        <v>454</v>
      </c>
      <c r="C68" s="17" t="s">
        <v>454</v>
      </c>
      <c r="D68" s="17" t="s">
        <v>424</v>
      </c>
      <c r="E68" s="18" t="s">
        <v>249</v>
      </c>
      <c r="F68" s="19" t="s">
        <v>487</v>
      </c>
      <c r="G68" s="19" t="s">
        <v>609</v>
      </c>
      <c r="H68" s="19" t="s">
        <v>662</v>
      </c>
      <c r="I68" s="27" t="s">
        <v>665</v>
      </c>
      <c r="J68" s="26" t="s">
        <v>442</v>
      </c>
      <c r="K68" s="20" t="n">
        <v>3.33</v>
      </c>
      <c r="L68" s="24" t="s">
        <v>487</v>
      </c>
      <c r="M68" s="21" t="s">
        <v>666</v>
      </c>
      <c r="N68" s="22"/>
    </row>
    <row r="69" customFormat="false" ht="148.5" hidden="false" customHeight="true" outlineLevel="0" collapsed="false">
      <c r="A69" s="16" t="s">
        <v>667</v>
      </c>
      <c r="B69" s="17" t="s">
        <v>454</v>
      </c>
      <c r="C69" s="17" t="s">
        <v>454</v>
      </c>
      <c r="D69" s="17" t="s">
        <v>424</v>
      </c>
      <c r="E69" s="18" t="s">
        <v>252</v>
      </c>
      <c r="F69" s="19" t="s">
        <v>487</v>
      </c>
      <c r="G69" s="19" t="s">
        <v>609</v>
      </c>
      <c r="H69" s="19" t="s">
        <v>662</v>
      </c>
      <c r="I69" s="27" t="s">
        <v>656</v>
      </c>
      <c r="J69" s="26" t="s">
        <v>442</v>
      </c>
      <c r="K69" s="20" t="n">
        <v>3.33</v>
      </c>
      <c r="L69" s="24" t="s">
        <v>487</v>
      </c>
      <c r="M69" s="21" t="s">
        <v>668</v>
      </c>
      <c r="N69" s="22"/>
    </row>
    <row r="70" customFormat="false" ht="162" hidden="false" customHeight="true" outlineLevel="0" collapsed="false">
      <c r="A70" s="16" t="s">
        <v>669</v>
      </c>
      <c r="B70" s="17" t="s">
        <v>454</v>
      </c>
      <c r="C70" s="17" t="s">
        <v>454</v>
      </c>
      <c r="D70" s="17" t="s">
        <v>424</v>
      </c>
      <c r="E70" s="18" t="s">
        <v>255</v>
      </c>
      <c r="F70" s="19" t="s">
        <v>487</v>
      </c>
      <c r="G70" s="19" t="s">
        <v>609</v>
      </c>
      <c r="H70" s="19" t="s">
        <v>662</v>
      </c>
      <c r="I70" s="27" t="s">
        <v>639</v>
      </c>
      <c r="J70" s="26" t="s">
        <v>442</v>
      </c>
      <c r="K70" s="20" t="n">
        <v>3.33</v>
      </c>
      <c r="L70" s="24" t="s">
        <v>487</v>
      </c>
      <c r="M70" s="21" t="s">
        <v>670</v>
      </c>
      <c r="N70" s="22"/>
    </row>
    <row r="71" customFormat="false" ht="40.5" hidden="false" customHeight="true" outlineLevel="0" collapsed="false">
      <c r="A71" s="16" t="s">
        <v>671</v>
      </c>
      <c r="B71" s="17" t="s">
        <v>454</v>
      </c>
      <c r="C71" s="17" t="s">
        <v>454</v>
      </c>
      <c r="D71" s="17" t="s">
        <v>424</v>
      </c>
      <c r="E71" s="18" t="s">
        <v>672</v>
      </c>
      <c r="F71" s="19" t="s">
        <v>487</v>
      </c>
      <c r="G71" s="19" t="s">
        <v>609</v>
      </c>
      <c r="H71" s="19" t="s">
        <v>673</v>
      </c>
      <c r="I71" s="24" t="s">
        <v>674</v>
      </c>
      <c r="J71" s="16" t="s">
        <v>428</v>
      </c>
      <c r="K71" s="20" t="n">
        <v>10</v>
      </c>
      <c r="L71" s="24" t="s">
        <v>487</v>
      </c>
      <c r="M71" s="21" t="s">
        <v>454</v>
      </c>
      <c r="N71" s="22"/>
    </row>
    <row r="72" customFormat="false" ht="202.5" hidden="false" customHeight="true" outlineLevel="0" collapsed="false">
      <c r="A72" s="16" t="s">
        <v>675</v>
      </c>
      <c r="B72" s="17" t="s">
        <v>454</v>
      </c>
      <c r="C72" s="17" t="s">
        <v>454</v>
      </c>
      <c r="D72" s="17" t="s">
        <v>424</v>
      </c>
      <c r="E72" s="18" t="s">
        <v>258</v>
      </c>
      <c r="F72" s="19" t="s">
        <v>487</v>
      </c>
      <c r="G72" s="19" t="s">
        <v>609</v>
      </c>
      <c r="H72" s="19" t="s">
        <v>673</v>
      </c>
      <c r="I72" s="27" t="s">
        <v>676</v>
      </c>
      <c r="J72" s="26" t="s">
        <v>442</v>
      </c>
      <c r="K72" s="20" t="n">
        <v>3.33</v>
      </c>
      <c r="L72" s="17" t="s">
        <v>487</v>
      </c>
      <c r="M72" s="21" t="s">
        <v>677</v>
      </c>
      <c r="N72" s="22"/>
    </row>
    <row r="73" customFormat="false" ht="162" hidden="false" customHeight="true" outlineLevel="0" collapsed="false">
      <c r="A73" s="16" t="s">
        <v>678</v>
      </c>
      <c r="B73" s="17" t="s">
        <v>454</v>
      </c>
      <c r="C73" s="17" t="s">
        <v>454</v>
      </c>
      <c r="D73" s="17" t="s">
        <v>424</v>
      </c>
      <c r="E73" s="18" t="s">
        <v>263</v>
      </c>
      <c r="F73" s="19" t="s">
        <v>487</v>
      </c>
      <c r="G73" s="19" t="s">
        <v>609</v>
      </c>
      <c r="H73" s="19" t="s">
        <v>673</v>
      </c>
      <c r="I73" s="27" t="s">
        <v>656</v>
      </c>
      <c r="J73" s="26" t="s">
        <v>442</v>
      </c>
      <c r="K73" s="20" t="n">
        <v>3.33</v>
      </c>
      <c r="L73" s="17" t="s">
        <v>487</v>
      </c>
      <c r="M73" s="21" t="s">
        <v>679</v>
      </c>
      <c r="N73" s="22"/>
    </row>
    <row r="74" customFormat="false" ht="148.5" hidden="false" customHeight="true" outlineLevel="0" collapsed="false">
      <c r="A74" s="16" t="s">
        <v>680</v>
      </c>
      <c r="B74" s="17" t="s">
        <v>454</v>
      </c>
      <c r="C74" s="17" t="s">
        <v>454</v>
      </c>
      <c r="D74" s="17" t="s">
        <v>424</v>
      </c>
      <c r="E74" s="18" t="s">
        <v>268</v>
      </c>
      <c r="F74" s="19" t="s">
        <v>487</v>
      </c>
      <c r="G74" s="19" t="s">
        <v>609</v>
      </c>
      <c r="H74" s="19" t="s">
        <v>673</v>
      </c>
      <c r="I74" s="27" t="s">
        <v>639</v>
      </c>
      <c r="J74" s="26" t="s">
        <v>442</v>
      </c>
      <c r="K74" s="20" t="n">
        <v>3.33</v>
      </c>
      <c r="L74" s="17" t="s">
        <v>487</v>
      </c>
      <c r="M74" s="21" t="s">
        <v>681</v>
      </c>
      <c r="N74" s="22"/>
    </row>
    <row r="75" customFormat="false" ht="40.5" hidden="false" customHeight="true" outlineLevel="0" collapsed="false">
      <c r="A75" s="16" t="s">
        <v>682</v>
      </c>
      <c r="B75" s="17" t="s">
        <v>454</v>
      </c>
      <c r="C75" s="17" t="s">
        <v>454</v>
      </c>
      <c r="D75" s="17" t="s">
        <v>424</v>
      </c>
      <c r="E75" s="18" t="s">
        <v>573</v>
      </c>
      <c r="F75" s="18" t="s">
        <v>487</v>
      </c>
      <c r="G75" s="19" t="s">
        <v>683</v>
      </c>
      <c r="H75" s="19" t="s">
        <v>683</v>
      </c>
      <c r="I75" s="45" t="s">
        <v>684</v>
      </c>
      <c r="J75" s="26" t="s">
        <v>428</v>
      </c>
      <c r="K75" s="20" t="n">
        <v>10</v>
      </c>
      <c r="L75" s="17" t="s">
        <v>487</v>
      </c>
      <c r="M75" s="21" t="s">
        <v>612</v>
      </c>
      <c r="N75" s="22"/>
    </row>
    <row r="76" customFormat="false" ht="175.5" hidden="false" customHeight="true" outlineLevel="0" collapsed="false">
      <c r="A76" s="16" t="s">
        <v>685</v>
      </c>
      <c r="B76" s="17" t="s">
        <v>454</v>
      </c>
      <c r="C76" s="17" t="s">
        <v>454</v>
      </c>
      <c r="D76" s="17" t="s">
        <v>424</v>
      </c>
      <c r="E76" s="18" t="s">
        <v>273</v>
      </c>
      <c r="F76" s="18" t="s">
        <v>487</v>
      </c>
      <c r="G76" s="19" t="s">
        <v>683</v>
      </c>
      <c r="H76" s="19" t="s">
        <v>683</v>
      </c>
      <c r="I76" s="18" t="s">
        <v>686</v>
      </c>
      <c r="J76" s="26" t="s">
        <v>442</v>
      </c>
      <c r="K76" s="20" t="n">
        <v>5</v>
      </c>
      <c r="L76" s="17" t="s">
        <v>487</v>
      </c>
      <c r="M76" s="21" t="s">
        <v>687</v>
      </c>
      <c r="N76" s="22" t="s">
        <v>688</v>
      </c>
    </row>
    <row r="77" customFormat="false" ht="121.5" hidden="false" customHeight="true" outlineLevel="0" collapsed="false">
      <c r="A77" s="16" t="s">
        <v>689</v>
      </c>
      <c r="B77" s="17" t="s">
        <v>454</v>
      </c>
      <c r="C77" s="17" t="s">
        <v>454</v>
      </c>
      <c r="D77" s="17" t="s">
        <v>424</v>
      </c>
      <c r="E77" s="18" t="s">
        <v>281</v>
      </c>
      <c r="F77" s="18" t="s">
        <v>487</v>
      </c>
      <c r="G77" s="19" t="s">
        <v>683</v>
      </c>
      <c r="H77" s="19" t="s">
        <v>683</v>
      </c>
      <c r="I77" s="27" t="s">
        <v>690</v>
      </c>
      <c r="J77" s="26" t="s">
        <v>442</v>
      </c>
      <c r="K77" s="20" t="n">
        <v>5</v>
      </c>
      <c r="L77" s="17" t="s">
        <v>487</v>
      </c>
      <c r="M77" s="21" t="s">
        <v>691</v>
      </c>
      <c r="N77" s="22" t="s">
        <v>692</v>
      </c>
    </row>
    <row r="78" customFormat="false" ht="40.5" hidden="false" customHeight="true" outlineLevel="0" collapsed="false">
      <c r="A78" s="39" t="s">
        <v>693</v>
      </c>
      <c r="B78" s="38" t="s">
        <v>454</v>
      </c>
      <c r="C78" s="38" t="s">
        <v>454</v>
      </c>
      <c r="D78" s="17" t="s">
        <v>424</v>
      </c>
      <c r="E78" s="18" t="s">
        <v>577</v>
      </c>
      <c r="F78" s="18" t="s">
        <v>487</v>
      </c>
      <c r="G78" s="19" t="s">
        <v>683</v>
      </c>
      <c r="H78" s="19" t="s">
        <v>683</v>
      </c>
      <c r="I78" s="24" t="s">
        <v>694</v>
      </c>
      <c r="J78" s="39" t="s">
        <v>428</v>
      </c>
      <c r="K78" s="40" t="n">
        <v>10</v>
      </c>
      <c r="L78" s="38" t="s">
        <v>487</v>
      </c>
      <c r="M78" s="21" t="s">
        <v>695</v>
      </c>
      <c r="N78" s="22"/>
    </row>
    <row r="79" customFormat="false" ht="148.5" hidden="false" customHeight="true" outlineLevel="0" collapsed="false">
      <c r="A79" s="39" t="s">
        <v>696</v>
      </c>
      <c r="B79" s="38" t="s">
        <v>454</v>
      </c>
      <c r="C79" s="38" t="s">
        <v>454</v>
      </c>
      <c r="D79" s="17" t="s">
        <v>424</v>
      </c>
      <c r="E79" s="18" t="s">
        <v>287</v>
      </c>
      <c r="F79" s="18" t="s">
        <v>487</v>
      </c>
      <c r="G79" s="19" t="s">
        <v>683</v>
      </c>
      <c r="H79" s="19" t="s">
        <v>697</v>
      </c>
      <c r="I79" s="46" t="s">
        <v>698</v>
      </c>
      <c r="J79" s="39" t="s">
        <v>442</v>
      </c>
      <c r="K79" s="40" t="n">
        <v>2.5</v>
      </c>
      <c r="L79" s="38" t="s">
        <v>487</v>
      </c>
      <c r="M79" s="21" t="s">
        <v>699</v>
      </c>
      <c r="N79" s="22"/>
    </row>
    <row r="80" customFormat="false" ht="135" hidden="false" customHeight="true" outlineLevel="0" collapsed="false">
      <c r="A80" s="39" t="s">
        <v>700</v>
      </c>
      <c r="B80" s="38" t="s">
        <v>454</v>
      </c>
      <c r="C80" s="38" t="s">
        <v>454</v>
      </c>
      <c r="D80" s="17" t="s">
        <v>424</v>
      </c>
      <c r="E80" s="18" t="s">
        <v>295</v>
      </c>
      <c r="F80" s="18" t="s">
        <v>487</v>
      </c>
      <c r="G80" s="19" t="s">
        <v>701</v>
      </c>
      <c r="H80" s="19" t="s">
        <v>702</v>
      </c>
      <c r="I80" s="27" t="s">
        <v>703</v>
      </c>
      <c r="J80" s="39" t="s">
        <v>442</v>
      </c>
      <c r="K80" s="40" t="n">
        <v>2.5</v>
      </c>
      <c r="L80" s="38" t="s">
        <v>487</v>
      </c>
      <c r="M80" s="21" t="s">
        <v>704</v>
      </c>
      <c r="N80" s="22"/>
    </row>
    <row r="81" customFormat="false" ht="135" hidden="false" customHeight="true" outlineLevel="0" collapsed="false">
      <c r="A81" s="39" t="s">
        <v>705</v>
      </c>
      <c r="B81" s="38" t="s">
        <v>454</v>
      </c>
      <c r="C81" s="38" t="s">
        <v>454</v>
      </c>
      <c r="D81" s="17" t="s">
        <v>424</v>
      </c>
      <c r="E81" s="18" t="s">
        <v>300</v>
      </c>
      <c r="F81" s="18" t="s">
        <v>487</v>
      </c>
      <c r="G81" s="19" t="s">
        <v>701</v>
      </c>
      <c r="H81" s="19" t="s">
        <v>706</v>
      </c>
      <c r="I81" s="46" t="s">
        <v>707</v>
      </c>
      <c r="J81" s="39" t="s">
        <v>442</v>
      </c>
      <c r="K81" s="40" t="n">
        <v>2.5</v>
      </c>
      <c r="L81" s="38" t="s">
        <v>487</v>
      </c>
      <c r="M81" s="21" t="s">
        <v>708</v>
      </c>
      <c r="N81" s="22"/>
    </row>
    <row r="82" customFormat="false" ht="135" hidden="false" customHeight="true" outlineLevel="0" collapsed="false">
      <c r="A82" s="39" t="s">
        <v>709</v>
      </c>
      <c r="B82" s="38" t="s">
        <v>454</v>
      </c>
      <c r="C82" s="38" t="s">
        <v>454</v>
      </c>
      <c r="D82" s="17" t="s">
        <v>424</v>
      </c>
      <c r="E82" s="18" t="s">
        <v>305</v>
      </c>
      <c r="F82" s="18" t="s">
        <v>487</v>
      </c>
      <c r="G82" s="19" t="s">
        <v>701</v>
      </c>
      <c r="H82" s="19" t="s">
        <v>710</v>
      </c>
      <c r="I82" s="46" t="s">
        <v>711</v>
      </c>
      <c r="J82" s="39" t="s">
        <v>442</v>
      </c>
      <c r="K82" s="40" t="n">
        <v>2.5</v>
      </c>
      <c r="L82" s="38" t="s">
        <v>487</v>
      </c>
      <c r="M82" s="21" t="s">
        <v>712</v>
      </c>
      <c r="N82" s="22"/>
    </row>
    <row r="83" customFormat="false" ht="54" hidden="false" customHeight="true" outlineLevel="0" collapsed="false">
      <c r="A83" s="16" t="s">
        <v>713</v>
      </c>
      <c r="B83" s="17" t="s">
        <v>608</v>
      </c>
      <c r="C83" s="17" t="s">
        <v>113</v>
      </c>
      <c r="D83" s="17" t="s">
        <v>424</v>
      </c>
      <c r="E83" s="18" t="s">
        <v>587</v>
      </c>
      <c r="F83" s="19" t="s">
        <v>487</v>
      </c>
      <c r="G83" s="19" t="s">
        <v>714</v>
      </c>
      <c r="H83" s="19" t="s">
        <v>715</v>
      </c>
      <c r="I83" s="24" t="s">
        <v>716</v>
      </c>
      <c r="J83" s="16" t="s">
        <v>428</v>
      </c>
      <c r="K83" s="20" t="n">
        <v>10</v>
      </c>
      <c r="L83" s="17" t="s">
        <v>429</v>
      </c>
      <c r="M83" s="21" t="s">
        <v>612</v>
      </c>
      <c r="N83" s="22"/>
    </row>
    <row r="84" customFormat="false" ht="283.5" hidden="false" customHeight="true" outlineLevel="0" collapsed="false">
      <c r="A84" s="16" t="s">
        <v>717</v>
      </c>
      <c r="B84" s="17" t="s">
        <v>454</v>
      </c>
      <c r="C84" s="17" t="s">
        <v>454</v>
      </c>
      <c r="D84" s="17" t="s">
        <v>424</v>
      </c>
      <c r="E84" s="18" t="s">
        <v>310</v>
      </c>
      <c r="F84" s="19" t="s">
        <v>487</v>
      </c>
      <c r="G84" s="19" t="s">
        <v>714</v>
      </c>
      <c r="H84" s="19" t="s">
        <v>715</v>
      </c>
      <c r="I84" s="27" t="s">
        <v>718</v>
      </c>
      <c r="J84" s="16" t="s">
        <v>442</v>
      </c>
      <c r="K84" s="20" t="n">
        <v>5</v>
      </c>
      <c r="L84" s="24" t="s">
        <v>429</v>
      </c>
      <c r="M84" s="21" t="s">
        <v>719</v>
      </c>
      <c r="N84" s="22"/>
    </row>
    <row r="85" customFormat="false" ht="391.5" hidden="false" customHeight="true" outlineLevel="0" collapsed="false">
      <c r="A85" s="16" t="s">
        <v>720</v>
      </c>
      <c r="B85" s="17" t="s">
        <v>454</v>
      </c>
      <c r="C85" s="17" t="s">
        <v>454</v>
      </c>
      <c r="D85" s="17" t="s">
        <v>424</v>
      </c>
      <c r="E85" s="18" t="s">
        <v>318</v>
      </c>
      <c r="F85" s="19" t="s">
        <v>487</v>
      </c>
      <c r="G85" s="19" t="s">
        <v>714</v>
      </c>
      <c r="H85" s="19" t="s">
        <v>715</v>
      </c>
      <c r="I85" s="27" t="s">
        <v>721</v>
      </c>
      <c r="J85" s="16" t="s">
        <v>442</v>
      </c>
      <c r="K85" s="20" t="n">
        <v>5</v>
      </c>
      <c r="L85" s="24" t="s">
        <v>487</v>
      </c>
      <c r="M85" s="21" t="s">
        <v>722</v>
      </c>
      <c r="N85" s="22"/>
    </row>
    <row r="86" customFormat="false" ht="40.5" hidden="false" customHeight="true" outlineLevel="0" collapsed="false">
      <c r="A86" s="16" t="s">
        <v>723</v>
      </c>
      <c r="B86" s="17" t="s">
        <v>454</v>
      </c>
      <c r="C86" s="17" t="s">
        <v>454</v>
      </c>
      <c r="D86" s="17" t="s">
        <v>424</v>
      </c>
      <c r="E86" s="18" t="s">
        <v>724</v>
      </c>
      <c r="F86" s="19" t="s">
        <v>487</v>
      </c>
      <c r="G86" s="19" t="s">
        <v>714</v>
      </c>
      <c r="H86" s="19" t="s">
        <v>725</v>
      </c>
      <c r="I86" s="17" t="s">
        <v>726</v>
      </c>
      <c r="J86" s="23" t="s">
        <v>428</v>
      </c>
      <c r="K86" s="25" t="n">
        <v>10</v>
      </c>
      <c r="L86" s="24" t="s">
        <v>487</v>
      </c>
      <c r="M86" s="21" t="s">
        <v>612</v>
      </c>
      <c r="N86" s="22"/>
    </row>
    <row r="87" customFormat="false" ht="148.5" hidden="false" customHeight="true" outlineLevel="0" collapsed="false">
      <c r="A87" s="16" t="s">
        <v>727</v>
      </c>
      <c r="B87" s="17" t="s">
        <v>454</v>
      </c>
      <c r="C87" s="17" t="s">
        <v>454</v>
      </c>
      <c r="D87" s="17" t="s">
        <v>424</v>
      </c>
      <c r="E87" s="18" t="s">
        <v>324</v>
      </c>
      <c r="F87" s="19" t="s">
        <v>487</v>
      </c>
      <c r="G87" s="19" t="s">
        <v>714</v>
      </c>
      <c r="H87" s="19" t="s">
        <v>725</v>
      </c>
      <c r="I87" s="17" t="s">
        <v>728</v>
      </c>
      <c r="J87" s="16" t="s">
        <v>442</v>
      </c>
      <c r="K87" s="20" t="n">
        <v>5</v>
      </c>
      <c r="L87" s="17" t="s">
        <v>429</v>
      </c>
      <c r="M87" s="21" t="s">
        <v>729</v>
      </c>
      <c r="N87" s="22"/>
    </row>
    <row r="88" customFormat="false" ht="89.25" hidden="false" customHeight="true" outlineLevel="0" collapsed="false">
      <c r="A88" s="16" t="s">
        <v>730</v>
      </c>
      <c r="B88" s="17" t="s">
        <v>454</v>
      </c>
      <c r="C88" s="17" t="s">
        <v>454</v>
      </c>
      <c r="D88" s="17" t="s">
        <v>424</v>
      </c>
      <c r="E88" s="18" t="s">
        <v>332</v>
      </c>
      <c r="F88" s="19" t="s">
        <v>487</v>
      </c>
      <c r="G88" s="19" t="s">
        <v>714</v>
      </c>
      <c r="H88" s="19" t="s">
        <v>725</v>
      </c>
      <c r="I88" s="17" t="s">
        <v>731</v>
      </c>
      <c r="J88" s="16" t="s">
        <v>442</v>
      </c>
      <c r="K88" s="20" t="n">
        <v>5</v>
      </c>
      <c r="L88" s="17" t="s">
        <v>487</v>
      </c>
      <c r="M88" s="21" t="s">
        <v>732</v>
      </c>
      <c r="N88" s="22" t="s">
        <v>733</v>
      </c>
    </row>
    <row r="89" customFormat="false" ht="135" hidden="false" customHeight="true" outlineLevel="0" collapsed="false">
      <c r="A89" s="39" t="s">
        <v>734</v>
      </c>
      <c r="B89" s="38" t="s">
        <v>454</v>
      </c>
      <c r="C89" s="38" t="s">
        <v>454</v>
      </c>
      <c r="D89" s="17" t="s">
        <v>424</v>
      </c>
      <c r="E89" s="18" t="s">
        <v>337</v>
      </c>
      <c r="F89" s="19" t="s">
        <v>487</v>
      </c>
      <c r="G89" s="19" t="s">
        <v>735</v>
      </c>
      <c r="H89" s="19" t="s">
        <v>736</v>
      </c>
      <c r="I89" s="18" t="s">
        <v>338</v>
      </c>
      <c r="J89" s="47" t="s">
        <v>428</v>
      </c>
      <c r="K89" s="48" t="n">
        <v>10</v>
      </c>
      <c r="L89" s="38" t="s">
        <v>737</v>
      </c>
      <c r="M89" s="21" t="s">
        <v>738</v>
      </c>
      <c r="N89" s="22"/>
    </row>
    <row r="90" s="55" customFormat="true" ht="148.5" hidden="false" customHeight="true" outlineLevel="0" collapsed="false">
      <c r="A90" s="49" t="s">
        <v>739</v>
      </c>
      <c r="B90" s="50" t="s">
        <v>454</v>
      </c>
      <c r="C90" s="50" t="s">
        <v>454</v>
      </c>
      <c r="D90" s="17" t="s">
        <v>424</v>
      </c>
      <c r="E90" s="51" t="s">
        <v>740</v>
      </c>
      <c r="F90" s="19" t="s">
        <v>487</v>
      </c>
      <c r="G90" s="19" t="s">
        <v>735</v>
      </c>
      <c r="H90" s="19" t="s">
        <v>741</v>
      </c>
      <c r="I90" s="19" t="s">
        <v>742</v>
      </c>
      <c r="J90" s="52" t="s">
        <v>428</v>
      </c>
      <c r="K90" s="53" t="n">
        <v>10</v>
      </c>
      <c r="L90" s="24" t="s">
        <v>429</v>
      </c>
      <c r="M90" s="43" t="s">
        <v>743</v>
      </c>
      <c r="N90" s="54"/>
    </row>
    <row r="91" s="55" customFormat="true" ht="283.5" hidden="false" customHeight="true" outlineLevel="0" collapsed="false">
      <c r="A91" s="49" t="s">
        <v>744</v>
      </c>
      <c r="B91" s="50" t="s">
        <v>454</v>
      </c>
      <c r="C91" s="50" t="s">
        <v>454</v>
      </c>
      <c r="D91" s="17" t="s">
        <v>424</v>
      </c>
      <c r="E91" s="51" t="s">
        <v>342</v>
      </c>
      <c r="F91" s="56" t="s">
        <v>487</v>
      </c>
      <c r="G91" s="19" t="s">
        <v>735</v>
      </c>
      <c r="H91" s="19" t="s">
        <v>741</v>
      </c>
      <c r="I91" s="19" t="s">
        <v>745</v>
      </c>
      <c r="J91" s="16" t="s">
        <v>442</v>
      </c>
      <c r="K91" s="53" t="n">
        <v>2</v>
      </c>
      <c r="L91" s="24" t="s">
        <v>429</v>
      </c>
      <c r="M91" s="43" t="s">
        <v>746</v>
      </c>
      <c r="N91" s="57"/>
    </row>
    <row r="92" s="55" customFormat="true" ht="409.5" hidden="false" customHeight="true" outlineLevel="0" collapsed="false">
      <c r="A92" s="49" t="s">
        <v>747</v>
      </c>
      <c r="B92" s="50"/>
      <c r="C92" s="50"/>
      <c r="D92" s="17" t="s">
        <v>424</v>
      </c>
      <c r="E92" s="51" t="s">
        <v>348</v>
      </c>
      <c r="F92" s="56" t="s">
        <v>487</v>
      </c>
      <c r="G92" s="19" t="s">
        <v>735</v>
      </c>
      <c r="H92" s="19" t="s">
        <v>741</v>
      </c>
      <c r="I92" s="58" t="s">
        <v>748</v>
      </c>
      <c r="J92" s="59" t="s">
        <v>442</v>
      </c>
      <c r="K92" s="60" t="n">
        <v>2</v>
      </c>
      <c r="L92" s="17" t="s">
        <v>429</v>
      </c>
      <c r="M92" s="43" t="s">
        <v>749</v>
      </c>
      <c r="N92" s="54" t="s">
        <v>750</v>
      </c>
    </row>
    <row r="93" s="55" customFormat="true" ht="283.5" hidden="false" customHeight="true" outlineLevel="0" collapsed="false">
      <c r="A93" s="49" t="s">
        <v>751</v>
      </c>
      <c r="B93" s="50"/>
      <c r="C93" s="50"/>
      <c r="D93" s="17" t="s">
        <v>424</v>
      </c>
      <c r="E93" s="51" t="s">
        <v>353</v>
      </c>
      <c r="F93" s="56" t="s">
        <v>487</v>
      </c>
      <c r="G93" s="19" t="s">
        <v>735</v>
      </c>
      <c r="H93" s="19" t="s">
        <v>741</v>
      </c>
      <c r="I93" s="58" t="s">
        <v>752</v>
      </c>
      <c r="J93" s="59" t="s">
        <v>442</v>
      </c>
      <c r="K93" s="60" t="n">
        <v>2</v>
      </c>
      <c r="L93" s="17" t="s">
        <v>429</v>
      </c>
      <c r="M93" s="43" t="s">
        <v>753</v>
      </c>
      <c r="N93" s="54" t="s">
        <v>754</v>
      </c>
    </row>
    <row r="94" s="55" customFormat="true" ht="364.5" hidden="false" customHeight="true" outlineLevel="0" collapsed="false">
      <c r="A94" s="49" t="s">
        <v>755</v>
      </c>
      <c r="B94" s="50"/>
      <c r="C94" s="50"/>
      <c r="D94" s="17" t="s">
        <v>424</v>
      </c>
      <c r="E94" s="51" t="s">
        <v>358</v>
      </c>
      <c r="F94" s="56" t="s">
        <v>487</v>
      </c>
      <c r="G94" s="19" t="s">
        <v>735</v>
      </c>
      <c r="H94" s="19" t="s">
        <v>741</v>
      </c>
      <c r="I94" s="58" t="s">
        <v>756</v>
      </c>
      <c r="J94" s="59" t="s">
        <v>442</v>
      </c>
      <c r="K94" s="60" t="n">
        <v>2</v>
      </c>
      <c r="L94" s="17" t="s">
        <v>429</v>
      </c>
      <c r="M94" s="43" t="s">
        <v>757</v>
      </c>
      <c r="N94" s="54" t="s">
        <v>750</v>
      </c>
    </row>
    <row r="95" s="55" customFormat="true" ht="351" hidden="false" customHeight="true" outlineLevel="0" collapsed="false">
      <c r="A95" s="49" t="s">
        <v>758</v>
      </c>
      <c r="B95" s="50"/>
      <c r="C95" s="50"/>
      <c r="D95" s="17" t="s">
        <v>424</v>
      </c>
      <c r="E95" s="51" t="s">
        <v>363</v>
      </c>
      <c r="F95" s="56" t="s">
        <v>487</v>
      </c>
      <c r="G95" s="19" t="s">
        <v>735</v>
      </c>
      <c r="H95" s="19" t="s">
        <v>741</v>
      </c>
      <c r="I95" s="58" t="s">
        <v>759</v>
      </c>
      <c r="J95" s="59" t="s">
        <v>442</v>
      </c>
      <c r="K95" s="60" t="n">
        <v>2</v>
      </c>
      <c r="L95" s="17" t="s">
        <v>429</v>
      </c>
      <c r="M95" s="43" t="s">
        <v>760</v>
      </c>
      <c r="N95" s="54" t="s">
        <v>750</v>
      </c>
    </row>
    <row r="96" customFormat="false" ht="54" hidden="false" customHeight="true" outlineLevel="0" collapsed="false">
      <c r="A96" s="16" t="s">
        <v>761</v>
      </c>
      <c r="B96" s="17" t="s">
        <v>172</v>
      </c>
      <c r="C96" s="17" t="s">
        <v>98</v>
      </c>
      <c r="D96" s="17" t="s">
        <v>424</v>
      </c>
      <c r="E96" s="18" t="s">
        <v>496</v>
      </c>
      <c r="F96" s="19" t="s">
        <v>487</v>
      </c>
      <c r="G96" s="19" t="s">
        <v>735</v>
      </c>
      <c r="H96" s="19" t="s">
        <v>762</v>
      </c>
      <c r="I96" s="61" t="s">
        <v>763</v>
      </c>
      <c r="J96" s="23" t="s">
        <v>428</v>
      </c>
      <c r="K96" s="25" t="n">
        <v>10</v>
      </c>
      <c r="L96" s="24" t="s">
        <v>737</v>
      </c>
      <c r="M96" s="21" t="s">
        <v>764</v>
      </c>
      <c r="N96" s="22"/>
    </row>
    <row r="97" customFormat="false" ht="108" hidden="false" customHeight="true" outlineLevel="0" collapsed="false">
      <c r="A97" s="16" t="s">
        <v>765</v>
      </c>
      <c r="B97" s="17" t="s">
        <v>454</v>
      </c>
      <c r="C97" s="17" t="s">
        <v>454</v>
      </c>
      <c r="D97" s="17" t="s">
        <v>424</v>
      </c>
      <c r="E97" s="18" t="s">
        <v>366</v>
      </c>
      <c r="F97" s="19" t="s">
        <v>487</v>
      </c>
      <c r="G97" s="19" t="s">
        <v>735</v>
      </c>
      <c r="H97" s="19" t="s">
        <v>762</v>
      </c>
      <c r="I97" s="58" t="s">
        <v>766</v>
      </c>
      <c r="J97" s="16" t="s">
        <v>442</v>
      </c>
      <c r="K97" s="20" t="n">
        <v>5</v>
      </c>
      <c r="L97" s="17" t="s">
        <v>429</v>
      </c>
      <c r="M97" s="21" t="s">
        <v>767</v>
      </c>
      <c r="N97" s="22"/>
    </row>
    <row r="98" customFormat="false" ht="135" hidden="false" customHeight="true" outlineLevel="0" collapsed="false">
      <c r="A98" s="16" t="s">
        <v>768</v>
      </c>
      <c r="B98" s="17" t="s">
        <v>454</v>
      </c>
      <c r="C98" s="17" t="s">
        <v>454</v>
      </c>
      <c r="D98" s="17" t="s">
        <v>424</v>
      </c>
      <c r="E98" s="18" t="s">
        <v>371</v>
      </c>
      <c r="F98" s="19" t="s">
        <v>487</v>
      </c>
      <c r="G98" s="19" t="s">
        <v>735</v>
      </c>
      <c r="H98" s="19" t="s">
        <v>762</v>
      </c>
      <c r="I98" s="58" t="s">
        <v>769</v>
      </c>
      <c r="J98" s="16" t="s">
        <v>442</v>
      </c>
      <c r="K98" s="20" t="n">
        <v>5</v>
      </c>
      <c r="L98" s="17" t="s">
        <v>487</v>
      </c>
      <c r="M98" s="21" t="s">
        <v>770</v>
      </c>
      <c r="N98" s="22"/>
    </row>
    <row r="99" customFormat="false" ht="256.5" hidden="false" customHeight="true" outlineLevel="0" collapsed="false">
      <c r="A99" s="39" t="s">
        <v>771</v>
      </c>
      <c r="B99" s="17" t="s">
        <v>648</v>
      </c>
      <c r="C99" s="17" t="s">
        <v>515</v>
      </c>
      <c r="D99" s="17" t="s">
        <v>424</v>
      </c>
      <c r="E99" s="18" t="s">
        <v>376</v>
      </c>
      <c r="F99" s="19" t="s">
        <v>487</v>
      </c>
      <c r="G99" s="19" t="s">
        <v>735</v>
      </c>
      <c r="H99" s="19" t="s">
        <v>772</v>
      </c>
      <c r="I99" s="62" t="s">
        <v>377</v>
      </c>
      <c r="J99" s="39" t="s">
        <v>428</v>
      </c>
      <c r="K99" s="40" t="n">
        <v>10</v>
      </c>
      <c r="L99" s="17" t="s">
        <v>429</v>
      </c>
      <c r="M99" s="21" t="s">
        <v>773</v>
      </c>
      <c r="N99" s="22"/>
    </row>
    <row r="100" customFormat="false" ht="216" hidden="false" customHeight="true" outlineLevel="0" collapsed="false">
      <c r="A100" s="39" t="s">
        <v>774</v>
      </c>
      <c r="B100" s="17" t="s">
        <v>661</v>
      </c>
      <c r="C100" s="17" t="s">
        <v>540</v>
      </c>
      <c r="D100" s="17" t="s">
        <v>424</v>
      </c>
      <c r="E100" s="18" t="s">
        <v>382</v>
      </c>
      <c r="F100" s="19" t="s">
        <v>487</v>
      </c>
      <c r="G100" s="19" t="s">
        <v>735</v>
      </c>
      <c r="H100" s="19" t="s">
        <v>772</v>
      </c>
      <c r="I100" s="62" t="s">
        <v>383</v>
      </c>
      <c r="J100" s="39" t="s">
        <v>428</v>
      </c>
      <c r="K100" s="40" t="n">
        <v>10</v>
      </c>
      <c r="L100" s="17" t="s">
        <v>429</v>
      </c>
      <c r="M100" s="21" t="s">
        <v>775</v>
      </c>
      <c r="N100" s="22" t="s">
        <v>776</v>
      </c>
    </row>
    <row r="101" customFormat="false" ht="54" hidden="false" customHeight="true" outlineLevel="0" collapsed="false">
      <c r="A101" s="39" t="s">
        <v>777</v>
      </c>
      <c r="B101" s="17" t="s">
        <v>672</v>
      </c>
      <c r="C101" s="17" t="s">
        <v>454</v>
      </c>
      <c r="D101" s="17" t="s">
        <v>424</v>
      </c>
      <c r="E101" s="18" t="s">
        <v>387</v>
      </c>
      <c r="F101" s="17" t="s">
        <v>487</v>
      </c>
      <c r="G101" s="19" t="s">
        <v>778</v>
      </c>
      <c r="H101" s="19" t="s">
        <v>779</v>
      </c>
      <c r="I101" s="17" t="s">
        <v>388</v>
      </c>
      <c r="J101" s="39" t="s">
        <v>428</v>
      </c>
      <c r="K101" s="40" t="n">
        <v>10</v>
      </c>
      <c r="L101" s="17" t="s">
        <v>487</v>
      </c>
      <c r="M101" s="21" t="s">
        <v>780</v>
      </c>
      <c r="N101" s="22"/>
    </row>
    <row r="102" customFormat="false" ht="162" hidden="false" customHeight="true" outlineLevel="0" collapsed="false">
      <c r="A102" s="39" t="s">
        <v>781</v>
      </c>
      <c r="B102" s="17" t="s">
        <v>724</v>
      </c>
      <c r="C102" s="17" t="s">
        <v>161</v>
      </c>
      <c r="D102" s="17" t="s">
        <v>424</v>
      </c>
      <c r="E102" s="18" t="s">
        <v>390</v>
      </c>
      <c r="F102" s="18" t="s">
        <v>782</v>
      </c>
      <c r="G102" s="19" t="s">
        <v>778</v>
      </c>
      <c r="H102" s="19" t="s">
        <v>779</v>
      </c>
      <c r="I102" s="17" t="s">
        <v>391</v>
      </c>
      <c r="J102" s="39" t="s">
        <v>428</v>
      </c>
      <c r="K102" s="40" t="n">
        <v>10</v>
      </c>
      <c r="L102" s="17" t="s">
        <v>783</v>
      </c>
      <c r="M102" s="21" t="s">
        <v>784</v>
      </c>
      <c r="N102" s="22"/>
    </row>
    <row r="103" customFormat="false" ht="40.5" hidden="false" customHeight="true" outlineLevel="0" collapsed="false">
      <c r="A103" s="39" t="s">
        <v>785</v>
      </c>
      <c r="B103" s="17" t="s">
        <v>337</v>
      </c>
      <c r="C103" s="17" t="s">
        <v>473</v>
      </c>
      <c r="D103" s="17" t="s">
        <v>424</v>
      </c>
      <c r="E103" s="18" t="s">
        <v>786</v>
      </c>
      <c r="F103" s="18" t="s">
        <v>782</v>
      </c>
      <c r="G103" s="19" t="s">
        <v>778</v>
      </c>
      <c r="H103" s="19" t="s">
        <v>787</v>
      </c>
      <c r="I103" s="24" t="s">
        <v>788</v>
      </c>
      <c r="J103" s="47" t="s">
        <v>428</v>
      </c>
      <c r="K103" s="48" t="n">
        <v>10</v>
      </c>
      <c r="L103" s="61" t="s">
        <v>487</v>
      </c>
      <c r="M103" s="63" t="s">
        <v>612</v>
      </c>
      <c r="N103" s="22"/>
    </row>
    <row r="104" customFormat="false" ht="121.5" hidden="false" customHeight="true" outlineLevel="0" collapsed="false">
      <c r="A104" s="39" t="s">
        <v>789</v>
      </c>
      <c r="B104" s="17" t="s">
        <v>454</v>
      </c>
      <c r="C104" s="17" t="s">
        <v>454</v>
      </c>
      <c r="D104" s="17" t="s">
        <v>424</v>
      </c>
      <c r="E104" s="18" t="s">
        <v>396</v>
      </c>
      <c r="F104" s="18" t="s">
        <v>782</v>
      </c>
      <c r="G104" s="19" t="s">
        <v>778</v>
      </c>
      <c r="H104" s="19" t="s">
        <v>787</v>
      </c>
      <c r="I104" s="27" t="s">
        <v>790</v>
      </c>
      <c r="J104" s="39" t="s">
        <v>442</v>
      </c>
      <c r="K104" s="40" t="n">
        <v>5</v>
      </c>
      <c r="L104" s="62" t="s">
        <v>487</v>
      </c>
      <c r="M104" s="64" t="s">
        <v>791</v>
      </c>
      <c r="N104" s="22"/>
    </row>
    <row r="105" customFormat="false" ht="148.5" hidden="false" customHeight="true" outlineLevel="0" collapsed="false">
      <c r="A105" s="39" t="s">
        <v>792</v>
      </c>
      <c r="B105" s="17" t="s">
        <v>454</v>
      </c>
      <c r="C105" s="17" t="s">
        <v>454</v>
      </c>
      <c r="D105" s="17" t="s">
        <v>424</v>
      </c>
      <c r="E105" s="18" t="s">
        <v>401</v>
      </c>
      <c r="F105" s="18" t="s">
        <v>782</v>
      </c>
      <c r="G105" s="19" t="s">
        <v>778</v>
      </c>
      <c r="H105" s="19" t="s">
        <v>787</v>
      </c>
      <c r="I105" s="27" t="s">
        <v>793</v>
      </c>
      <c r="J105" s="39" t="s">
        <v>442</v>
      </c>
      <c r="K105" s="40" t="n">
        <v>5</v>
      </c>
      <c r="L105" s="62" t="s">
        <v>487</v>
      </c>
      <c r="M105" s="64" t="s">
        <v>794</v>
      </c>
      <c r="N105" s="22"/>
    </row>
    <row r="106" customFormat="false" ht="409.5" hidden="false" customHeight="true" outlineLevel="0" collapsed="false">
      <c r="A106" s="65" t="s">
        <v>795</v>
      </c>
      <c r="B106" s="66" t="s">
        <v>740</v>
      </c>
      <c r="C106" s="66" t="s">
        <v>172</v>
      </c>
      <c r="D106" s="66" t="s">
        <v>424</v>
      </c>
      <c r="E106" s="67" t="s">
        <v>404</v>
      </c>
      <c r="F106" s="67" t="s">
        <v>782</v>
      </c>
      <c r="G106" s="68" t="s">
        <v>778</v>
      </c>
      <c r="H106" s="68" t="s">
        <v>796</v>
      </c>
      <c r="I106" s="17" t="s">
        <v>405</v>
      </c>
      <c r="J106" s="65" t="s">
        <v>428</v>
      </c>
      <c r="K106" s="69" t="n">
        <v>10</v>
      </c>
      <c r="L106" s="66" t="s">
        <v>429</v>
      </c>
      <c r="M106" s="70" t="s">
        <v>797</v>
      </c>
      <c r="N106" s="70" t="s">
        <v>798</v>
      </c>
      <c r="O106" s="71"/>
    </row>
    <row r="107" customFormat="false" ht="13.5" hidden="false" customHeight="false" outlineLevel="0" collapsed="false">
      <c r="A107" s="8"/>
      <c r="I107" s="55"/>
    </row>
    <row r="108" customFormat="false" ht="13.5" hidden="false" customHeight="false" outlineLevel="0" collapsed="false">
      <c r="A108" s="8"/>
    </row>
    <row r="109" customFormat="false" ht="13.5" hidden="false" customHeight="false" outlineLevel="0" collapsed="false">
      <c r="A109" s="8"/>
    </row>
    <row r="110" customFormat="false" ht="13.5" hidden="false" customHeight="false" outlineLevel="0" collapsed="false">
      <c r="A110" s="8"/>
    </row>
    <row r="111" customFormat="false" ht="13.5" hidden="false" customHeight="false" outlineLevel="0" collapsed="false">
      <c r="A111" s="8"/>
    </row>
    <row r="112" customFormat="false" ht="13.5" hidden="false" customHeight="false" outlineLevel="0" collapsed="false">
      <c r="A112" s="72"/>
      <c r="B112" s="73"/>
      <c r="C112" s="73"/>
      <c r="D112" s="73"/>
      <c r="I112" s="73"/>
      <c r="J112" s="72"/>
      <c r="K112" s="72"/>
      <c r="L112" s="73"/>
      <c r="M112" s="37"/>
    </row>
    <row r="113" customFormat="false" ht="13.5" hidden="false" customHeight="false" outlineLevel="0" collapsed="false">
      <c r="A113" s="72"/>
      <c r="B113" s="73"/>
      <c r="C113" s="73"/>
      <c r="D113" s="73"/>
      <c r="I113" s="73"/>
      <c r="J113" s="72"/>
      <c r="K113" s="72"/>
      <c r="L113" s="73"/>
      <c r="M113" s="37"/>
    </row>
    <row r="114" customFormat="false" ht="13.5" hidden="false" customHeight="false" outlineLevel="0" collapsed="false">
      <c r="A114" s="72"/>
      <c r="B114" s="73"/>
      <c r="C114" s="73"/>
      <c r="D114" s="73"/>
      <c r="I114" s="73"/>
      <c r="J114" s="72"/>
      <c r="K114" s="72"/>
      <c r="L114" s="73"/>
      <c r="M114" s="37"/>
    </row>
    <row r="115" customFormat="false" ht="13.5" hidden="false" customHeight="false" outlineLevel="0" collapsed="false">
      <c r="A115" s="72"/>
      <c r="B115" s="73"/>
      <c r="C115" s="73"/>
      <c r="D115" s="73"/>
      <c r="I115" s="73"/>
      <c r="J115" s="72"/>
      <c r="K115" s="72"/>
      <c r="L115" s="73"/>
      <c r="M115" s="37"/>
    </row>
    <row r="116" customFormat="false" ht="13.5" hidden="false" customHeight="false" outlineLevel="0" collapsed="false">
      <c r="A116" s="72"/>
      <c r="B116" s="73"/>
      <c r="C116" s="73"/>
      <c r="D116" s="73"/>
      <c r="I116" s="73"/>
      <c r="J116" s="72"/>
      <c r="K116" s="72"/>
      <c r="L116" s="73"/>
      <c r="M116" s="37"/>
    </row>
    <row r="117" customFormat="false" ht="13.5" hidden="false" customHeight="false" outlineLevel="0" collapsed="false">
      <c r="A117" s="72"/>
      <c r="B117" s="73"/>
      <c r="C117" s="73"/>
      <c r="D117" s="73"/>
      <c r="I117" s="73"/>
      <c r="J117" s="72"/>
      <c r="K117" s="72"/>
      <c r="L117" s="73"/>
      <c r="M117" s="37"/>
    </row>
    <row r="118" customFormat="false" ht="13.5" hidden="false" customHeight="false" outlineLevel="0" collapsed="false">
      <c r="A118" s="72"/>
      <c r="B118" s="73"/>
      <c r="C118" s="73"/>
      <c r="D118" s="73"/>
      <c r="I118" s="73"/>
      <c r="J118" s="72"/>
      <c r="K118" s="72"/>
      <c r="L118" s="73"/>
      <c r="M118" s="37"/>
    </row>
    <row r="119" customFormat="false" ht="13.5" hidden="false" customHeight="false" outlineLevel="0" collapsed="false">
      <c r="A119" s="72"/>
      <c r="B119" s="73"/>
      <c r="C119" s="73"/>
      <c r="D119" s="73"/>
      <c r="I119" s="73"/>
      <c r="J119" s="72"/>
      <c r="K119" s="72"/>
      <c r="L119" s="73"/>
      <c r="M119" s="37"/>
    </row>
    <row r="120" customFormat="false" ht="13.5" hidden="false" customHeight="false" outlineLevel="0" collapsed="false">
      <c r="A120" s="72"/>
      <c r="B120" s="73"/>
      <c r="C120" s="73"/>
      <c r="D120" s="73"/>
      <c r="I120" s="73"/>
      <c r="J120" s="72"/>
      <c r="K120" s="72"/>
      <c r="L120" s="73"/>
      <c r="M120" s="37"/>
    </row>
    <row r="121" customFormat="false" ht="13.5" hidden="false" customHeight="false" outlineLevel="0" collapsed="false">
      <c r="A121" s="72"/>
      <c r="B121" s="73"/>
      <c r="C121" s="73"/>
      <c r="D121" s="73"/>
      <c r="I121" s="73"/>
      <c r="J121" s="72"/>
      <c r="K121" s="72"/>
      <c r="L121" s="73"/>
      <c r="M121" s="37"/>
    </row>
    <row r="122" customFormat="false" ht="13.5" hidden="false" customHeight="false" outlineLevel="0" collapsed="false">
      <c r="A122" s="72"/>
      <c r="B122" s="73"/>
      <c r="C122" s="73"/>
      <c r="D122" s="73"/>
      <c r="I122" s="73"/>
      <c r="J122" s="72"/>
      <c r="K122" s="72"/>
      <c r="L122" s="73"/>
      <c r="M122" s="37"/>
    </row>
    <row r="123" customFormat="false" ht="13.5" hidden="false" customHeight="false" outlineLevel="0" collapsed="false">
      <c r="A123" s="72"/>
      <c r="B123" s="73"/>
      <c r="C123" s="73"/>
      <c r="D123" s="73"/>
      <c r="I123" s="73"/>
      <c r="J123" s="72"/>
      <c r="K123" s="72"/>
      <c r="L123" s="73"/>
      <c r="M123" s="37"/>
    </row>
    <row r="124" customFormat="false" ht="13.5" hidden="false" customHeight="false" outlineLevel="0" collapsed="false">
      <c r="A124" s="72"/>
      <c r="B124" s="73"/>
      <c r="C124" s="73"/>
      <c r="D124" s="73"/>
      <c r="I124" s="73"/>
      <c r="J124" s="72"/>
      <c r="K124" s="72"/>
      <c r="L124" s="73"/>
      <c r="M124" s="37"/>
    </row>
    <row r="125" customFormat="false" ht="13.5" hidden="false" customHeight="false" outlineLevel="0" collapsed="false">
      <c r="A125" s="72"/>
      <c r="B125" s="73"/>
      <c r="C125" s="73"/>
      <c r="D125" s="73"/>
      <c r="I125" s="73"/>
      <c r="J125" s="72"/>
      <c r="K125" s="72"/>
      <c r="L125" s="73"/>
      <c r="M125" s="37"/>
    </row>
    <row r="126" customFormat="false" ht="13.5" hidden="false" customHeight="false" outlineLevel="0" collapsed="false">
      <c r="A126" s="72"/>
      <c r="B126" s="73"/>
      <c r="C126" s="73"/>
      <c r="D126" s="73"/>
      <c r="I126" s="73"/>
      <c r="J126" s="72"/>
      <c r="K126" s="72"/>
      <c r="L126" s="73"/>
      <c r="M126" s="37"/>
    </row>
    <row r="127" customFormat="false" ht="13.5" hidden="false" customHeight="false" outlineLevel="0" collapsed="false">
      <c r="A127" s="72"/>
      <c r="B127" s="73"/>
      <c r="C127" s="73"/>
      <c r="D127" s="73"/>
      <c r="I127" s="73"/>
      <c r="J127" s="72"/>
      <c r="K127" s="72"/>
      <c r="L127" s="73"/>
      <c r="M127" s="37"/>
    </row>
    <row r="128" customFormat="false" ht="13.5" hidden="false" customHeight="false" outlineLevel="0" collapsed="false">
      <c r="A128" s="72"/>
      <c r="B128" s="73"/>
      <c r="C128" s="73"/>
      <c r="D128" s="73"/>
      <c r="I128" s="73"/>
      <c r="J128" s="72"/>
      <c r="K128" s="72"/>
      <c r="L128" s="73"/>
      <c r="M128" s="37"/>
    </row>
    <row r="129" customFormat="false" ht="13.5" hidden="false" customHeight="false" outlineLevel="0" collapsed="false">
      <c r="A129" s="72"/>
      <c r="B129" s="73"/>
      <c r="C129" s="73"/>
      <c r="D129" s="73"/>
      <c r="I129" s="73"/>
      <c r="J129" s="72"/>
      <c r="K129" s="72"/>
      <c r="L129" s="73"/>
      <c r="M129" s="37"/>
    </row>
    <row r="130" customFormat="false" ht="13.5" hidden="false" customHeight="false" outlineLevel="0" collapsed="false">
      <c r="A130" s="72"/>
      <c r="B130" s="73"/>
      <c r="C130" s="73"/>
      <c r="D130" s="73"/>
      <c r="I130" s="73"/>
      <c r="J130" s="72"/>
      <c r="K130" s="72"/>
      <c r="L130" s="73"/>
      <c r="M130" s="37"/>
    </row>
    <row r="131" customFormat="false" ht="13.5" hidden="false" customHeight="false" outlineLevel="0" collapsed="false">
      <c r="A131" s="72"/>
      <c r="B131" s="73"/>
      <c r="C131" s="73"/>
      <c r="D131" s="73"/>
      <c r="I131" s="73"/>
      <c r="J131" s="72"/>
      <c r="K131" s="72"/>
      <c r="L131" s="73"/>
      <c r="M131" s="37"/>
    </row>
    <row r="132" customFormat="false" ht="13.5" hidden="false" customHeight="false" outlineLevel="0" collapsed="false">
      <c r="A132" s="72"/>
      <c r="B132" s="73"/>
      <c r="C132" s="73"/>
      <c r="D132" s="73"/>
      <c r="I132" s="73"/>
      <c r="J132" s="72"/>
      <c r="K132" s="72"/>
      <c r="L132" s="73"/>
      <c r="M132" s="37"/>
    </row>
    <row r="133" customFormat="false" ht="13.5" hidden="false" customHeight="false" outlineLevel="0" collapsed="false">
      <c r="A133" s="72"/>
      <c r="B133" s="73"/>
      <c r="C133" s="73"/>
      <c r="D133" s="73"/>
      <c r="I133" s="73"/>
      <c r="J133" s="72"/>
      <c r="K133" s="72"/>
      <c r="L133" s="73"/>
      <c r="M133" s="37"/>
    </row>
    <row r="134" customFormat="false" ht="13.5" hidden="false" customHeight="false" outlineLevel="0" collapsed="false">
      <c r="A134" s="72"/>
      <c r="B134" s="73"/>
      <c r="C134" s="73"/>
      <c r="D134" s="73"/>
      <c r="I134" s="73"/>
      <c r="J134" s="72"/>
      <c r="K134" s="72"/>
      <c r="L134" s="73"/>
      <c r="M134" s="37"/>
    </row>
    <row r="135" customFormat="false" ht="13.5" hidden="false" customHeight="false" outlineLevel="0" collapsed="false">
      <c r="A135" s="72"/>
      <c r="B135" s="73"/>
      <c r="C135" s="73"/>
      <c r="D135" s="73"/>
      <c r="I135" s="73"/>
      <c r="J135" s="72"/>
      <c r="K135" s="72"/>
      <c r="L135" s="73"/>
      <c r="M135" s="37"/>
    </row>
    <row r="136" customFormat="false" ht="13.5" hidden="false" customHeight="false" outlineLevel="0" collapsed="false">
      <c r="A136" s="72"/>
      <c r="B136" s="73"/>
      <c r="C136" s="73"/>
      <c r="D136" s="73"/>
      <c r="I136" s="73"/>
      <c r="J136" s="72"/>
      <c r="K136" s="72"/>
      <c r="L136" s="73"/>
      <c r="M136" s="37" t="s">
        <v>799</v>
      </c>
    </row>
    <row r="137" customFormat="false" ht="13.5" hidden="false" customHeight="false" outlineLevel="0" collapsed="false">
      <c r="A137" s="72"/>
      <c r="B137" s="73"/>
      <c r="C137" s="73"/>
      <c r="D137" s="73"/>
      <c r="I137" s="73"/>
      <c r="J137" s="72"/>
      <c r="K137" s="72"/>
      <c r="L137" s="73"/>
      <c r="M137" s="37"/>
    </row>
    <row r="138" customFormat="false" ht="13.5" hidden="false" customHeight="false" outlineLevel="0" collapsed="false">
      <c r="A138" s="72"/>
      <c r="B138" s="73"/>
      <c r="C138" s="73"/>
      <c r="D138" s="73"/>
      <c r="I138" s="73"/>
      <c r="J138" s="72"/>
      <c r="K138" s="72"/>
      <c r="L138" s="73"/>
      <c r="M138" s="37"/>
    </row>
    <row r="139" customFormat="false" ht="13.5" hidden="false" customHeight="false" outlineLevel="0" collapsed="false">
      <c r="A139" s="72"/>
      <c r="B139" s="73"/>
      <c r="C139" s="73"/>
      <c r="D139" s="73"/>
      <c r="I139" s="73"/>
      <c r="J139" s="72"/>
      <c r="K139" s="72"/>
      <c r="L139" s="73"/>
      <c r="M139" s="37"/>
    </row>
    <row r="140" customFormat="false" ht="13.5" hidden="false" customHeight="false" outlineLevel="0" collapsed="false">
      <c r="A140" s="72"/>
      <c r="B140" s="73"/>
      <c r="C140" s="73"/>
      <c r="D140" s="73"/>
      <c r="I140" s="73"/>
      <c r="J140" s="72"/>
      <c r="K140" s="72"/>
      <c r="L140" s="73"/>
      <c r="M140" s="37"/>
    </row>
    <row r="141" customFormat="false" ht="13.5" hidden="false" customHeight="false" outlineLevel="0" collapsed="false">
      <c r="A141" s="72"/>
      <c r="B141" s="73"/>
      <c r="C141" s="73"/>
      <c r="D141" s="73"/>
      <c r="I141" s="73"/>
      <c r="J141" s="72"/>
      <c r="K141" s="72"/>
      <c r="L141" s="73"/>
      <c r="M141" s="37"/>
    </row>
    <row r="142" customFormat="false" ht="13.5" hidden="false" customHeight="false" outlineLevel="0" collapsed="false">
      <c r="A142" s="72"/>
      <c r="B142" s="73"/>
      <c r="C142" s="73"/>
      <c r="D142" s="73"/>
      <c r="I142" s="73"/>
      <c r="J142" s="72"/>
      <c r="K142" s="72"/>
      <c r="L142" s="73"/>
      <c r="M142" s="37"/>
    </row>
    <row r="143" customFormat="false" ht="13.5" hidden="false" customHeight="false" outlineLevel="0" collapsed="false">
      <c r="A143" s="72"/>
      <c r="B143" s="73"/>
      <c r="C143" s="73"/>
      <c r="D143" s="73"/>
      <c r="I143" s="73"/>
      <c r="J143" s="72"/>
      <c r="K143" s="72"/>
      <c r="L143" s="73"/>
      <c r="M143" s="37" t="s">
        <v>799</v>
      </c>
    </row>
    <row r="144" customFormat="false" ht="13.5" hidden="false" customHeight="false" outlineLevel="0" collapsed="false">
      <c r="A144" s="72"/>
      <c r="B144" s="73"/>
      <c r="C144" s="73"/>
      <c r="D144" s="73"/>
      <c r="I144" s="73"/>
      <c r="J144" s="72"/>
      <c r="K144" s="72"/>
      <c r="L144" s="73"/>
      <c r="M144" s="37"/>
    </row>
    <row r="145" customFormat="false" ht="13.5" hidden="false" customHeight="false" outlineLevel="0" collapsed="false">
      <c r="A145" s="72"/>
      <c r="B145" s="73"/>
      <c r="C145" s="73"/>
      <c r="D145" s="73"/>
      <c r="I145" s="73"/>
      <c r="J145" s="72"/>
      <c r="K145" s="72"/>
      <c r="L145" s="73"/>
      <c r="M145" s="37"/>
    </row>
    <row r="146" customFormat="false" ht="13.5" hidden="false" customHeight="false" outlineLevel="0" collapsed="false">
      <c r="A146" s="72"/>
      <c r="B146" s="73"/>
      <c r="C146" s="73"/>
      <c r="D146" s="73"/>
      <c r="I146" s="73"/>
      <c r="J146" s="72"/>
      <c r="K146" s="72"/>
      <c r="L146" s="73"/>
      <c r="M146" s="37"/>
    </row>
    <row r="147" customFormat="false" ht="13.5" hidden="false" customHeight="false" outlineLevel="0" collapsed="false">
      <c r="A147" s="72"/>
      <c r="B147" s="73"/>
      <c r="C147" s="73"/>
      <c r="D147" s="73"/>
      <c r="I147" s="73"/>
      <c r="J147" s="72"/>
      <c r="K147" s="72"/>
      <c r="L147" s="73"/>
      <c r="M147" s="37"/>
    </row>
    <row r="148" customFormat="false" ht="13.5" hidden="false" customHeight="false" outlineLevel="0" collapsed="false">
      <c r="A148" s="72"/>
      <c r="B148" s="73"/>
      <c r="C148" s="73"/>
      <c r="D148" s="73"/>
      <c r="I148" s="73"/>
      <c r="J148" s="72"/>
      <c r="K148" s="72"/>
      <c r="L148" s="73"/>
      <c r="M148" s="37"/>
    </row>
    <row r="149" customFormat="false" ht="13.5" hidden="false" customHeight="false" outlineLevel="0" collapsed="false">
      <c r="A149" s="72"/>
      <c r="B149" s="73"/>
      <c r="C149" s="73"/>
      <c r="D149" s="73"/>
      <c r="I149" s="73"/>
      <c r="J149" s="72"/>
      <c r="K149" s="72"/>
      <c r="L149" s="73"/>
      <c r="M149" s="37" t="s">
        <v>799</v>
      </c>
    </row>
    <row r="150" customFormat="false" ht="13.5" hidden="false" customHeight="false" outlineLevel="0" collapsed="false">
      <c r="A150" s="72"/>
      <c r="B150" s="73"/>
      <c r="C150" s="73"/>
      <c r="D150" s="73"/>
      <c r="I150" s="73"/>
      <c r="J150" s="72"/>
      <c r="K150" s="72"/>
      <c r="L150" s="73"/>
      <c r="M150" s="37"/>
    </row>
    <row r="151" customFormat="false" ht="13.5" hidden="false" customHeight="false" outlineLevel="0" collapsed="false">
      <c r="A151" s="72"/>
      <c r="B151" s="73"/>
      <c r="C151" s="73"/>
      <c r="D151" s="73"/>
      <c r="I151" s="73"/>
      <c r="J151" s="72"/>
      <c r="K151" s="72"/>
      <c r="L151" s="73"/>
      <c r="M151" s="37"/>
    </row>
    <row r="152" customFormat="false" ht="13.5" hidden="false" customHeight="false" outlineLevel="0" collapsed="false">
      <c r="A152" s="72"/>
      <c r="B152" s="73"/>
      <c r="C152" s="73"/>
      <c r="D152" s="73"/>
      <c r="I152" s="73"/>
      <c r="J152" s="72"/>
      <c r="K152" s="72"/>
      <c r="L152" s="73"/>
      <c r="M152" s="37"/>
    </row>
    <row r="153" customFormat="false" ht="13.5" hidden="false" customHeight="false" outlineLevel="0" collapsed="false">
      <c r="A153" s="72"/>
      <c r="B153" s="73"/>
      <c r="C153" s="73"/>
      <c r="D153" s="73"/>
      <c r="I153" s="73"/>
      <c r="J153" s="72"/>
      <c r="K153" s="72"/>
      <c r="L153" s="73"/>
      <c r="M153" s="37"/>
    </row>
    <row r="154" customFormat="false" ht="13.5" hidden="false" customHeight="false" outlineLevel="0" collapsed="false">
      <c r="A154" s="72"/>
      <c r="B154" s="73"/>
      <c r="C154" s="73"/>
      <c r="D154" s="73"/>
      <c r="I154" s="73"/>
      <c r="J154" s="72"/>
      <c r="K154" s="72"/>
      <c r="L154" s="73"/>
      <c r="M154" s="37"/>
    </row>
    <row r="155" customFormat="false" ht="13.5" hidden="false" customHeight="false" outlineLevel="0" collapsed="false">
      <c r="A155" s="72"/>
      <c r="B155" s="73"/>
      <c r="C155" s="73"/>
      <c r="D155" s="73"/>
      <c r="I155" s="73"/>
      <c r="J155" s="72"/>
      <c r="K155" s="72"/>
      <c r="L155" s="73"/>
      <c r="M155" s="37"/>
    </row>
    <row r="156" customFormat="false" ht="13.5" hidden="false" customHeight="false" outlineLevel="0" collapsed="false">
      <c r="A156" s="72"/>
      <c r="B156" s="73"/>
      <c r="C156" s="73"/>
      <c r="D156" s="73"/>
      <c r="I156" s="73"/>
      <c r="J156" s="72"/>
      <c r="K156" s="72"/>
      <c r="L156" s="73"/>
      <c r="M156" s="37"/>
    </row>
    <row r="157" customFormat="false" ht="13.5" hidden="false" customHeight="false" outlineLevel="0" collapsed="false">
      <c r="A157" s="72"/>
      <c r="B157" s="73"/>
      <c r="C157" s="73"/>
      <c r="D157" s="73"/>
      <c r="I157" s="73"/>
      <c r="J157" s="72"/>
      <c r="K157" s="72"/>
      <c r="L157" s="73"/>
      <c r="M157" s="37"/>
    </row>
    <row r="158" customFormat="false" ht="13.5" hidden="false" customHeight="false" outlineLevel="0" collapsed="false">
      <c r="A158" s="72"/>
      <c r="B158" s="73"/>
      <c r="C158" s="73"/>
      <c r="D158" s="73"/>
      <c r="I158" s="73"/>
      <c r="J158" s="72"/>
      <c r="K158" s="72"/>
      <c r="L158" s="73"/>
      <c r="M158" s="37"/>
    </row>
    <row r="159" customFormat="false" ht="13.5" hidden="false" customHeight="false" outlineLevel="0" collapsed="false">
      <c r="A159" s="72"/>
      <c r="B159" s="73"/>
      <c r="C159" s="73"/>
      <c r="D159" s="73"/>
      <c r="I159" s="73"/>
      <c r="J159" s="72"/>
      <c r="K159" s="72"/>
      <c r="L159" s="73"/>
      <c r="M159" s="37"/>
    </row>
    <row r="160" customFormat="false" ht="13.5" hidden="false" customHeight="false" outlineLevel="0" collapsed="false">
      <c r="A160" s="72"/>
      <c r="B160" s="73"/>
      <c r="C160" s="73"/>
      <c r="D160" s="73"/>
      <c r="I160" s="73"/>
      <c r="J160" s="72"/>
      <c r="K160" s="72"/>
      <c r="L160" s="73"/>
      <c r="M160" s="37"/>
    </row>
    <row r="161" customFormat="false" ht="13.5" hidden="false" customHeight="false" outlineLevel="0" collapsed="false">
      <c r="A161" s="72"/>
      <c r="B161" s="73"/>
      <c r="C161" s="73"/>
      <c r="D161" s="73"/>
      <c r="I161" s="73"/>
      <c r="J161" s="72"/>
      <c r="K161" s="72"/>
      <c r="L161" s="73"/>
      <c r="M161" s="37"/>
    </row>
    <row r="162" customFormat="false" ht="13.5" hidden="false" customHeight="false" outlineLevel="0" collapsed="false">
      <c r="A162" s="72"/>
      <c r="B162" s="73"/>
      <c r="C162" s="73"/>
      <c r="D162" s="73"/>
      <c r="I162" s="73"/>
      <c r="J162" s="72"/>
      <c r="K162" s="72"/>
      <c r="L162" s="73"/>
      <c r="M162" s="37"/>
    </row>
    <row r="163" customFormat="false" ht="13.5" hidden="false" customHeight="false" outlineLevel="0" collapsed="false">
      <c r="A163" s="72"/>
      <c r="B163" s="73"/>
      <c r="C163" s="73"/>
      <c r="D163" s="73"/>
      <c r="I163" s="73"/>
      <c r="J163" s="72"/>
      <c r="K163" s="72"/>
      <c r="L163" s="73"/>
      <c r="M163" s="37"/>
    </row>
    <row r="164" customFormat="false" ht="13.5" hidden="false" customHeight="false" outlineLevel="0" collapsed="false">
      <c r="A164" s="72"/>
      <c r="B164" s="73"/>
      <c r="C164" s="73"/>
      <c r="D164" s="73"/>
      <c r="I164" s="73"/>
      <c r="J164" s="72"/>
      <c r="K164" s="72"/>
      <c r="L164" s="73"/>
      <c r="M164" s="37"/>
    </row>
    <row r="165" customFormat="false" ht="13.5" hidden="false" customHeight="false" outlineLevel="0" collapsed="false">
      <c r="A165" s="72"/>
      <c r="B165" s="73"/>
      <c r="C165" s="73"/>
      <c r="D165" s="73"/>
      <c r="I165" s="73"/>
      <c r="J165" s="72"/>
      <c r="K165" s="72"/>
      <c r="L165" s="73"/>
      <c r="M165" s="37"/>
    </row>
    <row r="166" customFormat="false" ht="13.5" hidden="false" customHeight="false" outlineLevel="0" collapsed="false">
      <c r="A166" s="72"/>
      <c r="B166" s="73"/>
      <c r="C166" s="73"/>
      <c r="D166" s="73"/>
      <c r="I166" s="73"/>
      <c r="J166" s="72"/>
      <c r="K166" s="72"/>
      <c r="L166" s="73"/>
      <c r="M166" s="37"/>
    </row>
    <row r="167" customFormat="false" ht="13.5" hidden="false" customHeight="false" outlineLevel="0" collapsed="false">
      <c r="A167" s="72"/>
      <c r="B167" s="73"/>
      <c r="C167" s="73"/>
      <c r="D167" s="73"/>
      <c r="I167" s="73"/>
      <c r="J167" s="72"/>
      <c r="K167" s="72"/>
      <c r="L167" s="73"/>
      <c r="M167" s="37"/>
    </row>
    <row r="168" customFormat="false" ht="13.5" hidden="false" customHeight="false" outlineLevel="0" collapsed="false">
      <c r="A168" s="72"/>
      <c r="B168" s="73"/>
      <c r="C168" s="73"/>
      <c r="D168" s="73"/>
      <c r="I168" s="73"/>
      <c r="J168" s="72"/>
      <c r="K168" s="72"/>
      <c r="L168" s="73"/>
      <c r="M168" s="37"/>
    </row>
    <row r="169" customFormat="false" ht="13.5" hidden="false" customHeight="false" outlineLevel="0" collapsed="false">
      <c r="A169" s="72"/>
      <c r="B169" s="73"/>
      <c r="C169" s="73"/>
      <c r="D169" s="73"/>
      <c r="I169" s="73"/>
      <c r="J169" s="72"/>
      <c r="K169" s="72"/>
      <c r="L169" s="73"/>
      <c r="M169" s="37"/>
    </row>
    <row r="170" customFormat="false" ht="13.5" hidden="false" customHeight="false" outlineLevel="0" collapsed="false">
      <c r="A170" s="72"/>
      <c r="B170" s="73"/>
      <c r="C170" s="73"/>
      <c r="D170" s="73"/>
      <c r="I170" s="73"/>
      <c r="J170" s="72"/>
      <c r="K170" s="72"/>
      <c r="L170" s="73"/>
      <c r="M170" s="37"/>
    </row>
    <row r="171" customFormat="false" ht="13.5" hidden="false" customHeight="false" outlineLevel="0" collapsed="false">
      <c r="A171" s="72"/>
      <c r="B171" s="73"/>
      <c r="C171" s="73"/>
      <c r="D171" s="73"/>
      <c r="I171" s="73"/>
      <c r="J171" s="72"/>
      <c r="K171" s="72"/>
      <c r="L171" s="73"/>
      <c r="M171" s="37" t="s">
        <v>799</v>
      </c>
    </row>
    <row r="172" customFormat="false" ht="13.5" hidden="false" customHeight="false" outlineLevel="0" collapsed="false">
      <c r="A172" s="72"/>
      <c r="B172" s="73"/>
      <c r="C172" s="73"/>
      <c r="D172" s="73"/>
      <c r="I172" s="73"/>
      <c r="J172" s="72"/>
      <c r="K172" s="72"/>
      <c r="L172" s="73"/>
      <c r="M172" s="37"/>
    </row>
    <row r="173" customFormat="false" ht="13.5" hidden="false" customHeight="false" outlineLevel="0" collapsed="false">
      <c r="A173" s="72"/>
      <c r="B173" s="73"/>
      <c r="C173" s="73"/>
      <c r="D173" s="73"/>
      <c r="I173" s="73"/>
      <c r="J173" s="72"/>
      <c r="K173" s="72"/>
      <c r="L173" s="73"/>
      <c r="M173" s="37"/>
    </row>
    <row r="174" customFormat="false" ht="13.5" hidden="false" customHeight="false" outlineLevel="0" collapsed="false">
      <c r="A174" s="72"/>
      <c r="B174" s="73"/>
      <c r="C174" s="73"/>
      <c r="D174" s="73"/>
      <c r="I174" s="73"/>
      <c r="J174" s="72"/>
      <c r="K174" s="72"/>
      <c r="L174" s="73"/>
      <c r="M174" s="37" t="s">
        <v>799</v>
      </c>
    </row>
    <row r="175" customFormat="false" ht="13.5" hidden="false" customHeight="false" outlineLevel="0" collapsed="false">
      <c r="A175" s="72"/>
      <c r="B175" s="73"/>
      <c r="C175" s="73"/>
      <c r="D175" s="73"/>
      <c r="I175" s="73"/>
      <c r="J175" s="72"/>
      <c r="K175" s="72"/>
      <c r="L175" s="73"/>
      <c r="M175" s="37"/>
    </row>
    <row r="176" customFormat="false" ht="13.5" hidden="false" customHeight="false" outlineLevel="0" collapsed="false">
      <c r="A176" s="72"/>
      <c r="B176" s="73"/>
      <c r="C176" s="73"/>
      <c r="D176" s="73"/>
      <c r="I176" s="73"/>
      <c r="J176" s="72"/>
      <c r="K176" s="72"/>
      <c r="L176" s="73"/>
      <c r="M176" s="37"/>
    </row>
  </sheetData>
  <autoFilter ref="A1:N10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8" ySplit="2" topLeftCell="I5" activePane="bottomRight" state="frozen"/>
      <selection pane="topLeft" activeCell="A1" activeCellId="0" sqref="A1"/>
      <selection pane="topRight" activeCell="I1" activeCellId="0" sqref="I1"/>
      <selection pane="bottomLeft" activeCell="A5" activeCellId="0" sqref="A5"/>
      <selection pane="bottomRight" activeCell="F4" activeCellId="0" sqref="F4"/>
    </sheetView>
  </sheetViews>
  <sheetFormatPr defaultColWidth="8.5703125" defaultRowHeight="14.25" customHeight="false" zeroHeight="false" outlineLevelRow="0" outlineLevelCol="0"/>
  <cols>
    <col collapsed="false" customWidth="true" hidden="false" outlineLevel="0" max="1" min="1" style="0" width="11.43"/>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7"/>
    <col collapsed="false" customWidth="true" hidden="false" outlineLevel="0" max="6" min="6" style="0" width="60"/>
    <col collapsed="false" customWidth="true" hidden="false" outlineLevel="0" max="7" min="7" style="0" width="12"/>
    <col collapsed="false" customWidth="true" hidden="false" outlineLevel="0" max="8" min="8" style="0" width="8"/>
    <col collapsed="false" customWidth="true" hidden="false" outlineLevel="0" max="37" min="9" style="0" width="6.57"/>
  </cols>
  <sheetData>
    <row r="1" customFormat="false" ht="93.75" hidden="false" customHeight="true" outlineLevel="0" collapsed="false">
      <c r="A1" s="74" t="s">
        <v>414</v>
      </c>
      <c r="B1" s="74" t="s">
        <v>415</v>
      </c>
      <c r="C1" s="74" t="s">
        <v>416</v>
      </c>
      <c r="D1" s="74" t="s">
        <v>417</v>
      </c>
      <c r="E1" s="74" t="s">
        <v>418</v>
      </c>
      <c r="F1" s="74" t="s">
        <v>0</v>
      </c>
      <c r="G1" s="74" t="s">
        <v>420</v>
      </c>
      <c r="H1" s="74" t="s">
        <v>419</v>
      </c>
      <c r="I1" s="75" t="s">
        <v>800</v>
      </c>
      <c r="J1" s="75" t="s">
        <v>801</v>
      </c>
      <c r="K1" s="75" t="s">
        <v>802</v>
      </c>
      <c r="L1" s="75" t="s">
        <v>803</v>
      </c>
      <c r="M1" s="75" t="s">
        <v>804</v>
      </c>
      <c r="N1" s="75" t="s">
        <v>805</v>
      </c>
      <c r="O1" s="75" t="s">
        <v>806</v>
      </c>
      <c r="P1" s="75" t="s">
        <v>807</v>
      </c>
      <c r="Q1" s="75" t="s">
        <v>808</v>
      </c>
      <c r="R1" s="75" t="s">
        <v>809</v>
      </c>
      <c r="S1" s="75" t="s">
        <v>810</v>
      </c>
      <c r="T1" s="75" t="s">
        <v>811</v>
      </c>
      <c r="U1" s="75" t="s">
        <v>812</v>
      </c>
      <c r="V1" s="75" t="s">
        <v>813</v>
      </c>
      <c r="W1" s="75" t="s">
        <v>814</v>
      </c>
      <c r="X1" s="75" t="s">
        <v>815</v>
      </c>
      <c r="Y1" s="75" t="s">
        <v>816</v>
      </c>
      <c r="Z1" s="75" t="s">
        <v>817</v>
      </c>
      <c r="AA1" s="75" t="s">
        <v>818</v>
      </c>
      <c r="AB1" s="75" t="s">
        <v>819</v>
      </c>
      <c r="AC1" s="75" t="s">
        <v>17</v>
      </c>
      <c r="AD1" s="75" t="s">
        <v>820</v>
      </c>
      <c r="AE1" s="75" t="s">
        <v>821</v>
      </c>
      <c r="AF1" s="75" t="s">
        <v>822</v>
      </c>
      <c r="AG1" s="75" t="s">
        <v>823</v>
      </c>
      <c r="AH1" s="75" t="s">
        <v>824</v>
      </c>
      <c r="AI1" s="75" t="s">
        <v>825</v>
      </c>
      <c r="AJ1" s="75" t="s">
        <v>826</v>
      </c>
      <c r="AK1" s="75" t="s">
        <v>827</v>
      </c>
    </row>
    <row r="2" customFormat="false" ht="14.25" hidden="false" customHeight="false" outlineLevel="0" collapsed="false">
      <c r="A2" s="76" t="s">
        <v>828</v>
      </c>
      <c r="B2" s="77" t="s">
        <v>829</v>
      </c>
      <c r="C2" s="77" t="s">
        <v>829</v>
      </c>
      <c r="D2" s="77" t="s">
        <v>829</v>
      </c>
      <c r="E2" s="77" t="s">
        <v>829</v>
      </c>
      <c r="F2" s="77" t="s">
        <v>829</v>
      </c>
      <c r="G2" s="77" t="s">
        <v>829</v>
      </c>
      <c r="H2" s="77" t="s">
        <v>829</v>
      </c>
      <c r="I2" s="78" t="s">
        <v>829</v>
      </c>
      <c r="J2" s="78"/>
      <c r="K2" s="78"/>
      <c r="L2" s="78"/>
      <c r="M2" s="78"/>
      <c r="N2" s="78"/>
      <c r="O2" s="78"/>
      <c r="P2" s="78"/>
      <c r="Q2" s="78"/>
      <c r="R2" s="78"/>
      <c r="S2" s="78"/>
      <c r="T2" s="78"/>
      <c r="U2" s="78"/>
      <c r="V2" s="78"/>
      <c r="W2" s="78"/>
      <c r="X2" s="78"/>
      <c r="Y2" s="78"/>
      <c r="Z2" s="78"/>
      <c r="AA2" s="78"/>
      <c r="AB2" s="78"/>
      <c r="AC2" s="78"/>
      <c r="AD2" s="78"/>
      <c r="AE2" s="78"/>
      <c r="AF2" s="78"/>
      <c r="AG2" s="78"/>
      <c r="AH2" s="78"/>
      <c r="AI2" s="78"/>
      <c r="AJ2" s="78"/>
      <c r="AK2" s="78"/>
    </row>
    <row r="3" customFormat="false" ht="25.5" hidden="false" customHeight="true" outlineLevel="0" collapsed="false">
      <c r="A3" s="79" t="s">
        <v>16</v>
      </c>
      <c r="B3" s="80" t="str">
        <f aca="false">IF(ISBLANK($A3),"NO_CODE",VLOOKUP($A3,'UPD Questions_290926 '!$E$1:$N$300,MATCH(B$1,'UPD Questions_290926 '!$E$1:$N$1,0),0)&amp;"")</f>
        <v>Planning </v>
      </c>
      <c r="C3" s="81" t="str">
        <f aca="false">IF(ISBLANK($A3),"NO_CODE",VLOOKUP($A3,'UPD Questions_290926 '!$E$1:$N$300,MATCH(C$1,'UPD Questions_290926 '!$E$1:$N$1,0),0)&amp;"")</f>
        <v>Legal and institutional planning architecture</v>
      </c>
      <c r="D3" s="80" t="str">
        <f aca="false">IF(ISBLANK($A3),"NO_CODE",VLOOKUP($A3,'UPD Questions_290926 '!$E$1:$N$300,MATCH(D$1,'UPD Questions_290926 '!$E$1:$N$1,0),0)&amp;"")</f>
        <v>State-level planning framework</v>
      </c>
      <c r="E3" s="80" t="str">
        <f aca="false">IF(ISBLANK($A3),"NO_CODE",VLOOKUP($A3,'UPD Questions_290926 '!$E$1:$N$300,MATCH(E$1,'UPD Questions_290926 '!$E$1:$N$1,0),0)&amp;"")</f>
        <v>MQ</v>
      </c>
      <c r="F3" s="80" t="str">
        <f aca="false">IF(ISBLANK($A3),"NO_CODE",VLOOKUP($A3,'UPD Questions_290926 '!$E$1:$N$300,MATCH(F$1,'UPD Questions_290926 '!$E$1:$N$1,0),0)&amp;"")</f>
        <v>Is there a provision for a State Spatial Planning Board which is mandated with planning policies and reforms for the state?</v>
      </c>
      <c r="G3" s="80" t="str">
        <f aca="false">IF(ISBLANK($A3),"NO_CODE",VLOOKUP($A3,'UPD Questions_290926 '!$E$1:$N$300,MATCH(G$1,'UPD Questions_290926 '!$E$1:$N$1,0),0)&amp;"")</f>
        <v>Law or Policy</v>
      </c>
      <c r="H3" s="82" t="n">
        <f aca="false">IF(ISBLANK($A3),"NO_CODE",VLOOKUP($A3,'UPD Questions_290926 '!$E$1:$N$300,MATCH(H$1,'UPD Questions_290926 '!$E$1:$N$1,0),0))</f>
        <v>10</v>
      </c>
      <c r="I3" s="83" t="str">
        <f aca="true">IF($H3=0,"NA",IF($A3=INDIRECT("'"&amp;$A3&amp;"'!$B$1"),IF(VLOOKUP(I$1,INDIRECT("'"&amp;$A3&amp;"'!$A$12:$Z$41"),MATCH("Points (Auto-generate)",INDIRECT("'"&amp;$A3&amp;"'!$A$12:$Z$12"),0),0)="","?",VLOOKUP(I$1,INDIRECT("'"&amp;$A3&amp;"'!$A$12:$Z$41"),MATCH("Points (Auto-generate)",INDIRECT("'"&amp;$A3&amp;"'!$A$12:$Z$12"),0),0)),"ER"))</f>
        <v>?</v>
      </c>
      <c r="J3" s="83" t="str">
        <f aca="true">IF($H3=0,"NA",IF($A3=INDIRECT("'"&amp;$A3&amp;"'!$B$1"),IF(VLOOKUP(J$1,INDIRECT("'"&amp;$A3&amp;"'!$A$12:$Z$41"),MATCH("Points (Auto-generate)",INDIRECT("'"&amp;$A3&amp;"'!$A$12:$Z$12"),0),0)="","?",VLOOKUP(J$1,INDIRECT("'"&amp;$A3&amp;"'!$A$12:$Z$41"),MATCH("Points (Auto-generate)",INDIRECT("'"&amp;$A3&amp;"'!$A$12:$Z$12"),0),0)),"ER"))</f>
        <v>?</v>
      </c>
      <c r="K3" s="83" t="str">
        <f aca="true">IF($H3=0,"NA",IF($A3=INDIRECT("'"&amp;$A3&amp;"'!$B$1"),IF(VLOOKUP(K$1,INDIRECT("'"&amp;$A3&amp;"'!$A$12:$Z$41"),MATCH("Points (Auto-generate)",INDIRECT("'"&amp;$A3&amp;"'!$A$12:$Z$12"),0),0)="","?",VLOOKUP(K$1,INDIRECT("'"&amp;$A3&amp;"'!$A$12:$Z$41"),MATCH("Points (Auto-generate)",INDIRECT("'"&amp;$A3&amp;"'!$A$12:$Z$12"),0),0)),"ER"))</f>
        <v>?</v>
      </c>
      <c r="L3" s="83" t="str">
        <f aca="true">IF($H3=0,"NA",IF($A3=INDIRECT("'"&amp;$A3&amp;"'!$B$1"),IF(VLOOKUP(L$1,INDIRECT("'"&amp;$A3&amp;"'!$A$12:$Z$41"),MATCH("Points (Auto-generate)",INDIRECT("'"&amp;$A3&amp;"'!$A$12:$Z$12"),0),0)="","?",VLOOKUP(L$1,INDIRECT("'"&amp;$A3&amp;"'!$A$12:$Z$41"),MATCH("Points (Auto-generate)",INDIRECT("'"&amp;$A3&amp;"'!$A$12:$Z$12"),0),0)),"ER"))</f>
        <v>?</v>
      </c>
      <c r="M3" s="83" t="str">
        <f aca="true">IF($H3=0,"NA",IF($A3=INDIRECT("'"&amp;$A3&amp;"'!$B$1"),IF(VLOOKUP(M$1,INDIRECT("'"&amp;$A3&amp;"'!$A$12:$Z$41"),MATCH("Points (Auto-generate)",INDIRECT("'"&amp;$A3&amp;"'!$A$12:$Z$12"),0),0)="","?",VLOOKUP(M$1,INDIRECT("'"&amp;$A3&amp;"'!$A$12:$Z$41"),MATCH("Points (Auto-generate)",INDIRECT("'"&amp;$A3&amp;"'!$A$12:$Z$12"),0),0)),"ER"))</f>
        <v>?</v>
      </c>
      <c r="N3" s="83" t="str">
        <f aca="true">IF($H3=0,"NA",IF($A3=INDIRECT("'"&amp;$A3&amp;"'!$B$1"),IF(VLOOKUP(N$1,INDIRECT("'"&amp;$A3&amp;"'!$A$12:$Z$41"),MATCH("Points (Auto-generate)",INDIRECT("'"&amp;$A3&amp;"'!$A$12:$Z$12"),0),0)="","?",VLOOKUP(N$1,INDIRECT("'"&amp;$A3&amp;"'!$A$12:$Z$41"),MATCH("Points (Auto-generate)",INDIRECT("'"&amp;$A3&amp;"'!$A$12:$Z$12"),0),0)),"ER"))</f>
        <v>?</v>
      </c>
      <c r="O3" s="83" t="str">
        <f aca="true">IF($H3=0,"NA",IF($A3=INDIRECT("'"&amp;$A3&amp;"'!$B$1"),IF(VLOOKUP(O$1,INDIRECT("'"&amp;$A3&amp;"'!$A$12:$Z$41"),MATCH("Points (Auto-generate)",INDIRECT("'"&amp;$A3&amp;"'!$A$12:$Z$12"),0),0)="","?",VLOOKUP(O$1,INDIRECT("'"&amp;$A3&amp;"'!$A$12:$Z$41"),MATCH("Points (Auto-generate)",INDIRECT("'"&amp;$A3&amp;"'!$A$12:$Z$12"),0),0)),"ER"))</f>
        <v>?</v>
      </c>
      <c r="P3" s="83" t="str">
        <f aca="true">IF($H3=0,"NA",IF($A3=INDIRECT("'"&amp;$A3&amp;"'!$B$1"),IF(VLOOKUP(P$1,INDIRECT("'"&amp;$A3&amp;"'!$A$12:$Z$41"),MATCH("Points (Auto-generate)",INDIRECT("'"&amp;$A3&amp;"'!$A$12:$Z$12"),0),0)="","?",VLOOKUP(P$1,INDIRECT("'"&amp;$A3&amp;"'!$A$12:$Z$41"),MATCH("Points (Auto-generate)",INDIRECT("'"&amp;$A3&amp;"'!$A$12:$Z$12"),0),0)),"ER"))</f>
        <v>?</v>
      </c>
      <c r="Q3" s="83" t="str">
        <f aca="true">IF($H3=0,"NA",IF($A3=INDIRECT("'"&amp;$A3&amp;"'!$B$1"),IF(VLOOKUP(Q$1,INDIRECT("'"&amp;$A3&amp;"'!$A$12:$Z$41"),MATCH("Points (Auto-generate)",INDIRECT("'"&amp;$A3&amp;"'!$A$12:$Z$12"),0),0)="","?",VLOOKUP(Q$1,INDIRECT("'"&amp;$A3&amp;"'!$A$12:$Z$41"),MATCH("Points (Auto-generate)",INDIRECT("'"&amp;$A3&amp;"'!$A$12:$Z$12"),0),0)),"ER"))</f>
        <v>?</v>
      </c>
      <c r="R3" s="83" t="str">
        <f aca="true">IF($H3=0,"NA",IF($A3=INDIRECT("'"&amp;$A3&amp;"'!$B$1"),IF(VLOOKUP(R$1,INDIRECT("'"&amp;$A3&amp;"'!$A$12:$Z$41"),MATCH("Points (Auto-generate)",INDIRECT("'"&amp;$A3&amp;"'!$A$12:$Z$12"),0),0)="","?",VLOOKUP(R$1,INDIRECT("'"&amp;$A3&amp;"'!$A$12:$Z$41"),MATCH("Points (Auto-generate)",INDIRECT("'"&amp;$A3&amp;"'!$A$12:$Z$12"),0),0)),"ER"))</f>
        <v>?</v>
      </c>
      <c r="S3" s="83" t="str">
        <f aca="true">IF($H3=0,"NA",IF($A3=INDIRECT("'"&amp;$A3&amp;"'!$B$1"),IF(VLOOKUP(S$1,INDIRECT("'"&amp;$A3&amp;"'!$A$12:$Z$41"),MATCH("Points (Auto-generate)",INDIRECT("'"&amp;$A3&amp;"'!$A$12:$Z$12"),0),0)="","?",VLOOKUP(S$1,INDIRECT("'"&amp;$A3&amp;"'!$A$12:$Z$41"),MATCH("Points (Auto-generate)",INDIRECT("'"&amp;$A3&amp;"'!$A$12:$Z$12"),0),0)),"ER"))</f>
        <v>?</v>
      </c>
      <c r="T3" s="83" t="str">
        <f aca="true">IF($H3=0,"NA",IF($A3=INDIRECT("'"&amp;$A3&amp;"'!$B$1"),IF(VLOOKUP(T$1,INDIRECT("'"&amp;$A3&amp;"'!$A$12:$Z$41"),MATCH("Points (Auto-generate)",INDIRECT("'"&amp;$A3&amp;"'!$A$12:$Z$12"),0),0)="","?",VLOOKUP(T$1,INDIRECT("'"&amp;$A3&amp;"'!$A$12:$Z$41"),MATCH("Points (Auto-generate)",INDIRECT("'"&amp;$A3&amp;"'!$A$12:$Z$12"),0),0)),"ER"))</f>
        <v>?</v>
      </c>
      <c r="U3" s="83" t="str">
        <f aca="true">IF($H3=0,"NA",IF($A3=INDIRECT("'"&amp;$A3&amp;"'!$B$1"),IF(VLOOKUP(U$1,INDIRECT("'"&amp;$A3&amp;"'!$A$12:$Z$41"),MATCH("Points (Auto-generate)",INDIRECT("'"&amp;$A3&amp;"'!$A$12:$Z$12"),0),0)="","?",VLOOKUP(U$1,INDIRECT("'"&amp;$A3&amp;"'!$A$12:$Z$41"),MATCH("Points (Auto-generate)",INDIRECT("'"&amp;$A3&amp;"'!$A$12:$Z$12"),0),0)),"ER"))</f>
        <v>?</v>
      </c>
      <c r="V3" s="83" t="str">
        <f aca="true">IF($H3=0,"NA",IF($A3=INDIRECT("'"&amp;$A3&amp;"'!$B$1"),IF(VLOOKUP(V$1,INDIRECT("'"&amp;$A3&amp;"'!$A$12:$Z$41"),MATCH("Points (Auto-generate)",INDIRECT("'"&amp;$A3&amp;"'!$A$12:$Z$12"),0),0)="","?",VLOOKUP(V$1,INDIRECT("'"&amp;$A3&amp;"'!$A$12:$Z$41"),MATCH("Points (Auto-generate)",INDIRECT("'"&amp;$A3&amp;"'!$A$12:$Z$12"),0),0)),"ER"))</f>
        <v>?</v>
      </c>
      <c r="W3" s="83" t="str">
        <f aca="true">IF($H3=0,"NA",IF($A3=INDIRECT("'"&amp;$A3&amp;"'!$B$1"),IF(VLOOKUP(W$1,INDIRECT("'"&amp;$A3&amp;"'!$A$12:$Z$41"),MATCH("Points (Auto-generate)",INDIRECT("'"&amp;$A3&amp;"'!$A$12:$Z$12"),0),0)="","?",VLOOKUP(W$1,INDIRECT("'"&amp;$A3&amp;"'!$A$12:$Z$41"),MATCH("Points (Auto-generate)",INDIRECT("'"&amp;$A3&amp;"'!$A$12:$Z$12"),0),0)),"ER"))</f>
        <v>?</v>
      </c>
      <c r="X3" s="83" t="str">
        <f aca="true">IF($H3=0,"NA",IF($A3=INDIRECT("'"&amp;$A3&amp;"'!$B$1"),IF(VLOOKUP(X$1,INDIRECT("'"&amp;$A3&amp;"'!$A$12:$Z$41"),MATCH("Points (Auto-generate)",INDIRECT("'"&amp;$A3&amp;"'!$A$12:$Z$12"),0),0)="","?",VLOOKUP(X$1,INDIRECT("'"&amp;$A3&amp;"'!$A$12:$Z$41"),MATCH("Points (Auto-generate)",INDIRECT("'"&amp;$A3&amp;"'!$A$12:$Z$12"),0),0)),"ER"))</f>
        <v>?</v>
      </c>
      <c r="Y3" s="83" t="str">
        <f aca="true">IF($H3=0,"NA",IF($A3=INDIRECT("'"&amp;$A3&amp;"'!$B$1"),IF(VLOOKUP(Y$1,INDIRECT("'"&amp;$A3&amp;"'!$A$12:$Z$41"),MATCH("Points (Auto-generate)",INDIRECT("'"&amp;$A3&amp;"'!$A$12:$Z$12"),0),0)="","?",VLOOKUP(Y$1,INDIRECT("'"&amp;$A3&amp;"'!$A$12:$Z$41"),MATCH("Points (Auto-generate)",INDIRECT("'"&amp;$A3&amp;"'!$A$12:$Z$12"),0),0)),"ER"))</f>
        <v>?</v>
      </c>
      <c r="Z3" s="83" t="str">
        <f aca="true">IF($H3=0,"NA",IF($A3=INDIRECT("'"&amp;$A3&amp;"'!$B$1"),IF(VLOOKUP(Z$1,INDIRECT("'"&amp;$A3&amp;"'!$A$12:$Z$41"),MATCH("Points (Auto-generate)",INDIRECT("'"&amp;$A3&amp;"'!$A$12:$Z$12"),0),0)="","?",VLOOKUP(Z$1,INDIRECT("'"&amp;$A3&amp;"'!$A$12:$Z$41"),MATCH("Points (Auto-generate)",INDIRECT("'"&amp;$A3&amp;"'!$A$12:$Z$12"),0),0)),"ER"))</f>
        <v>?</v>
      </c>
      <c r="AA3" s="83" t="str">
        <f aca="true">IF($H3=0,"NA",IF($A3=INDIRECT("'"&amp;$A3&amp;"'!$B$1"),IF(VLOOKUP(AA$1,INDIRECT("'"&amp;$A3&amp;"'!$A$12:$Z$41"),MATCH("Points (Auto-generate)",INDIRECT("'"&amp;$A3&amp;"'!$A$12:$Z$12"),0),0)="","?",VLOOKUP(AA$1,INDIRECT("'"&amp;$A3&amp;"'!$A$12:$Z$41"),MATCH("Points (Auto-generate)",INDIRECT("'"&amp;$A3&amp;"'!$A$12:$Z$12"),0),0)),"ER"))</f>
        <v>?</v>
      </c>
      <c r="AB3" s="83" t="str">
        <f aca="true">IF($H3=0,"NA",IF($A3=INDIRECT("'"&amp;$A3&amp;"'!$B$1"),IF(VLOOKUP(AB$1,INDIRECT("'"&amp;$A3&amp;"'!$A$12:$Z$41"),MATCH("Points (Auto-generate)",INDIRECT("'"&amp;$A3&amp;"'!$A$12:$Z$12"),0),0)="","?",VLOOKUP(AB$1,INDIRECT("'"&amp;$A3&amp;"'!$A$12:$Z$41"),MATCH("Points (Auto-generate)",INDIRECT("'"&amp;$A3&amp;"'!$A$12:$Z$12"),0),0)),"ER"))</f>
        <v>?</v>
      </c>
      <c r="AC3" s="83" t="str">
        <f aca="true">IF($H3=0,"NA",IF($A3=INDIRECT("'"&amp;$A3&amp;"'!$B$1"),IF(VLOOKUP(AC$1,INDIRECT("'"&amp;$A3&amp;"'!$A$12:$Z$41"),MATCH("Points (Auto-generate)",INDIRECT("'"&amp;$A3&amp;"'!$A$12:$Z$12"),0),0)="","?",VLOOKUP(AC$1,INDIRECT("'"&amp;$A3&amp;"'!$A$12:$Z$41"),MATCH("Points (Auto-generate)",INDIRECT("'"&amp;$A3&amp;"'!$A$12:$Z$12"),0),0)),"ER"))</f>
        <v>?</v>
      </c>
      <c r="AD3" s="83" t="str">
        <f aca="true">IF($H3=0,"NA",IF($A3=INDIRECT("'"&amp;$A3&amp;"'!$B$1"),IF(VLOOKUP(AD$1,INDIRECT("'"&amp;$A3&amp;"'!$A$12:$Z$41"),MATCH("Points (Auto-generate)",INDIRECT("'"&amp;$A3&amp;"'!$A$12:$Z$12"),0),0)="","?",VLOOKUP(AD$1,INDIRECT("'"&amp;$A3&amp;"'!$A$12:$Z$41"),MATCH("Points (Auto-generate)",INDIRECT("'"&amp;$A3&amp;"'!$A$12:$Z$12"),0),0)),"ER"))</f>
        <v>?</v>
      </c>
      <c r="AE3" s="83" t="str">
        <f aca="true">IF($H3=0,"NA",IF($A3=INDIRECT("'"&amp;$A3&amp;"'!$B$1"),IF(VLOOKUP(AE$1,INDIRECT("'"&amp;$A3&amp;"'!$A$12:$Z$41"),MATCH("Points (Auto-generate)",INDIRECT("'"&amp;$A3&amp;"'!$A$12:$Z$12"),0),0)="","?",VLOOKUP(AE$1,INDIRECT("'"&amp;$A3&amp;"'!$A$12:$Z$41"),MATCH("Points (Auto-generate)",INDIRECT("'"&amp;$A3&amp;"'!$A$12:$Z$12"),0),0)),"ER"))</f>
        <v>?</v>
      </c>
      <c r="AF3" s="83" t="str">
        <f aca="true">IF($H3=0,"NA",IF($A3=INDIRECT("'"&amp;$A3&amp;"'!$B$1"),IF(VLOOKUP(AF$1,INDIRECT("'"&amp;$A3&amp;"'!$A$12:$Z$41"),MATCH("Points (Auto-generate)",INDIRECT("'"&amp;$A3&amp;"'!$A$12:$Z$12"),0),0)="","?",VLOOKUP(AF$1,INDIRECT("'"&amp;$A3&amp;"'!$A$12:$Z$41"),MATCH("Points (Auto-generate)",INDIRECT("'"&amp;$A3&amp;"'!$A$12:$Z$12"),0),0)),"ER"))</f>
        <v>?</v>
      </c>
      <c r="AG3" s="83" t="str">
        <f aca="true">IF($H3=0,"NA",IF($A3=INDIRECT("'"&amp;$A3&amp;"'!$B$1"),IF(VLOOKUP(AG$1,INDIRECT("'"&amp;$A3&amp;"'!$A$12:$Z$41"),MATCH("Points (Auto-generate)",INDIRECT("'"&amp;$A3&amp;"'!$A$12:$Z$12"),0),0)="","?",VLOOKUP(AG$1,INDIRECT("'"&amp;$A3&amp;"'!$A$12:$Z$41"),MATCH("Points (Auto-generate)",INDIRECT("'"&amp;$A3&amp;"'!$A$12:$Z$12"),0),0)),"ER"))</f>
        <v>?</v>
      </c>
      <c r="AH3" s="83" t="str">
        <f aca="true">IF($H3=0,"NA",IF($A3=INDIRECT("'"&amp;$A3&amp;"'!$B$1"),IF(VLOOKUP(AH$1,INDIRECT("'"&amp;$A3&amp;"'!$A$12:$Z$41"),MATCH("Points (Auto-generate)",INDIRECT("'"&amp;$A3&amp;"'!$A$12:$Z$12"),0),0)="","?",VLOOKUP(AH$1,INDIRECT("'"&amp;$A3&amp;"'!$A$12:$Z$41"),MATCH("Points (Auto-generate)",INDIRECT("'"&amp;$A3&amp;"'!$A$12:$Z$12"),0),0)),"ER"))</f>
        <v>?</v>
      </c>
      <c r="AI3" s="83" t="str">
        <f aca="true">IF($H3=0,"NA",IF($A3=INDIRECT("'"&amp;$A3&amp;"'!$B$1"),IF(VLOOKUP(AI$1,INDIRECT("'"&amp;$A3&amp;"'!$A$12:$Z$41"),MATCH("Points (Auto-generate)",INDIRECT("'"&amp;$A3&amp;"'!$A$12:$Z$12"),0),0)="","?",VLOOKUP(AI$1,INDIRECT("'"&amp;$A3&amp;"'!$A$12:$Z$41"),MATCH("Points (Auto-generate)",INDIRECT("'"&amp;$A3&amp;"'!$A$12:$Z$12"),0),0)),"ER"))</f>
        <v>?</v>
      </c>
      <c r="AJ3" s="83" t="str">
        <f aca="true">IF($H3=0,"NA",IF($A3=INDIRECT("'"&amp;$A3&amp;"'!$B$1"),IF(VLOOKUP(AJ$1,INDIRECT("'"&amp;$A3&amp;"'!$A$12:$Z$41"),MATCH("Points (Auto-generate)",INDIRECT("'"&amp;$A3&amp;"'!$A$12:$Z$12"),0),0)="","?",VLOOKUP(AJ$1,INDIRECT("'"&amp;$A3&amp;"'!$A$12:$Z$41"),MATCH("Points (Auto-generate)",INDIRECT("'"&amp;$A3&amp;"'!$A$12:$Z$12"),0),0)),"ER"))</f>
        <v>?</v>
      </c>
      <c r="AK3" s="83" t="str">
        <f aca="true">IF($H3=0,"NA",IF($A3=INDIRECT("'"&amp;$A3&amp;"'!$B$1"),IF(VLOOKUP(AK$1,INDIRECT("'"&amp;$A3&amp;"'!$A$12:$Z$41"),MATCH("Points (Auto-generate)",INDIRECT("'"&amp;$A3&amp;"'!$A$12:$Z$12"),0),0)="","?",VLOOKUP(AK$1,INDIRECT("'"&amp;$A3&amp;"'!$A$12:$Z$41"),MATCH("Points (Auto-generate)",INDIRECT("'"&amp;$A3&amp;"'!$A$12:$Z$12"),0),0)),"ER"))</f>
        <v>?</v>
      </c>
    </row>
    <row r="4" customFormat="false" ht="25.5" hidden="false" customHeight="true" outlineLevel="0" collapsed="false">
      <c r="A4" s="79" t="s">
        <v>23</v>
      </c>
      <c r="B4" s="80" t="str">
        <f aca="false">IF(ISBLANK($A4),"NO_CODE",VLOOKUP($A4,'UPD Questions_290926 '!$E$1:$N$300,MATCH(B$1,'UPD Questions_290926 '!$E$1:$N$1,0),0)&amp;"")</f>
        <v>Planning </v>
      </c>
      <c r="C4" s="81" t="str">
        <f aca="false">IF(ISBLANK($A4),"NO_CODE",VLOOKUP($A4,'UPD Questions_290926 '!$E$1:$N$300,MATCH(C$1,'UPD Questions_290926 '!$E$1:$N$1,0),0)&amp;"")</f>
        <v>Legal and institutional planning architecture</v>
      </c>
      <c r="D4" s="80" t="str">
        <f aca="false">IF(ISBLANK($A4),"NO_CODE",VLOOKUP($A4,'UPD Questions_290926 '!$E$1:$N$300,MATCH(D$1,'UPD Questions_290926 '!$E$1:$N$1,0),0)&amp;"")</f>
        <v>State-level planning framework</v>
      </c>
      <c r="E4" s="80" t="str">
        <f aca="false">IF(ISBLANK($A4),"NO_CODE",VLOOKUP($A4,'UPD Questions_290926 '!$E$1:$N$300,MATCH(E$1,'UPD Questions_290926 '!$E$1:$N$1,0),0)&amp;"")</f>
        <v>MQ</v>
      </c>
      <c r="F4" s="80" t="str">
        <f aca="false">IF(ISBLANK($A4),"NO_CODE",VLOOKUP($A4,'UPD Questions_290926 '!$E$1:$N$300,MATCH(F$1,'UPD Questions_290926 '!$E$1:$N$1,0),0)&amp;"")</f>
        <v>Is there a provision for the establishment of Planning Authorities for notified new towns or special developments?</v>
      </c>
      <c r="G4" s="80" t="str">
        <f aca="false">IF(ISBLANK($A4),"NO_CODE",VLOOKUP($A4,'UPD Questions_290926 '!$E$1:$N$300,MATCH(G$1,'UPD Questions_290926 '!$E$1:$N$1,0),0)&amp;"")</f>
        <v>Law or Policy</v>
      </c>
      <c r="H4" s="82" t="n">
        <f aca="false">IF(ISBLANK($A4),"NO_CODE",VLOOKUP($A4,'UPD Questions_290926 '!$E$1:$N$300,MATCH(H$1,'UPD Questions_290926 '!$E$1:$N$1,0),0))</f>
        <v>10</v>
      </c>
      <c r="I4" s="83" t="str">
        <f aca="true">IF($H4=0,"NA",IF($A4=INDIRECT("'"&amp;$A4&amp;"'!$B$1"),IF(VLOOKUP(I$1,INDIRECT("'"&amp;$A4&amp;"'!$A$12:$Z$41"),MATCH("Points (Auto-generate)",INDIRECT("'"&amp;$A4&amp;"'!$A$12:$Z$12"),0),0)="","?",VLOOKUP(I$1,INDIRECT("'"&amp;$A4&amp;"'!$A$12:$Z$41"),MATCH("Points (Auto-generate)",INDIRECT("'"&amp;$A4&amp;"'!$A$12:$Z$12"),0),0)),"ER"))</f>
        <v>?</v>
      </c>
      <c r="J4" s="83" t="str">
        <f aca="true">IF($H4=0,"NA",IF($A4=INDIRECT("'"&amp;$A4&amp;"'!$B$1"),IF(VLOOKUP(J$1,INDIRECT("'"&amp;$A4&amp;"'!$A$12:$Z$41"),MATCH("Points (Auto-generate)",INDIRECT("'"&amp;$A4&amp;"'!$A$12:$Z$12"),0),0)="","?",VLOOKUP(J$1,INDIRECT("'"&amp;$A4&amp;"'!$A$12:$Z$41"),MATCH("Points (Auto-generate)",INDIRECT("'"&amp;$A4&amp;"'!$A$12:$Z$12"),0),0)),"ER"))</f>
        <v>?</v>
      </c>
      <c r="K4" s="83" t="str">
        <f aca="true">IF($H4=0,"NA",IF($A4=INDIRECT("'"&amp;$A4&amp;"'!$B$1"),IF(VLOOKUP(K$1,INDIRECT("'"&amp;$A4&amp;"'!$A$12:$Z$41"),MATCH("Points (Auto-generate)",INDIRECT("'"&amp;$A4&amp;"'!$A$12:$Z$12"),0),0)="","?",VLOOKUP(K$1,INDIRECT("'"&amp;$A4&amp;"'!$A$12:$Z$41"),MATCH("Points (Auto-generate)",INDIRECT("'"&amp;$A4&amp;"'!$A$12:$Z$12"),0),0)),"ER"))</f>
        <v>?</v>
      </c>
      <c r="L4" s="83" t="str">
        <f aca="true">IF($H4=0,"NA",IF($A4=INDIRECT("'"&amp;$A4&amp;"'!$B$1"),IF(VLOOKUP(L$1,INDIRECT("'"&amp;$A4&amp;"'!$A$12:$Z$41"),MATCH("Points (Auto-generate)",INDIRECT("'"&amp;$A4&amp;"'!$A$12:$Z$12"),0),0)="","?",VLOOKUP(L$1,INDIRECT("'"&amp;$A4&amp;"'!$A$12:$Z$41"),MATCH("Points (Auto-generate)",INDIRECT("'"&amp;$A4&amp;"'!$A$12:$Z$12"),0),0)),"ER"))</f>
        <v>?</v>
      </c>
      <c r="M4" s="83" t="str">
        <f aca="true">IF($H4=0,"NA",IF($A4=INDIRECT("'"&amp;$A4&amp;"'!$B$1"),IF(VLOOKUP(M$1,INDIRECT("'"&amp;$A4&amp;"'!$A$12:$Z$41"),MATCH("Points (Auto-generate)",INDIRECT("'"&amp;$A4&amp;"'!$A$12:$Z$12"),0),0)="","?",VLOOKUP(M$1,INDIRECT("'"&amp;$A4&amp;"'!$A$12:$Z$41"),MATCH("Points (Auto-generate)",INDIRECT("'"&amp;$A4&amp;"'!$A$12:$Z$12"),0),0)),"ER"))</f>
        <v>?</v>
      </c>
      <c r="N4" s="83" t="str">
        <f aca="true">IF($H4=0,"NA",IF($A4=INDIRECT("'"&amp;$A4&amp;"'!$B$1"),IF(VLOOKUP(N$1,INDIRECT("'"&amp;$A4&amp;"'!$A$12:$Z$41"),MATCH("Points (Auto-generate)",INDIRECT("'"&amp;$A4&amp;"'!$A$12:$Z$12"),0),0)="","?",VLOOKUP(N$1,INDIRECT("'"&amp;$A4&amp;"'!$A$12:$Z$41"),MATCH("Points (Auto-generate)",INDIRECT("'"&amp;$A4&amp;"'!$A$12:$Z$12"),0),0)),"ER"))</f>
        <v>?</v>
      </c>
      <c r="O4" s="83" t="str">
        <f aca="true">IF($H4=0,"NA",IF($A4=INDIRECT("'"&amp;$A4&amp;"'!$B$1"),IF(VLOOKUP(O$1,INDIRECT("'"&amp;$A4&amp;"'!$A$12:$Z$41"),MATCH("Points (Auto-generate)",INDIRECT("'"&amp;$A4&amp;"'!$A$12:$Z$12"),0),0)="","?",VLOOKUP(O$1,INDIRECT("'"&amp;$A4&amp;"'!$A$12:$Z$41"),MATCH("Points (Auto-generate)",INDIRECT("'"&amp;$A4&amp;"'!$A$12:$Z$12"),0),0)),"ER"))</f>
        <v>?</v>
      </c>
      <c r="P4" s="83" t="str">
        <f aca="true">IF($H4=0,"NA",IF($A4=INDIRECT("'"&amp;$A4&amp;"'!$B$1"),IF(VLOOKUP(P$1,INDIRECT("'"&amp;$A4&amp;"'!$A$12:$Z$41"),MATCH("Points (Auto-generate)",INDIRECT("'"&amp;$A4&amp;"'!$A$12:$Z$12"),0),0)="","?",VLOOKUP(P$1,INDIRECT("'"&amp;$A4&amp;"'!$A$12:$Z$41"),MATCH("Points (Auto-generate)",INDIRECT("'"&amp;$A4&amp;"'!$A$12:$Z$12"),0),0)),"ER"))</f>
        <v>?</v>
      </c>
      <c r="Q4" s="83" t="str">
        <f aca="true">IF($H4=0,"NA",IF($A4=INDIRECT("'"&amp;$A4&amp;"'!$B$1"),IF(VLOOKUP(Q$1,INDIRECT("'"&amp;$A4&amp;"'!$A$12:$Z$41"),MATCH("Points (Auto-generate)",INDIRECT("'"&amp;$A4&amp;"'!$A$12:$Z$12"),0),0)="","?",VLOOKUP(Q$1,INDIRECT("'"&amp;$A4&amp;"'!$A$12:$Z$41"),MATCH("Points (Auto-generate)",INDIRECT("'"&amp;$A4&amp;"'!$A$12:$Z$12"),0),0)),"ER"))</f>
        <v>?</v>
      </c>
      <c r="R4" s="83" t="str">
        <f aca="true">IF($H4=0,"NA",IF($A4=INDIRECT("'"&amp;$A4&amp;"'!$B$1"),IF(VLOOKUP(R$1,INDIRECT("'"&amp;$A4&amp;"'!$A$12:$Z$41"),MATCH("Points (Auto-generate)",INDIRECT("'"&amp;$A4&amp;"'!$A$12:$Z$12"),0),0)="","?",VLOOKUP(R$1,INDIRECT("'"&amp;$A4&amp;"'!$A$12:$Z$41"),MATCH("Points (Auto-generate)",INDIRECT("'"&amp;$A4&amp;"'!$A$12:$Z$12"),0),0)),"ER"))</f>
        <v>?</v>
      </c>
      <c r="S4" s="83" t="str">
        <f aca="true">IF($H4=0,"NA",IF($A4=INDIRECT("'"&amp;$A4&amp;"'!$B$1"),IF(VLOOKUP(S$1,INDIRECT("'"&amp;$A4&amp;"'!$A$12:$Z$41"),MATCH("Points (Auto-generate)",INDIRECT("'"&amp;$A4&amp;"'!$A$12:$Z$12"),0),0)="","?",VLOOKUP(S$1,INDIRECT("'"&amp;$A4&amp;"'!$A$12:$Z$41"),MATCH("Points (Auto-generate)",INDIRECT("'"&amp;$A4&amp;"'!$A$12:$Z$12"),0),0)),"ER"))</f>
        <v>?</v>
      </c>
      <c r="T4" s="83" t="str">
        <f aca="true">IF($H4=0,"NA",IF($A4=INDIRECT("'"&amp;$A4&amp;"'!$B$1"),IF(VLOOKUP(T$1,INDIRECT("'"&amp;$A4&amp;"'!$A$12:$Z$41"),MATCH("Points (Auto-generate)",INDIRECT("'"&amp;$A4&amp;"'!$A$12:$Z$12"),0),0)="","?",VLOOKUP(T$1,INDIRECT("'"&amp;$A4&amp;"'!$A$12:$Z$41"),MATCH("Points (Auto-generate)",INDIRECT("'"&amp;$A4&amp;"'!$A$12:$Z$12"),0),0)),"ER"))</f>
        <v>?</v>
      </c>
      <c r="U4" s="83" t="str">
        <f aca="true">IF($H4=0,"NA",IF($A4=INDIRECT("'"&amp;$A4&amp;"'!$B$1"),IF(VLOOKUP(U$1,INDIRECT("'"&amp;$A4&amp;"'!$A$12:$Z$41"),MATCH("Points (Auto-generate)",INDIRECT("'"&amp;$A4&amp;"'!$A$12:$Z$12"),0),0)="","?",VLOOKUP(U$1,INDIRECT("'"&amp;$A4&amp;"'!$A$12:$Z$41"),MATCH("Points (Auto-generate)",INDIRECT("'"&amp;$A4&amp;"'!$A$12:$Z$12"),0),0)),"ER"))</f>
        <v>?</v>
      </c>
      <c r="V4" s="83" t="str">
        <f aca="true">IF($H4=0,"NA",IF($A4=INDIRECT("'"&amp;$A4&amp;"'!$B$1"),IF(VLOOKUP(V$1,INDIRECT("'"&amp;$A4&amp;"'!$A$12:$Z$41"),MATCH("Points (Auto-generate)",INDIRECT("'"&amp;$A4&amp;"'!$A$12:$Z$12"),0),0)="","?",VLOOKUP(V$1,INDIRECT("'"&amp;$A4&amp;"'!$A$12:$Z$41"),MATCH("Points (Auto-generate)",INDIRECT("'"&amp;$A4&amp;"'!$A$12:$Z$12"),0),0)),"ER"))</f>
        <v>?</v>
      </c>
      <c r="W4" s="83" t="str">
        <f aca="true">IF($H4=0,"NA",IF($A4=INDIRECT("'"&amp;$A4&amp;"'!$B$1"),IF(VLOOKUP(W$1,INDIRECT("'"&amp;$A4&amp;"'!$A$12:$Z$41"),MATCH("Points (Auto-generate)",INDIRECT("'"&amp;$A4&amp;"'!$A$12:$Z$12"),0),0)="","?",VLOOKUP(W$1,INDIRECT("'"&amp;$A4&amp;"'!$A$12:$Z$41"),MATCH("Points (Auto-generate)",INDIRECT("'"&amp;$A4&amp;"'!$A$12:$Z$12"),0),0)),"ER"))</f>
        <v>?</v>
      </c>
      <c r="X4" s="83" t="str">
        <f aca="true">IF($H4=0,"NA",IF($A4=INDIRECT("'"&amp;$A4&amp;"'!$B$1"),IF(VLOOKUP(X$1,INDIRECT("'"&amp;$A4&amp;"'!$A$12:$Z$41"),MATCH("Points (Auto-generate)",INDIRECT("'"&amp;$A4&amp;"'!$A$12:$Z$12"),0),0)="","?",VLOOKUP(X$1,INDIRECT("'"&amp;$A4&amp;"'!$A$12:$Z$41"),MATCH("Points (Auto-generate)",INDIRECT("'"&amp;$A4&amp;"'!$A$12:$Z$12"),0),0)),"ER"))</f>
        <v>?</v>
      </c>
      <c r="Y4" s="83" t="str">
        <f aca="true">IF($H4=0,"NA",IF($A4=INDIRECT("'"&amp;$A4&amp;"'!$B$1"),IF(VLOOKUP(Y$1,INDIRECT("'"&amp;$A4&amp;"'!$A$12:$Z$41"),MATCH("Points (Auto-generate)",INDIRECT("'"&amp;$A4&amp;"'!$A$12:$Z$12"),0),0)="","?",VLOOKUP(Y$1,INDIRECT("'"&amp;$A4&amp;"'!$A$12:$Z$41"),MATCH("Points (Auto-generate)",INDIRECT("'"&amp;$A4&amp;"'!$A$12:$Z$12"),0),0)),"ER"))</f>
        <v>?</v>
      </c>
      <c r="Z4" s="83" t="str">
        <f aca="true">IF($H4=0,"NA",IF($A4=INDIRECT("'"&amp;$A4&amp;"'!$B$1"),IF(VLOOKUP(Z$1,INDIRECT("'"&amp;$A4&amp;"'!$A$12:$Z$41"),MATCH("Points (Auto-generate)",INDIRECT("'"&amp;$A4&amp;"'!$A$12:$Z$12"),0),0)="","?",VLOOKUP(Z$1,INDIRECT("'"&amp;$A4&amp;"'!$A$12:$Z$41"),MATCH("Points (Auto-generate)",INDIRECT("'"&amp;$A4&amp;"'!$A$12:$Z$12"),0),0)),"ER"))</f>
        <v>?</v>
      </c>
      <c r="AA4" s="83" t="str">
        <f aca="true">IF($H4=0,"NA",IF($A4=INDIRECT("'"&amp;$A4&amp;"'!$B$1"),IF(VLOOKUP(AA$1,INDIRECT("'"&amp;$A4&amp;"'!$A$12:$Z$41"),MATCH("Points (Auto-generate)",INDIRECT("'"&amp;$A4&amp;"'!$A$12:$Z$12"),0),0)="","?",VLOOKUP(AA$1,INDIRECT("'"&amp;$A4&amp;"'!$A$12:$Z$41"),MATCH("Points (Auto-generate)",INDIRECT("'"&amp;$A4&amp;"'!$A$12:$Z$12"),0),0)),"ER"))</f>
        <v>?</v>
      </c>
      <c r="AB4" s="83" t="str">
        <f aca="true">IF($H4=0,"NA",IF($A4=INDIRECT("'"&amp;$A4&amp;"'!$B$1"),IF(VLOOKUP(AB$1,INDIRECT("'"&amp;$A4&amp;"'!$A$12:$Z$41"),MATCH("Points (Auto-generate)",INDIRECT("'"&amp;$A4&amp;"'!$A$12:$Z$12"),0),0)="","?",VLOOKUP(AB$1,INDIRECT("'"&amp;$A4&amp;"'!$A$12:$Z$41"),MATCH("Points (Auto-generate)",INDIRECT("'"&amp;$A4&amp;"'!$A$12:$Z$12"),0),0)),"ER"))</f>
        <v>?</v>
      </c>
      <c r="AC4" s="83" t="n">
        <f aca="true">IF($H4=0,"NA",IF($A4=INDIRECT("'"&amp;$A4&amp;"'!$B$1"),IF(VLOOKUP(AC$1,INDIRECT("'"&amp;$A4&amp;"'!$A$12:$Z$41"),MATCH("Points (Auto-generate)",INDIRECT("'"&amp;$A4&amp;"'!$A$12:$Z$12"),0),0)="","?",VLOOKUP(AC$1,INDIRECT("'"&amp;$A4&amp;"'!$A$12:$Z$41"),MATCH("Points (Auto-generate)",INDIRECT("'"&amp;$A4&amp;"'!$A$12:$Z$12"),0),0)),"ER"))</f>
        <v>10</v>
      </c>
      <c r="AD4" s="83" t="str">
        <f aca="true">IF($H4=0,"NA",IF($A4=INDIRECT("'"&amp;$A4&amp;"'!$B$1"),IF(VLOOKUP(AD$1,INDIRECT("'"&amp;$A4&amp;"'!$A$12:$Z$41"),MATCH("Points (Auto-generate)",INDIRECT("'"&amp;$A4&amp;"'!$A$12:$Z$12"),0),0)="","?",VLOOKUP(AD$1,INDIRECT("'"&amp;$A4&amp;"'!$A$12:$Z$41"),MATCH("Points (Auto-generate)",INDIRECT("'"&amp;$A4&amp;"'!$A$12:$Z$12"),0),0)),"ER"))</f>
        <v>?</v>
      </c>
      <c r="AE4" s="83" t="str">
        <f aca="true">IF($H4=0,"NA",IF($A4=INDIRECT("'"&amp;$A4&amp;"'!$B$1"),IF(VLOOKUP(AE$1,INDIRECT("'"&amp;$A4&amp;"'!$A$12:$Z$41"),MATCH("Points (Auto-generate)",INDIRECT("'"&amp;$A4&amp;"'!$A$12:$Z$12"),0),0)="","?",VLOOKUP(AE$1,INDIRECT("'"&amp;$A4&amp;"'!$A$12:$Z$41"),MATCH("Points (Auto-generate)",INDIRECT("'"&amp;$A4&amp;"'!$A$12:$Z$12"),0),0)),"ER"))</f>
        <v>?</v>
      </c>
      <c r="AF4" s="83" t="str">
        <f aca="true">IF($H4=0,"NA",IF($A4=INDIRECT("'"&amp;$A4&amp;"'!$B$1"),IF(VLOOKUP(AF$1,INDIRECT("'"&amp;$A4&amp;"'!$A$12:$Z$41"),MATCH("Points (Auto-generate)",INDIRECT("'"&amp;$A4&amp;"'!$A$12:$Z$12"),0),0)="","?",VLOOKUP(AF$1,INDIRECT("'"&amp;$A4&amp;"'!$A$12:$Z$41"),MATCH("Points (Auto-generate)",INDIRECT("'"&amp;$A4&amp;"'!$A$12:$Z$12"),0),0)),"ER"))</f>
        <v>?</v>
      </c>
      <c r="AG4" s="83" t="str">
        <f aca="true">IF($H4=0,"NA",IF($A4=INDIRECT("'"&amp;$A4&amp;"'!$B$1"),IF(VLOOKUP(AG$1,INDIRECT("'"&amp;$A4&amp;"'!$A$12:$Z$41"),MATCH("Points (Auto-generate)",INDIRECT("'"&amp;$A4&amp;"'!$A$12:$Z$12"),0),0)="","?",VLOOKUP(AG$1,INDIRECT("'"&amp;$A4&amp;"'!$A$12:$Z$41"),MATCH("Points (Auto-generate)",INDIRECT("'"&amp;$A4&amp;"'!$A$12:$Z$12"),0),0)),"ER"))</f>
        <v>?</v>
      </c>
      <c r="AH4" s="83" t="str">
        <f aca="true">IF($H4=0,"NA",IF($A4=INDIRECT("'"&amp;$A4&amp;"'!$B$1"),IF(VLOOKUP(AH$1,INDIRECT("'"&amp;$A4&amp;"'!$A$12:$Z$41"),MATCH("Points (Auto-generate)",INDIRECT("'"&amp;$A4&amp;"'!$A$12:$Z$12"),0),0)="","?",VLOOKUP(AH$1,INDIRECT("'"&amp;$A4&amp;"'!$A$12:$Z$41"),MATCH("Points (Auto-generate)",INDIRECT("'"&amp;$A4&amp;"'!$A$12:$Z$12"),0),0)),"ER"))</f>
        <v>?</v>
      </c>
      <c r="AI4" s="83" t="str">
        <f aca="true">IF($H4=0,"NA",IF($A4=INDIRECT("'"&amp;$A4&amp;"'!$B$1"),IF(VLOOKUP(AI$1,INDIRECT("'"&amp;$A4&amp;"'!$A$12:$Z$41"),MATCH("Points (Auto-generate)",INDIRECT("'"&amp;$A4&amp;"'!$A$12:$Z$12"),0),0)="","?",VLOOKUP(AI$1,INDIRECT("'"&amp;$A4&amp;"'!$A$12:$Z$41"),MATCH("Points (Auto-generate)",INDIRECT("'"&amp;$A4&amp;"'!$A$12:$Z$12"),0),0)),"ER"))</f>
        <v>?</v>
      </c>
      <c r="AJ4" s="83" t="str">
        <f aca="true">IF($H4=0,"NA",IF($A4=INDIRECT("'"&amp;$A4&amp;"'!$B$1"),IF(VLOOKUP(AJ$1,INDIRECT("'"&amp;$A4&amp;"'!$A$12:$Z$41"),MATCH("Points (Auto-generate)",INDIRECT("'"&amp;$A4&amp;"'!$A$12:$Z$12"),0),0)="","?",VLOOKUP(AJ$1,INDIRECT("'"&amp;$A4&amp;"'!$A$12:$Z$41"),MATCH("Points (Auto-generate)",INDIRECT("'"&amp;$A4&amp;"'!$A$12:$Z$12"),0),0)),"ER"))</f>
        <v>?</v>
      </c>
      <c r="AK4" s="83" t="str">
        <f aca="true">IF($H4=0,"NA",IF($A4=INDIRECT("'"&amp;$A4&amp;"'!$B$1"),IF(VLOOKUP(AK$1,INDIRECT("'"&amp;$A4&amp;"'!$A$12:$Z$41"),MATCH("Points (Auto-generate)",INDIRECT("'"&amp;$A4&amp;"'!$A$12:$Z$12"),0),0)="","?",VLOOKUP(AK$1,INDIRECT("'"&amp;$A4&amp;"'!$A$12:$Z$41"),MATCH("Points (Auto-generate)",INDIRECT("'"&amp;$A4&amp;"'!$A$12:$Z$12"),0),0)),"ER"))</f>
        <v>?</v>
      </c>
    </row>
    <row r="5" customFormat="false" ht="25.5" hidden="false" customHeight="true" outlineLevel="0" collapsed="false">
      <c r="A5" s="79" t="s">
        <v>435</v>
      </c>
      <c r="B5" s="80" t="str">
        <f aca="false">IF(ISBLANK($A5),"NO_CODE",VLOOKUP($A5,'UPD Questions_290926 '!$E$1:$N$300,MATCH(B$1,'UPD Questions_290926 '!$E$1:$N$1,0),0)&amp;"")</f>
        <v>Planning </v>
      </c>
      <c r="C5" s="81" t="str">
        <f aca="false">IF(ISBLANK($A5),"NO_CODE",VLOOKUP($A5,'UPD Questions_290926 '!$E$1:$N$300,MATCH(C$1,'UPD Questions_290926 '!$E$1:$N$1,0),0)&amp;"")</f>
        <v>Legal and institutional planning architecture</v>
      </c>
      <c r="D5" s="80" t="str">
        <f aca="false">IF(ISBLANK($A5),"NO_CODE",VLOOKUP($A5,'UPD Questions_290926 '!$E$1:$N$300,MATCH(D$1,'UPD Questions_290926 '!$E$1:$N$1,0),0)&amp;"")</f>
        <v>Spatial planning hierarchy</v>
      </c>
      <c r="E5" s="80" t="str">
        <f aca="false">IF(ISBLANK($A5),"NO_CODE",VLOOKUP($A5,'UPD Questions_290926 '!$E$1:$N$300,MATCH(E$1,'UPD Questions_290926 '!$E$1:$N$1,0),0)&amp;"")</f>
        <v>MQ</v>
      </c>
      <c r="F5" s="80" t="str">
        <f aca="false">IF(ISBLANK($A5),"NO_CODE",VLOOKUP($A5,'UPD Questions_290926 '!$E$1:$N$300,MATCH(F$1,'UPD Questions_290926 '!$E$1:$N$1,0),0)&amp;"")</f>
        <v>Does the Act require three levels of spatial plans for cities: Metropolitan/Regional, Municipal and Ward(s) /Local</v>
      </c>
      <c r="G5" s="80" t="str">
        <f aca="false">IF(ISBLANK($A5),"NO_CODE",VLOOKUP($A5,'UPD Questions_290926 '!$E$1:$N$300,MATCH(G$1,'UPD Questions_290926 '!$E$1:$N$1,0),0)&amp;"")</f>
        <v>Law or Policy</v>
      </c>
      <c r="H5" s="82" t="n">
        <f aca="false">IF(ISBLANK($A5),"NO_CODE",VLOOKUP($A5,'UPD Questions_290926 '!$E$1:$N$300,MATCH(H$1,'UPD Questions_290926 '!$E$1:$N$1,0),0))</f>
        <v>10</v>
      </c>
      <c r="I5" s="83" t="str">
        <f aca="false">IF(OR(I6="ER",I7="ER",I8="ER"),"ER",IF(OR(I6="?",I7="?",I8="?"),"?",IF(AND(I6="NA",I7="NA",I8="NA"),"NA",SUM(I6,I7,I8)/((I6&lt;&gt;"NA")*$H$6+(I7&lt;&gt;"NA")*$H$7+(I8&lt;&gt;"NA")*$H$8)*$H5)))</f>
        <v>?</v>
      </c>
      <c r="J5" s="83" t="str">
        <f aca="false">IF(OR(J6="ER",J7="ER",J8="ER"),"ER",IF(OR(J6="?",J7="?",J8="?"),"?",IF(AND(J6="NA",J7="NA",J8="NA"),"NA",SUM(J6,J7,J8)/((J6&lt;&gt;"NA")*$H$6+(J7&lt;&gt;"NA")*$H$7+(J8&lt;&gt;"NA")*$H$8)*$H5)))</f>
        <v>?</v>
      </c>
      <c r="K5" s="83" t="str">
        <f aca="false">IF(OR(K6="ER",K7="ER",K8="ER"),"ER",IF(OR(K6="?",K7="?",K8="?"),"?",IF(AND(K6="NA",K7="NA",K8="NA"),"NA",SUM(K6,K7,K8)/((K6&lt;&gt;"NA")*$H$6+(K7&lt;&gt;"NA")*$H$7+(K8&lt;&gt;"NA")*$H$8)*$H5)))</f>
        <v>?</v>
      </c>
      <c r="L5" s="83" t="str">
        <f aca="false">IF(OR(L6="ER",L7="ER",L8="ER"),"ER",IF(OR(L6="?",L7="?",L8="?"),"?",IF(AND(L6="NA",L7="NA",L8="NA"),"NA",SUM(L6,L7,L8)/((L6&lt;&gt;"NA")*$H$6+(L7&lt;&gt;"NA")*$H$7+(L8&lt;&gt;"NA")*$H$8)*$H5)))</f>
        <v>?</v>
      </c>
      <c r="M5" s="83" t="str">
        <f aca="false">IF(OR(M6="ER",M7="ER",M8="ER"),"ER",IF(OR(M6="?",M7="?",M8="?"),"?",IF(AND(M6="NA",M7="NA",M8="NA"),"NA",SUM(M6,M7,M8)/((M6&lt;&gt;"NA")*$H$6+(M7&lt;&gt;"NA")*$H$7+(M8&lt;&gt;"NA")*$H$8)*$H5)))</f>
        <v>?</v>
      </c>
      <c r="N5" s="83" t="str">
        <f aca="false">IF(OR(N6="ER",N7="ER",N8="ER"),"ER",IF(OR(N6="?",N7="?",N8="?"),"?",IF(AND(N6="NA",N7="NA",N8="NA"),"NA",SUM(N6,N7,N8)/((N6&lt;&gt;"NA")*$H$6+(N7&lt;&gt;"NA")*$H$7+(N8&lt;&gt;"NA")*$H$8)*$H5)))</f>
        <v>?</v>
      </c>
      <c r="O5" s="83" t="str">
        <f aca="false">IF(OR(O6="ER",O7="ER",O8="ER"),"ER",IF(OR(O6="?",O7="?",O8="?"),"?",IF(AND(O6="NA",O7="NA",O8="NA"),"NA",SUM(O6,O7,O8)/((O6&lt;&gt;"NA")*$H$6+(O7&lt;&gt;"NA")*$H$7+(O8&lt;&gt;"NA")*$H$8)*$H5)))</f>
        <v>?</v>
      </c>
      <c r="P5" s="83" t="str">
        <f aca="false">IF(OR(P6="ER",P7="ER",P8="ER"),"ER",IF(OR(P6="?",P7="?",P8="?"),"?",IF(AND(P6="NA",P7="NA",P8="NA"),"NA",SUM(P6,P7,P8)/((P6&lt;&gt;"NA")*$H$6+(P7&lt;&gt;"NA")*$H$7+(P8&lt;&gt;"NA")*$H$8)*$H5)))</f>
        <v>?</v>
      </c>
      <c r="Q5" s="83" t="str">
        <f aca="false">IF(OR(Q6="ER",Q7="ER",Q8="ER"),"ER",IF(OR(Q6="?",Q7="?",Q8="?"),"?",IF(AND(Q6="NA",Q7="NA",Q8="NA"),"NA",SUM(Q6,Q7,Q8)/((Q6&lt;&gt;"NA")*$H$6+(Q7&lt;&gt;"NA")*$H$7+(Q8&lt;&gt;"NA")*$H$8)*$H5)))</f>
        <v>?</v>
      </c>
      <c r="R5" s="83" t="str">
        <f aca="false">IF(OR(R6="ER",R7="ER",R8="ER"),"ER",IF(OR(R6="?",R7="?",R8="?"),"?",IF(AND(R6="NA",R7="NA",R8="NA"),"NA",SUM(R6,R7,R8)/((R6&lt;&gt;"NA")*$H$6+(R7&lt;&gt;"NA")*$H$7+(R8&lt;&gt;"NA")*$H$8)*$H5)))</f>
        <v>?</v>
      </c>
      <c r="S5" s="83" t="str">
        <f aca="false">IF(OR(S6="ER",S7="ER",S8="ER"),"ER",IF(OR(S6="?",S7="?",S8="?"),"?",IF(AND(S6="NA",S7="NA",S8="NA"),"NA",SUM(S6,S7,S8)/((S6&lt;&gt;"NA")*$H$6+(S7&lt;&gt;"NA")*$H$7+(S8&lt;&gt;"NA")*$H$8)*$H5)))</f>
        <v>?</v>
      </c>
      <c r="T5" s="83" t="str">
        <f aca="false">IF(OR(T6="ER",T7="ER",T8="ER"),"ER",IF(OR(T6="?",T7="?",T8="?"),"?",IF(AND(T6="NA",T7="NA",T8="NA"),"NA",SUM(T6,T7,T8)/((T6&lt;&gt;"NA")*$H$6+(T7&lt;&gt;"NA")*$H$7+(T8&lt;&gt;"NA")*$H$8)*$H5)))</f>
        <v>?</v>
      </c>
      <c r="U5" s="83" t="str">
        <f aca="false">IF(OR(U6="ER",U7="ER",U8="ER"),"ER",IF(OR(U6="?",U7="?",U8="?"),"?",IF(AND(U6="NA",U7="NA",U8="NA"),"NA",SUM(U6,U7,U8)/((U6&lt;&gt;"NA")*$H$6+(U7&lt;&gt;"NA")*$H$7+(U8&lt;&gt;"NA")*$H$8)*$H5)))</f>
        <v>?</v>
      </c>
      <c r="V5" s="83" t="str">
        <f aca="false">IF(OR(V6="ER",V7="ER",V8="ER"),"ER",IF(OR(V6="?",V7="?",V8="?"),"?",IF(AND(V6="NA",V7="NA",V8="NA"),"NA",SUM(V6,V7,V8)/((V6&lt;&gt;"NA")*$H$6+(V7&lt;&gt;"NA")*$H$7+(V8&lt;&gt;"NA")*$H$8)*$H5)))</f>
        <v>?</v>
      </c>
      <c r="W5" s="83" t="str">
        <f aca="false">IF(OR(W6="ER",W7="ER",W8="ER"),"ER",IF(OR(W6="?",W7="?",W8="?"),"?",IF(AND(W6="NA",W7="NA",W8="NA"),"NA",SUM(W6,W7,W8)/((W6&lt;&gt;"NA")*$H$6+(W7&lt;&gt;"NA")*$H$7+(W8&lt;&gt;"NA")*$H$8)*$H5)))</f>
        <v>?</v>
      </c>
      <c r="X5" s="83" t="str">
        <f aca="false">IF(OR(X6="ER",X7="ER",X8="ER"),"ER",IF(OR(X6="?",X7="?",X8="?"),"?",IF(AND(X6="NA",X7="NA",X8="NA"),"NA",SUM(X6,X7,X8)/((X6&lt;&gt;"NA")*$H$6+(X7&lt;&gt;"NA")*$H$7+(X8&lt;&gt;"NA")*$H$8)*$H5)))</f>
        <v>?</v>
      </c>
      <c r="Y5" s="83" t="str">
        <f aca="false">IF(OR(Y6="ER",Y7="ER",Y8="ER"),"ER",IF(OR(Y6="?",Y7="?",Y8="?"),"?",IF(AND(Y6="NA",Y7="NA",Y8="NA"),"NA",SUM(Y6,Y7,Y8)/((Y6&lt;&gt;"NA")*$H$6+(Y7&lt;&gt;"NA")*$H$7+(Y8&lt;&gt;"NA")*$H$8)*$H5)))</f>
        <v>?</v>
      </c>
      <c r="Z5" s="83" t="str">
        <f aca="false">IF(OR(Z6="ER",Z7="ER",Z8="ER"),"ER",IF(OR(Z6="?",Z7="?",Z8="?"),"?",IF(AND(Z6="NA",Z7="NA",Z8="NA"),"NA",SUM(Z6,Z7,Z8)/((Z6&lt;&gt;"NA")*$H$6+(Z7&lt;&gt;"NA")*$H$7+(Z8&lt;&gt;"NA")*$H$8)*$H5)))</f>
        <v>?</v>
      </c>
      <c r="AA5" s="83" t="str">
        <f aca="false">IF(OR(AA6="ER",AA7="ER",AA8="ER"),"ER",IF(OR(AA6="?",AA7="?",AA8="?"),"?",IF(AND(AA6="NA",AA7="NA",AA8="NA"),"NA",SUM(AA6,AA7,AA8)/((AA6&lt;&gt;"NA")*$H$6+(AA7&lt;&gt;"NA")*$H$7+(AA8&lt;&gt;"NA")*$H$8)*$H5)))</f>
        <v>?</v>
      </c>
      <c r="AB5" s="83" t="str">
        <f aca="false">IF(OR(AB6="ER",AB7="ER",AB8="ER"),"ER",IF(OR(AB6="?",AB7="?",AB8="?"),"?",IF(AND(AB6="NA",AB7="NA",AB8="NA"),"NA",SUM(AB6,AB7,AB8)/((AB6&lt;&gt;"NA")*$H$6+(AB7&lt;&gt;"NA")*$H$7+(AB8&lt;&gt;"NA")*$H$8)*$H5)))</f>
        <v>?</v>
      </c>
      <c r="AC5" s="83" t="str">
        <f aca="false">IF(OR(AC6="ER",AC7="ER",AC8="ER"),"ER",IF(OR(AC6="?",AC7="?",AC8="?"),"?",IF(AND(AC6="NA",AC7="NA",AC8="NA"),"NA",SUM(AC6,AC7,AC8)/((AC6&lt;&gt;"NA")*$H$6+(AC7&lt;&gt;"NA")*$H$7+(AC8&lt;&gt;"NA")*$H$8)*$H5)))</f>
        <v>?</v>
      </c>
      <c r="AD5" s="83" t="str">
        <f aca="false">IF(OR(AD6="ER",AD7="ER",AD8="ER"),"ER",IF(OR(AD6="?",AD7="?",AD8="?"),"?",IF(AND(AD6="NA",AD7="NA",AD8="NA"),"NA",SUM(AD6,AD7,AD8)/((AD6&lt;&gt;"NA")*$H$6+(AD7&lt;&gt;"NA")*$H$7+(AD8&lt;&gt;"NA")*$H$8)*$H5)))</f>
        <v>?</v>
      </c>
      <c r="AE5" s="83" t="str">
        <f aca="false">IF(OR(AE6="ER",AE7="ER",AE8="ER"),"ER",IF(OR(AE6="?",AE7="?",AE8="?"),"?",IF(AND(AE6="NA",AE7="NA",AE8="NA"),"NA",SUM(AE6,AE7,AE8)/((AE6&lt;&gt;"NA")*$H$6+(AE7&lt;&gt;"NA")*$H$7+(AE8&lt;&gt;"NA")*$H$8)*$H5)))</f>
        <v>?</v>
      </c>
      <c r="AF5" s="83" t="str">
        <f aca="false">IF(OR(AF6="ER",AF7="ER",AF8="ER"),"ER",IF(OR(AF6="?",AF7="?",AF8="?"),"?",IF(AND(AF6="NA",AF7="NA",AF8="NA"),"NA",SUM(AF6,AF7,AF8)/((AF6&lt;&gt;"NA")*$H$6+(AF7&lt;&gt;"NA")*$H$7+(AF8&lt;&gt;"NA")*$H$8)*$H5)))</f>
        <v>?</v>
      </c>
      <c r="AG5" s="83" t="str">
        <f aca="false">IF(OR(AG6="ER",AG7="ER",AG8="ER"),"ER",IF(OR(AG6="?",AG7="?",AG8="?"),"?",IF(AND(AG6="NA",AG7="NA",AG8="NA"),"NA",SUM(AG6,AG7,AG8)/((AG6&lt;&gt;"NA")*$H$6+(AG7&lt;&gt;"NA")*$H$7+(AG8&lt;&gt;"NA")*$H$8)*$H5)))</f>
        <v>?</v>
      </c>
      <c r="AH5" s="83" t="str">
        <f aca="false">IF(OR(AH6="ER",AH7="ER",AH8="ER"),"ER",IF(OR(AH6="?",AH7="?",AH8="?"),"?",IF(AND(AH6="NA",AH7="NA",AH8="NA"),"NA",SUM(AH6,AH7,AH8)/((AH6&lt;&gt;"NA")*$H$6+(AH7&lt;&gt;"NA")*$H$7+(AH8&lt;&gt;"NA")*$H$8)*$H5)))</f>
        <v>?</v>
      </c>
      <c r="AI5" s="83" t="str">
        <f aca="false">IF(OR(AI6="ER",AI7="ER",AI8="ER"),"ER",IF(OR(AI6="?",AI7="?",AI8="?"),"?",IF(AND(AI6="NA",AI7="NA",AI8="NA"),"NA",SUM(AI6,AI7,AI8)/((AI6&lt;&gt;"NA")*$H$6+(AI7&lt;&gt;"NA")*$H$7+(AI8&lt;&gt;"NA")*$H$8)*$H5)))</f>
        <v>?</v>
      </c>
      <c r="AJ5" s="83" t="str">
        <f aca="false">IF(OR(AJ6="ER",AJ7="ER",AJ8="ER"),"ER",IF(OR(AJ6="?",AJ7="?",AJ8="?"),"?",IF(AND(AJ6="NA",AJ7="NA",AJ8="NA"),"NA",SUM(AJ6,AJ7,AJ8)/((AJ6&lt;&gt;"NA")*$H$6+(AJ7&lt;&gt;"NA")*$H$7+(AJ8&lt;&gt;"NA")*$H$8)*$H5)))</f>
        <v>?</v>
      </c>
      <c r="AK5" s="83" t="str">
        <f aca="false">IF(OR(AK6="ER",AK7="ER",AK8="ER"),"ER",IF(OR(AK6="?",AK7="?",AK8="?"),"?",IF(AND(AK6="NA",AK7="NA",AK8="NA"),"NA",SUM(AK6,AK7,AK8)/((AK6&lt;&gt;"NA")*$H$6+(AK7&lt;&gt;"NA")*$H$7+(AK8&lt;&gt;"NA")*$H$8)*$H5)))</f>
        <v>?</v>
      </c>
    </row>
    <row r="6" customFormat="false" ht="25.5" hidden="false" customHeight="true" outlineLevel="0" collapsed="false">
      <c r="A6" s="79" t="s">
        <v>32</v>
      </c>
      <c r="B6" s="80" t="str">
        <f aca="false">IF(ISBLANK($A6),"NO_CODE",VLOOKUP($A6,'UPD Questions_290926 '!$E$1:$N$300,MATCH(B$1,'UPD Questions_290926 '!$E$1:$N$1,0),0)&amp;"")</f>
        <v>Planning </v>
      </c>
      <c r="C6" s="81" t="str">
        <f aca="false">IF(ISBLANK($A6),"NO_CODE",VLOOKUP($A6,'UPD Questions_290926 '!$E$1:$N$300,MATCH(C$1,'UPD Questions_290926 '!$E$1:$N$1,0),0)&amp;"")</f>
        <v>Legal and institutional planning architecture</v>
      </c>
      <c r="D6" s="80" t="str">
        <f aca="false">IF(ISBLANK($A6),"NO_CODE",VLOOKUP($A6,'UPD Questions_290926 '!$E$1:$N$300,MATCH(D$1,'UPD Questions_290926 '!$E$1:$N$1,0),0)&amp;"")</f>
        <v>Spatial planning hierarchy</v>
      </c>
      <c r="E6" s="80" t="str">
        <f aca="false">IF(ISBLANK($A6),"NO_CODE",VLOOKUP($A6,'UPD Questions_290926 '!$E$1:$N$300,MATCH(E$1,'UPD Questions_290926 '!$E$1:$N$1,0),0)&amp;"")</f>
        <v>SQ</v>
      </c>
      <c r="F6" s="80" t="str">
        <f aca="false">IF(ISBLANK($A6),"NO_CODE",VLOOKUP($A6,'UPD Questions_290926 '!$E$1:$N$300,MATCH(F$1,'UPD Questions_290926 '!$E$1:$N$1,0),0)&amp;"")</f>
        <v>Metropolitan/ Regional Plan</v>
      </c>
      <c r="G6" s="80" t="str">
        <f aca="false">IF(ISBLANK($A6),"NO_CODE",VLOOKUP($A6,'UPD Questions_290926 '!$E$1:$N$300,MATCH(G$1,'UPD Questions_290926 '!$E$1:$N$1,0),0)&amp;"")</f>
        <v>Law or Policy</v>
      </c>
      <c r="H6" s="82" t="n">
        <f aca="false">IF(ISBLANK($A6),"NO_CODE",VLOOKUP($A6,'UPD Questions_290926 '!$E$1:$N$300,MATCH(H$1,'UPD Questions_290926 '!$E$1:$N$1,0),0))</f>
        <v>3.33</v>
      </c>
      <c r="I6" s="83" t="str">
        <f aca="true">IF($H6=0,"NA",IF($A6=INDIRECT("'"&amp;$A6&amp;"'!$B$1"),IF(VLOOKUP(I$1,INDIRECT("'"&amp;$A6&amp;"'!$A$12:$Z$41"),MATCH("Points (Auto-generate)",INDIRECT("'"&amp;$A6&amp;"'!$A$12:$Z$12"),0),0)="","?",VLOOKUP(I$1,INDIRECT("'"&amp;$A6&amp;"'!$A$12:$Z$41"),MATCH("Points (Auto-generate)",INDIRECT("'"&amp;$A6&amp;"'!$A$12:$Z$12"),0),0)),"ER"))</f>
        <v>?</v>
      </c>
      <c r="J6" s="83" t="str">
        <f aca="true">IF($H6=0,"NA",IF($A6=INDIRECT("'"&amp;$A6&amp;"'!$B$1"),IF(VLOOKUP(J$1,INDIRECT("'"&amp;$A6&amp;"'!$A$12:$Z$41"),MATCH("Points (Auto-generate)",INDIRECT("'"&amp;$A6&amp;"'!$A$12:$Z$12"),0),0)="","?",VLOOKUP(J$1,INDIRECT("'"&amp;$A6&amp;"'!$A$12:$Z$41"),MATCH("Points (Auto-generate)",INDIRECT("'"&amp;$A6&amp;"'!$A$12:$Z$12"),0),0)),"ER"))</f>
        <v>?</v>
      </c>
      <c r="K6" s="83" t="str">
        <f aca="true">IF($H6=0,"NA",IF($A6=INDIRECT("'"&amp;$A6&amp;"'!$B$1"),IF(VLOOKUP(K$1,INDIRECT("'"&amp;$A6&amp;"'!$A$12:$Z$41"),MATCH("Points (Auto-generate)",INDIRECT("'"&amp;$A6&amp;"'!$A$12:$Z$12"),0),0)="","?",VLOOKUP(K$1,INDIRECT("'"&amp;$A6&amp;"'!$A$12:$Z$41"),MATCH("Points (Auto-generate)",INDIRECT("'"&amp;$A6&amp;"'!$A$12:$Z$12"),0),0)),"ER"))</f>
        <v>?</v>
      </c>
      <c r="L6" s="83" t="str">
        <f aca="true">IF($H6=0,"NA",IF($A6=INDIRECT("'"&amp;$A6&amp;"'!$B$1"),IF(VLOOKUP(L$1,INDIRECT("'"&amp;$A6&amp;"'!$A$12:$Z$41"),MATCH("Points (Auto-generate)",INDIRECT("'"&amp;$A6&amp;"'!$A$12:$Z$12"),0),0)="","?",VLOOKUP(L$1,INDIRECT("'"&amp;$A6&amp;"'!$A$12:$Z$41"),MATCH("Points (Auto-generate)",INDIRECT("'"&amp;$A6&amp;"'!$A$12:$Z$12"),0),0)),"ER"))</f>
        <v>?</v>
      </c>
      <c r="M6" s="83" t="str">
        <f aca="true">IF($H6=0,"NA",IF($A6=INDIRECT("'"&amp;$A6&amp;"'!$B$1"),IF(VLOOKUP(M$1,INDIRECT("'"&amp;$A6&amp;"'!$A$12:$Z$41"),MATCH("Points (Auto-generate)",INDIRECT("'"&amp;$A6&amp;"'!$A$12:$Z$12"),0),0)="","?",VLOOKUP(M$1,INDIRECT("'"&amp;$A6&amp;"'!$A$12:$Z$41"),MATCH("Points (Auto-generate)",INDIRECT("'"&amp;$A6&amp;"'!$A$12:$Z$12"),0),0)),"ER"))</f>
        <v>?</v>
      </c>
      <c r="N6" s="83" t="str">
        <f aca="true">IF($H6=0,"NA",IF($A6=INDIRECT("'"&amp;$A6&amp;"'!$B$1"),IF(VLOOKUP(N$1,INDIRECT("'"&amp;$A6&amp;"'!$A$12:$Z$41"),MATCH("Points (Auto-generate)",INDIRECT("'"&amp;$A6&amp;"'!$A$12:$Z$12"),0),0)="","?",VLOOKUP(N$1,INDIRECT("'"&amp;$A6&amp;"'!$A$12:$Z$41"),MATCH("Points (Auto-generate)",INDIRECT("'"&amp;$A6&amp;"'!$A$12:$Z$12"),0),0)),"ER"))</f>
        <v>?</v>
      </c>
      <c r="O6" s="83" t="str">
        <f aca="true">IF($H6=0,"NA",IF($A6=INDIRECT("'"&amp;$A6&amp;"'!$B$1"),IF(VLOOKUP(O$1,INDIRECT("'"&amp;$A6&amp;"'!$A$12:$Z$41"),MATCH("Points (Auto-generate)",INDIRECT("'"&amp;$A6&amp;"'!$A$12:$Z$12"),0),0)="","?",VLOOKUP(O$1,INDIRECT("'"&amp;$A6&amp;"'!$A$12:$Z$41"),MATCH("Points (Auto-generate)",INDIRECT("'"&amp;$A6&amp;"'!$A$12:$Z$12"),0),0)),"ER"))</f>
        <v>?</v>
      </c>
      <c r="P6" s="83" t="str">
        <f aca="true">IF($H6=0,"NA",IF($A6=INDIRECT("'"&amp;$A6&amp;"'!$B$1"),IF(VLOOKUP(P$1,INDIRECT("'"&amp;$A6&amp;"'!$A$12:$Z$41"),MATCH("Points (Auto-generate)",INDIRECT("'"&amp;$A6&amp;"'!$A$12:$Z$12"),0),0)="","?",VLOOKUP(P$1,INDIRECT("'"&amp;$A6&amp;"'!$A$12:$Z$41"),MATCH("Points (Auto-generate)",INDIRECT("'"&amp;$A6&amp;"'!$A$12:$Z$12"),0),0)),"ER"))</f>
        <v>?</v>
      </c>
      <c r="Q6" s="83" t="str">
        <f aca="true">IF($H6=0,"NA",IF($A6=INDIRECT("'"&amp;$A6&amp;"'!$B$1"),IF(VLOOKUP(Q$1,INDIRECT("'"&amp;$A6&amp;"'!$A$12:$Z$41"),MATCH("Points (Auto-generate)",INDIRECT("'"&amp;$A6&amp;"'!$A$12:$Z$12"),0),0)="","?",VLOOKUP(Q$1,INDIRECT("'"&amp;$A6&amp;"'!$A$12:$Z$41"),MATCH("Points (Auto-generate)",INDIRECT("'"&amp;$A6&amp;"'!$A$12:$Z$12"),0),0)),"ER"))</f>
        <v>?</v>
      </c>
      <c r="R6" s="83" t="str">
        <f aca="true">IF($H6=0,"NA",IF($A6=INDIRECT("'"&amp;$A6&amp;"'!$B$1"),IF(VLOOKUP(R$1,INDIRECT("'"&amp;$A6&amp;"'!$A$12:$Z$41"),MATCH("Points (Auto-generate)",INDIRECT("'"&amp;$A6&amp;"'!$A$12:$Z$12"),0),0)="","?",VLOOKUP(R$1,INDIRECT("'"&amp;$A6&amp;"'!$A$12:$Z$41"),MATCH("Points (Auto-generate)",INDIRECT("'"&amp;$A6&amp;"'!$A$12:$Z$12"),0),0)),"ER"))</f>
        <v>?</v>
      </c>
      <c r="S6" s="83" t="str">
        <f aca="true">IF($H6=0,"NA",IF($A6=INDIRECT("'"&amp;$A6&amp;"'!$B$1"),IF(VLOOKUP(S$1,INDIRECT("'"&amp;$A6&amp;"'!$A$12:$Z$41"),MATCH("Points (Auto-generate)",INDIRECT("'"&amp;$A6&amp;"'!$A$12:$Z$12"),0),0)="","?",VLOOKUP(S$1,INDIRECT("'"&amp;$A6&amp;"'!$A$12:$Z$41"),MATCH("Points (Auto-generate)",INDIRECT("'"&amp;$A6&amp;"'!$A$12:$Z$12"),0),0)),"ER"))</f>
        <v>?</v>
      </c>
      <c r="T6" s="83" t="str">
        <f aca="true">IF($H6=0,"NA",IF($A6=INDIRECT("'"&amp;$A6&amp;"'!$B$1"),IF(VLOOKUP(T$1,INDIRECT("'"&amp;$A6&amp;"'!$A$12:$Z$41"),MATCH("Points (Auto-generate)",INDIRECT("'"&amp;$A6&amp;"'!$A$12:$Z$12"),0),0)="","?",VLOOKUP(T$1,INDIRECT("'"&amp;$A6&amp;"'!$A$12:$Z$41"),MATCH("Points (Auto-generate)",INDIRECT("'"&amp;$A6&amp;"'!$A$12:$Z$12"),0),0)),"ER"))</f>
        <v>?</v>
      </c>
      <c r="U6" s="83" t="str">
        <f aca="true">IF($H6=0,"NA",IF($A6=INDIRECT("'"&amp;$A6&amp;"'!$B$1"),IF(VLOOKUP(U$1,INDIRECT("'"&amp;$A6&amp;"'!$A$12:$Z$41"),MATCH("Points (Auto-generate)",INDIRECT("'"&amp;$A6&amp;"'!$A$12:$Z$12"),0),0)="","?",VLOOKUP(U$1,INDIRECT("'"&amp;$A6&amp;"'!$A$12:$Z$41"),MATCH("Points (Auto-generate)",INDIRECT("'"&amp;$A6&amp;"'!$A$12:$Z$12"),0),0)),"ER"))</f>
        <v>?</v>
      </c>
      <c r="V6" s="83" t="str">
        <f aca="true">IF($H6=0,"NA",IF($A6=INDIRECT("'"&amp;$A6&amp;"'!$B$1"),IF(VLOOKUP(V$1,INDIRECT("'"&amp;$A6&amp;"'!$A$12:$Z$41"),MATCH("Points (Auto-generate)",INDIRECT("'"&amp;$A6&amp;"'!$A$12:$Z$12"),0),0)="","?",VLOOKUP(V$1,INDIRECT("'"&amp;$A6&amp;"'!$A$12:$Z$41"),MATCH("Points (Auto-generate)",INDIRECT("'"&amp;$A6&amp;"'!$A$12:$Z$12"),0),0)),"ER"))</f>
        <v>?</v>
      </c>
      <c r="W6" s="83" t="str">
        <f aca="true">IF($H6=0,"NA",IF($A6=INDIRECT("'"&amp;$A6&amp;"'!$B$1"),IF(VLOOKUP(W$1,INDIRECT("'"&amp;$A6&amp;"'!$A$12:$Z$41"),MATCH("Points (Auto-generate)",INDIRECT("'"&amp;$A6&amp;"'!$A$12:$Z$12"),0),0)="","?",VLOOKUP(W$1,INDIRECT("'"&amp;$A6&amp;"'!$A$12:$Z$41"),MATCH("Points (Auto-generate)",INDIRECT("'"&amp;$A6&amp;"'!$A$12:$Z$12"),0),0)),"ER"))</f>
        <v>?</v>
      </c>
      <c r="X6" s="83" t="str">
        <f aca="true">IF($H6=0,"NA",IF($A6=INDIRECT("'"&amp;$A6&amp;"'!$B$1"),IF(VLOOKUP(X$1,INDIRECT("'"&amp;$A6&amp;"'!$A$12:$Z$41"),MATCH("Points (Auto-generate)",INDIRECT("'"&amp;$A6&amp;"'!$A$12:$Z$12"),0),0)="","?",VLOOKUP(X$1,INDIRECT("'"&amp;$A6&amp;"'!$A$12:$Z$41"),MATCH("Points (Auto-generate)",INDIRECT("'"&amp;$A6&amp;"'!$A$12:$Z$12"),0),0)),"ER"))</f>
        <v>?</v>
      </c>
      <c r="Y6" s="83" t="str">
        <f aca="true">IF($H6=0,"NA",IF($A6=INDIRECT("'"&amp;$A6&amp;"'!$B$1"),IF(VLOOKUP(Y$1,INDIRECT("'"&amp;$A6&amp;"'!$A$12:$Z$41"),MATCH("Points (Auto-generate)",INDIRECT("'"&amp;$A6&amp;"'!$A$12:$Z$12"),0),0)="","?",VLOOKUP(Y$1,INDIRECT("'"&amp;$A6&amp;"'!$A$12:$Z$41"),MATCH("Points (Auto-generate)",INDIRECT("'"&amp;$A6&amp;"'!$A$12:$Z$12"),0),0)),"ER"))</f>
        <v>?</v>
      </c>
      <c r="Z6" s="83" t="str">
        <f aca="true">IF($H6=0,"NA",IF($A6=INDIRECT("'"&amp;$A6&amp;"'!$B$1"),IF(VLOOKUP(Z$1,INDIRECT("'"&amp;$A6&amp;"'!$A$12:$Z$41"),MATCH("Points (Auto-generate)",INDIRECT("'"&amp;$A6&amp;"'!$A$12:$Z$12"),0),0)="","?",VLOOKUP(Z$1,INDIRECT("'"&amp;$A6&amp;"'!$A$12:$Z$41"),MATCH("Points (Auto-generate)",INDIRECT("'"&amp;$A6&amp;"'!$A$12:$Z$12"),0),0)),"ER"))</f>
        <v>?</v>
      </c>
      <c r="AA6" s="83" t="str">
        <f aca="true">IF($H6=0,"NA",IF($A6=INDIRECT("'"&amp;$A6&amp;"'!$B$1"),IF(VLOOKUP(AA$1,INDIRECT("'"&amp;$A6&amp;"'!$A$12:$Z$41"),MATCH("Points (Auto-generate)",INDIRECT("'"&amp;$A6&amp;"'!$A$12:$Z$12"),0),0)="","?",VLOOKUP(AA$1,INDIRECT("'"&amp;$A6&amp;"'!$A$12:$Z$41"),MATCH("Points (Auto-generate)",INDIRECT("'"&amp;$A6&amp;"'!$A$12:$Z$12"),0),0)),"ER"))</f>
        <v>?</v>
      </c>
      <c r="AB6" s="83" t="str">
        <f aca="true">IF($H6=0,"NA",IF($A6=INDIRECT("'"&amp;$A6&amp;"'!$B$1"),IF(VLOOKUP(AB$1,INDIRECT("'"&amp;$A6&amp;"'!$A$12:$Z$41"),MATCH("Points (Auto-generate)",INDIRECT("'"&amp;$A6&amp;"'!$A$12:$Z$12"),0),0)="","?",VLOOKUP(AB$1,INDIRECT("'"&amp;$A6&amp;"'!$A$12:$Z$41"),MATCH("Points (Auto-generate)",INDIRECT("'"&amp;$A6&amp;"'!$A$12:$Z$12"),0),0)),"ER"))</f>
        <v>?</v>
      </c>
      <c r="AC6" s="83" t="str">
        <f aca="true">IF($H6=0,"NA",IF($A6=INDIRECT("'"&amp;$A6&amp;"'!$B$1"),IF(VLOOKUP(AC$1,INDIRECT("'"&amp;$A6&amp;"'!$A$12:$Z$41"),MATCH("Points (Auto-generate)",INDIRECT("'"&amp;$A6&amp;"'!$A$12:$Z$12"),0),0)="","?",VLOOKUP(AC$1,INDIRECT("'"&amp;$A6&amp;"'!$A$12:$Z$41"),MATCH("Points (Auto-generate)",INDIRECT("'"&amp;$A6&amp;"'!$A$12:$Z$12"),0),0)),"ER"))</f>
        <v>?</v>
      </c>
      <c r="AD6" s="83" t="str">
        <f aca="true">IF($H6=0,"NA",IF($A6=INDIRECT("'"&amp;$A6&amp;"'!$B$1"),IF(VLOOKUP(AD$1,INDIRECT("'"&amp;$A6&amp;"'!$A$12:$Z$41"),MATCH("Points (Auto-generate)",INDIRECT("'"&amp;$A6&amp;"'!$A$12:$Z$12"),0),0)="","?",VLOOKUP(AD$1,INDIRECT("'"&amp;$A6&amp;"'!$A$12:$Z$41"),MATCH("Points (Auto-generate)",INDIRECT("'"&amp;$A6&amp;"'!$A$12:$Z$12"),0),0)),"ER"))</f>
        <v>?</v>
      </c>
      <c r="AE6" s="83" t="str">
        <f aca="true">IF($H6=0,"NA",IF($A6=INDIRECT("'"&amp;$A6&amp;"'!$B$1"),IF(VLOOKUP(AE$1,INDIRECT("'"&amp;$A6&amp;"'!$A$12:$Z$41"),MATCH("Points (Auto-generate)",INDIRECT("'"&amp;$A6&amp;"'!$A$12:$Z$12"),0),0)="","?",VLOOKUP(AE$1,INDIRECT("'"&amp;$A6&amp;"'!$A$12:$Z$41"),MATCH("Points (Auto-generate)",INDIRECT("'"&amp;$A6&amp;"'!$A$12:$Z$12"),0),0)),"ER"))</f>
        <v>?</v>
      </c>
      <c r="AF6" s="83" t="str">
        <f aca="true">IF($H6=0,"NA",IF($A6=INDIRECT("'"&amp;$A6&amp;"'!$B$1"),IF(VLOOKUP(AF$1,INDIRECT("'"&amp;$A6&amp;"'!$A$12:$Z$41"),MATCH("Points (Auto-generate)",INDIRECT("'"&amp;$A6&amp;"'!$A$12:$Z$12"),0),0)="","?",VLOOKUP(AF$1,INDIRECT("'"&amp;$A6&amp;"'!$A$12:$Z$41"),MATCH("Points (Auto-generate)",INDIRECT("'"&amp;$A6&amp;"'!$A$12:$Z$12"),0),0)),"ER"))</f>
        <v>?</v>
      </c>
      <c r="AG6" s="83" t="str">
        <f aca="true">IF($H6=0,"NA",IF($A6=INDIRECT("'"&amp;$A6&amp;"'!$B$1"),IF(VLOOKUP(AG$1,INDIRECT("'"&amp;$A6&amp;"'!$A$12:$Z$41"),MATCH("Points (Auto-generate)",INDIRECT("'"&amp;$A6&amp;"'!$A$12:$Z$12"),0),0)="","?",VLOOKUP(AG$1,INDIRECT("'"&amp;$A6&amp;"'!$A$12:$Z$41"),MATCH("Points (Auto-generate)",INDIRECT("'"&amp;$A6&amp;"'!$A$12:$Z$12"),0),0)),"ER"))</f>
        <v>?</v>
      </c>
      <c r="AH6" s="83" t="str">
        <f aca="true">IF($H6=0,"NA",IF($A6=INDIRECT("'"&amp;$A6&amp;"'!$B$1"),IF(VLOOKUP(AH$1,INDIRECT("'"&amp;$A6&amp;"'!$A$12:$Z$41"),MATCH("Points (Auto-generate)",INDIRECT("'"&amp;$A6&amp;"'!$A$12:$Z$12"),0),0)="","?",VLOOKUP(AH$1,INDIRECT("'"&amp;$A6&amp;"'!$A$12:$Z$41"),MATCH("Points (Auto-generate)",INDIRECT("'"&amp;$A6&amp;"'!$A$12:$Z$12"),0),0)),"ER"))</f>
        <v>?</v>
      </c>
      <c r="AI6" s="83" t="str">
        <f aca="true">IF($H6=0,"NA",IF($A6=INDIRECT("'"&amp;$A6&amp;"'!$B$1"),IF(VLOOKUP(AI$1,INDIRECT("'"&amp;$A6&amp;"'!$A$12:$Z$41"),MATCH("Points (Auto-generate)",INDIRECT("'"&amp;$A6&amp;"'!$A$12:$Z$12"),0),0)="","?",VLOOKUP(AI$1,INDIRECT("'"&amp;$A6&amp;"'!$A$12:$Z$41"),MATCH("Points (Auto-generate)",INDIRECT("'"&amp;$A6&amp;"'!$A$12:$Z$12"),0),0)),"ER"))</f>
        <v>?</v>
      </c>
      <c r="AJ6" s="83" t="str">
        <f aca="true">IF($H6=0,"NA",IF($A6=INDIRECT("'"&amp;$A6&amp;"'!$B$1"),IF(VLOOKUP(AJ$1,INDIRECT("'"&amp;$A6&amp;"'!$A$12:$Z$41"),MATCH("Points (Auto-generate)",INDIRECT("'"&amp;$A6&amp;"'!$A$12:$Z$12"),0),0)="","?",VLOOKUP(AJ$1,INDIRECT("'"&amp;$A6&amp;"'!$A$12:$Z$41"),MATCH("Points (Auto-generate)",INDIRECT("'"&amp;$A6&amp;"'!$A$12:$Z$12"),0),0)),"ER"))</f>
        <v>?</v>
      </c>
      <c r="AK6" s="83" t="str">
        <f aca="true">IF($H6=0,"NA",IF($A6=INDIRECT("'"&amp;$A6&amp;"'!$B$1"),IF(VLOOKUP(AK$1,INDIRECT("'"&amp;$A6&amp;"'!$A$12:$Z$41"),MATCH("Points (Auto-generate)",INDIRECT("'"&amp;$A6&amp;"'!$A$12:$Z$12"),0),0)="","?",VLOOKUP(AK$1,INDIRECT("'"&amp;$A6&amp;"'!$A$12:$Z$41"),MATCH("Points (Auto-generate)",INDIRECT("'"&amp;$A6&amp;"'!$A$12:$Z$12"),0),0)),"ER"))</f>
        <v>?</v>
      </c>
    </row>
    <row r="7" customFormat="false" ht="25.5" hidden="false" customHeight="true" outlineLevel="0" collapsed="false">
      <c r="A7" s="79" t="s">
        <v>41</v>
      </c>
      <c r="B7" s="80" t="str">
        <f aca="false">IF(ISBLANK($A7),"NO_CODE",VLOOKUP($A7,'UPD Questions_290926 '!$E$1:$N$300,MATCH(B$1,'UPD Questions_290926 '!$E$1:$N$1,0),0)&amp;"")</f>
        <v>Planning </v>
      </c>
      <c r="C7" s="81" t="str">
        <f aca="false">IF(ISBLANK($A7),"NO_CODE",VLOOKUP($A7,'UPD Questions_290926 '!$E$1:$N$300,MATCH(C$1,'UPD Questions_290926 '!$E$1:$N$1,0),0)&amp;"")</f>
        <v>Legal and institutional planning architecture</v>
      </c>
      <c r="D7" s="80" t="str">
        <f aca="false">IF(ISBLANK($A7),"NO_CODE",VLOOKUP($A7,'UPD Questions_290926 '!$E$1:$N$300,MATCH(D$1,'UPD Questions_290926 '!$E$1:$N$1,0),0)&amp;"")</f>
        <v>Spatial planning hierarchy</v>
      </c>
      <c r="E7" s="80" t="str">
        <f aca="false">IF(ISBLANK($A7),"NO_CODE",VLOOKUP($A7,'UPD Questions_290926 '!$E$1:$N$300,MATCH(E$1,'UPD Questions_290926 '!$E$1:$N$1,0),0)&amp;"")</f>
        <v>SQ</v>
      </c>
      <c r="F7" s="80" t="str">
        <f aca="false">IF(ISBLANK($A7),"NO_CODE",VLOOKUP($A7,'UPD Questions_290926 '!$E$1:$N$300,MATCH(F$1,'UPD Questions_290926 '!$E$1:$N$1,0),0)&amp;"")</f>
        <v>Municipal/city plan</v>
      </c>
      <c r="G7" s="80" t="str">
        <f aca="false">IF(ISBLANK($A7),"NO_CODE",VLOOKUP($A7,'UPD Questions_290926 '!$E$1:$N$300,MATCH(G$1,'UPD Questions_290926 '!$E$1:$N$1,0),0)&amp;"")</f>
        <v>Law or Policy</v>
      </c>
      <c r="H7" s="82" t="n">
        <f aca="false">IF(ISBLANK($A7),"NO_CODE",VLOOKUP($A7,'UPD Questions_290926 '!$E$1:$N$300,MATCH(H$1,'UPD Questions_290926 '!$E$1:$N$1,0),0))</f>
        <v>3.33</v>
      </c>
      <c r="I7" s="83" t="str">
        <f aca="true">IF($H7=0,"NA",IF($A7=INDIRECT("'"&amp;$A7&amp;"'!$B$1"),IF(VLOOKUP(I$1,INDIRECT("'"&amp;$A7&amp;"'!$A$12:$Z$41"),MATCH("Points (Auto-generate)",INDIRECT("'"&amp;$A7&amp;"'!$A$12:$Z$12"),0),0)="","?",VLOOKUP(I$1,INDIRECT("'"&amp;$A7&amp;"'!$A$12:$Z$41"),MATCH("Points (Auto-generate)",INDIRECT("'"&amp;$A7&amp;"'!$A$12:$Z$12"),0),0)),"ER"))</f>
        <v>?</v>
      </c>
      <c r="J7" s="83" t="str">
        <f aca="true">IF($H7=0,"NA",IF($A7=INDIRECT("'"&amp;$A7&amp;"'!$B$1"),IF(VLOOKUP(J$1,INDIRECT("'"&amp;$A7&amp;"'!$A$12:$Z$41"),MATCH("Points (Auto-generate)",INDIRECT("'"&amp;$A7&amp;"'!$A$12:$Z$12"),0),0)="","?",VLOOKUP(J$1,INDIRECT("'"&amp;$A7&amp;"'!$A$12:$Z$41"),MATCH("Points (Auto-generate)",INDIRECT("'"&amp;$A7&amp;"'!$A$12:$Z$12"),0),0)),"ER"))</f>
        <v>?</v>
      </c>
      <c r="K7" s="83" t="str">
        <f aca="true">IF($H7=0,"NA",IF($A7=INDIRECT("'"&amp;$A7&amp;"'!$B$1"),IF(VLOOKUP(K$1,INDIRECT("'"&amp;$A7&amp;"'!$A$12:$Z$41"),MATCH("Points (Auto-generate)",INDIRECT("'"&amp;$A7&amp;"'!$A$12:$Z$12"),0),0)="","?",VLOOKUP(K$1,INDIRECT("'"&amp;$A7&amp;"'!$A$12:$Z$41"),MATCH("Points (Auto-generate)",INDIRECT("'"&amp;$A7&amp;"'!$A$12:$Z$12"),0),0)),"ER"))</f>
        <v>?</v>
      </c>
      <c r="L7" s="83" t="str">
        <f aca="true">IF($H7=0,"NA",IF($A7=INDIRECT("'"&amp;$A7&amp;"'!$B$1"),IF(VLOOKUP(L$1,INDIRECT("'"&amp;$A7&amp;"'!$A$12:$Z$41"),MATCH("Points (Auto-generate)",INDIRECT("'"&amp;$A7&amp;"'!$A$12:$Z$12"),0),0)="","?",VLOOKUP(L$1,INDIRECT("'"&amp;$A7&amp;"'!$A$12:$Z$41"),MATCH("Points (Auto-generate)",INDIRECT("'"&amp;$A7&amp;"'!$A$12:$Z$12"),0),0)),"ER"))</f>
        <v>?</v>
      </c>
      <c r="M7" s="83" t="str">
        <f aca="true">IF($H7=0,"NA",IF($A7=INDIRECT("'"&amp;$A7&amp;"'!$B$1"),IF(VLOOKUP(M$1,INDIRECT("'"&amp;$A7&amp;"'!$A$12:$Z$41"),MATCH("Points (Auto-generate)",INDIRECT("'"&amp;$A7&amp;"'!$A$12:$Z$12"),0),0)="","?",VLOOKUP(M$1,INDIRECT("'"&amp;$A7&amp;"'!$A$12:$Z$41"),MATCH("Points (Auto-generate)",INDIRECT("'"&amp;$A7&amp;"'!$A$12:$Z$12"),0),0)),"ER"))</f>
        <v>?</v>
      </c>
      <c r="N7" s="83" t="str">
        <f aca="true">IF($H7=0,"NA",IF($A7=INDIRECT("'"&amp;$A7&amp;"'!$B$1"),IF(VLOOKUP(N$1,INDIRECT("'"&amp;$A7&amp;"'!$A$12:$Z$41"),MATCH("Points (Auto-generate)",INDIRECT("'"&amp;$A7&amp;"'!$A$12:$Z$12"),0),0)="","?",VLOOKUP(N$1,INDIRECT("'"&amp;$A7&amp;"'!$A$12:$Z$41"),MATCH("Points (Auto-generate)",INDIRECT("'"&amp;$A7&amp;"'!$A$12:$Z$12"),0),0)),"ER"))</f>
        <v>?</v>
      </c>
      <c r="O7" s="83" t="str">
        <f aca="true">IF($H7=0,"NA",IF($A7=INDIRECT("'"&amp;$A7&amp;"'!$B$1"),IF(VLOOKUP(O$1,INDIRECT("'"&amp;$A7&amp;"'!$A$12:$Z$41"),MATCH("Points (Auto-generate)",INDIRECT("'"&amp;$A7&amp;"'!$A$12:$Z$12"),0),0)="","?",VLOOKUP(O$1,INDIRECT("'"&amp;$A7&amp;"'!$A$12:$Z$41"),MATCH("Points (Auto-generate)",INDIRECT("'"&amp;$A7&amp;"'!$A$12:$Z$12"),0),0)),"ER"))</f>
        <v>?</v>
      </c>
      <c r="P7" s="83" t="str">
        <f aca="true">IF($H7=0,"NA",IF($A7=INDIRECT("'"&amp;$A7&amp;"'!$B$1"),IF(VLOOKUP(P$1,INDIRECT("'"&amp;$A7&amp;"'!$A$12:$Z$41"),MATCH("Points (Auto-generate)",INDIRECT("'"&amp;$A7&amp;"'!$A$12:$Z$12"),0),0)="","?",VLOOKUP(P$1,INDIRECT("'"&amp;$A7&amp;"'!$A$12:$Z$41"),MATCH("Points (Auto-generate)",INDIRECT("'"&amp;$A7&amp;"'!$A$12:$Z$12"),0),0)),"ER"))</f>
        <v>?</v>
      </c>
      <c r="Q7" s="83" t="str">
        <f aca="true">IF($H7=0,"NA",IF($A7=INDIRECT("'"&amp;$A7&amp;"'!$B$1"),IF(VLOOKUP(Q$1,INDIRECT("'"&amp;$A7&amp;"'!$A$12:$Z$41"),MATCH("Points (Auto-generate)",INDIRECT("'"&amp;$A7&amp;"'!$A$12:$Z$12"),0),0)="","?",VLOOKUP(Q$1,INDIRECT("'"&amp;$A7&amp;"'!$A$12:$Z$41"),MATCH("Points (Auto-generate)",INDIRECT("'"&amp;$A7&amp;"'!$A$12:$Z$12"),0),0)),"ER"))</f>
        <v>?</v>
      </c>
      <c r="R7" s="83" t="str">
        <f aca="true">IF($H7=0,"NA",IF($A7=INDIRECT("'"&amp;$A7&amp;"'!$B$1"),IF(VLOOKUP(R$1,INDIRECT("'"&amp;$A7&amp;"'!$A$12:$Z$41"),MATCH("Points (Auto-generate)",INDIRECT("'"&amp;$A7&amp;"'!$A$12:$Z$12"),0),0)="","?",VLOOKUP(R$1,INDIRECT("'"&amp;$A7&amp;"'!$A$12:$Z$41"),MATCH("Points (Auto-generate)",INDIRECT("'"&amp;$A7&amp;"'!$A$12:$Z$12"),0),0)),"ER"))</f>
        <v>?</v>
      </c>
      <c r="S7" s="83" t="str">
        <f aca="true">IF($H7=0,"NA",IF($A7=INDIRECT("'"&amp;$A7&amp;"'!$B$1"),IF(VLOOKUP(S$1,INDIRECT("'"&amp;$A7&amp;"'!$A$12:$Z$41"),MATCH("Points (Auto-generate)",INDIRECT("'"&amp;$A7&amp;"'!$A$12:$Z$12"),0),0)="","?",VLOOKUP(S$1,INDIRECT("'"&amp;$A7&amp;"'!$A$12:$Z$41"),MATCH("Points (Auto-generate)",INDIRECT("'"&amp;$A7&amp;"'!$A$12:$Z$12"),0),0)),"ER"))</f>
        <v>?</v>
      </c>
      <c r="T7" s="83" t="str">
        <f aca="true">IF($H7=0,"NA",IF($A7=INDIRECT("'"&amp;$A7&amp;"'!$B$1"),IF(VLOOKUP(T$1,INDIRECT("'"&amp;$A7&amp;"'!$A$12:$Z$41"),MATCH("Points (Auto-generate)",INDIRECT("'"&amp;$A7&amp;"'!$A$12:$Z$12"),0),0)="","?",VLOOKUP(T$1,INDIRECT("'"&amp;$A7&amp;"'!$A$12:$Z$41"),MATCH("Points (Auto-generate)",INDIRECT("'"&amp;$A7&amp;"'!$A$12:$Z$12"),0),0)),"ER"))</f>
        <v>?</v>
      </c>
      <c r="U7" s="83" t="str">
        <f aca="true">IF($H7=0,"NA",IF($A7=INDIRECT("'"&amp;$A7&amp;"'!$B$1"),IF(VLOOKUP(U$1,INDIRECT("'"&amp;$A7&amp;"'!$A$12:$Z$41"),MATCH("Points (Auto-generate)",INDIRECT("'"&amp;$A7&amp;"'!$A$12:$Z$12"),0),0)="","?",VLOOKUP(U$1,INDIRECT("'"&amp;$A7&amp;"'!$A$12:$Z$41"),MATCH("Points (Auto-generate)",INDIRECT("'"&amp;$A7&amp;"'!$A$12:$Z$12"),0),0)),"ER"))</f>
        <v>?</v>
      </c>
      <c r="V7" s="83" t="str">
        <f aca="true">IF($H7=0,"NA",IF($A7=INDIRECT("'"&amp;$A7&amp;"'!$B$1"),IF(VLOOKUP(V$1,INDIRECT("'"&amp;$A7&amp;"'!$A$12:$Z$41"),MATCH("Points (Auto-generate)",INDIRECT("'"&amp;$A7&amp;"'!$A$12:$Z$12"),0),0)="","?",VLOOKUP(V$1,INDIRECT("'"&amp;$A7&amp;"'!$A$12:$Z$41"),MATCH("Points (Auto-generate)",INDIRECT("'"&amp;$A7&amp;"'!$A$12:$Z$12"),0),0)),"ER"))</f>
        <v>?</v>
      </c>
      <c r="W7" s="83" t="str">
        <f aca="true">IF($H7=0,"NA",IF($A7=INDIRECT("'"&amp;$A7&amp;"'!$B$1"),IF(VLOOKUP(W$1,INDIRECT("'"&amp;$A7&amp;"'!$A$12:$Z$41"),MATCH("Points (Auto-generate)",INDIRECT("'"&amp;$A7&amp;"'!$A$12:$Z$12"),0),0)="","?",VLOOKUP(W$1,INDIRECT("'"&amp;$A7&amp;"'!$A$12:$Z$41"),MATCH("Points (Auto-generate)",INDIRECT("'"&amp;$A7&amp;"'!$A$12:$Z$12"),0),0)),"ER"))</f>
        <v>?</v>
      </c>
      <c r="X7" s="83" t="str">
        <f aca="true">IF($H7=0,"NA",IF($A7=INDIRECT("'"&amp;$A7&amp;"'!$B$1"),IF(VLOOKUP(X$1,INDIRECT("'"&amp;$A7&amp;"'!$A$12:$Z$41"),MATCH("Points (Auto-generate)",INDIRECT("'"&amp;$A7&amp;"'!$A$12:$Z$12"),0),0)="","?",VLOOKUP(X$1,INDIRECT("'"&amp;$A7&amp;"'!$A$12:$Z$41"),MATCH("Points (Auto-generate)",INDIRECT("'"&amp;$A7&amp;"'!$A$12:$Z$12"),0),0)),"ER"))</f>
        <v>?</v>
      </c>
      <c r="Y7" s="83" t="str">
        <f aca="true">IF($H7=0,"NA",IF($A7=INDIRECT("'"&amp;$A7&amp;"'!$B$1"),IF(VLOOKUP(Y$1,INDIRECT("'"&amp;$A7&amp;"'!$A$12:$Z$41"),MATCH("Points (Auto-generate)",INDIRECT("'"&amp;$A7&amp;"'!$A$12:$Z$12"),0),0)="","?",VLOOKUP(Y$1,INDIRECT("'"&amp;$A7&amp;"'!$A$12:$Z$41"),MATCH("Points (Auto-generate)",INDIRECT("'"&amp;$A7&amp;"'!$A$12:$Z$12"),0),0)),"ER"))</f>
        <v>?</v>
      </c>
      <c r="Z7" s="83" t="str">
        <f aca="true">IF($H7=0,"NA",IF($A7=INDIRECT("'"&amp;$A7&amp;"'!$B$1"),IF(VLOOKUP(Z$1,INDIRECT("'"&amp;$A7&amp;"'!$A$12:$Z$41"),MATCH("Points (Auto-generate)",INDIRECT("'"&amp;$A7&amp;"'!$A$12:$Z$12"),0),0)="","?",VLOOKUP(Z$1,INDIRECT("'"&amp;$A7&amp;"'!$A$12:$Z$41"),MATCH("Points (Auto-generate)",INDIRECT("'"&amp;$A7&amp;"'!$A$12:$Z$12"),0),0)),"ER"))</f>
        <v>?</v>
      </c>
      <c r="AA7" s="83" t="str">
        <f aca="true">IF($H7=0,"NA",IF($A7=INDIRECT("'"&amp;$A7&amp;"'!$B$1"),IF(VLOOKUP(AA$1,INDIRECT("'"&amp;$A7&amp;"'!$A$12:$Z$41"),MATCH("Points (Auto-generate)",INDIRECT("'"&amp;$A7&amp;"'!$A$12:$Z$12"),0),0)="","?",VLOOKUP(AA$1,INDIRECT("'"&amp;$A7&amp;"'!$A$12:$Z$41"),MATCH("Points (Auto-generate)",INDIRECT("'"&amp;$A7&amp;"'!$A$12:$Z$12"),0),0)),"ER"))</f>
        <v>?</v>
      </c>
      <c r="AB7" s="83" t="str">
        <f aca="true">IF($H7=0,"NA",IF($A7=INDIRECT("'"&amp;$A7&amp;"'!$B$1"),IF(VLOOKUP(AB$1,INDIRECT("'"&amp;$A7&amp;"'!$A$12:$Z$41"),MATCH("Points (Auto-generate)",INDIRECT("'"&amp;$A7&amp;"'!$A$12:$Z$12"),0),0)="","?",VLOOKUP(AB$1,INDIRECT("'"&amp;$A7&amp;"'!$A$12:$Z$41"),MATCH("Points (Auto-generate)",INDIRECT("'"&amp;$A7&amp;"'!$A$12:$Z$12"),0),0)),"ER"))</f>
        <v>?</v>
      </c>
      <c r="AC7" s="83" t="n">
        <f aca="true">IF($H7=0,"NA",IF($A7=INDIRECT("'"&amp;$A7&amp;"'!$B$1"),IF(VLOOKUP(AC$1,INDIRECT("'"&amp;$A7&amp;"'!$A$12:$Z$41"),MATCH("Points (Auto-generate)",INDIRECT("'"&amp;$A7&amp;"'!$A$12:$Z$12"),0),0)="","?",VLOOKUP(AC$1,INDIRECT("'"&amp;$A7&amp;"'!$A$12:$Z$41"),MATCH("Points (Auto-generate)",INDIRECT("'"&amp;$A7&amp;"'!$A$12:$Z$12"),0),0)),"ER"))</f>
        <v>3.33</v>
      </c>
      <c r="AD7" s="83" t="str">
        <f aca="true">IF($H7=0,"NA",IF($A7=INDIRECT("'"&amp;$A7&amp;"'!$B$1"),IF(VLOOKUP(AD$1,INDIRECT("'"&amp;$A7&amp;"'!$A$12:$Z$41"),MATCH("Points (Auto-generate)",INDIRECT("'"&amp;$A7&amp;"'!$A$12:$Z$12"),0),0)="","?",VLOOKUP(AD$1,INDIRECT("'"&amp;$A7&amp;"'!$A$12:$Z$41"),MATCH("Points (Auto-generate)",INDIRECT("'"&amp;$A7&amp;"'!$A$12:$Z$12"),0),0)),"ER"))</f>
        <v>?</v>
      </c>
      <c r="AE7" s="83" t="str">
        <f aca="true">IF($H7=0,"NA",IF($A7=INDIRECT("'"&amp;$A7&amp;"'!$B$1"),IF(VLOOKUP(AE$1,INDIRECT("'"&amp;$A7&amp;"'!$A$12:$Z$41"),MATCH("Points (Auto-generate)",INDIRECT("'"&amp;$A7&amp;"'!$A$12:$Z$12"),0),0)="","?",VLOOKUP(AE$1,INDIRECT("'"&amp;$A7&amp;"'!$A$12:$Z$41"),MATCH("Points (Auto-generate)",INDIRECT("'"&amp;$A7&amp;"'!$A$12:$Z$12"),0),0)),"ER"))</f>
        <v>?</v>
      </c>
      <c r="AF7" s="83" t="str">
        <f aca="true">IF($H7=0,"NA",IF($A7=INDIRECT("'"&amp;$A7&amp;"'!$B$1"),IF(VLOOKUP(AF$1,INDIRECT("'"&amp;$A7&amp;"'!$A$12:$Z$41"),MATCH("Points (Auto-generate)",INDIRECT("'"&amp;$A7&amp;"'!$A$12:$Z$12"),0),0)="","?",VLOOKUP(AF$1,INDIRECT("'"&amp;$A7&amp;"'!$A$12:$Z$41"),MATCH("Points (Auto-generate)",INDIRECT("'"&amp;$A7&amp;"'!$A$12:$Z$12"),0),0)),"ER"))</f>
        <v>?</v>
      </c>
      <c r="AG7" s="83" t="str">
        <f aca="true">IF($H7=0,"NA",IF($A7=INDIRECT("'"&amp;$A7&amp;"'!$B$1"),IF(VLOOKUP(AG$1,INDIRECT("'"&amp;$A7&amp;"'!$A$12:$Z$41"),MATCH("Points (Auto-generate)",INDIRECT("'"&amp;$A7&amp;"'!$A$12:$Z$12"),0),0)="","?",VLOOKUP(AG$1,INDIRECT("'"&amp;$A7&amp;"'!$A$12:$Z$41"),MATCH("Points (Auto-generate)",INDIRECT("'"&amp;$A7&amp;"'!$A$12:$Z$12"),0),0)),"ER"))</f>
        <v>?</v>
      </c>
      <c r="AH7" s="83" t="str">
        <f aca="true">IF($H7=0,"NA",IF($A7=INDIRECT("'"&amp;$A7&amp;"'!$B$1"),IF(VLOOKUP(AH$1,INDIRECT("'"&amp;$A7&amp;"'!$A$12:$Z$41"),MATCH("Points (Auto-generate)",INDIRECT("'"&amp;$A7&amp;"'!$A$12:$Z$12"),0),0)="","?",VLOOKUP(AH$1,INDIRECT("'"&amp;$A7&amp;"'!$A$12:$Z$41"),MATCH("Points (Auto-generate)",INDIRECT("'"&amp;$A7&amp;"'!$A$12:$Z$12"),0),0)),"ER"))</f>
        <v>?</v>
      </c>
      <c r="AI7" s="83" t="str">
        <f aca="true">IF($H7=0,"NA",IF($A7=INDIRECT("'"&amp;$A7&amp;"'!$B$1"),IF(VLOOKUP(AI$1,INDIRECT("'"&amp;$A7&amp;"'!$A$12:$Z$41"),MATCH("Points (Auto-generate)",INDIRECT("'"&amp;$A7&amp;"'!$A$12:$Z$12"),0),0)="","?",VLOOKUP(AI$1,INDIRECT("'"&amp;$A7&amp;"'!$A$12:$Z$41"),MATCH("Points (Auto-generate)",INDIRECT("'"&amp;$A7&amp;"'!$A$12:$Z$12"),0),0)),"ER"))</f>
        <v>?</v>
      </c>
      <c r="AJ7" s="83" t="str">
        <f aca="true">IF($H7=0,"NA",IF($A7=INDIRECT("'"&amp;$A7&amp;"'!$B$1"),IF(VLOOKUP(AJ$1,INDIRECT("'"&amp;$A7&amp;"'!$A$12:$Z$41"),MATCH("Points (Auto-generate)",INDIRECT("'"&amp;$A7&amp;"'!$A$12:$Z$12"),0),0)="","?",VLOOKUP(AJ$1,INDIRECT("'"&amp;$A7&amp;"'!$A$12:$Z$41"),MATCH("Points (Auto-generate)",INDIRECT("'"&amp;$A7&amp;"'!$A$12:$Z$12"),0),0)),"ER"))</f>
        <v>?</v>
      </c>
      <c r="AK7" s="83" t="str">
        <f aca="true">IF($H7=0,"NA",IF($A7=INDIRECT("'"&amp;$A7&amp;"'!$B$1"),IF(VLOOKUP(AK$1,INDIRECT("'"&amp;$A7&amp;"'!$A$12:$Z$41"),MATCH("Points (Auto-generate)",INDIRECT("'"&amp;$A7&amp;"'!$A$12:$Z$12"),0),0)="","?",VLOOKUP(AK$1,INDIRECT("'"&amp;$A7&amp;"'!$A$12:$Z$41"),MATCH("Points (Auto-generate)",INDIRECT("'"&amp;$A7&amp;"'!$A$12:$Z$12"),0),0)),"ER"))</f>
        <v>?</v>
      </c>
    </row>
    <row r="8" customFormat="false" ht="25.5" hidden="false" customHeight="true" outlineLevel="0" collapsed="false">
      <c r="A8" s="79" t="s">
        <v>48</v>
      </c>
      <c r="B8" s="80" t="str">
        <f aca="false">IF(ISBLANK($A8),"NO_CODE",VLOOKUP($A8,'UPD Questions_290926 '!$E$1:$N$300,MATCH(B$1,'UPD Questions_290926 '!$E$1:$N$1,0),0)&amp;"")</f>
        <v>Planning </v>
      </c>
      <c r="C8" s="81" t="str">
        <f aca="false">IF(ISBLANK($A8),"NO_CODE",VLOOKUP($A8,'UPD Questions_290926 '!$E$1:$N$300,MATCH(C$1,'UPD Questions_290926 '!$E$1:$N$1,0),0)&amp;"")</f>
        <v>Legal and institutional planning architecture</v>
      </c>
      <c r="D8" s="80" t="str">
        <f aca="false">IF(ISBLANK($A8),"NO_CODE",VLOOKUP($A8,'UPD Questions_290926 '!$E$1:$N$300,MATCH(D$1,'UPD Questions_290926 '!$E$1:$N$1,0),0)&amp;"")</f>
        <v>Spatial planning hierarchy</v>
      </c>
      <c r="E8" s="80" t="str">
        <f aca="false">IF(ISBLANK($A8),"NO_CODE",VLOOKUP($A8,'UPD Questions_290926 '!$E$1:$N$300,MATCH(E$1,'UPD Questions_290926 '!$E$1:$N$1,0),0)&amp;"")</f>
        <v>SQ</v>
      </c>
      <c r="F8" s="80" t="str">
        <f aca="false">IF(ISBLANK($A8),"NO_CODE",VLOOKUP($A8,'UPD Questions_290926 '!$E$1:$N$300,MATCH(F$1,'UPD Questions_290926 '!$E$1:$N$1,0),0)&amp;"")</f>
        <v>Ward(s)/local plan</v>
      </c>
      <c r="G8" s="80" t="str">
        <f aca="false">IF(ISBLANK($A8),"NO_CODE",VLOOKUP($A8,'UPD Questions_290926 '!$E$1:$N$300,MATCH(G$1,'UPD Questions_290926 '!$E$1:$N$1,0),0)&amp;"")</f>
        <v>Law or Policy</v>
      </c>
      <c r="H8" s="82" t="n">
        <f aca="false">IF(ISBLANK($A8),"NO_CODE",VLOOKUP($A8,'UPD Questions_290926 '!$E$1:$N$300,MATCH(H$1,'UPD Questions_290926 '!$E$1:$N$1,0),0))</f>
        <v>3.33</v>
      </c>
      <c r="I8" s="83" t="str">
        <f aca="true">IF($H8=0,"NA",IF($A8=INDIRECT("'"&amp;$A8&amp;"'!$B$1"),IF(VLOOKUP(I$1,INDIRECT("'"&amp;$A8&amp;"'!$A$12:$Z$41"),MATCH("Points (Auto-generate)",INDIRECT("'"&amp;$A8&amp;"'!$A$12:$Z$12"),0),0)="","?",VLOOKUP(I$1,INDIRECT("'"&amp;$A8&amp;"'!$A$12:$Z$41"),MATCH("Points (Auto-generate)",INDIRECT("'"&amp;$A8&amp;"'!$A$12:$Z$12"),0),0)),"ER"))</f>
        <v>?</v>
      </c>
      <c r="J8" s="83" t="str">
        <f aca="true">IF($H8=0,"NA",IF($A8=INDIRECT("'"&amp;$A8&amp;"'!$B$1"),IF(VLOOKUP(J$1,INDIRECT("'"&amp;$A8&amp;"'!$A$12:$Z$41"),MATCH("Points (Auto-generate)",INDIRECT("'"&amp;$A8&amp;"'!$A$12:$Z$12"),0),0)="","?",VLOOKUP(J$1,INDIRECT("'"&amp;$A8&amp;"'!$A$12:$Z$41"),MATCH("Points (Auto-generate)",INDIRECT("'"&amp;$A8&amp;"'!$A$12:$Z$12"),0),0)),"ER"))</f>
        <v>?</v>
      </c>
      <c r="K8" s="83" t="str">
        <f aca="true">IF($H8=0,"NA",IF($A8=INDIRECT("'"&amp;$A8&amp;"'!$B$1"),IF(VLOOKUP(K$1,INDIRECT("'"&amp;$A8&amp;"'!$A$12:$Z$41"),MATCH("Points (Auto-generate)",INDIRECT("'"&amp;$A8&amp;"'!$A$12:$Z$12"),0),0)="","?",VLOOKUP(K$1,INDIRECT("'"&amp;$A8&amp;"'!$A$12:$Z$41"),MATCH("Points (Auto-generate)",INDIRECT("'"&amp;$A8&amp;"'!$A$12:$Z$12"),0),0)),"ER"))</f>
        <v>?</v>
      </c>
      <c r="L8" s="83" t="str">
        <f aca="true">IF($H8=0,"NA",IF($A8=INDIRECT("'"&amp;$A8&amp;"'!$B$1"),IF(VLOOKUP(L$1,INDIRECT("'"&amp;$A8&amp;"'!$A$12:$Z$41"),MATCH("Points (Auto-generate)",INDIRECT("'"&amp;$A8&amp;"'!$A$12:$Z$12"),0),0)="","?",VLOOKUP(L$1,INDIRECT("'"&amp;$A8&amp;"'!$A$12:$Z$41"),MATCH("Points (Auto-generate)",INDIRECT("'"&amp;$A8&amp;"'!$A$12:$Z$12"),0),0)),"ER"))</f>
        <v>?</v>
      </c>
      <c r="M8" s="83" t="str">
        <f aca="true">IF($H8=0,"NA",IF($A8=INDIRECT("'"&amp;$A8&amp;"'!$B$1"),IF(VLOOKUP(M$1,INDIRECT("'"&amp;$A8&amp;"'!$A$12:$Z$41"),MATCH("Points (Auto-generate)",INDIRECT("'"&amp;$A8&amp;"'!$A$12:$Z$12"),0),0)="","?",VLOOKUP(M$1,INDIRECT("'"&amp;$A8&amp;"'!$A$12:$Z$41"),MATCH("Points (Auto-generate)",INDIRECT("'"&amp;$A8&amp;"'!$A$12:$Z$12"),0),0)),"ER"))</f>
        <v>?</v>
      </c>
      <c r="N8" s="83" t="str">
        <f aca="true">IF($H8=0,"NA",IF($A8=INDIRECT("'"&amp;$A8&amp;"'!$B$1"),IF(VLOOKUP(N$1,INDIRECT("'"&amp;$A8&amp;"'!$A$12:$Z$41"),MATCH("Points (Auto-generate)",INDIRECT("'"&amp;$A8&amp;"'!$A$12:$Z$12"),0),0)="","?",VLOOKUP(N$1,INDIRECT("'"&amp;$A8&amp;"'!$A$12:$Z$41"),MATCH("Points (Auto-generate)",INDIRECT("'"&amp;$A8&amp;"'!$A$12:$Z$12"),0),0)),"ER"))</f>
        <v>?</v>
      </c>
      <c r="O8" s="83" t="str">
        <f aca="true">IF($H8=0,"NA",IF($A8=INDIRECT("'"&amp;$A8&amp;"'!$B$1"),IF(VLOOKUP(O$1,INDIRECT("'"&amp;$A8&amp;"'!$A$12:$Z$41"),MATCH("Points (Auto-generate)",INDIRECT("'"&amp;$A8&amp;"'!$A$12:$Z$12"),0),0)="","?",VLOOKUP(O$1,INDIRECT("'"&amp;$A8&amp;"'!$A$12:$Z$41"),MATCH("Points (Auto-generate)",INDIRECT("'"&amp;$A8&amp;"'!$A$12:$Z$12"),0),0)),"ER"))</f>
        <v>?</v>
      </c>
      <c r="P8" s="83" t="str">
        <f aca="true">IF($H8=0,"NA",IF($A8=INDIRECT("'"&amp;$A8&amp;"'!$B$1"),IF(VLOOKUP(P$1,INDIRECT("'"&amp;$A8&amp;"'!$A$12:$Z$41"),MATCH("Points (Auto-generate)",INDIRECT("'"&amp;$A8&amp;"'!$A$12:$Z$12"),0),0)="","?",VLOOKUP(P$1,INDIRECT("'"&amp;$A8&amp;"'!$A$12:$Z$41"),MATCH("Points (Auto-generate)",INDIRECT("'"&amp;$A8&amp;"'!$A$12:$Z$12"),0),0)),"ER"))</f>
        <v>?</v>
      </c>
      <c r="Q8" s="83" t="str">
        <f aca="true">IF($H8=0,"NA",IF($A8=INDIRECT("'"&amp;$A8&amp;"'!$B$1"),IF(VLOOKUP(Q$1,INDIRECT("'"&amp;$A8&amp;"'!$A$12:$Z$41"),MATCH("Points (Auto-generate)",INDIRECT("'"&amp;$A8&amp;"'!$A$12:$Z$12"),0),0)="","?",VLOOKUP(Q$1,INDIRECT("'"&amp;$A8&amp;"'!$A$12:$Z$41"),MATCH("Points (Auto-generate)",INDIRECT("'"&amp;$A8&amp;"'!$A$12:$Z$12"),0),0)),"ER"))</f>
        <v>?</v>
      </c>
      <c r="R8" s="83" t="str">
        <f aca="true">IF($H8=0,"NA",IF($A8=INDIRECT("'"&amp;$A8&amp;"'!$B$1"),IF(VLOOKUP(R$1,INDIRECT("'"&amp;$A8&amp;"'!$A$12:$Z$41"),MATCH("Points (Auto-generate)",INDIRECT("'"&amp;$A8&amp;"'!$A$12:$Z$12"),0),0)="","?",VLOOKUP(R$1,INDIRECT("'"&amp;$A8&amp;"'!$A$12:$Z$41"),MATCH("Points (Auto-generate)",INDIRECT("'"&amp;$A8&amp;"'!$A$12:$Z$12"),0),0)),"ER"))</f>
        <v>?</v>
      </c>
      <c r="S8" s="83" t="str">
        <f aca="true">IF($H8=0,"NA",IF($A8=INDIRECT("'"&amp;$A8&amp;"'!$B$1"),IF(VLOOKUP(S$1,INDIRECT("'"&amp;$A8&amp;"'!$A$12:$Z$41"),MATCH("Points (Auto-generate)",INDIRECT("'"&amp;$A8&amp;"'!$A$12:$Z$12"),0),0)="","?",VLOOKUP(S$1,INDIRECT("'"&amp;$A8&amp;"'!$A$12:$Z$41"),MATCH("Points (Auto-generate)",INDIRECT("'"&amp;$A8&amp;"'!$A$12:$Z$12"),0),0)),"ER"))</f>
        <v>?</v>
      </c>
      <c r="T8" s="83" t="str">
        <f aca="true">IF($H8=0,"NA",IF($A8=INDIRECT("'"&amp;$A8&amp;"'!$B$1"),IF(VLOOKUP(T$1,INDIRECT("'"&amp;$A8&amp;"'!$A$12:$Z$41"),MATCH("Points (Auto-generate)",INDIRECT("'"&amp;$A8&amp;"'!$A$12:$Z$12"),0),0)="","?",VLOOKUP(T$1,INDIRECT("'"&amp;$A8&amp;"'!$A$12:$Z$41"),MATCH("Points (Auto-generate)",INDIRECT("'"&amp;$A8&amp;"'!$A$12:$Z$12"),0),0)),"ER"))</f>
        <v>?</v>
      </c>
      <c r="U8" s="83" t="str">
        <f aca="true">IF($H8=0,"NA",IF($A8=INDIRECT("'"&amp;$A8&amp;"'!$B$1"),IF(VLOOKUP(U$1,INDIRECT("'"&amp;$A8&amp;"'!$A$12:$Z$41"),MATCH("Points (Auto-generate)",INDIRECT("'"&amp;$A8&amp;"'!$A$12:$Z$12"),0),0)="","?",VLOOKUP(U$1,INDIRECT("'"&amp;$A8&amp;"'!$A$12:$Z$41"),MATCH("Points (Auto-generate)",INDIRECT("'"&amp;$A8&amp;"'!$A$12:$Z$12"),0),0)),"ER"))</f>
        <v>?</v>
      </c>
      <c r="V8" s="83" t="str">
        <f aca="true">IF($H8=0,"NA",IF($A8=INDIRECT("'"&amp;$A8&amp;"'!$B$1"),IF(VLOOKUP(V$1,INDIRECT("'"&amp;$A8&amp;"'!$A$12:$Z$41"),MATCH("Points (Auto-generate)",INDIRECT("'"&amp;$A8&amp;"'!$A$12:$Z$12"),0),0)="","?",VLOOKUP(V$1,INDIRECT("'"&amp;$A8&amp;"'!$A$12:$Z$41"),MATCH("Points (Auto-generate)",INDIRECT("'"&amp;$A8&amp;"'!$A$12:$Z$12"),0),0)),"ER"))</f>
        <v>?</v>
      </c>
      <c r="W8" s="83" t="str">
        <f aca="true">IF($H8=0,"NA",IF($A8=INDIRECT("'"&amp;$A8&amp;"'!$B$1"),IF(VLOOKUP(W$1,INDIRECT("'"&amp;$A8&amp;"'!$A$12:$Z$41"),MATCH("Points (Auto-generate)",INDIRECT("'"&amp;$A8&amp;"'!$A$12:$Z$12"),0),0)="","?",VLOOKUP(W$1,INDIRECT("'"&amp;$A8&amp;"'!$A$12:$Z$41"),MATCH("Points (Auto-generate)",INDIRECT("'"&amp;$A8&amp;"'!$A$12:$Z$12"),0),0)),"ER"))</f>
        <v>?</v>
      </c>
      <c r="X8" s="83" t="str">
        <f aca="true">IF($H8=0,"NA",IF($A8=INDIRECT("'"&amp;$A8&amp;"'!$B$1"),IF(VLOOKUP(X$1,INDIRECT("'"&amp;$A8&amp;"'!$A$12:$Z$41"),MATCH("Points (Auto-generate)",INDIRECT("'"&amp;$A8&amp;"'!$A$12:$Z$12"),0),0)="","?",VLOOKUP(X$1,INDIRECT("'"&amp;$A8&amp;"'!$A$12:$Z$41"),MATCH("Points (Auto-generate)",INDIRECT("'"&amp;$A8&amp;"'!$A$12:$Z$12"),0),0)),"ER"))</f>
        <v>?</v>
      </c>
      <c r="Y8" s="83" t="str">
        <f aca="true">IF($H8=0,"NA",IF($A8=INDIRECT("'"&amp;$A8&amp;"'!$B$1"),IF(VLOOKUP(Y$1,INDIRECT("'"&amp;$A8&amp;"'!$A$12:$Z$41"),MATCH("Points (Auto-generate)",INDIRECT("'"&amp;$A8&amp;"'!$A$12:$Z$12"),0),0)="","?",VLOOKUP(Y$1,INDIRECT("'"&amp;$A8&amp;"'!$A$12:$Z$41"),MATCH("Points (Auto-generate)",INDIRECT("'"&amp;$A8&amp;"'!$A$12:$Z$12"),0),0)),"ER"))</f>
        <v>?</v>
      </c>
      <c r="Z8" s="83" t="str">
        <f aca="true">IF($H8=0,"NA",IF($A8=INDIRECT("'"&amp;$A8&amp;"'!$B$1"),IF(VLOOKUP(Z$1,INDIRECT("'"&amp;$A8&amp;"'!$A$12:$Z$41"),MATCH("Points (Auto-generate)",INDIRECT("'"&amp;$A8&amp;"'!$A$12:$Z$12"),0),0)="","?",VLOOKUP(Z$1,INDIRECT("'"&amp;$A8&amp;"'!$A$12:$Z$41"),MATCH("Points (Auto-generate)",INDIRECT("'"&amp;$A8&amp;"'!$A$12:$Z$12"),0),0)),"ER"))</f>
        <v>?</v>
      </c>
      <c r="AA8" s="83" t="str">
        <f aca="true">IF($H8=0,"NA",IF($A8=INDIRECT("'"&amp;$A8&amp;"'!$B$1"),IF(VLOOKUP(AA$1,INDIRECT("'"&amp;$A8&amp;"'!$A$12:$Z$41"),MATCH("Points (Auto-generate)",INDIRECT("'"&amp;$A8&amp;"'!$A$12:$Z$12"),0),0)="","?",VLOOKUP(AA$1,INDIRECT("'"&amp;$A8&amp;"'!$A$12:$Z$41"),MATCH("Points (Auto-generate)",INDIRECT("'"&amp;$A8&amp;"'!$A$12:$Z$12"),0),0)),"ER"))</f>
        <v>?</v>
      </c>
      <c r="AB8" s="83" t="str">
        <f aca="true">IF($H8=0,"NA",IF($A8=INDIRECT("'"&amp;$A8&amp;"'!$B$1"),IF(VLOOKUP(AB$1,INDIRECT("'"&amp;$A8&amp;"'!$A$12:$Z$41"),MATCH("Points (Auto-generate)",INDIRECT("'"&amp;$A8&amp;"'!$A$12:$Z$12"),0),0)="","?",VLOOKUP(AB$1,INDIRECT("'"&amp;$A8&amp;"'!$A$12:$Z$41"),MATCH("Points (Auto-generate)",INDIRECT("'"&amp;$A8&amp;"'!$A$12:$Z$12"),0),0)),"ER"))</f>
        <v>?</v>
      </c>
      <c r="AC8" s="83" t="str">
        <f aca="true">IF($H8=0,"NA",IF($A8=INDIRECT("'"&amp;$A8&amp;"'!$B$1"),IF(VLOOKUP(AC$1,INDIRECT("'"&amp;$A8&amp;"'!$A$12:$Z$41"),MATCH("Points (Auto-generate)",INDIRECT("'"&amp;$A8&amp;"'!$A$12:$Z$12"),0),0)="","?",VLOOKUP(AC$1,INDIRECT("'"&amp;$A8&amp;"'!$A$12:$Z$41"),MATCH("Points (Auto-generate)",INDIRECT("'"&amp;$A8&amp;"'!$A$12:$Z$12"),0),0)),"ER"))</f>
        <v>?</v>
      </c>
      <c r="AD8" s="83" t="str">
        <f aca="true">IF($H8=0,"NA",IF($A8=INDIRECT("'"&amp;$A8&amp;"'!$B$1"),IF(VLOOKUP(AD$1,INDIRECT("'"&amp;$A8&amp;"'!$A$12:$Z$41"),MATCH("Points (Auto-generate)",INDIRECT("'"&amp;$A8&amp;"'!$A$12:$Z$12"),0),0)="","?",VLOOKUP(AD$1,INDIRECT("'"&amp;$A8&amp;"'!$A$12:$Z$41"),MATCH("Points (Auto-generate)",INDIRECT("'"&amp;$A8&amp;"'!$A$12:$Z$12"),0),0)),"ER"))</f>
        <v>?</v>
      </c>
      <c r="AE8" s="83" t="str">
        <f aca="true">IF($H8=0,"NA",IF($A8=INDIRECT("'"&amp;$A8&amp;"'!$B$1"),IF(VLOOKUP(AE$1,INDIRECT("'"&amp;$A8&amp;"'!$A$12:$Z$41"),MATCH("Points (Auto-generate)",INDIRECT("'"&amp;$A8&amp;"'!$A$12:$Z$12"),0),0)="","?",VLOOKUP(AE$1,INDIRECT("'"&amp;$A8&amp;"'!$A$12:$Z$41"),MATCH("Points (Auto-generate)",INDIRECT("'"&amp;$A8&amp;"'!$A$12:$Z$12"),0),0)),"ER"))</f>
        <v>?</v>
      </c>
      <c r="AF8" s="83" t="str">
        <f aca="true">IF($H8=0,"NA",IF($A8=INDIRECT("'"&amp;$A8&amp;"'!$B$1"),IF(VLOOKUP(AF$1,INDIRECT("'"&amp;$A8&amp;"'!$A$12:$Z$41"),MATCH("Points (Auto-generate)",INDIRECT("'"&amp;$A8&amp;"'!$A$12:$Z$12"),0),0)="","?",VLOOKUP(AF$1,INDIRECT("'"&amp;$A8&amp;"'!$A$12:$Z$41"),MATCH("Points (Auto-generate)",INDIRECT("'"&amp;$A8&amp;"'!$A$12:$Z$12"),0),0)),"ER"))</f>
        <v>?</v>
      </c>
      <c r="AG8" s="83" t="str">
        <f aca="true">IF($H8=0,"NA",IF($A8=INDIRECT("'"&amp;$A8&amp;"'!$B$1"),IF(VLOOKUP(AG$1,INDIRECT("'"&amp;$A8&amp;"'!$A$12:$Z$41"),MATCH("Points (Auto-generate)",INDIRECT("'"&amp;$A8&amp;"'!$A$12:$Z$12"),0),0)="","?",VLOOKUP(AG$1,INDIRECT("'"&amp;$A8&amp;"'!$A$12:$Z$41"),MATCH("Points (Auto-generate)",INDIRECT("'"&amp;$A8&amp;"'!$A$12:$Z$12"),0),0)),"ER"))</f>
        <v>?</v>
      </c>
      <c r="AH8" s="83" t="str">
        <f aca="true">IF($H8=0,"NA",IF($A8=INDIRECT("'"&amp;$A8&amp;"'!$B$1"),IF(VLOOKUP(AH$1,INDIRECT("'"&amp;$A8&amp;"'!$A$12:$Z$41"),MATCH("Points (Auto-generate)",INDIRECT("'"&amp;$A8&amp;"'!$A$12:$Z$12"),0),0)="","?",VLOOKUP(AH$1,INDIRECT("'"&amp;$A8&amp;"'!$A$12:$Z$41"),MATCH("Points (Auto-generate)",INDIRECT("'"&amp;$A8&amp;"'!$A$12:$Z$12"),0),0)),"ER"))</f>
        <v>?</v>
      </c>
      <c r="AI8" s="83" t="str">
        <f aca="true">IF($H8=0,"NA",IF($A8=INDIRECT("'"&amp;$A8&amp;"'!$B$1"),IF(VLOOKUP(AI$1,INDIRECT("'"&amp;$A8&amp;"'!$A$12:$Z$41"),MATCH("Points (Auto-generate)",INDIRECT("'"&amp;$A8&amp;"'!$A$12:$Z$12"),0),0)="","?",VLOOKUP(AI$1,INDIRECT("'"&amp;$A8&amp;"'!$A$12:$Z$41"),MATCH("Points (Auto-generate)",INDIRECT("'"&amp;$A8&amp;"'!$A$12:$Z$12"),0),0)),"ER"))</f>
        <v>?</v>
      </c>
      <c r="AJ8" s="83" t="str">
        <f aca="true">IF($H8=0,"NA",IF($A8=INDIRECT("'"&amp;$A8&amp;"'!$B$1"),IF(VLOOKUP(AJ$1,INDIRECT("'"&amp;$A8&amp;"'!$A$12:$Z$41"),MATCH("Points (Auto-generate)",INDIRECT("'"&amp;$A8&amp;"'!$A$12:$Z$12"),0),0)="","?",VLOOKUP(AJ$1,INDIRECT("'"&amp;$A8&amp;"'!$A$12:$Z$41"),MATCH("Points (Auto-generate)",INDIRECT("'"&amp;$A8&amp;"'!$A$12:$Z$12"),0),0)),"ER"))</f>
        <v>?</v>
      </c>
      <c r="AK8" s="83" t="str">
        <f aca="true">IF($H8=0,"NA",IF($A8=INDIRECT("'"&amp;$A8&amp;"'!$B$1"),IF(VLOOKUP(AK$1,INDIRECT("'"&amp;$A8&amp;"'!$A$12:$Z$41"),MATCH("Points (Auto-generate)",INDIRECT("'"&amp;$A8&amp;"'!$A$12:$Z$12"),0),0)="","?",VLOOKUP(AK$1,INDIRECT("'"&amp;$A8&amp;"'!$A$12:$Z$41"),MATCH("Points (Auto-generate)",INDIRECT("'"&amp;$A8&amp;"'!$A$12:$Z$12"),0),0)),"ER"))</f>
        <v>?</v>
      </c>
    </row>
    <row r="9" customFormat="false" ht="25.5" hidden="false" customHeight="true" outlineLevel="0" collapsed="false">
      <c r="A9" s="79" t="s">
        <v>53</v>
      </c>
      <c r="B9" s="80" t="str">
        <f aca="false">IF(ISBLANK($A9),"NO_CODE",VLOOKUP($A9,'UPD Questions_290926 '!$E$1:$N$300,MATCH(B$1,'UPD Questions_290926 '!$E$1:$N$1,0),0)&amp;"")</f>
        <v>Planning </v>
      </c>
      <c r="C9" s="81" t="str">
        <f aca="false">IF(ISBLANK($A9),"NO_CODE",VLOOKUP($A9,'UPD Questions_290926 '!$E$1:$N$300,MATCH(C$1,'UPD Questions_290926 '!$E$1:$N$1,0),0)&amp;"")</f>
        <v>Legal and institutional planning architecture</v>
      </c>
      <c r="D9" s="80" t="str">
        <f aca="false">IF(ISBLANK($A9),"NO_CODE",VLOOKUP($A9,'UPD Questions_290926 '!$E$1:$N$300,MATCH(D$1,'UPD Questions_290926 '!$E$1:$N$1,0),0)&amp;"")</f>
        <v>Spatial planning hierarchy</v>
      </c>
      <c r="E9" s="80" t="str">
        <f aca="false">IF(ISBLANK($A9),"NO_CODE",VLOOKUP($A9,'UPD Questions_290926 '!$E$1:$N$300,MATCH(E$1,'UPD Questions_290926 '!$E$1:$N$1,0),0)&amp;"")</f>
        <v>MQ</v>
      </c>
      <c r="F9" s="80" t="str">
        <f aca="false">IF(ISBLANK($A9),"NO_CODE",VLOOKUP($A9,'UPD Questions_290926 '!$E$1:$N$300,MATCH(F$1,'UPD Questions_290926 '!$E$1:$N$1,0),0)&amp;"")</f>
        <v>Is the planning boundary of the municipal/city plan aligned with political and administrative boundaries?</v>
      </c>
      <c r="G9" s="80" t="str">
        <f aca="false">IF(ISBLANK($A9),"NO_CODE",VLOOKUP($A9,'UPD Questions_290926 '!$E$1:$N$300,MATCH(G$1,'UPD Questions_290926 '!$E$1:$N$1,0),0)&amp;"")</f>
        <v>Law or Policy</v>
      </c>
      <c r="H9" s="82" t="n">
        <f aca="false">IF(ISBLANK($A9),"NO_CODE",VLOOKUP($A9,'UPD Questions_290926 '!$E$1:$N$300,MATCH(H$1,'UPD Questions_290926 '!$E$1:$N$1,0),0))</f>
        <v>10</v>
      </c>
      <c r="I9" s="83" t="str">
        <f aca="true">IF($H9=0,"NA",IF($A9=INDIRECT("'"&amp;$A9&amp;"'!$B$1"),IF(VLOOKUP(I$1,INDIRECT("'"&amp;$A9&amp;"'!$A$12:$Z$41"),MATCH("Points (Auto-generate)",INDIRECT("'"&amp;$A9&amp;"'!$A$12:$Z$12"),0),0)="","?",VLOOKUP(I$1,INDIRECT("'"&amp;$A9&amp;"'!$A$12:$Z$41"),MATCH("Points (Auto-generate)",INDIRECT("'"&amp;$A9&amp;"'!$A$12:$Z$12"),0),0)),"ER"))</f>
        <v>?</v>
      </c>
      <c r="J9" s="83" t="n">
        <f aca="true">IF($H9=0,"NA",IF($A9=INDIRECT("'"&amp;$A9&amp;"'!$B$1"),IF(VLOOKUP(J$1,INDIRECT("'"&amp;$A9&amp;"'!$A$12:$Z$41"),MATCH("Points (Auto-generate)",INDIRECT("'"&amp;$A9&amp;"'!$A$12:$Z$12"),0),0)="","?",VLOOKUP(J$1,INDIRECT("'"&amp;$A9&amp;"'!$A$12:$Z$41"),MATCH("Points (Auto-generate)",INDIRECT("'"&amp;$A9&amp;"'!$A$12:$Z$12"),0),0)),"ER"))</f>
        <v>10</v>
      </c>
      <c r="K9" s="83" t="str">
        <f aca="true">IF($H9=0,"NA",IF($A9=INDIRECT("'"&amp;$A9&amp;"'!$B$1"),IF(VLOOKUP(K$1,INDIRECT("'"&amp;$A9&amp;"'!$A$12:$Z$41"),MATCH("Points (Auto-generate)",INDIRECT("'"&amp;$A9&amp;"'!$A$12:$Z$12"),0),0)="","?",VLOOKUP(K$1,INDIRECT("'"&amp;$A9&amp;"'!$A$12:$Z$41"),MATCH("Points (Auto-generate)",INDIRECT("'"&amp;$A9&amp;"'!$A$12:$Z$12"),0),0)),"ER"))</f>
        <v>?</v>
      </c>
      <c r="L9" s="83" t="str">
        <f aca="true">IF($H9=0,"NA",IF($A9=INDIRECT("'"&amp;$A9&amp;"'!$B$1"),IF(VLOOKUP(L$1,INDIRECT("'"&amp;$A9&amp;"'!$A$12:$Z$41"),MATCH("Points (Auto-generate)",INDIRECT("'"&amp;$A9&amp;"'!$A$12:$Z$12"),0),0)="","?",VLOOKUP(L$1,INDIRECT("'"&amp;$A9&amp;"'!$A$12:$Z$41"),MATCH("Points (Auto-generate)",INDIRECT("'"&amp;$A9&amp;"'!$A$12:$Z$12"),0),0)),"ER"))</f>
        <v>?</v>
      </c>
      <c r="M9" s="83" t="str">
        <f aca="true">IF($H9=0,"NA",IF($A9=INDIRECT("'"&amp;$A9&amp;"'!$B$1"),IF(VLOOKUP(M$1,INDIRECT("'"&amp;$A9&amp;"'!$A$12:$Z$41"),MATCH("Points (Auto-generate)",INDIRECT("'"&amp;$A9&amp;"'!$A$12:$Z$12"),0),0)="","?",VLOOKUP(M$1,INDIRECT("'"&amp;$A9&amp;"'!$A$12:$Z$41"),MATCH("Points (Auto-generate)",INDIRECT("'"&amp;$A9&amp;"'!$A$12:$Z$12"),0),0)),"ER"))</f>
        <v>?</v>
      </c>
      <c r="N9" s="83" t="str">
        <f aca="true">IF($H9=0,"NA",IF($A9=INDIRECT("'"&amp;$A9&amp;"'!$B$1"),IF(VLOOKUP(N$1,INDIRECT("'"&amp;$A9&amp;"'!$A$12:$Z$41"),MATCH("Points (Auto-generate)",INDIRECT("'"&amp;$A9&amp;"'!$A$12:$Z$12"),0),0)="","?",VLOOKUP(N$1,INDIRECT("'"&amp;$A9&amp;"'!$A$12:$Z$41"),MATCH("Points (Auto-generate)",INDIRECT("'"&amp;$A9&amp;"'!$A$12:$Z$12"),0),0)),"ER"))</f>
        <v>?</v>
      </c>
      <c r="O9" s="83" t="str">
        <f aca="true">IF($H9=0,"NA",IF($A9=INDIRECT("'"&amp;$A9&amp;"'!$B$1"),IF(VLOOKUP(O$1,INDIRECT("'"&amp;$A9&amp;"'!$A$12:$Z$41"),MATCH("Points (Auto-generate)",INDIRECT("'"&amp;$A9&amp;"'!$A$12:$Z$12"),0),0)="","?",VLOOKUP(O$1,INDIRECT("'"&amp;$A9&amp;"'!$A$12:$Z$41"),MATCH("Points (Auto-generate)",INDIRECT("'"&amp;$A9&amp;"'!$A$12:$Z$12"),0),0)),"ER"))</f>
        <v>?</v>
      </c>
      <c r="P9" s="83" t="str">
        <f aca="true">IF($H9=0,"NA",IF($A9=INDIRECT("'"&amp;$A9&amp;"'!$B$1"),IF(VLOOKUP(P$1,INDIRECT("'"&amp;$A9&amp;"'!$A$12:$Z$41"),MATCH("Points (Auto-generate)",INDIRECT("'"&amp;$A9&amp;"'!$A$12:$Z$12"),0),0)="","?",VLOOKUP(P$1,INDIRECT("'"&amp;$A9&amp;"'!$A$12:$Z$41"),MATCH("Points (Auto-generate)",INDIRECT("'"&amp;$A9&amp;"'!$A$12:$Z$12"),0),0)),"ER"))</f>
        <v>?</v>
      </c>
      <c r="Q9" s="83" t="str">
        <f aca="true">IF($H9=0,"NA",IF($A9=INDIRECT("'"&amp;$A9&amp;"'!$B$1"),IF(VLOOKUP(Q$1,INDIRECT("'"&amp;$A9&amp;"'!$A$12:$Z$41"),MATCH("Points (Auto-generate)",INDIRECT("'"&amp;$A9&amp;"'!$A$12:$Z$12"),0),0)="","?",VLOOKUP(Q$1,INDIRECT("'"&amp;$A9&amp;"'!$A$12:$Z$41"),MATCH("Points (Auto-generate)",INDIRECT("'"&amp;$A9&amp;"'!$A$12:$Z$12"),0),0)),"ER"))</f>
        <v>?</v>
      </c>
      <c r="R9" s="83" t="str">
        <f aca="true">IF($H9=0,"NA",IF($A9=INDIRECT("'"&amp;$A9&amp;"'!$B$1"),IF(VLOOKUP(R$1,INDIRECT("'"&amp;$A9&amp;"'!$A$12:$Z$41"),MATCH("Points (Auto-generate)",INDIRECT("'"&amp;$A9&amp;"'!$A$12:$Z$12"),0),0)="","?",VLOOKUP(R$1,INDIRECT("'"&amp;$A9&amp;"'!$A$12:$Z$41"),MATCH("Points (Auto-generate)",INDIRECT("'"&amp;$A9&amp;"'!$A$12:$Z$12"),0),0)),"ER"))</f>
        <v>?</v>
      </c>
      <c r="S9" s="83" t="str">
        <f aca="true">IF($H9=0,"NA",IF($A9=INDIRECT("'"&amp;$A9&amp;"'!$B$1"),IF(VLOOKUP(S$1,INDIRECT("'"&amp;$A9&amp;"'!$A$12:$Z$41"),MATCH("Points (Auto-generate)",INDIRECT("'"&amp;$A9&amp;"'!$A$12:$Z$12"),0),0)="","?",VLOOKUP(S$1,INDIRECT("'"&amp;$A9&amp;"'!$A$12:$Z$41"),MATCH("Points (Auto-generate)",INDIRECT("'"&amp;$A9&amp;"'!$A$12:$Z$12"),0),0)),"ER"))</f>
        <v>?</v>
      </c>
      <c r="T9" s="83" t="str">
        <f aca="true">IF($H9=0,"NA",IF($A9=INDIRECT("'"&amp;$A9&amp;"'!$B$1"),IF(VLOOKUP(T$1,INDIRECT("'"&amp;$A9&amp;"'!$A$12:$Z$41"),MATCH("Points (Auto-generate)",INDIRECT("'"&amp;$A9&amp;"'!$A$12:$Z$12"),0),0)="","?",VLOOKUP(T$1,INDIRECT("'"&amp;$A9&amp;"'!$A$12:$Z$41"),MATCH("Points (Auto-generate)",INDIRECT("'"&amp;$A9&amp;"'!$A$12:$Z$12"),0),0)),"ER"))</f>
        <v>?</v>
      </c>
      <c r="U9" s="83" t="str">
        <f aca="true">IF($H9=0,"NA",IF($A9=INDIRECT("'"&amp;$A9&amp;"'!$B$1"),IF(VLOOKUP(U$1,INDIRECT("'"&amp;$A9&amp;"'!$A$12:$Z$41"),MATCH("Points (Auto-generate)",INDIRECT("'"&amp;$A9&amp;"'!$A$12:$Z$12"),0),0)="","?",VLOOKUP(U$1,INDIRECT("'"&amp;$A9&amp;"'!$A$12:$Z$41"),MATCH("Points (Auto-generate)",INDIRECT("'"&amp;$A9&amp;"'!$A$12:$Z$12"),0),0)),"ER"))</f>
        <v>?</v>
      </c>
      <c r="V9" s="83" t="str">
        <f aca="true">IF($H9=0,"NA",IF($A9=INDIRECT("'"&amp;$A9&amp;"'!$B$1"),IF(VLOOKUP(V$1,INDIRECT("'"&amp;$A9&amp;"'!$A$12:$Z$41"),MATCH("Points (Auto-generate)",INDIRECT("'"&amp;$A9&amp;"'!$A$12:$Z$12"),0),0)="","?",VLOOKUP(V$1,INDIRECT("'"&amp;$A9&amp;"'!$A$12:$Z$41"),MATCH("Points (Auto-generate)",INDIRECT("'"&amp;$A9&amp;"'!$A$12:$Z$12"),0),0)),"ER"))</f>
        <v>?</v>
      </c>
      <c r="W9" s="83" t="str">
        <f aca="true">IF($H9=0,"NA",IF($A9=INDIRECT("'"&amp;$A9&amp;"'!$B$1"),IF(VLOOKUP(W$1,INDIRECT("'"&amp;$A9&amp;"'!$A$12:$Z$41"),MATCH("Points (Auto-generate)",INDIRECT("'"&amp;$A9&amp;"'!$A$12:$Z$12"),0),0)="","?",VLOOKUP(W$1,INDIRECT("'"&amp;$A9&amp;"'!$A$12:$Z$41"),MATCH("Points (Auto-generate)",INDIRECT("'"&amp;$A9&amp;"'!$A$12:$Z$12"),0),0)),"ER"))</f>
        <v>?</v>
      </c>
      <c r="X9" s="83" t="str">
        <f aca="true">IF($H9=0,"NA",IF($A9=INDIRECT("'"&amp;$A9&amp;"'!$B$1"),IF(VLOOKUP(X$1,INDIRECT("'"&amp;$A9&amp;"'!$A$12:$Z$41"),MATCH("Points (Auto-generate)",INDIRECT("'"&amp;$A9&amp;"'!$A$12:$Z$12"),0),0)="","?",VLOOKUP(X$1,INDIRECT("'"&amp;$A9&amp;"'!$A$12:$Z$41"),MATCH("Points (Auto-generate)",INDIRECT("'"&amp;$A9&amp;"'!$A$12:$Z$12"),0),0)),"ER"))</f>
        <v>?</v>
      </c>
      <c r="Y9" s="83" t="str">
        <f aca="true">IF($H9=0,"NA",IF($A9=INDIRECT("'"&amp;$A9&amp;"'!$B$1"),IF(VLOOKUP(Y$1,INDIRECT("'"&amp;$A9&amp;"'!$A$12:$Z$41"),MATCH("Points (Auto-generate)",INDIRECT("'"&amp;$A9&amp;"'!$A$12:$Z$12"),0),0)="","?",VLOOKUP(Y$1,INDIRECT("'"&amp;$A9&amp;"'!$A$12:$Z$41"),MATCH("Points (Auto-generate)",INDIRECT("'"&amp;$A9&amp;"'!$A$12:$Z$12"),0),0)),"ER"))</f>
        <v>?</v>
      </c>
      <c r="Z9" s="83" t="str">
        <f aca="true">IF($H9=0,"NA",IF($A9=INDIRECT("'"&amp;$A9&amp;"'!$B$1"),IF(VLOOKUP(Z$1,INDIRECT("'"&amp;$A9&amp;"'!$A$12:$Z$41"),MATCH("Points (Auto-generate)",INDIRECT("'"&amp;$A9&amp;"'!$A$12:$Z$12"),0),0)="","?",VLOOKUP(Z$1,INDIRECT("'"&amp;$A9&amp;"'!$A$12:$Z$41"),MATCH("Points (Auto-generate)",INDIRECT("'"&amp;$A9&amp;"'!$A$12:$Z$12"),0),0)),"ER"))</f>
        <v>?</v>
      </c>
      <c r="AA9" s="83" t="str">
        <f aca="true">IF($H9=0,"NA",IF($A9=INDIRECT("'"&amp;$A9&amp;"'!$B$1"),IF(VLOOKUP(AA$1,INDIRECT("'"&amp;$A9&amp;"'!$A$12:$Z$41"),MATCH("Points (Auto-generate)",INDIRECT("'"&amp;$A9&amp;"'!$A$12:$Z$12"),0),0)="","?",VLOOKUP(AA$1,INDIRECT("'"&amp;$A9&amp;"'!$A$12:$Z$41"),MATCH("Points (Auto-generate)",INDIRECT("'"&amp;$A9&amp;"'!$A$12:$Z$12"),0),0)),"ER"))</f>
        <v>?</v>
      </c>
      <c r="AB9" s="83" t="str">
        <f aca="true">IF($H9=0,"NA",IF($A9=INDIRECT("'"&amp;$A9&amp;"'!$B$1"),IF(VLOOKUP(AB$1,INDIRECT("'"&amp;$A9&amp;"'!$A$12:$Z$41"),MATCH("Points (Auto-generate)",INDIRECT("'"&amp;$A9&amp;"'!$A$12:$Z$12"),0),0)="","?",VLOOKUP(AB$1,INDIRECT("'"&amp;$A9&amp;"'!$A$12:$Z$41"),MATCH("Points (Auto-generate)",INDIRECT("'"&amp;$A9&amp;"'!$A$12:$Z$12"),0),0)),"ER"))</f>
        <v>?</v>
      </c>
      <c r="AC9" s="83" t="n">
        <f aca="true">IF($H9=0,"NA",IF($A9=INDIRECT("'"&amp;$A9&amp;"'!$B$1"),IF(VLOOKUP(AC$1,INDIRECT("'"&amp;$A9&amp;"'!$A$12:$Z$41"),MATCH("Points (Auto-generate)",INDIRECT("'"&amp;$A9&amp;"'!$A$12:$Z$12"),0),0)="","?",VLOOKUP(AC$1,INDIRECT("'"&amp;$A9&amp;"'!$A$12:$Z$41"),MATCH("Points (Auto-generate)",INDIRECT("'"&amp;$A9&amp;"'!$A$12:$Z$12"),0),0)),"ER"))</f>
        <v>0</v>
      </c>
      <c r="AD9" s="83" t="str">
        <f aca="true">IF($H9=0,"NA",IF($A9=INDIRECT("'"&amp;$A9&amp;"'!$B$1"),IF(VLOOKUP(AD$1,INDIRECT("'"&amp;$A9&amp;"'!$A$12:$Z$41"),MATCH("Points (Auto-generate)",INDIRECT("'"&amp;$A9&amp;"'!$A$12:$Z$12"),0),0)="","?",VLOOKUP(AD$1,INDIRECT("'"&amp;$A9&amp;"'!$A$12:$Z$41"),MATCH("Points (Auto-generate)",INDIRECT("'"&amp;$A9&amp;"'!$A$12:$Z$12"),0),0)),"ER"))</f>
        <v>?</v>
      </c>
      <c r="AE9" s="83" t="str">
        <f aca="true">IF($H9=0,"NA",IF($A9=INDIRECT("'"&amp;$A9&amp;"'!$B$1"),IF(VLOOKUP(AE$1,INDIRECT("'"&amp;$A9&amp;"'!$A$12:$Z$41"),MATCH("Points (Auto-generate)",INDIRECT("'"&amp;$A9&amp;"'!$A$12:$Z$12"),0),0)="","?",VLOOKUP(AE$1,INDIRECT("'"&amp;$A9&amp;"'!$A$12:$Z$41"),MATCH("Points (Auto-generate)",INDIRECT("'"&amp;$A9&amp;"'!$A$12:$Z$12"),0),0)),"ER"))</f>
        <v>?</v>
      </c>
      <c r="AF9" s="83" t="str">
        <f aca="true">IF($H9=0,"NA",IF($A9=INDIRECT("'"&amp;$A9&amp;"'!$B$1"),IF(VLOOKUP(AF$1,INDIRECT("'"&amp;$A9&amp;"'!$A$12:$Z$41"),MATCH("Points (Auto-generate)",INDIRECT("'"&amp;$A9&amp;"'!$A$12:$Z$12"),0),0)="","?",VLOOKUP(AF$1,INDIRECT("'"&amp;$A9&amp;"'!$A$12:$Z$41"),MATCH("Points (Auto-generate)",INDIRECT("'"&amp;$A9&amp;"'!$A$12:$Z$12"),0),0)),"ER"))</f>
        <v>?</v>
      </c>
      <c r="AG9" s="83" t="str">
        <f aca="true">IF($H9=0,"NA",IF($A9=INDIRECT("'"&amp;$A9&amp;"'!$B$1"),IF(VLOOKUP(AG$1,INDIRECT("'"&amp;$A9&amp;"'!$A$12:$Z$41"),MATCH("Points (Auto-generate)",INDIRECT("'"&amp;$A9&amp;"'!$A$12:$Z$12"),0),0)="","?",VLOOKUP(AG$1,INDIRECT("'"&amp;$A9&amp;"'!$A$12:$Z$41"),MATCH("Points (Auto-generate)",INDIRECT("'"&amp;$A9&amp;"'!$A$12:$Z$12"),0),0)),"ER"))</f>
        <v>?</v>
      </c>
      <c r="AH9" s="83" t="str">
        <f aca="true">IF($H9=0,"NA",IF($A9=INDIRECT("'"&amp;$A9&amp;"'!$B$1"),IF(VLOOKUP(AH$1,INDIRECT("'"&amp;$A9&amp;"'!$A$12:$Z$41"),MATCH("Points (Auto-generate)",INDIRECT("'"&amp;$A9&amp;"'!$A$12:$Z$12"),0),0)="","?",VLOOKUP(AH$1,INDIRECT("'"&amp;$A9&amp;"'!$A$12:$Z$41"),MATCH("Points (Auto-generate)",INDIRECT("'"&amp;$A9&amp;"'!$A$12:$Z$12"),0),0)),"ER"))</f>
        <v>?</v>
      </c>
      <c r="AI9" s="83" t="str">
        <f aca="true">IF($H9=0,"NA",IF($A9=INDIRECT("'"&amp;$A9&amp;"'!$B$1"),IF(VLOOKUP(AI$1,INDIRECT("'"&amp;$A9&amp;"'!$A$12:$Z$41"),MATCH("Points (Auto-generate)",INDIRECT("'"&amp;$A9&amp;"'!$A$12:$Z$12"),0),0)="","?",VLOOKUP(AI$1,INDIRECT("'"&amp;$A9&amp;"'!$A$12:$Z$41"),MATCH("Points (Auto-generate)",INDIRECT("'"&amp;$A9&amp;"'!$A$12:$Z$12"),0),0)),"ER"))</f>
        <v>?</v>
      </c>
      <c r="AJ9" s="83" t="str">
        <f aca="true">IF($H9=0,"NA",IF($A9=INDIRECT("'"&amp;$A9&amp;"'!$B$1"),IF(VLOOKUP(AJ$1,INDIRECT("'"&amp;$A9&amp;"'!$A$12:$Z$41"),MATCH("Points (Auto-generate)",INDIRECT("'"&amp;$A9&amp;"'!$A$12:$Z$12"),0),0)="","?",VLOOKUP(AJ$1,INDIRECT("'"&amp;$A9&amp;"'!$A$12:$Z$41"),MATCH("Points (Auto-generate)",INDIRECT("'"&amp;$A9&amp;"'!$A$12:$Z$12"),0),0)),"ER"))</f>
        <v>?</v>
      </c>
      <c r="AK9" s="83" t="str">
        <f aca="true">IF($H9=0,"NA",IF($A9=INDIRECT("'"&amp;$A9&amp;"'!$B$1"),IF(VLOOKUP(AK$1,INDIRECT("'"&amp;$A9&amp;"'!$A$12:$Z$41"),MATCH("Points (Auto-generate)",INDIRECT("'"&amp;$A9&amp;"'!$A$12:$Z$12"),0),0)="","?",VLOOKUP(AK$1,INDIRECT("'"&amp;$A9&amp;"'!$A$12:$Z$41"),MATCH("Points (Auto-generate)",INDIRECT("'"&amp;$A9&amp;"'!$A$12:$Z$12"),0),0)),"ER"))</f>
        <v>?</v>
      </c>
    </row>
    <row r="10" customFormat="false" ht="25.5" hidden="false" customHeight="true" outlineLevel="0" collapsed="false">
      <c r="A10" s="79" t="s">
        <v>457</v>
      </c>
      <c r="B10" s="80" t="str">
        <f aca="false">IF(ISBLANK($A10),"NO_CODE",VLOOKUP($A10,'UPD Questions_290926 '!$E$1:$N$300,MATCH(B$1,'UPD Questions_290926 '!$E$1:$N$1,0),0)&amp;"")</f>
        <v>Planning </v>
      </c>
      <c r="C10" s="81" t="str">
        <f aca="false">IF(ISBLANK($A10),"NO_CODE",VLOOKUP($A10,'UPD Questions_290926 '!$E$1:$N$300,MATCH(C$1,'UPD Questions_290926 '!$E$1:$N$1,0),0)&amp;"")</f>
        <v>Legal and institutional planning architecture</v>
      </c>
      <c r="D10" s="80" t="str">
        <f aca="false">IF(ISBLANK($A10),"NO_CODE",VLOOKUP($A10,'UPD Questions_290926 '!$E$1:$N$300,MATCH(D$1,'UPD Questions_290926 '!$E$1:$N$1,0),0)&amp;"")</f>
        <v>Spatial planning hierarchy</v>
      </c>
      <c r="E10" s="80" t="str">
        <f aca="false">IF(ISBLANK($A10),"NO_CODE",VLOOKUP($A10,'UPD Questions_290926 '!$E$1:$N$300,MATCH(E$1,'UPD Questions_290926 '!$E$1:$N$1,0),0)&amp;"")</f>
        <v>MQ</v>
      </c>
      <c r="F10" s="80" t="str">
        <f aca="false">IF(ISBLANK($A10),"NO_CODE",VLOOKUP($A10,'UPD Questions_290926 '!$E$1:$N$300,MATCH(F$1,'UPD Questions_290926 '!$E$1:$N$1,0),0)&amp;"")</f>
        <v>Is there a clear decentralised procedure for approvals of each level of plans?</v>
      </c>
      <c r="G10" s="80" t="str">
        <f aca="false">IF(ISBLANK($A10),"NO_CODE",VLOOKUP($A10,'UPD Questions_290926 '!$E$1:$N$300,MATCH(G$1,'UPD Questions_290926 '!$E$1:$N$1,0),0)&amp;"")</f>
        <v>Law or Policy</v>
      </c>
      <c r="H10" s="82" t="n">
        <f aca="false">IF(ISBLANK($A10),"NO_CODE",VLOOKUP($A10,'UPD Questions_290926 '!$E$1:$N$300,MATCH(H$1,'UPD Questions_290926 '!$E$1:$N$1,0),0))</f>
        <v>10</v>
      </c>
      <c r="I10" s="83" t="str">
        <f aca="false">IF(OR(I11="ER",I12="ER",I13="ER"),"ER",IF(OR(I11="?",I12="?",I13="?"),"?",IF(AND(I11="NA",I12="NA",I13="NA"),"NA",SUM(I11,I12,I13)/((I11&lt;&gt;"NA")*$H$11+(I12&lt;&gt;"NA")*$H$12+(I13&lt;&gt;"NA")*$H$13)*$H10)))</f>
        <v>?</v>
      </c>
      <c r="J10" s="83" t="str">
        <f aca="false">IF(OR(J11="ER",J12="ER",J13="ER"),"ER",IF(OR(J11="?",J12="?",J13="?"),"?",IF(AND(J11="NA",J12="NA",J13="NA"),"NA",SUM(J11,J12,J13)/((J11&lt;&gt;"NA")*$H$11+(J12&lt;&gt;"NA")*$H$12+(J13&lt;&gt;"NA")*$H$13)*$H10)))</f>
        <v>?</v>
      </c>
      <c r="K10" s="83" t="str">
        <f aca="false">IF(OR(K11="ER",K12="ER",K13="ER"),"ER",IF(OR(K11="?",K12="?",K13="?"),"?",IF(AND(K11="NA",K12="NA",K13="NA"),"NA",SUM(K11,K12,K13)/((K11&lt;&gt;"NA")*$H$11+(K12&lt;&gt;"NA")*$H$12+(K13&lt;&gt;"NA")*$H$13)*$H10)))</f>
        <v>?</v>
      </c>
      <c r="L10" s="83" t="str">
        <f aca="false">IF(OR(L11="ER",L12="ER",L13="ER"),"ER",IF(OR(L11="?",L12="?",L13="?"),"?",IF(AND(L11="NA",L12="NA",L13="NA"),"NA",SUM(L11,L12,L13)/((L11&lt;&gt;"NA")*$H$11+(L12&lt;&gt;"NA")*$H$12+(L13&lt;&gt;"NA")*$H$13)*$H10)))</f>
        <v>?</v>
      </c>
      <c r="M10" s="83" t="str">
        <f aca="false">IF(OR(M11="ER",M12="ER",M13="ER"),"ER",IF(OR(M11="?",M12="?",M13="?"),"?",IF(AND(M11="NA",M12="NA",M13="NA"),"NA",SUM(M11,M12,M13)/((M11&lt;&gt;"NA")*$H$11+(M12&lt;&gt;"NA")*$H$12+(M13&lt;&gt;"NA")*$H$13)*$H10)))</f>
        <v>?</v>
      </c>
      <c r="N10" s="83" t="str">
        <f aca="false">IF(OR(N11="ER",N12="ER",N13="ER"),"ER",IF(OR(N11="?",N12="?",N13="?"),"?",IF(AND(N11="NA",N12="NA",N13="NA"),"NA",SUM(N11,N12,N13)/((N11&lt;&gt;"NA")*$H$11+(N12&lt;&gt;"NA")*$H$12+(N13&lt;&gt;"NA")*$H$13)*$H10)))</f>
        <v>?</v>
      </c>
      <c r="O10" s="83" t="str">
        <f aca="false">IF(OR(O11="ER",O12="ER",O13="ER"),"ER",IF(OR(O11="?",O12="?",O13="?"),"?",IF(AND(O11="NA",O12="NA",O13="NA"),"NA",SUM(O11,O12,O13)/((O11&lt;&gt;"NA")*$H$11+(O12&lt;&gt;"NA")*$H$12+(O13&lt;&gt;"NA")*$H$13)*$H10)))</f>
        <v>?</v>
      </c>
      <c r="P10" s="83" t="str">
        <f aca="false">IF(OR(P11="ER",P12="ER",P13="ER"),"ER",IF(OR(P11="?",P12="?",P13="?"),"?",IF(AND(P11="NA",P12="NA",P13="NA"),"NA",SUM(P11,P12,P13)/((P11&lt;&gt;"NA")*$H$11+(P12&lt;&gt;"NA")*$H$12+(P13&lt;&gt;"NA")*$H$13)*$H10)))</f>
        <v>?</v>
      </c>
      <c r="Q10" s="83" t="str">
        <f aca="false">IF(OR(Q11="ER",Q12="ER",Q13="ER"),"ER",IF(OR(Q11="?",Q12="?",Q13="?"),"?",IF(AND(Q11="NA",Q12="NA",Q13="NA"),"NA",SUM(Q11,Q12,Q13)/((Q11&lt;&gt;"NA")*$H$11+(Q12&lt;&gt;"NA")*$H$12+(Q13&lt;&gt;"NA")*$H$13)*$H10)))</f>
        <v>?</v>
      </c>
      <c r="R10" s="83" t="str">
        <f aca="false">IF(OR(R11="ER",R12="ER",R13="ER"),"ER",IF(OR(R11="?",R12="?",R13="?"),"?",IF(AND(R11="NA",R12="NA",R13="NA"),"NA",SUM(R11,R12,R13)/((R11&lt;&gt;"NA")*$H$11+(R12&lt;&gt;"NA")*$H$12+(R13&lt;&gt;"NA")*$H$13)*$H10)))</f>
        <v>?</v>
      </c>
      <c r="S10" s="83" t="str">
        <f aca="false">IF(OR(S11="ER",S12="ER",S13="ER"),"ER",IF(OR(S11="?",S12="?",S13="?"),"?",IF(AND(S11="NA",S12="NA",S13="NA"),"NA",SUM(S11,S12,S13)/((S11&lt;&gt;"NA")*$H$11+(S12&lt;&gt;"NA")*$H$12+(S13&lt;&gt;"NA")*$H$13)*$H10)))</f>
        <v>?</v>
      </c>
      <c r="T10" s="83" t="str">
        <f aca="false">IF(OR(T11="ER",T12="ER",T13="ER"),"ER",IF(OR(T11="?",T12="?",T13="?"),"?",IF(AND(T11="NA",T12="NA",T13="NA"),"NA",SUM(T11,T12,T13)/((T11&lt;&gt;"NA")*$H$11+(T12&lt;&gt;"NA")*$H$12+(T13&lt;&gt;"NA")*$H$13)*$H10)))</f>
        <v>?</v>
      </c>
      <c r="U10" s="83" t="str">
        <f aca="false">IF(OR(U11="ER",U12="ER",U13="ER"),"ER",IF(OR(U11="?",U12="?",U13="?"),"?",IF(AND(U11="NA",U12="NA",U13="NA"),"NA",SUM(U11,U12,U13)/((U11&lt;&gt;"NA")*$H$11+(U12&lt;&gt;"NA")*$H$12+(U13&lt;&gt;"NA")*$H$13)*$H10)))</f>
        <v>?</v>
      </c>
      <c r="V10" s="83" t="str">
        <f aca="false">IF(OR(V11="ER",V12="ER",V13="ER"),"ER",IF(OR(V11="?",V12="?",V13="?"),"?",IF(AND(V11="NA",V12="NA",V13="NA"),"NA",SUM(V11,V12,V13)/((V11&lt;&gt;"NA")*$H$11+(V12&lt;&gt;"NA")*$H$12+(V13&lt;&gt;"NA")*$H$13)*$H10)))</f>
        <v>?</v>
      </c>
      <c r="W10" s="83" t="str">
        <f aca="false">IF(OR(W11="ER",W12="ER",W13="ER"),"ER",IF(OR(W11="?",W12="?",W13="?"),"?",IF(AND(W11="NA",W12="NA",W13="NA"),"NA",SUM(W11,W12,W13)/((W11&lt;&gt;"NA")*$H$11+(W12&lt;&gt;"NA")*$H$12+(W13&lt;&gt;"NA")*$H$13)*$H10)))</f>
        <v>?</v>
      </c>
      <c r="X10" s="83" t="str">
        <f aca="false">IF(OR(X11="ER",X12="ER",X13="ER"),"ER",IF(OR(X11="?",X12="?",X13="?"),"?",IF(AND(X11="NA",X12="NA",X13="NA"),"NA",SUM(X11,X12,X13)/((X11&lt;&gt;"NA")*$H$11+(X12&lt;&gt;"NA")*$H$12+(X13&lt;&gt;"NA")*$H$13)*$H10)))</f>
        <v>?</v>
      </c>
      <c r="Y10" s="83" t="str">
        <f aca="false">IF(OR(Y11="ER",Y12="ER",Y13="ER"),"ER",IF(OR(Y11="?",Y12="?",Y13="?"),"?",IF(AND(Y11="NA",Y12="NA",Y13="NA"),"NA",SUM(Y11,Y12,Y13)/((Y11&lt;&gt;"NA")*$H$11+(Y12&lt;&gt;"NA")*$H$12+(Y13&lt;&gt;"NA")*$H$13)*$H10)))</f>
        <v>?</v>
      </c>
      <c r="Z10" s="83" t="str">
        <f aca="false">IF(OR(Z11="ER",Z12="ER",Z13="ER"),"ER",IF(OR(Z11="?",Z12="?",Z13="?"),"?",IF(AND(Z11="NA",Z12="NA",Z13="NA"),"NA",SUM(Z11,Z12,Z13)/((Z11&lt;&gt;"NA")*$H$11+(Z12&lt;&gt;"NA")*$H$12+(Z13&lt;&gt;"NA")*$H$13)*$H10)))</f>
        <v>?</v>
      </c>
      <c r="AA10" s="83" t="str">
        <f aca="false">IF(OR(AA11="ER",AA12="ER",AA13="ER"),"ER",IF(OR(AA11="?",AA12="?",AA13="?"),"?",IF(AND(AA11="NA",AA12="NA",AA13="NA"),"NA",SUM(AA11,AA12,AA13)/((AA11&lt;&gt;"NA")*$H$11+(AA12&lt;&gt;"NA")*$H$12+(AA13&lt;&gt;"NA")*$H$13)*$H10)))</f>
        <v>?</v>
      </c>
      <c r="AB10" s="83" t="str">
        <f aca="false">IF(OR(AB11="ER",AB12="ER",AB13="ER"),"ER",IF(OR(AB11="?",AB12="?",AB13="?"),"?",IF(AND(AB11="NA",AB12="NA",AB13="NA"),"NA",SUM(AB11,AB12,AB13)/((AB11&lt;&gt;"NA")*$H$11+(AB12&lt;&gt;"NA")*$H$12+(AB13&lt;&gt;"NA")*$H$13)*$H10)))</f>
        <v>?</v>
      </c>
      <c r="AC10" s="83" t="str">
        <f aca="false">IF(OR(AC11="ER",AC12="ER",AC13="ER"),"ER",IF(OR(AC11="?",AC12="?",AC13="?"),"?",IF(AND(AC11="NA",AC12="NA",AC13="NA"),"NA",SUM(AC11,AC12,AC13)/((AC11&lt;&gt;"NA")*$H$11+(AC12&lt;&gt;"NA")*$H$12+(AC13&lt;&gt;"NA")*$H$13)*$H10)))</f>
        <v>?</v>
      </c>
      <c r="AD10" s="83" t="str">
        <f aca="false">IF(OR(AD11="ER",AD12="ER",AD13="ER"),"ER",IF(OR(AD11="?",AD12="?",AD13="?"),"?",IF(AND(AD11="NA",AD12="NA",AD13="NA"),"NA",SUM(AD11,AD12,AD13)/((AD11&lt;&gt;"NA")*$H$11+(AD12&lt;&gt;"NA")*$H$12+(AD13&lt;&gt;"NA")*$H$13)*$H10)))</f>
        <v>?</v>
      </c>
      <c r="AE10" s="83" t="str">
        <f aca="false">IF(OR(AE11="ER",AE12="ER",AE13="ER"),"ER",IF(OR(AE11="?",AE12="?",AE13="?"),"?",IF(AND(AE11="NA",AE12="NA",AE13="NA"),"NA",SUM(AE11,AE12,AE13)/((AE11&lt;&gt;"NA")*$H$11+(AE12&lt;&gt;"NA")*$H$12+(AE13&lt;&gt;"NA")*$H$13)*$H10)))</f>
        <v>?</v>
      </c>
      <c r="AF10" s="83" t="str">
        <f aca="false">IF(OR(AF11="ER",AF12="ER",AF13="ER"),"ER",IF(OR(AF11="?",AF12="?",AF13="?"),"?",IF(AND(AF11="NA",AF12="NA",AF13="NA"),"NA",SUM(AF11,AF12,AF13)/((AF11&lt;&gt;"NA")*$H$11+(AF12&lt;&gt;"NA")*$H$12+(AF13&lt;&gt;"NA")*$H$13)*$H10)))</f>
        <v>?</v>
      </c>
      <c r="AG10" s="83" t="str">
        <f aca="false">IF(OR(AG11="ER",AG12="ER",AG13="ER"),"ER",IF(OR(AG11="?",AG12="?",AG13="?"),"?",IF(AND(AG11="NA",AG12="NA",AG13="NA"),"NA",SUM(AG11,AG12,AG13)/((AG11&lt;&gt;"NA")*$H$11+(AG12&lt;&gt;"NA")*$H$12+(AG13&lt;&gt;"NA")*$H$13)*$H10)))</f>
        <v>?</v>
      </c>
      <c r="AH10" s="83" t="str">
        <f aca="false">IF(OR(AH11="ER",AH12="ER",AH13="ER"),"ER",IF(OR(AH11="?",AH12="?",AH13="?"),"?",IF(AND(AH11="NA",AH12="NA",AH13="NA"),"NA",SUM(AH11,AH12,AH13)/((AH11&lt;&gt;"NA")*$H$11+(AH12&lt;&gt;"NA")*$H$12+(AH13&lt;&gt;"NA")*$H$13)*$H10)))</f>
        <v>?</v>
      </c>
      <c r="AI10" s="83" t="str">
        <f aca="false">IF(OR(AI11="ER",AI12="ER",AI13="ER"),"ER",IF(OR(AI11="?",AI12="?",AI13="?"),"?",IF(AND(AI11="NA",AI12="NA",AI13="NA"),"NA",SUM(AI11,AI12,AI13)/((AI11&lt;&gt;"NA")*$H$11+(AI12&lt;&gt;"NA")*$H$12+(AI13&lt;&gt;"NA")*$H$13)*$H10)))</f>
        <v>?</v>
      </c>
      <c r="AJ10" s="83" t="str">
        <f aca="false">IF(OR(AJ11="ER",AJ12="ER",AJ13="ER"),"ER",IF(OR(AJ11="?",AJ12="?",AJ13="?"),"?",IF(AND(AJ11="NA",AJ12="NA",AJ13="NA"),"NA",SUM(AJ11,AJ12,AJ13)/((AJ11&lt;&gt;"NA")*$H$11+(AJ12&lt;&gt;"NA")*$H$12+(AJ13&lt;&gt;"NA")*$H$13)*$H10)))</f>
        <v>?</v>
      </c>
      <c r="AK10" s="83" t="str">
        <f aca="false">IF(OR(AK11="ER",AK12="ER",AK13="ER"),"ER",IF(OR(AK11="?",AK12="?",AK13="?"),"?",IF(AND(AK11="NA",AK12="NA",AK13="NA"),"NA",SUM(AK11,AK12,AK13)/((AK11&lt;&gt;"NA")*$H$11+(AK12&lt;&gt;"NA")*$H$12+(AK13&lt;&gt;"NA")*$H$13)*$H10)))</f>
        <v>?</v>
      </c>
    </row>
    <row r="11" customFormat="false" ht="25.5" hidden="false" customHeight="true" outlineLevel="0" collapsed="false">
      <c r="A11" s="79" t="s">
        <v>58</v>
      </c>
      <c r="B11" s="80" t="str">
        <f aca="false">IF(ISBLANK($A11),"NO_CODE",VLOOKUP($A11,'UPD Questions_290926 '!$E$1:$N$300,MATCH(B$1,'UPD Questions_290926 '!$E$1:$N$1,0),0)&amp;"")</f>
        <v>Planning </v>
      </c>
      <c r="C11" s="81" t="str">
        <f aca="false">IF(ISBLANK($A11),"NO_CODE",VLOOKUP($A11,'UPD Questions_290926 '!$E$1:$N$300,MATCH(C$1,'UPD Questions_290926 '!$E$1:$N$1,0),0)&amp;"")</f>
        <v>Legal and institutional planning architecture</v>
      </c>
      <c r="D11" s="80" t="str">
        <f aca="false">IF(ISBLANK($A11),"NO_CODE",VLOOKUP($A11,'UPD Questions_290926 '!$E$1:$N$300,MATCH(D$1,'UPD Questions_290926 '!$E$1:$N$1,0),0)&amp;"")</f>
        <v>Spatial planning hierarchy</v>
      </c>
      <c r="E11" s="80" t="str">
        <f aca="false">IF(ISBLANK($A11),"NO_CODE",VLOOKUP($A11,'UPD Questions_290926 '!$E$1:$N$300,MATCH(E$1,'UPD Questions_290926 '!$E$1:$N$1,0),0)&amp;"")</f>
        <v>SQ</v>
      </c>
      <c r="F11" s="80" t="str">
        <f aca="false">IF(ISBLANK($A11),"NO_CODE",VLOOKUP($A11,'UPD Questions_290926 '!$E$1:$N$300,MATCH(F$1,'UPD Questions_290926 '!$E$1:$N$1,0),0)&amp;"")</f>
        <v>Does the law mandate that the metropolitan/regional plan be approved by the state government?</v>
      </c>
      <c r="G11" s="80" t="str">
        <f aca="false">IF(ISBLANK($A11),"NO_CODE",VLOOKUP($A11,'UPD Questions_290926 '!$E$1:$N$300,MATCH(G$1,'UPD Questions_290926 '!$E$1:$N$1,0),0)&amp;"")</f>
        <v>Law or Policy</v>
      </c>
      <c r="H11" s="82" t="n">
        <f aca="false">IF(ISBLANK($A11),"NO_CODE",VLOOKUP($A11,'UPD Questions_290926 '!$E$1:$N$300,MATCH(H$1,'UPD Questions_290926 '!$E$1:$N$1,0),0))</f>
        <v>3.33</v>
      </c>
      <c r="I11" s="83" t="str">
        <f aca="true">IF($H11=0,"NA",IF($A11=INDIRECT("'"&amp;$A11&amp;"'!$B$1"),IF(VLOOKUP(I$1,INDIRECT("'"&amp;$A11&amp;"'!$A$12:$Z$41"),MATCH("Points (Auto-generate)",INDIRECT("'"&amp;$A11&amp;"'!$A$12:$Z$12"),0),0)="","?",VLOOKUP(I$1,INDIRECT("'"&amp;$A11&amp;"'!$A$12:$Z$41"),MATCH("Points (Auto-generate)",INDIRECT("'"&amp;$A11&amp;"'!$A$12:$Z$12"),0),0)),"ER"))</f>
        <v>?</v>
      </c>
      <c r="J11" s="83" t="str">
        <f aca="true">IF($H11=0,"NA",IF($A11=INDIRECT("'"&amp;$A11&amp;"'!$B$1"),IF(VLOOKUP(J$1,INDIRECT("'"&amp;$A11&amp;"'!$A$12:$Z$41"),MATCH("Points (Auto-generate)",INDIRECT("'"&amp;$A11&amp;"'!$A$12:$Z$12"),0),0)="","?",VLOOKUP(J$1,INDIRECT("'"&amp;$A11&amp;"'!$A$12:$Z$41"),MATCH("Points (Auto-generate)",INDIRECT("'"&amp;$A11&amp;"'!$A$12:$Z$12"),0),0)),"ER"))</f>
        <v>?</v>
      </c>
      <c r="K11" s="83" t="str">
        <f aca="true">IF($H11=0,"NA",IF($A11=INDIRECT("'"&amp;$A11&amp;"'!$B$1"),IF(VLOOKUP(K$1,INDIRECT("'"&amp;$A11&amp;"'!$A$12:$Z$41"),MATCH("Points (Auto-generate)",INDIRECT("'"&amp;$A11&amp;"'!$A$12:$Z$12"),0),0)="","?",VLOOKUP(K$1,INDIRECT("'"&amp;$A11&amp;"'!$A$12:$Z$41"),MATCH("Points (Auto-generate)",INDIRECT("'"&amp;$A11&amp;"'!$A$12:$Z$12"),0),0)),"ER"))</f>
        <v>?</v>
      </c>
      <c r="L11" s="83" t="str">
        <f aca="true">IF($H11=0,"NA",IF($A11=INDIRECT("'"&amp;$A11&amp;"'!$B$1"),IF(VLOOKUP(L$1,INDIRECT("'"&amp;$A11&amp;"'!$A$12:$Z$41"),MATCH("Points (Auto-generate)",INDIRECT("'"&amp;$A11&amp;"'!$A$12:$Z$12"),0),0)="","?",VLOOKUP(L$1,INDIRECT("'"&amp;$A11&amp;"'!$A$12:$Z$41"),MATCH("Points (Auto-generate)",INDIRECT("'"&amp;$A11&amp;"'!$A$12:$Z$12"),0),0)),"ER"))</f>
        <v>?</v>
      </c>
      <c r="M11" s="83" t="str">
        <f aca="true">IF($H11=0,"NA",IF($A11=INDIRECT("'"&amp;$A11&amp;"'!$B$1"),IF(VLOOKUP(M$1,INDIRECT("'"&amp;$A11&amp;"'!$A$12:$Z$41"),MATCH("Points (Auto-generate)",INDIRECT("'"&amp;$A11&amp;"'!$A$12:$Z$12"),0),0)="","?",VLOOKUP(M$1,INDIRECT("'"&amp;$A11&amp;"'!$A$12:$Z$41"),MATCH("Points (Auto-generate)",INDIRECT("'"&amp;$A11&amp;"'!$A$12:$Z$12"),0),0)),"ER"))</f>
        <v>?</v>
      </c>
      <c r="N11" s="83" t="str">
        <f aca="true">IF($H11=0,"NA",IF($A11=INDIRECT("'"&amp;$A11&amp;"'!$B$1"),IF(VLOOKUP(N$1,INDIRECT("'"&amp;$A11&amp;"'!$A$12:$Z$41"),MATCH("Points (Auto-generate)",INDIRECT("'"&amp;$A11&amp;"'!$A$12:$Z$12"),0),0)="","?",VLOOKUP(N$1,INDIRECT("'"&amp;$A11&amp;"'!$A$12:$Z$41"),MATCH("Points (Auto-generate)",INDIRECT("'"&amp;$A11&amp;"'!$A$12:$Z$12"),0),0)),"ER"))</f>
        <v>?</v>
      </c>
      <c r="O11" s="83" t="str">
        <f aca="true">IF($H11=0,"NA",IF($A11=INDIRECT("'"&amp;$A11&amp;"'!$B$1"),IF(VLOOKUP(O$1,INDIRECT("'"&amp;$A11&amp;"'!$A$12:$Z$41"),MATCH("Points (Auto-generate)",INDIRECT("'"&amp;$A11&amp;"'!$A$12:$Z$12"),0),0)="","?",VLOOKUP(O$1,INDIRECT("'"&amp;$A11&amp;"'!$A$12:$Z$41"),MATCH("Points (Auto-generate)",INDIRECT("'"&amp;$A11&amp;"'!$A$12:$Z$12"),0),0)),"ER"))</f>
        <v>?</v>
      </c>
      <c r="P11" s="83" t="str">
        <f aca="true">IF($H11=0,"NA",IF($A11=INDIRECT("'"&amp;$A11&amp;"'!$B$1"),IF(VLOOKUP(P$1,INDIRECT("'"&amp;$A11&amp;"'!$A$12:$Z$41"),MATCH("Points (Auto-generate)",INDIRECT("'"&amp;$A11&amp;"'!$A$12:$Z$12"),0),0)="","?",VLOOKUP(P$1,INDIRECT("'"&amp;$A11&amp;"'!$A$12:$Z$41"),MATCH("Points (Auto-generate)",INDIRECT("'"&amp;$A11&amp;"'!$A$12:$Z$12"),0),0)),"ER"))</f>
        <v>?</v>
      </c>
      <c r="Q11" s="83" t="str">
        <f aca="true">IF($H11=0,"NA",IF($A11=INDIRECT("'"&amp;$A11&amp;"'!$B$1"),IF(VLOOKUP(Q$1,INDIRECT("'"&amp;$A11&amp;"'!$A$12:$Z$41"),MATCH("Points (Auto-generate)",INDIRECT("'"&amp;$A11&amp;"'!$A$12:$Z$12"),0),0)="","?",VLOOKUP(Q$1,INDIRECT("'"&amp;$A11&amp;"'!$A$12:$Z$41"),MATCH("Points (Auto-generate)",INDIRECT("'"&amp;$A11&amp;"'!$A$12:$Z$12"),0),0)),"ER"))</f>
        <v>?</v>
      </c>
      <c r="R11" s="83" t="str">
        <f aca="true">IF($H11=0,"NA",IF($A11=INDIRECT("'"&amp;$A11&amp;"'!$B$1"),IF(VLOOKUP(R$1,INDIRECT("'"&amp;$A11&amp;"'!$A$12:$Z$41"),MATCH("Points (Auto-generate)",INDIRECT("'"&amp;$A11&amp;"'!$A$12:$Z$12"),0),0)="","?",VLOOKUP(R$1,INDIRECT("'"&amp;$A11&amp;"'!$A$12:$Z$41"),MATCH("Points (Auto-generate)",INDIRECT("'"&amp;$A11&amp;"'!$A$12:$Z$12"),0),0)),"ER"))</f>
        <v>?</v>
      </c>
      <c r="S11" s="83" t="str">
        <f aca="true">IF($H11=0,"NA",IF($A11=INDIRECT("'"&amp;$A11&amp;"'!$B$1"),IF(VLOOKUP(S$1,INDIRECT("'"&amp;$A11&amp;"'!$A$12:$Z$41"),MATCH("Points (Auto-generate)",INDIRECT("'"&amp;$A11&amp;"'!$A$12:$Z$12"),0),0)="","?",VLOOKUP(S$1,INDIRECT("'"&amp;$A11&amp;"'!$A$12:$Z$41"),MATCH("Points (Auto-generate)",INDIRECT("'"&amp;$A11&amp;"'!$A$12:$Z$12"),0),0)),"ER"))</f>
        <v>?</v>
      </c>
      <c r="T11" s="83" t="str">
        <f aca="true">IF($H11=0,"NA",IF($A11=INDIRECT("'"&amp;$A11&amp;"'!$B$1"),IF(VLOOKUP(T$1,INDIRECT("'"&amp;$A11&amp;"'!$A$12:$Z$41"),MATCH("Points (Auto-generate)",INDIRECT("'"&amp;$A11&amp;"'!$A$12:$Z$12"),0),0)="","?",VLOOKUP(T$1,INDIRECT("'"&amp;$A11&amp;"'!$A$12:$Z$41"),MATCH("Points (Auto-generate)",INDIRECT("'"&amp;$A11&amp;"'!$A$12:$Z$12"),0),0)),"ER"))</f>
        <v>?</v>
      </c>
      <c r="U11" s="83" t="str">
        <f aca="true">IF($H11=0,"NA",IF($A11=INDIRECT("'"&amp;$A11&amp;"'!$B$1"),IF(VLOOKUP(U$1,INDIRECT("'"&amp;$A11&amp;"'!$A$12:$Z$41"),MATCH("Points (Auto-generate)",INDIRECT("'"&amp;$A11&amp;"'!$A$12:$Z$12"),0),0)="","?",VLOOKUP(U$1,INDIRECT("'"&amp;$A11&amp;"'!$A$12:$Z$41"),MATCH("Points (Auto-generate)",INDIRECT("'"&amp;$A11&amp;"'!$A$12:$Z$12"),0),0)),"ER"))</f>
        <v>?</v>
      </c>
      <c r="V11" s="83" t="str">
        <f aca="true">IF($H11=0,"NA",IF($A11=INDIRECT("'"&amp;$A11&amp;"'!$B$1"),IF(VLOOKUP(V$1,INDIRECT("'"&amp;$A11&amp;"'!$A$12:$Z$41"),MATCH("Points (Auto-generate)",INDIRECT("'"&amp;$A11&amp;"'!$A$12:$Z$12"),0),0)="","?",VLOOKUP(V$1,INDIRECT("'"&amp;$A11&amp;"'!$A$12:$Z$41"),MATCH("Points (Auto-generate)",INDIRECT("'"&amp;$A11&amp;"'!$A$12:$Z$12"),0),0)),"ER"))</f>
        <v>?</v>
      </c>
      <c r="W11" s="83" t="str">
        <f aca="true">IF($H11=0,"NA",IF($A11=INDIRECT("'"&amp;$A11&amp;"'!$B$1"),IF(VLOOKUP(W$1,INDIRECT("'"&amp;$A11&amp;"'!$A$12:$Z$41"),MATCH("Points (Auto-generate)",INDIRECT("'"&amp;$A11&amp;"'!$A$12:$Z$12"),0),0)="","?",VLOOKUP(W$1,INDIRECT("'"&amp;$A11&amp;"'!$A$12:$Z$41"),MATCH("Points (Auto-generate)",INDIRECT("'"&amp;$A11&amp;"'!$A$12:$Z$12"),0),0)),"ER"))</f>
        <v>?</v>
      </c>
      <c r="X11" s="83" t="str">
        <f aca="true">IF($H11=0,"NA",IF($A11=INDIRECT("'"&amp;$A11&amp;"'!$B$1"),IF(VLOOKUP(X$1,INDIRECT("'"&amp;$A11&amp;"'!$A$12:$Z$41"),MATCH("Points (Auto-generate)",INDIRECT("'"&amp;$A11&amp;"'!$A$12:$Z$12"),0),0)="","?",VLOOKUP(X$1,INDIRECT("'"&amp;$A11&amp;"'!$A$12:$Z$41"),MATCH("Points (Auto-generate)",INDIRECT("'"&amp;$A11&amp;"'!$A$12:$Z$12"),0),0)),"ER"))</f>
        <v>?</v>
      </c>
      <c r="Y11" s="83" t="str">
        <f aca="true">IF($H11=0,"NA",IF($A11=INDIRECT("'"&amp;$A11&amp;"'!$B$1"),IF(VLOOKUP(Y$1,INDIRECT("'"&amp;$A11&amp;"'!$A$12:$Z$41"),MATCH("Points (Auto-generate)",INDIRECT("'"&amp;$A11&amp;"'!$A$12:$Z$12"),0),0)="","?",VLOOKUP(Y$1,INDIRECT("'"&amp;$A11&amp;"'!$A$12:$Z$41"),MATCH("Points (Auto-generate)",INDIRECT("'"&amp;$A11&amp;"'!$A$12:$Z$12"),0),0)),"ER"))</f>
        <v>?</v>
      </c>
      <c r="Z11" s="83" t="str">
        <f aca="true">IF($H11=0,"NA",IF($A11=INDIRECT("'"&amp;$A11&amp;"'!$B$1"),IF(VLOOKUP(Z$1,INDIRECT("'"&amp;$A11&amp;"'!$A$12:$Z$41"),MATCH("Points (Auto-generate)",INDIRECT("'"&amp;$A11&amp;"'!$A$12:$Z$12"),0),0)="","?",VLOOKUP(Z$1,INDIRECT("'"&amp;$A11&amp;"'!$A$12:$Z$41"),MATCH("Points (Auto-generate)",INDIRECT("'"&amp;$A11&amp;"'!$A$12:$Z$12"),0),0)),"ER"))</f>
        <v>?</v>
      </c>
      <c r="AA11" s="83" t="str">
        <f aca="true">IF($H11=0,"NA",IF($A11=INDIRECT("'"&amp;$A11&amp;"'!$B$1"),IF(VLOOKUP(AA$1,INDIRECT("'"&amp;$A11&amp;"'!$A$12:$Z$41"),MATCH("Points (Auto-generate)",INDIRECT("'"&amp;$A11&amp;"'!$A$12:$Z$12"),0),0)="","?",VLOOKUP(AA$1,INDIRECT("'"&amp;$A11&amp;"'!$A$12:$Z$41"),MATCH("Points (Auto-generate)",INDIRECT("'"&amp;$A11&amp;"'!$A$12:$Z$12"),0),0)),"ER"))</f>
        <v>?</v>
      </c>
      <c r="AB11" s="83" t="str">
        <f aca="true">IF($H11=0,"NA",IF($A11=INDIRECT("'"&amp;$A11&amp;"'!$B$1"),IF(VLOOKUP(AB$1,INDIRECT("'"&amp;$A11&amp;"'!$A$12:$Z$41"),MATCH("Points (Auto-generate)",INDIRECT("'"&amp;$A11&amp;"'!$A$12:$Z$12"),0),0)="","?",VLOOKUP(AB$1,INDIRECT("'"&amp;$A11&amp;"'!$A$12:$Z$41"),MATCH("Points (Auto-generate)",INDIRECT("'"&amp;$A11&amp;"'!$A$12:$Z$12"),0),0)),"ER"))</f>
        <v>?</v>
      </c>
      <c r="AC11" s="83" t="n">
        <f aca="true">IF($H11=0,"NA",IF($A11=INDIRECT("'"&amp;$A11&amp;"'!$B$1"),IF(VLOOKUP(AC$1,INDIRECT("'"&amp;$A11&amp;"'!$A$12:$Z$41"),MATCH("Points (Auto-generate)",INDIRECT("'"&amp;$A11&amp;"'!$A$12:$Z$12"),0),0)="","?",VLOOKUP(AC$1,INDIRECT("'"&amp;$A11&amp;"'!$A$12:$Z$41"),MATCH("Points (Auto-generate)",INDIRECT("'"&amp;$A11&amp;"'!$A$12:$Z$12"),0),0)),"ER"))</f>
        <v>3.33</v>
      </c>
      <c r="AD11" s="83" t="str">
        <f aca="true">IF($H11=0,"NA",IF($A11=INDIRECT("'"&amp;$A11&amp;"'!$B$1"),IF(VLOOKUP(AD$1,INDIRECT("'"&amp;$A11&amp;"'!$A$12:$Z$41"),MATCH("Points (Auto-generate)",INDIRECT("'"&amp;$A11&amp;"'!$A$12:$Z$12"),0),0)="","?",VLOOKUP(AD$1,INDIRECT("'"&amp;$A11&amp;"'!$A$12:$Z$41"),MATCH("Points (Auto-generate)",INDIRECT("'"&amp;$A11&amp;"'!$A$12:$Z$12"),0),0)),"ER"))</f>
        <v>?</v>
      </c>
      <c r="AE11" s="83" t="str">
        <f aca="true">IF($H11=0,"NA",IF($A11=INDIRECT("'"&amp;$A11&amp;"'!$B$1"),IF(VLOOKUP(AE$1,INDIRECT("'"&amp;$A11&amp;"'!$A$12:$Z$41"),MATCH("Points (Auto-generate)",INDIRECT("'"&amp;$A11&amp;"'!$A$12:$Z$12"),0),0)="","?",VLOOKUP(AE$1,INDIRECT("'"&amp;$A11&amp;"'!$A$12:$Z$41"),MATCH("Points (Auto-generate)",INDIRECT("'"&amp;$A11&amp;"'!$A$12:$Z$12"),0),0)),"ER"))</f>
        <v>?</v>
      </c>
      <c r="AF11" s="83" t="str">
        <f aca="true">IF($H11=0,"NA",IF($A11=INDIRECT("'"&amp;$A11&amp;"'!$B$1"),IF(VLOOKUP(AF$1,INDIRECT("'"&amp;$A11&amp;"'!$A$12:$Z$41"),MATCH("Points (Auto-generate)",INDIRECT("'"&amp;$A11&amp;"'!$A$12:$Z$12"),0),0)="","?",VLOOKUP(AF$1,INDIRECT("'"&amp;$A11&amp;"'!$A$12:$Z$41"),MATCH("Points (Auto-generate)",INDIRECT("'"&amp;$A11&amp;"'!$A$12:$Z$12"),0),0)),"ER"))</f>
        <v>?</v>
      </c>
      <c r="AG11" s="83" t="str">
        <f aca="true">IF($H11=0,"NA",IF($A11=INDIRECT("'"&amp;$A11&amp;"'!$B$1"),IF(VLOOKUP(AG$1,INDIRECT("'"&amp;$A11&amp;"'!$A$12:$Z$41"),MATCH("Points (Auto-generate)",INDIRECT("'"&amp;$A11&amp;"'!$A$12:$Z$12"),0),0)="","?",VLOOKUP(AG$1,INDIRECT("'"&amp;$A11&amp;"'!$A$12:$Z$41"),MATCH("Points (Auto-generate)",INDIRECT("'"&amp;$A11&amp;"'!$A$12:$Z$12"),0),0)),"ER"))</f>
        <v>?</v>
      </c>
      <c r="AH11" s="83" t="str">
        <f aca="true">IF($H11=0,"NA",IF($A11=INDIRECT("'"&amp;$A11&amp;"'!$B$1"),IF(VLOOKUP(AH$1,INDIRECT("'"&amp;$A11&amp;"'!$A$12:$Z$41"),MATCH("Points (Auto-generate)",INDIRECT("'"&amp;$A11&amp;"'!$A$12:$Z$12"),0),0)="","?",VLOOKUP(AH$1,INDIRECT("'"&amp;$A11&amp;"'!$A$12:$Z$41"),MATCH("Points (Auto-generate)",INDIRECT("'"&amp;$A11&amp;"'!$A$12:$Z$12"),0),0)),"ER"))</f>
        <v>?</v>
      </c>
      <c r="AI11" s="83" t="str">
        <f aca="true">IF($H11=0,"NA",IF($A11=INDIRECT("'"&amp;$A11&amp;"'!$B$1"),IF(VLOOKUP(AI$1,INDIRECT("'"&amp;$A11&amp;"'!$A$12:$Z$41"),MATCH("Points (Auto-generate)",INDIRECT("'"&amp;$A11&amp;"'!$A$12:$Z$12"),0),0)="","?",VLOOKUP(AI$1,INDIRECT("'"&amp;$A11&amp;"'!$A$12:$Z$41"),MATCH("Points (Auto-generate)",INDIRECT("'"&amp;$A11&amp;"'!$A$12:$Z$12"),0),0)),"ER"))</f>
        <v>?</v>
      </c>
      <c r="AJ11" s="83" t="str">
        <f aca="true">IF($H11=0,"NA",IF($A11=INDIRECT("'"&amp;$A11&amp;"'!$B$1"),IF(VLOOKUP(AJ$1,INDIRECT("'"&amp;$A11&amp;"'!$A$12:$Z$41"),MATCH("Points (Auto-generate)",INDIRECT("'"&amp;$A11&amp;"'!$A$12:$Z$12"),0),0)="","?",VLOOKUP(AJ$1,INDIRECT("'"&amp;$A11&amp;"'!$A$12:$Z$41"),MATCH("Points (Auto-generate)",INDIRECT("'"&amp;$A11&amp;"'!$A$12:$Z$12"),0),0)),"ER"))</f>
        <v>?</v>
      </c>
      <c r="AK11" s="83" t="str">
        <f aca="true">IF($H11=0,"NA",IF($A11=INDIRECT("'"&amp;$A11&amp;"'!$B$1"),IF(VLOOKUP(AK$1,INDIRECT("'"&amp;$A11&amp;"'!$A$12:$Z$41"),MATCH("Points (Auto-generate)",INDIRECT("'"&amp;$A11&amp;"'!$A$12:$Z$12"),0),0)="","?",VLOOKUP(AK$1,INDIRECT("'"&amp;$A11&amp;"'!$A$12:$Z$41"),MATCH("Points (Auto-generate)",INDIRECT("'"&amp;$A11&amp;"'!$A$12:$Z$12"),0),0)),"ER"))</f>
        <v>?</v>
      </c>
    </row>
    <row r="12" customFormat="false" ht="25.5" hidden="false" customHeight="true" outlineLevel="0" collapsed="false">
      <c r="A12" s="79" t="s">
        <v>64</v>
      </c>
      <c r="B12" s="80" t="str">
        <f aca="false">IF(ISBLANK($A12),"NO_CODE",VLOOKUP($A12,'UPD Questions_290926 '!$E$1:$N$300,MATCH(B$1,'UPD Questions_290926 '!$E$1:$N$1,0),0)&amp;"")</f>
        <v>Planning </v>
      </c>
      <c r="C12" s="81" t="str">
        <f aca="false">IF(ISBLANK($A12),"NO_CODE",VLOOKUP($A12,'UPD Questions_290926 '!$E$1:$N$300,MATCH(C$1,'UPD Questions_290926 '!$E$1:$N$1,0),0)&amp;"")</f>
        <v>Legal and institutional planning architecture</v>
      </c>
      <c r="D12" s="80" t="str">
        <f aca="false">IF(ISBLANK($A12),"NO_CODE",VLOOKUP($A12,'UPD Questions_290926 '!$E$1:$N$300,MATCH(D$1,'UPD Questions_290926 '!$E$1:$N$1,0),0)&amp;"")</f>
        <v>Spatial planning hierarchy</v>
      </c>
      <c r="E12" s="80" t="str">
        <f aca="false">IF(ISBLANK($A12),"NO_CODE",VLOOKUP($A12,'UPD Questions_290926 '!$E$1:$N$300,MATCH(E$1,'UPD Questions_290926 '!$E$1:$N$1,0),0)&amp;"")</f>
        <v>SQ</v>
      </c>
      <c r="F12" s="80" t="str">
        <f aca="false">IF(ISBLANK($A12),"NO_CODE",VLOOKUP($A12,'UPD Questions_290926 '!$E$1:$N$300,MATCH(F$1,'UPD Questions_290926 '!$E$1:$N$1,0),0)&amp;"")</f>
        <v>Does the law mandate that the municipal/city plan be approved by the MPC (Metropolitan Planning Committee)  for metropolitan cities or by DPC (District Planning Committee) for non-metropolitan cities?</v>
      </c>
      <c r="G12" s="80" t="str">
        <f aca="false">IF(ISBLANK($A12),"NO_CODE",VLOOKUP($A12,'UPD Questions_290926 '!$E$1:$N$300,MATCH(G$1,'UPD Questions_290926 '!$E$1:$N$1,0),0)&amp;"")</f>
        <v>Law or Policy</v>
      </c>
      <c r="H12" s="82" t="n">
        <f aca="false">IF(ISBLANK($A12),"NO_CODE",VLOOKUP($A12,'UPD Questions_290926 '!$E$1:$N$300,MATCH(H$1,'UPD Questions_290926 '!$E$1:$N$1,0),0))</f>
        <v>3.33</v>
      </c>
      <c r="I12" s="83" t="str">
        <f aca="true">IF($H12=0,"NA",IF($A12=INDIRECT("'"&amp;$A12&amp;"'!$B$1"),IF(VLOOKUP(I$1,INDIRECT("'"&amp;$A12&amp;"'!$A$12:$Z$41"),MATCH("Points (Auto-generate)",INDIRECT("'"&amp;$A12&amp;"'!$A$12:$Z$12"),0),0)="","?",VLOOKUP(I$1,INDIRECT("'"&amp;$A12&amp;"'!$A$12:$Z$41"),MATCH("Points (Auto-generate)",INDIRECT("'"&amp;$A12&amp;"'!$A$12:$Z$12"),0),0)),"ER"))</f>
        <v>?</v>
      </c>
      <c r="J12" s="83" t="str">
        <f aca="true">IF($H12=0,"NA",IF($A12=INDIRECT("'"&amp;$A12&amp;"'!$B$1"),IF(VLOOKUP(J$1,INDIRECT("'"&amp;$A12&amp;"'!$A$12:$Z$41"),MATCH("Points (Auto-generate)",INDIRECT("'"&amp;$A12&amp;"'!$A$12:$Z$12"),0),0)="","?",VLOOKUP(J$1,INDIRECT("'"&amp;$A12&amp;"'!$A$12:$Z$41"),MATCH("Points (Auto-generate)",INDIRECT("'"&amp;$A12&amp;"'!$A$12:$Z$12"),0),0)),"ER"))</f>
        <v>?</v>
      </c>
      <c r="K12" s="83" t="str">
        <f aca="true">IF($H12=0,"NA",IF($A12=INDIRECT("'"&amp;$A12&amp;"'!$B$1"),IF(VLOOKUP(K$1,INDIRECT("'"&amp;$A12&amp;"'!$A$12:$Z$41"),MATCH("Points (Auto-generate)",INDIRECT("'"&amp;$A12&amp;"'!$A$12:$Z$12"),0),0)="","?",VLOOKUP(K$1,INDIRECT("'"&amp;$A12&amp;"'!$A$12:$Z$41"),MATCH("Points (Auto-generate)",INDIRECT("'"&amp;$A12&amp;"'!$A$12:$Z$12"),0),0)),"ER"))</f>
        <v>?</v>
      </c>
      <c r="L12" s="83" t="str">
        <f aca="true">IF($H12=0,"NA",IF($A12=INDIRECT("'"&amp;$A12&amp;"'!$B$1"),IF(VLOOKUP(L$1,INDIRECT("'"&amp;$A12&amp;"'!$A$12:$Z$41"),MATCH("Points (Auto-generate)",INDIRECT("'"&amp;$A12&amp;"'!$A$12:$Z$12"),0),0)="","?",VLOOKUP(L$1,INDIRECT("'"&amp;$A12&amp;"'!$A$12:$Z$41"),MATCH("Points (Auto-generate)",INDIRECT("'"&amp;$A12&amp;"'!$A$12:$Z$12"),0),0)),"ER"))</f>
        <v>?</v>
      </c>
      <c r="M12" s="83" t="str">
        <f aca="true">IF($H12=0,"NA",IF($A12=INDIRECT("'"&amp;$A12&amp;"'!$B$1"),IF(VLOOKUP(M$1,INDIRECT("'"&amp;$A12&amp;"'!$A$12:$Z$41"),MATCH("Points (Auto-generate)",INDIRECT("'"&amp;$A12&amp;"'!$A$12:$Z$12"),0),0)="","?",VLOOKUP(M$1,INDIRECT("'"&amp;$A12&amp;"'!$A$12:$Z$41"),MATCH("Points (Auto-generate)",INDIRECT("'"&amp;$A12&amp;"'!$A$12:$Z$12"),0),0)),"ER"))</f>
        <v>?</v>
      </c>
      <c r="N12" s="83" t="str">
        <f aca="true">IF($H12=0,"NA",IF($A12=INDIRECT("'"&amp;$A12&amp;"'!$B$1"),IF(VLOOKUP(N$1,INDIRECT("'"&amp;$A12&amp;"'!$A$12:$Z$41"),MATCH("Points (Auto-generate)",INDIRECT("'"&amp;$A12&amp;"'!$A$12:$Z$12"),0),0)="","?",VLOOKUP(N$1,INDIRECT("'"&amp;$A12&amp;"'!$A$12:$Z$41"),MATCH("Points (Auto-generate)",INDIRECT("'"&amp;$A12&amp;"'!$A$12:$Z$12"),0),0)),"ER"))</f>
        <v>?</v>
      </c>
      <c r="O12" s="83" t="str">
        <f aca="true">IF($H12=0,"NA",IF($A12=INDIRECT("'"&amp;$A12&amp;"'!$B$1"),IF(VLOOKUP(O$1,INDIRECT("'"&amp;$A12&amp;"'!$A$12:$Z$41"),MATCH("Points (Auto-generate)",INDIRECT("'"&amp;$A12&amp;"'!$A$12:$Z$12"),0),0)="","?",VLOOKUP(O$1,INDIRECT("'"&amp;$A12&amp;"'!$A$12:$Z$41"),MATCH("Points (Auto-generate)",INDIRECT("'"&amp;$A12&amp;"'!$A$12:$Z$12"),0),0)),"ER"))</f>
        <v>?</v>
      </c>
      <c r="P12" s="83" t="str">
        <f aca="true">IF($H12=0,"NA",IF($A12=INDIRECT("'"&amp;$A12&amp;"'!$B$1"),IF(VLOOKUP(P$1,INDIRECT("'"&amp;$A12&amp;"'!$A$12:$Z$41"),MATCH("Points (Auto-generate)",INDIRECT("'"&amp;$A12&amp;"'!$A$12:$Z$12"),0),0)="","?",VLOOKUP(P$1,INDIRECT("'"&amp;$A12&amp;"'!$A$12:$Z$41"),MATCH("Points (Auto-generate)",INDIRECT("'"&amp;$A12&amp;"'!$A$12:$Z$12"),0),0)),"ER"))</f>
        <v>?</v>
      </c>
      <c r="Q12" s="83" t="str">
        <f aca="true">IF($H12=0,"NA",IF($A12=INDIRECT("'"&amp;$A12&amp;"'!$B$1"),IF(VLOOKUP(Q$1,INDIRECT("'"&amp;$A12&amp;"'!$A$12:$Z$41"),MATCH("Points (Auto-generate)",INDIRECT("'"&amp;$A12&amp;"'!$A$12:$Z$12"),0),0)="","?",VLOOKUP(Q$1,INDIRECT("'"&amp;$A12&amp;"'!$A$12:$Z$41"),MATCH("Points (Auto-generate)",INDIRECT("'"&amp;$A12&amp;"'!$A$12:$Z$12"),0),0)),"ER"))</f>
        <v>?</v>
      </c>
      <c r="R12" s="83" t="str">
        <f aca="true">IF($H12=0,"NA",IF($A12=INDIRECT("'"&amp;$A12&amp;"'!$B$1"),IF(VLOOKUP(R$1,INDIRECT("'"&amp;$A12&amp;"'!$A$12:$Z$41"),MATCH("Points (Auto-generate)",INDIRECT("'"&amp;$A12&amp;"'!$A$12:$Z$12"),0),0)="","?",VLOOKUP(R$1,INDIRECT("'"&amp;$A12&amp;"'!$A$12:$Z$41"),MATCH("Points (Auto-generate)",INDIRECT("'"&amp;$A12&amp;"'!$A$12:$Z$12"),0),0)),"ER"))</f>
        <v>?</v>
      </c>
      <c r="S12" s="83" t="str">
        <f aca="true">IF($H12=0,"NA",IF($A12=INDIRECT("'"&amp;$A12&amp;"'!$B$1"),IF(VLOOKUP(S$1,INDIRECT("'"&amp;$A12&amp;"'!$A$12:$Z$41"),MATCH("Points (Auto-generate)",INDIRECT("'"&amp;$A12&amp;"'!$A$12:$Z$12"),0),0)="","?",VLOOKUP(S$1,INDIRECT("'"&amp;$A12&amp;"'!$A$12:$Z$41"),MATCH("Points (Auto-generate)",INDIRECT("'"&amp;$A12&amp;"'!$A$12:$Z$12"),0),0)),"ER"))</f>
        <v>?</v>
      </c>
      <c r="T12" s="83" t="str">
        <f aca="true">IF($H12=0,"NA",IF($A12=INDIRECT("'"&amp;$A12&amp;"'!$B$1"),IF(VLOOKUP(T$1,INDIRECT("'"&amp;$A12&amp;"'!$A$12:$Z$41"),MATCH("Points (Auto-generate)",INDIRECT("'"&amp;$A12&amp;"'!$A$12:$Z$12"),0),0)="","?",VLOOKUP(T$1,INDIRECT("'"&amp;$A12&amp;"'!$A$12:$Z$41"),MATCH("Points (Auto-generate)",INDIRECT("'"&amp;$A12&amp;"'!$A$12:$Z$12"),0),0)),"ER"))</f>
        <v>?</v>
      </c>
      <c r="U12" s="83" t="str">
        <f aca="true">IF($H12=0,"NA",IF($A12=INDIRECT("'"&amp;$A12&amp;"'!$B$1"),IF(VLOOKUP(U$1,INDIRECT("'"&amp;$A12&amp;"'!$A$12:$Z$41"),MATCH("Points (Auto-generate)",INDIRECT("'"&amp;$A12&amp;"'!$A$12:$Z$12"),0),0)="","?",VLOOKUP(U$1,INDIRECT("'"&amp;$A12&amp;"'!$A$12:$Z$41"),MATCH("Points (Auto-generate)",INDIRECT("'"&amp;$A12&amp;"'!$A$12:$Z$12"),0),0)),"ER"))</f>
        <v>?</v>
      </c>
      <c r="V12" s="83" t="str">
        <f aca="true">IF($H12=0,"NA",IF($A12=INDIRECT("'"&amp;$A12&amp;"'!$B$1"),IF(VLOOKUP(V$1,INDIRECT("'"&amp;$A12&amp;"'!$A$12:$Z$41"),MATCH("Points (Auto-generate)",INDIRECT("'"&amp;$A12&amp;"'!$A$12:$Z$12"),0),0)="","?",VLOOKUP(V$1,INDIRECT("'"&amp;$A12&amp;"'!$A$12:$Z$41"),MATCH("Points (Auto-generate)",INDIRECT("'"&amp;$A12&amp;"'!$A$12:$Z$12"),0),0)),"ER"))</f>
        <v>?</v>
      </c>
      <c r="W12" s="83" t="str">
        <f aca="true">IF($H12=0,"NA",IF($A12=INDIRECT("'"&amp;$A12&amp;"'!$B$1"),IF(VLOOKUP(W$1,INDIRECT("'"&amp;$A12&amp;"'!$A$12:$Z$41"),MATCH("Points (Auto-generate)",INDIRECT("'"&amp;$A12&amp;"'!$A$12:$Z$12"),0),0)="","?",VLOOKUP(W$1,INDIRECT("'"&amp;$A12&amp;"'!$A$12:$Z$41"),MATCH("Points (Auto-generate)",INDIRECT("'"&amp;$A12&amp;"'!$A$12:$Z$12"),0),0)),"ER"))</f>
        <v>?</v>
      </c>
      <c r="X12" s="83" t="str">
        <f aca="true">IF($H12=0,"NA",IF($A12=INDIRECT("'"&amp;$A12&amp;"'!$B$1"),IF(VLOOKUP(X$1,INDIRECT("'"&amp;$A12&amp;"'!$A$12:$Z$41"),MATCH("Points (Auto-generate)",INDIRECT("'"&amp;$A12&amp;"'!$A$12:$Z$12"),0),0)="","?",VLOOKUP(X$1,INDIRECT("'"&amp;$A12&amp;"'!$A$12:$Z$41"),MATCH("Points (Auto-generate)",INDIRECT("'"&amp;$A12&amp;"'!$A$12:$Z$12"),0),0)),"ER"))</f>
        <v>?</v>
      </c>
      <c r="Y12" s="83" t="str">
        <f aca="true">IF($H12=0,"NA",IF($A12=INDIRECT("'"&amp;$A12&amp;"'!$B$1"),IF(VLOOKUP(Y$1,INDIRECT("'"&amp;$A12&amp;"'!$A$12:$Z$41"),MATCH("Points (Auto-generate)",INDIRECT("'"&amp;$A12&amp;"'!$A$12:$Z$12"),0),0)="","?",VLOOKUP(Y$1,INDIRECT("'"&amp;$A12&amp;"'!$A$12:$Z$41"),MATCH("Points (Auto-generate)",INDIRECT("'"&amp;$A12&amp;"'!$A$12:$Z$12"),0),0)),"ER"))</f>
        <v>?</v>
      </c>
      <c r="Z12" s="83" t="str">
        <f aca="true">IF($H12=0,"NA",IF($A12=INDIRECT("'"&amp;$A12&amp;"'!$B$1"),IF(VLOOKUP(Z$1,INDIRECT("'"&amp;$A12&amp;"'!$A$12:$Z$41"),MATCH("Points (Auto-generate)",INDIRECT("'"&amp;$A12&amp;"'!$A$12:$Z$12"),0),0)="","?",VLOOKUP(Z$1,INDIRECT("'"&amp;$A12&amp;"'!$A$12:$Z$41"),MATCH("Points (Auto-generate)",INDIRECT("'"&amp;$A12&amp;"'!$A$12:$Z$12"),0),0)),"ER"))</f>
        <v>?</v>
      </c>
      <c r="AA12" s="83" t="str">
        <f aca="true">IF($H12=0,"NA",IF($A12=INDIRECT("'"&amp;$A12&amp;"'!$B$1"),IF(VLOOKUP(AA$1,INDIRECT("'"&amp;$A12&amp;"'!$A$12:$Z$41"),MATCH("Points (Auto-generate)",INDIRECT("'"&amp;$A12&amp;"'!$A$12:$Z$12"),0),0)="","?",VLOOKUP(AA$1,INDIRECT("'"&amp;$A12&amp;"'!$A$12:$Z$41"),MATCH("Points (Auto-generate)",INDIRECT("'"&amp;$A12&amp;"'!$A$12:$Z$12"),0),0)),"ER"))</f>
        <v>?</v>
      </c>
      <c r="AB12" s="83" t="str">
        <f aca="true">IF($H12=0,"NA",IF($A12=INDIRECT("'"&amp;$A12&amp;"'!$B$1"),IF(VLOOKUP(AB$1,INDIRECT("'"&amp;$A12&amp;"'!$A$12:$Z$41"),MATCH("Points (Auto-generate)",INDIRECT("'"&amp;$A12&amp;"'!$A$12:$Z$12"),0),0)="","?",VLOOKUP(AB$1,INDIRECT("'"&amp;$A12&amp;"'!$A$12:$Z$41"),MATCH("Points (Auto-generate)",INDIRECT("'"&amp;$A12&amp;"'!$A$12:$Z$12"),0),0)),"ER"))</f>
        <v>?</v>
      </c>
      <c r="AC12" s="83" t="str">
        <f aca="true">IF($H12=0,"NA",IF($A12=INDIRECT("'"&amp;$A12&amp;"'!$B$1"),IF(VLOOKUP(AC$1,INDIRECT("'"&amp;$A12&amp;"'!$A$12:$Z$41"),MATCH("Points (Auto-generate)",INDIRECT("'"&amp;$A12&amp;"'!$A$12:$Z$12"),0),0)="","?",VLOOKUP(AC$1,INDIRECT("'"&amp;$A12&amp;"'!$A$12:$Z$41"),MATCH("Points (Auto-generate)",INDIRECT("'"&amp;$A12&amp;"'!$A$12:$Z$12"),0),0)),"ER"))</f>
        <v>?</v>
      </c>
      <c r="AD12" s="83" t="str">
        <f aca="true">IF($H12=0,"NA",IF($A12=INDIRECT("'"&amp;$A12&amp;"'!$B$1"),IF(VLOOKUP(AD$1,INDIRECT("'"&amp;$A12&amp;"'!$A$12:$Z$41"),MATCH("Points (Auto-generate)",INDIRECT("'"&amp;$A12&amp;"'!$A$12:$Z$12"),0),0)="","?",VLOOKUP(AD$1,INDIRECT("'"&amp;$A12&amp;"'!$A$12:$Z$41"),MATCH("Points (Auto-generate)",INDIRECT("'"&amp;$A12&amp;"'!$A$12:$Z$12"),0),0)),"ER"))</f>
        <v>?</v>
      </c>
      <c r="AE12" s="83" t="str">
        <f aca="true">IF($H12=0,"NA",IF($A12=INDIRECT("'"&amp;$A12&amp;"'!$B$1"),IF(VLOOKUP(AE$1,INDIRECT("'"&amp;$A12&amp;"'!$A$12:$Z$41"),MATCH("Points (Auto-generate)",INDIRECT("'"&amp;$A12&amp;"'!$A$12:$Z$12"),0),0)="","?",VLOOKUP(AE$1,INDIRECT("'"&amp;$A12&amp;"'!$A$12:$Z$41"),MATCH("Points (Auto-generate)",INDIRECT("'"&amp;$A12&amp;"'!$A$12:$Z$12"),0),0)),"ER"))</f>
        <v>?</v>
      </c>
      <c r="AF12" s="83" t="str">
        <f aca="true">IF($H12=0,"NA",IF($A12=INDIRECT("'"&amp;$A12&amp;"'!$B$1"),IF(VLOOKUP(AF$1,INDIRECT("'"&amp;$A12&amp;"'!$A$12:$Z$41"),MATCH("Points (Auto-generate)",INDIRECT("'"&amp;$A12&amp;"'!$A$12:$Z$12"),0),0)="","?",VLOOKUP(AF$1,INDIRECT("'"&amp;$A12&amp;"'!$A$12:$Z$41"),MATCH("Points (Auto-generate)",INDIRECT("'"&amp;$A12&amp;"'!$A$12:$Z$12"),0),0)),"ER"))</f>
        <v>?</v>
      </c>
      <c r="AG12" s="83" t="str">
        <f aca="true">IF($H12=0,"NA",IF($A12=INDIRECT("'"&amp;$A12&amp;"'!$B$1"),IF(VLOOKUP(AG$1,INDIRECT("'"&amp;$A12&amp;"'!$A$12:$Z$41"),MATCH("Points (Auto-generate)",INDIRECT("'"&amp;$A12&amp;"'!$A$12:$Z$12"),0),0)="","?",VLOOKUP(AG$1,INDIRECT("'"&amp;$A12&amp;"'!$A$12:$Z$41"),MATCH("Points (Auto-generate)",INDIRECT("'"&amp;$A12&amp;"'!$A$12:$Z$12"),0),0)),"ER"))</f>
        <v>?</v>
      </c>
      <c r="AH12" s="83" t="str">
        <f aca="true">IF($H12=0,"NA",IF($A12=INDIRECT("'"&amp;$A12&amp;"'!$B$1"),IF(VLOOKUP(AH$1,INDIRECT("'"&amp;$A12&amp;"'!$A$12:$Z$41"),MATCH("Points (Auto-generate)",INDIRECT("'"&amp;$A12&amp;"'!$A$12:$Z$12"),0),0)="","?",VLOOKUP(AH$1,INDIRECT("'"&amp;$A12&amp;"'!$A$12:$Z$41"),MATCH("Points (Auto-generate)",INDIRECT("'"&amp;$A12&amp;"'!$A$12:$Z$12"),0),0)),"ER"))</f>
        <v>?</v>
      </c>
      <c r="AI12" s="83" t="str">
        <f aca="true">IF($H12=0,"NA",IF($A12=INDIRECT("'"&amp;$A12&amp;"'!$B$1"),IF(VLOOKUP(AI$1,INDIRECT("'"&amp;$A12&amp;"'!$A$12:$Z$41"),MATCH("Points (Auto-generate)",INDIRECT("'"&amp;$A12&amp;"'!$A$12:$Z$12"),0),0)="","?",VLOOKUP(AI$1,INDIRECT("'"&amp;$A12&amp;"'!$A$12:$Z$41"),MATCH("Points (Auto-generate)",INDIRECT("'"&amp;$A12&amp;"'!$A$12:$Z$12"),0),0)),"ER"))</f>
        <v>?</v>
      </c>
      <c r="AJ12" s="83" t="str">
        <f aca="true">IF($H12=0,"NA",IF($A12=INDIRECT("'"&amp;$A12&amp;"'!$B$1"),IF(VLOOKUP(AJ$1,INDIRECT("'"&amp;$A12&amp;"'!$A$12:$Z$41"),MATCH("Points (Auto-generate)",INDIRECT("'"&amp;$A12&amp;"'!$A$12:$Z$12"),0),0)="","?",VLOOKUP(AJ$1,INDIRECT("'"&amp;$A12&amp;"'!$A$12:$Z$41"),MATCH("Points (Auto-generate)",INDIRECT("'"&amp;$A12&amp;"'!$A$12:$Z$12"),0),0)),"ER"))</f>
        <v>?</v>
      </c>
      <c r="AK12" s="83" t="str">
        <f aca="true">IF($H12=0,"NA",IF($A12=INDIRECT("'"&amp;$A12&amp;"'!$B$1"),IF(VLOOKUP(AK$1,INDIRECT("'"&amp;$A12&amp;"'!$A$12:$Z$41"),MATCH("Points (Auto-generate)",INDIRECT("'"&amp;$A12&amp;"'!$A$12:$Z$12"),0),0)="","?",VLOOKUP(AK$1,INDIRECT("'"&amp;$A12&amp;"'!$A$12:$Z$41"),MATCH("Points (Auto-generate)",INDIRECT("'"&amp;$A12&amp;"'!$A$12:$Z$12"),0),0)),"ER"))</f>
        <v>?</v>
      </c>
    </row>
    <row r="13" customFormat="false" ht="25.5" hidden="false" customHeight="true" outlineLevel="0" collapsed="false">
      <c r="A13" s="79" t="s">
        <v>71</v>
      </c>
      <c r="B13" s="80" t="str">
        <f aca="false">IF(ISBLANK($A13),"NO_CODE",VLOOKUP($A13,'UPD Questions_290926 '!$E$1:$N$300,MATCH(B$1,'UPD Questions_290926 '!$E$1:$N$1,0),0)&amp;"")</f>
        <v>Planning </v>
      </c>
      <c r="C13" s="81" t="str">
        <f aca="false">IF(ISBLANK($A13),"NO_CODE",VLOOKUP($A13,'UPD Questions_290926 '!$E$1:$N$300,MATCH(C$1,'UPD Questions_290926 '!$E$1:$N$1,0),0)&amp;"")</f>
        <v>Legal and institutional planning architecture</v>
      </c>
      <c r="D13" s="80" t="str">
        <f aca="false">IF(ISBLANK($A13),"NO_CODE",VLOOKUP($A13,'UPD Questions_290926 '!$E$1:$N$300,MATCH(D$1,'UPD Questions_290926 '!$E$1:$N$1,0),0)&amp;"")</f>
        <v>Spatial planning hierarchy</v>
      </c>
      <c r="E13" s="80" t="str">
        <f aca="false">IF(ISBLANK($A13),"NO_CODE",VLOOKUP($A13,'UPD Questions_290926 '!$E$1:$N$300,MATCH(E$1,'UPD Questions_290926 '!$E$1:$N$1,0),0)&amp;"")</f>
        <v>SQ</v>
      </c>
      <c r="F13" s="80" t="str">
        <f aca="false">IF(ISBLANK($A13),"NO_CODE",VLOOKUP($A13,'UPD Questions_290926 '!$E$1:$N$300,MATCH(F$1,'UPD Questions_290926 '!$E$1:$N$1,0),0)&amp;"")</f>
        <v>Does the law mandate that the ward(s)/local plan be approved by the ULG?</v>
      </c>
      <c r="G13" s="80" t="str">
        <f aca="false">IF(ISBLANK($A13),"NO_CODE",VLOOKUP($A13,'UPD Questions_290926 '!$E$1:$N$300,MATCH(G$1,'UPD Questions_290926 '!$E$1:$N$1,0),0)&amp;"")</f>
        <v>Law or Policy</v>
      </c>
      <c r="H13" s="82" t="n">
        <f aca="false">IF(ISBLANK($A13),"NO_CODE",VLOOKUP($A13,'UPD Questions_290926 '!$E$1:$N$300,MATCH(H$1,'UPD Questions_290926 '!$E$1:$N$1,0),0))</f>
        <v>3.33</v>
      </c>
      <c r="I13" s="83" t="str">
        <f aca="true">IF($H13=0,"NA",IF($A13=INDIRECT("'"&amp;$A13&amp;"'!$B$1"),IF(VLOOKUP(I$1,INDIRECT("'"&amp;$A13&amp;"'!$A$12:$Z$41"),MATCH("Points (Auto-generate)",INDIRECT("'"&amp;$A13&amp;"'!$A$12:$Z$12"),0),0)="","?",VLOOKUP(I$1,INDIRECT("'"&amp;$A13&amp;"'!$A$12:$Z$41"),MATCH("Points (Auto-generate)",INDIRECT("'"&amp;$A13&amp;"'!$A$12:$Z$12"),0),0)),"ER"))</f>
        <v>?</v>
      </c>
      <c r="J13" s="83" t="str">
        <f aca="true">IF($H13=0,"NA",IF($A13=INDIRECT("'"&amp;$A13&amp;"'!$B$1"),IF(VLOOKUP(J$1,INDIRECT("'"&amp;$A13&amp;"'!$A$12:$Z$41"),MATCH("Points (Auto-generate)",INDIRECT("'"&amp;$A13&amp;"'!$A$12:$Z$12"),0),0)="","?",VLOOKUP(J$1,INDIRECT("'"&amp;$A13&amp;"'!$A$12:$Z$41"),MATCH("Points (Auto-generate)",INDIRECT("'"&amp;$A13&amp;"'!$A$12:$Z$12"),0),0)),"ER"))</f>
        <v>?</v>
      </c>
      <c r="K13" s="83" t="str">
        <f aca="true">IF($H13=0,"NA",IF($A13=INDIRECT("'"&amp;$A13&amp;"'!$B$1"),IF(VLOOKUP(K$1,INDIRECT("'"&amp;$A13&amp;"'!$A$12:$Z$41"),MATCH("Points (Auto-generate)",INDIRECT("'"&amp;$A13&amp;"'!$A$12:$Z$12"),0),0)="","?",VLOOKUP(K$1,INDIRECT("'"&amp;$A13&amp;"'!$A$12:$Z$41"),MATCH("Points (Auto-generate)",INDIRECT("'"&amp;$A13&amp;"'!$A$12:$Z$12"),0),0)),"ER"))</f>
        <v>?</v>
      </c>
      <c r="L13" s="83" t="str">
        <f aca="true">IF($H13=0,"NA",IF($A13=INDIRECT("'"&amp;$A13&amp;"'!$B$1"),IF(VLOOKUP(L$1,INDIRECT("'"&amp;$A13&amp;"'!$A$12:$Z$41"),MATCH("Points (Auto-generate)",INDIRECT("'"&amp;$A13&amp;"'!$A$12:$Z$12"),0),0)="","?",VLOOKUP(L$1,INDIRECT("'"&amp;$A13&amp;"'!$A$12:$Z$41"),MATCH("Points (Auto-generate)",INDIRECT("'"&amp;$A13&amp;"'!$A$12:$Z$12"),0),0)),"ER"))</f>
        <v>?</v>
      </c>
      <c r="M13" s="83" t="str">
        <f aca="true">IF($H13=0,"NA",IF($A13=INDIRECT("'"&amp;$A13&amp;"'!$B$1"),IF(VLOOKUP(M$1,INDIRECT("'"&amp;$A13&amp;"'!$A$12:$Z$41"),MATCH("Points (Auto-generate)",INDIRECT("'"&amp;$A13&amp;"'!$A$12:$Z$12"),0),0)="","?",VLOOKUP(M$1,INDIRECT("'"&amp;$A13&amp;"'!$A$12:$Z$41"),MATCH("Points (Auto-generate)",INDIRECT("'"&amp;$A13&amp;"'!$A$12:$Z$12"),0),0)),"ER"))</f>
        <v>?</v>
      </c>
      <c r="N13" s="83" t="str">
        <f aca="true">IF($H13=0,"NA",IF($A13=INDIRECT("'"&amp;$A13&amp;"'!$B$1"),IF(VLOOKUP(N$1,INDIRECT("'"&amp;$A13&amp;"'!$A$12:$Z$41"),MATCH("Points (Auto-generate)",INDIRECT("'"&amp;$A13&amp;"'!$A$12:$Z$12"),0),0)="","?",VLOOKUP(N$1,INDIRECT("'"&amp;$A13&amp;"'!$A$12:$Z$41"),MATCH("Points (Auto-generate)",INDIRECT("'"&amp;$A13&amp;"'!$A$12:$Z$12"),0),0)),"ER"))</f>
        <v>?</v>
      </c>
      <c r="O13" s="83" t="str">
        <f aca="true">IF($H13=0,"NA",IF($A13=INDIRECT("'"&amp;$A13&amp;"'!$B$1"),IF(VLOOKUP(O$1,INDIRECT("'"&amp;$A13&amp;"'!$A$12:$Z$41"),MATCH("Points (Auto-generate)",INDIRECT("'"&amp;$A13&amp;"'!$A$12:$Z$12"),0),0)="","?",VLOOKUP(O$1,INDIRECT("'"&amp;$A13&amp;"'!$A$12:$Z$41"),MATCH("Points (Auto-generate)",INDIRECT("'"&amp;$A13&amp;"'!$A$12:$Z$12"),0),0)),"ER"))</f>
        <v>?</v>
      </c>
      <c r="P13" s="83" t="str">
        <f aca="true">IF($H13=0,"NA",IF($A13=INDIRECT("'"&amp;$A13&amp;"'!$B$1"),IF(VLOOKUP(P$1,INDIRECT("'"&amp;$A13&amp;"'!$A$12:$Z$41"),MATCH("Points (Auto-generate)",INDIRECT("'"&amp;$A13&amp;"'!$A$12:$Z$12"),0),0)="","?",VLOOKUP(P$1,INDIRECT("'"&amp;$A13&amp;"'!$A$12:$Z$41"),MATCH("Points (Auto-generate)",INDIRECT("'"&amp;$A13&amp;"'!$A$12:$Z$12"),0),0)),"ER"))</f>
        <v>?</v>
      </c>
      <c r="Q13" s="83" t="str">
        <f aca="true">IF($H13=0,"NA",IF($A13=INDIRECT("'"&amp;$A13&amp;"'!$B$1"),IF(VLOOKUP(Q$1,INDIRECT("'"&amp;$A13&amp;"'!$A$12:$Z$41"),MATCH("Points (Auto-generate)",INDIRECT("'"&amp;$A13&amp;"'!$A$12:$Z$12"),0),0)="","?",VLOOKUP(Q$1,INDIRECT("'"&amp;$A13&amp;"'!$A$12:$Z$41"),MATCH("Points (Auto-generate)",INDIRECT("'"&amp;$A13&amp;"'!$A$12:$Z$12"),0),0)),"ER"))</f>
        <v>?</v>
      </c>
      <c r="R13" s="83" t="str">
        <f aca="true">IF($H13=0,"NA",IF($A13=INDIRECT("'"&amp;$A13&amp;"'!$B$1"),IF(VLOOKUP(R$1,INDIRECT("'"&amp;$A13&amp;"'!$A$12:$Z$41"),MATCH("Points (Auto-generate)",INDIRECT("'"&amp;$A13&amp;"'!$A$12:$Z$12"),0),0)="","?",VLOOKUP(R$1,INDIRECT("'"&amp;$A13&amp;"'!$A$12:$Z$41"),MATCH("Points (Auto-generate)",INDIRECT("'"&amp;$A13&amp;"'!$A$12:$Z$12"),0),0)),"ER"))</f>
        <v>?</v>
      </c>
      <c r="S13" s="83" t="str">
        <f aca="true">IF($H13=0,"NA",IF($A13=INDIRECT("'"&amp;$A13&amp;"'!$B$1"),IF(VLOOKUP(S$1,INDIRECT("'"&amp;$A13&amp;"'!$A$12:$Z$41"),MATCH("Points (Auto-generate)",INDIRECT("'"&amp;$A13&amp;"'!$A$12:$Z$12"),0),0)="","?",VLOOKUP(S$1,INDIRECT("'"&amp;$A13&amp;"'!$A$12:$Z$41"),MATCH("Points (Auto-generate)",INDIRECT("'"&amp;$A13&amp;"'!$A$12:$Z$12"),0),0)),"ER"))</f>
        <v>?</v>
      </c>
      <c r="T13" s="83" t="str">
        <f aca="true">IF($H13=0,"NA",IF($A13=INDIRECT("'"&amp;$A13&amp;"'!$B$1"),IF(VLOOKUP(T$1,INDIRECT("'"&amp;$A13&amp;"'!$A$12:$Z$41"),MATCH("Points (Auto-generate)",INDIRECT("'"&amp;$A13&amp;"'!$A$12:$Z$12"),0),0)="","?",VLOOKUP(T$1,INDIRECT("'"&amp;$A13&amp;"'!$A$12:$Z$41"),MATCH("Points (Auto-generate)",INDIRECT("'"&amp;$A13&amp;"'!$A$12:$Z$12"),0),0)),"ER"))</f>
        <v>?</v>
      </c>
      <c r="U13" s="83" t="str">
        <f aca="true">IF($H13=0,"NA",IF($A13=INDIRECT("'"&amp;$A13&amp;"'!$B$1"),IF(VLOOKUP(U$1,INDIRECT("'"&amp;$A13&amp;"'!$A$12:$Z$41"),MATCH("Points (Auto-generate)",INDIRECT("'"&amp;$A13&amp;"'!$A$12:$Z$12"),0),0)="","?",VLOOKUP(U$1,INDIRECT("'"&amp;$A13&amp;"'!$A$12:$Z$41"),MATCH("Points (Auto-generate)",INDIRECT("'"&amp;$A13&amp;"'!$A$12:$Z$12"),0),0)),"ER"))</f>
        <v>?</v>
      </c>
      <c r="V13" s="83" t="str">
        <f aca="true">IF($H13=0,"NA",IF($A13=INDIRECT("'"&amp;$A13&amp;"'!$B$1"),IF(VLOOKUP(V$1,INDIRECT("'"&amp;$A13&amp;"'!$A$12:$Z$41"),MATCH("Points (Auto-generate)",INDIRECT("'"&amp;$A13&amp;"'!$A$12:$Z$12"),0),0)="","?",VLOOKUP(V$1,INDIRECT("'"&amp;$A13&amp;"'!$A$12:$Z$41"),MATCH("Points (Auto-generate)",INDIRECT("'"&amp;$A13&amp;"'!$A$12:$Z$12"),0),0)),"ER"))</f>
        <v>?</v>
      </c>
      <c r="W13" s="83" t="str">
        <f aca="true">IF($H13=0,"NA",IF($A13=INDIRECT("'"&amp;$A13&amp;"'!$B$1"),IF(VLOOKUP(W$1,INDIRECT("'"&amp;$A13&amp;"'!$A$12:$Z$41"),MATCH("Points (Auto-generate)",INDIRECT("'"&amp;$A13&amp;"'!$A$12:$Z$12"),0),0)="","?",VLOOKUP(W$1,INDIRECT("'"&amp;$A13&amp;"'!$A$12:$Z$41"),MATCH("Points (Auto-generate)",INDIRECT("'"&amp;$A13&amp;"'!$A$12:$Z$12"),0),0)),"ER"))</f>
        <v>?</v>
      </c>
      <c r="X13" s="83" t="str">
        <f aca="true">IF($H13=0,"NA",IF($A13=INDIRECT("'"&amp;$A13&amp;"'!$B$1"),IF(VLOOKUP(X$1,INDIRECT("'"&amp;$A13&amp;"'!$A$12:$Z$41"),MATCH("Points (Auto-generate)",INDIRECT("'"&amp;$A13&amp;"'!$A$12:$Z$12"),0),0)="","?",VLOOKUP(X$1,INDIRECT("'"&amp;$A13&amp;"'!$A$12:$Z$41"),MATCH("Points (Auto-generate)",INDIRECT("'"&amp;$A13&amp;"'!$A$12:$Z$12"),0),0)),"ER"))</f>
        <v>?</v>
      </c>
      <c r="Y13" s="83" t="str">
        <f aca="true">IF($H13=0,"NA",IF($A13=INDIRECT("'"&amp;$A13&amp;"'!$B$1"),IF(VLOOKUP(Y$1,INDIRECT("'"&amp;$A13&amp;"'!$A$12:$Z$41"),MATCH("Points (Auto-generate)",INDIRECT("'"&amp;$A13&amp;"'!$A$12:$Z$12"),0),0)="","?",VLOOKUP(Y$1,INDIRECT("'"&amp;$A13&amp;"'!$A$12:$Z$41"),MATCH("Points (Auto-generate)",INDIRECT("'"&amp;$A13&amp;"'!$A$12:$Z$12"),0),0)),"ER"))</f>
        <v>?</v>
      </c>
      <c r="Z13" s="83" t="str">
        <f aca="true">IF($H13=0,"NA",IF($A13=INDIRECT("'"&amp;$A13&amp;"'!$B$1"),IF(VLOOKUP(Z$1,INDIRECT("'"&amp;$A13&amp;"'!$A$12:$Z$41"),MATCH("Points (Auto-generate)",INDIRECT("'"&amp;$A13&amp;"'!$A$12:$Z$12"),0),0)="","?",VLOOKUP(Z$1,INDIRECT("'"&amp;$A13&amp;"'!$A$12:$Z$41"),MATCH("Points (Auto-generate)",INDIRECT("'"&amp;$A13&amp;"'!$A$12:$Z$12"),0),0)),"ER"))</f>
        <v>?</v>
      </c>
      <c r="AA13" s="83" t="str">
        <f aca="true">IF($H13=0,"NA",IF($A13=INDIRECT("'"&amp;$A13&amp;"'!$B$1"),IF(VLOOKUP(AA$1,INDIRECT("'"&amp;$A13&amp;"'!$A$12:$Z$41"),MATCH("Points (Auto-generate)",INDIRECT("'"&amp;$A13&amp;"'!$A$12:$Z$12"),0),0)="","?",VLOOKUP(AA$1,INDIRECT("'"&amp;$A13&amp;"'!$A$12:$Z$41"),MATCH("Points (Auto-generate)",INDIRECT("'"&amp;$A13&amp;"'!$A$12:$Z$12"),0),0)),"ER"))</f>
        <v>?</v>
      </c>
      <c r="AB13" s="83" t="str">
        <f aca="true">IF($H13=0,"NA",IF($A13=INDIRECT("'"&amp;$A13&amp;"'!$B$1"),IF(VLOOKUP(AB$1,INDIRECT("'"&amp;$A13&amp;"'!$A$12:$Z$41"),MATCH("Points (Auto-generate)",INDIRECT("'"&amp;$A13&amp;"'!$A$12:$Z$12"),0),0)="","?",VLOOKUP(AB$1,INDIRECT("'"&amp;$A13&amp;"'!$A$12:$Z$41"),MATCH("Points (Auto-generate)",INDIRECT("'"&amp;$A13&amp;"'!$A$12:$Z$12"),0),0)),"ER"))</f>
        <v>?</v>
      </c>
      <c r="AC13" s="83" t="str">
        <f aca="true">IF($H13=0,"NA",IF($A13=INDIRECT("'"&amp;$A13&amp;"'!$B$1"),IF(VLOOKUP(AC$1,INDIRECT("'"&amp;$A13&amp;"'!$A$12:$Z$41"),MATCH("Points (Auto-generate)",INDIRECT("'"&amp;$A13&amp;"'!$A$12:$Z$12"),0),0)="","?",VLOOKUP(AC$1,INDIRECT("'"&amp;$A13&amp;"'!$A$12:$Z$41"),MATCH("Points (Auto-generate)",INDIRECT("'"&amp;$A13&amp;"'!$A$12:$Z$12"),0),0)),"ER"))</f>
        <v>?</v>
      </c>
      <c r="AD13" s="83" t="str">
        <f aca="true">IF($H13=0,"NA",IF($A13=INDIRECT("'"&amp;$A13&amp;"'!$B$1"),IF(VLOOKUP(AD$1,INDIRECT("'"&amp;$A13&amp;"'!$A$12:$Z$41"),MATCH("Points (Auto-generate)",INDIRECT("'"&amp;$A13&amp;"'!$A$12:$Z$12"),0),0)="","?",VLOOKUP(AD$1,INDIRECT("'"&amp;$A13&amp;"'!$A$12:$Z$41"),MATCH("Points (Auto-generate)",INDIRECT("'"&amp;$A13&amp;"'!$A$12:$Z$12"),0),0)),"ER"))</f>
        <v>?</v>
      </c>
      <c r="AE13" s="83" t="str">
        <f aca="true">IF($H13=0,"NA",IF($A13=INDIRECT("'"&amp;$A13&amp;"'!$B$1"),IF(VLOOKUP(AE$1,INDIRECT("'"&amp;$A13&amp;"'!$A$12:$Z$41"),MATCH("Points (Auto-generate)",INDIRECT("'"&amp;$A13&amp;"'!$A$12:$Z$12"),0),0)="","?",VLOOKUP(AE$1,INDIRECT("'"&amp;$A13&amp;"'!$A$12:$Z$41"),MATCH("Points (Auto-generate)",INDIRECT("'"&amp;$A13&amp;"'!$A$12:$Z$12"),0),0)),"ER"))</f>
        <v>?</v>
      </c>
      <c r="AF13" s="83" t="str">
        <f aca="true">IF($H13=0,"NA",IF($A13=INDIRECT("'"&amp;$A13&amp;"'!$B$1"),IF(VLOOKUP(AF$1,INDIRECT("'"&amp;$A13&amp;"'!$A$12:$Z$41"),MATCH("Points (Auto-generate)",INDIRECT("'"&amp;$A13&amp;"'!$A$12:$Z$12"),0),0)="","?",VLOOKUP(AF$1,INDIRECT("'"&amp;$A13&amp;"'!$A$12:$Z$41"),MATCH("Points (Auto-generate)",INDIRECT("'"&amp;$A13&amp;"'!$A$12:$Z$12"),0),0)),"ER"))</f>
        <v>?</v>
      </c>
      <c r="AG13" s="83" t="str">
        <f aca="true">IF($H13=0,"NA",IF($A13=INDIRECT("'"&amp;$A13&amp;"'!$B$1"),IF(VLOOKUP(AG$1,INDIRECT("'"&amp;$A13&amp;"'!$A$12:$Z$41"),MATCH("Points (Auto-generate)",INDIRECT("'"&amp;$A13&amp;"'!$A$12:$Z$12"),0),0)="","?",VLOOKUP(AG$1,INDIRECT("'"&amp;$A13&amp;"'!$A$12:$Z$41"),MATCH("Points (Auto-generate)",INDIRECT("'"&amp;$A13&amp;"'!$A$12:$Z$12"),0),0)),"ER"))</f>
        <v>?</v>
      </c>
      <c r="AH13" s="83" t="str">
        <f aca="true">IF($H13=0,"NA",IF($A13=INDIRECT("'"&amp;$A13&amp;"'!$B$1"),IF(VLOOKUP(AH$1,INDIRECT("'"&amp;$A13&amp;"'!$A$12:$Z$41"),MATCH("Points (Auto-generate)",INDIRECT("'"&amp;$A13&amp;"'!$A$12:$Z$12"),0),0)="","?",VLOOKUP(AH$1,INDIRECT("'"&amp;$A13&amp;"'!$A$12:$Z$41"),MATCH("Points (Auto-generate)",INDIRECT("'"&amp;$A13&amp;"'!$A$12:$Z$12"),0),0)),"ER"))</f>
        <v>?</v>
      </c>
      <c r="AI13" s="83" t="str">
        <f aca="true">IF($H13=0,"NA",IF($A13=INDIRECT("'"&amp;$A13&amp;"'!$B$1"),IF(VLOOKUP(AI$1,INDIRECT("'"&amp;$A13&amp;"'!$A$12:$Z$41"),MATCH("Points (Auto-generate)",INDIRECT("'"&amp;$A13&amp;"'!$A$12:$Z$12"),0),0)="","?",VLOOKUP(AI$1,INDIRECT("'"&amp;$A13&amp;"'!$A$12:$Z$41"),MATCH("Points (Auto-generate)",INDIRECT("'"&amp;$A13&amp;"'!$A$12:$Z$12"),0),0)),"ER"))</f>
        <v>?</v>
      </c>
      <c r="AJ13" s="83" t="str">
        <f aca="true">IF($H13=0,"NA",IF($A13=INDIRECT("'"&amp;$A13&amp;"'!$B$1"),IF(VLOOKUP(AJ$1,INDIRECT("'"&amp;$A13&amp;"'!$A$12:$Z$41"),MATCH("Points (Auto-generate)",INDIRECT("'"&amp;$A13&amp;"'!$A$12:$Z$12"),0),0)="","?",VLOOKUP(AJ$1,INDIRECT("'"&amp;$A13&amp;"'!$A$12:$Z$41"),MATCH("Points (Auto-generate)",INDIRECT("'"&amp;$A13&amp;"'!$A$12:$Z$12"),0),0)),"ER"))</f>
        <v>?</v>
      </c>
      <c r="AK13" s="83" t="str">
        <f aca="true">IF($H13=0,"NA",IF($A13=INDIRECT("'"&amp;$A13&amp;"'!$B$1"),IF(VLOOKUP(AK$1,INDIRECT("'"&amp;$A13&amp;"'!$A$12:$Z$41"),MATCH("Points (Auto-generate)",INDIRECT("'"&amp;$A13&amp;"'!$A$12:$Z$12"),0),0)="","?",VLOOKUP(AK$1,INDIRECT("'"&amp;$A13&amp;"'!$A$12:$Z$41"),MATCH("Points (Auto-generate)",INDIRECT("'"&amp;$A13&amp;"'!$A$12:$Z$12"),0),0)),"ER"))</f>
        <v>?</v>
      </c>
    </row>
    <row r="14" customFormat="false" ht="25.5" hidden="false" customHeight="true" outlineLevel="0" collapsed="false">
      <c r="A14" s="79" t="s">
        <v>76</v>
      </c>
      <c r="B14" s="80" t="str">
        <f aca="false">IF(ISBLANK($A14),"NO_CODE",VLOOKUP($A14,'UPD Questions_290926 '!$E$1:$N$300,MATCH(B$1,'UPD Questions_290926 '!$E$1:$N$1,0),0)&amp;"")</f>
        <v>Planning </v>
      </c>
      <c r="C14" s="81" t="str">
        <f aca="false">IF(ISBLANK($A14),"NO_CODE",VLOOKUP($A14,'UPD Questions_290926 '!$E$1:$N$300,MATCH(C$1,'UPD Questions_290926 '!$E$1:$N$1,0),0)&amp;"")</f>
        <v>Legal and institutional planning architecture</v>
      </c>
      <c r="D14" s="80" t="str">
        <f aca="false">IF(ISBLANK($A14),"NO_CODE",VLOOKUP($A14,'UPD Questions_290926 '!$E$1:$N$300,MATCH(D$1,'UPD Questions_290926 '!$E$1:$N$1,0),0)&amp;"")</f>
        <v>Objectives of each level of Municipal/City Plans</v>
      </c>
      <c r="E14" s="80" t="str">
        <f aca="false">IF(ISBLANK($A14),"NO_CODE",VLOOKUP($A14,'UPD Questions_290926 '!$E$1:$N$300,MATCH(E$1,'UPD Questions_290926 '!$E$1:$N$1,0),0)&amp;"")</f>
        <v>MQ</v>
      </c>
      <c r="F14" s="80" t="str">
        <f aca="false">IF(ISBLANK($A14),"NO_CODE",VLOOKUP($A14,'UPD Questions_290926 '!$E$1:$N$300,MATCH(F$1,'UPD Questions_290926 '!$E$1:$N$1,0),0)&amp;"")</f>
        <v>Does the Act clearly define the objectives/contents of each level of spatial plan?</v>
      </c>
      <c r="G14" s="80" t="str">
        <f aca="false">IF(ISBLANK($A14),"NO_CODE",VLOOKUP($A14,'UPD Questions_290926 '!$E$1:$N$300,MATCH(G$1,'UPD Questions_290926 '!$E$1:$N$1,0),0)&amp;"")</f>
        <v>Law or Policy</v>
      </c>
      <c r="H14" s="82" t="n">
        <f aca="false">IF(ISBLANK($A14),"NO_CODE",VLOOKUP($A14,'UPD Questions_290926 '!$E$1:$N$300,MATCH(H$1,'UPD Questions_290926 '!$E$1:$N$1,0),0))</f>
        <v>10</v>
      </c>
      <c r="I14" s="83" t="str">
        <f aca="true">IF($H14=0,"NA",IF($A14=INDIRECT("'"&amp;$A14&amp;"'!$B$1"),IF(VLOOKUP(I$1,INDIRECT("'"&amp;$A14&amp;"'!$A$12:$Z$41"),MATCH("Points (Auto-generate)",INDIRECT("'"&amp;$A14&amp;"'!$A$12:$Z$12"),0),0)="","?",VLOOKUP(I$1,INDIRECT("'"&amp;$A14&amp;"'!$A$12:$Z$41"),MATCH("Points (Auto-generate)",INDIRECT("'"&amp;$A14&amp;"'!$A$12:$Z$12"),0),0)),"ER"))</f>
        <v>?</v>
      </c>
      <c r="J14" s="83" t="str">
        <f aca="true">IF($H14=0,"NA",IF($A14=INDIRECT("'"&amp;$A14&amp;"'!$B$1"),IF(VLOOKUP(J$1,INDIRECT("'"&amp;$A14&amp;"'!$A$12:$Z$41"),MATCH("Points (Auto-generate)",INDIRECT("'"&amp;$A14&amp;"'!$A$12:$Z$12"),0),0)="","?",VLOOKUP(J$1,INDIRECT("'"&amp;$A14&amp;"'!$A$12:$Z$41"),MATCH("Points (Auto-generate)",INDIRECT("'"&amp;$A14&amp;"'!$A$12:$Z$12"),0),0)),"ER"))</f>
        <v>?</v>
      </c>
      <c r="K14" s="83" t="str">
        <f aca="true">IF($H14=0,"NA",IF($A14=INDIRECT("'"&amp;$A14&amp;"'!$B$1"),IF(VLOOKUP(K$1,INDIRECT("'"&amp;$A14&amp;"'!$A$12:$Z$41"),MATCH("Points (Auto-generate)",INDIRECT("'"&amp;$A14&amp;"'!$A$12:$Z$12"),0),0)="","?",VLOOKUP(K$1,INDIRECT("'"&amp;$A14&amp;"'!$A$12:$Z$41"),MATCH("Points (Auto-generate)",INDIRECT("'"&amp;$A14&amp;"'!$A$12:$Z$12"),0),0)),"ER"))</f>
        <v>?</v>
      </c>
      <c r="L14" s="83" t="str">
        <f aca="true">IF($H14=0,"NA",IF($A14=INDIRECT("'"&amp;$A14&amp;"'!$B$1"),IF(VLOOKUP(L$1,INDIRECT("'"&amp;$A14&amp;"'!$A$12:$Z$41"),MATCH("Points (Auto-generate)",INDIRECT("'"&amp;$A14&amp;"'!$A$12:$Z$12"),0),0)="","?",VLOOKUP(L$1,INDIRECT("'"&amp;$A14&amp;"'!$A$12:$Z$41"),MATCH("Points (Auto-generate)",INDIRECT("'"&amp;$A14&amp;"'!$A$12:$Z$12"),0),0)),"ER"))</f>
        <v>?</v>
      </c>
      <c r="M14" s="83" t="str">
        <f aca="true">IF($H14=0,"NA",IF($A14=INDIRECT("'"&amp;$A14&amp;"'!$B$1"),IF(VLOOKUP(M$1,INDIRECT("'"&amp;$A14&amp;"'!$A$12:$Z$41"),MATCH("Points (Auto-generate)",INDIRECT("'"&amp;$A14&amp;"'!$A$12:$Z$12"),0),0)="","?",VLOOKUP(M$1,INDIRECT("'"&amp;$A14&amp;"'!$A$12:$Z$41"),MATCH("Points (Auto-generate)",INDIRECT("'"&amp;$A14&amp;"'!$A$12:$Z$12"),0),0)),"ER"))</f>
        <v>?</v>
      </c>
      <c r="N14" s="83" t="str">
        <f aca="true">IF($H14=0,"NA",IF($A14=INDIRECT("'"&amp;$A14&amp;"'!$B$1"),IF(VLOOKUP(N$1,INDIRECT("'"&amp;$A14&amp;"'!$A$12:$Z$41"),MATCH("Points (Auto-generate)",INDIRECT("'"&amp;$A14&amp;"'!$A$12:$Z$12"),0),0)="","?",VLOOKUP(N$1,INDIRECT("'"&amp;$A14&amp;"'!$A$12:$Z$41"),MATCH("Points (Auto-generate)",INDIRECT("'"&amp;$A14&amp;"'!$A$12:$Z$12"),0),0)),"ER"))</f>
        <v>?</v>
      </c>
      <c r="O14" s="83" t="str">
        <f aca="true">IF($H14=0,"NA",IF($A14=INDIRECT("'"&amp;$A14&amp;"'!$B$1"),IF(VLOOKUP(O$1,INDIRECT("'"&amp;$A14&amp;"'!$A$12:$Z$41"),MATCH("Points (Auto-generate)",INDIRECT("'"&amp;$A14&amp;"'!$A$12:$Z$12"),0),0)="","?",VLOOKUP(O$1,INDIRECT("'"&amp;$A14&amp;"'!$A$12:$Z$41"),MATCH("Points (Auto-generate)",INDIRECT("'"&amp;$A14&amp;"'!$A$12:$Z$12"),0),0)),"ER"))</f>
        <v>?</v>
      </c>
      <c r="P14" s="83" t="str">
        <f aca="true">IF($H14=0,"NA",IF($A14=INDIRECT("'"&amp;$A14&amp;"'!$B$1"),IF(VLOOKUP(P$1,INDIRECT("'"&amp;$A14&amp;"'!$A$12:$Z$41"),MATCH("Points (Auto-generate)",INDIRECT("'"&amp;$A14&amp;"'!$A$12:$Z$12"),0),0)="","?",VLOOKUP(P$1,INDIRECT("'"&amp;$A14&amp;"'!$A$12:$Z$41"),MATCH("Points (Auto-generate)",INDIRECT("'"&amp;$A14&amp;"'!$A$12:$Z$12"),0),0)),"ER"))</f>
        <v>?</v>
      </c>
      <c r="Q14" s="83" t="str">
        <f aca="true">IF($H14=0,"NA",IF($A14=INDIRECT("'"&amp;$A14&amp;"'!$B$1"),IF(VLOOKUP(Q$1,INDIRECT("'"&amp;$A14&amp;"'!$A$12:$Z$41"),MATCH("Points (Auto-generate)",INDIRECT("'"&amp;$A14&amp;"'!$A$12:$Z$12"),0),0)="","?",VLOOKUP(Q$1,INDIRECT("'"&amp;$A14&amp;"'!$A$12:$Z$41"),MATCH("Points (Auto-generate)",INDIRECT("'"&amp;$A14&amp;"'!$A$12:$Z$12"),0),0)),"ER"))</f>
        <v>?</v>
      </c>
      <c r="R14" s="83" t="str">
        <f aca="true">IF($H14=0,"NA",IF($A14=INDIRECT("'"&amp;$A14&amp;"'!$B$1"),IF(VLOOKUP(R$1,INDIRECT("'"&amp;$A14&amp;"'!$A$12:$Z$41"),MATCH("Points (Auto-generate)",INDIRECT("'"&amp;$A14&amp;"'!$A$12:$Z$12"),0),0)="","?",VLOOKUP(R$1,INDIRECT("'"&amp;$A14&amp;"'!$A$12:$Z$41"),MATCH("Points (Auto-generate)",INDIRECT("'"&amp;$A14&amp;"'!$A$12:$Z$12"),0),0)),"ER"))</f>
        <v>?</v>
      </c>
      <c r="S14" s="83" t="str">
        <f aca="true">IF($H14=0,"NA",IF($A14=INDIRECT("'"&amp;$A14&amp;"'!$B$1"),IF(VLOOKUP(S$1,INDIRECT("'"&amp;$A14&amp;"'!$A$12:$Z$41"),MATCH("Points (Auto-generate)",INDIRECT("'"&amp;$A14&amp;"'!$A$12:$Z$12"),0),0)="","?",VLOOKUP(S$1,INDIRECT("'"&amp;$A14&amp;"'!$A$12:$Z$41"),MATCH("Points (Auto-generate)",INDIRECT("'"&amp;$A14&amp;"'!$A$12:$Z$12"),0),0)),"ER"))</f>
        <v>?</v>
      </c>
      <c r="T14" s="83" t="str">
        <f aca="true">IF($H14=0,"NA",IF($A14=INDIRECT("'"&amp;$A14&amp;"'!$B$1"),IF(VLOOKUP(T$1,INDIRECT("'"&amp;$A14&amp;"'!$A$12:$Z$41"),MATCH("Points (Auto-generate)",INDIRECT("'"&amp;$A14&amp;"'!$A$12:$Z$12"),0),0)="","?",VLOOKUP(T$1,INDIRECT("'"&amp;$A14&amp;"'!$A$12:$Z$41"),MATCH("Points (Auto-generate)",INDIRECT("'"&amp;$A14&amp;"'!$A$12:$Z$12"),0),0)),"ER"))</f>
        <v>?</v>
      </c>
      <c r="U14" s="83" t="str">
        <f aca="true">IF($H14=0,"NA",IF($A14=INDIRECT("'"&amp;$A14&amp;"'!$B$1"),IF(VLOOKUP(U$1,INDIRECT("'"&amp;$A14&amp;"'!$A$12:$Z$41"),MATCH("Points (Auto-generate)",INDIRECT("'"&amp;$A14&amp;"'!$A$12:$Z$12"),0),0)="","?",VLOOKUP(U$1,INDIRECT("'"&amp;$A14&amp;"'!$A$12:$Z$41"),MATCH("Points (Auto-generate)",INDIRECT("'"&amp;$A14&amp;"'!$A$12:$Z$12"),0),0)),"ER"))</f>
        <v>?</v>
      </c>
      <c r="V14" s="83" t="str">
        <f aca="true">IF($H14=0,"NA",IF($A14=INDIRECT("'"&amp;$A14&amp;"'!$B$1"),IF(VLOOKUP(V$1,INDIRECT("'"&amp;$A14&amp;"'!$A$12:$Z$41"),MATCH("Points (Auto-generate)",INDIRECT("'"&amp;$A14&amp;"'!$A$12:$Z$12"),0),0)="","?",VLOOKUP(V$1,INDIRECT("'"&amp;$A14&amp;"'!$A$12:$Z$41"),MATCH("Points (Auto-generate)",INDIRECT("'"&amp;$A14&amp;"'!$A$12:$Z$12"),0),0)),"ER"))</f>
        <v>?</v>
      </c>
      <c r="W14" s="83" t="str">
        <f aca="true">IF($H14=0,"NA",IF($A14=INDIRECT("'"&amp;$A14&amp;"'!$B$1"),IF(VLOOKUP(W$1,INDIRECT("'"&amp;$A14&amp;"'!$A$12:$Z$41"),MATCH("Points (Auto-generate)",INDIRECT("'"&amp;$A14&amp;"'!$A$12:$Z$12"),0),0)="","?",VLOOKUP(W$1,INDIRECT("'"&amp;$A14&amp;"'!$A$12:$Z$41"),MATCH("Points (Auto-generate)",INDIRECT("'"&amp;$A14&amp;"'!$A$12:$Z$12"),0),0)),"ER"))</f>
        <v>?</v>
      </c>
      <c r="X14" s="83" t="str">
        <f aca="true">IF($H14=0,"NA",IF($A14=INDIRECT("'"&amp;$A14&amp;"'!$B$1"),IF(VLOOKUP(X$1,INDIRECT("'"&amp;$A14&amp;"'!$A$12:$Z$41"),MATCH("Points (Auto-generate)",INDIRECT("'"&amp;$A14&amp;"'!$A$12:$Z$12"),0),0)="","?",VLOOKUP(X$1,INDIRECT("'"&amp;$A14&amp;"'!$A$12:$Z$41"),MATCH("Points (Auto-generate)",INDIRECT("'"&amp;$A14&amp;"'!$A$12:$Z$12"),0),0)),"ER"))</f>
        <v>?</v>
      </c>
      <c r="Y14" s="83" t="str">
        <f aca="true">IF($H14=0,"NA",IF($A14=INDIRECT("'"&amp;$A14&amp;"'!$B$1"),IF(VLOOKUP(Y$1,INDIRECT("'"&amp;$A14&amp;"'!$A$12:$Z$41"),MATCH("Points (Auto-generate)",INDIRECT("'"&amp;$A14&amp;"'!$A$12:$Z$12"),0),0)="","?",VLOOKUP(Y$1,INDIRECT("'"&amp;$A14&amp;"'!$A$12:$Z$41"),MATCH("Points (Auto-generate)",INDIRECT("'"&amp;$A14&amp;"'!$A$12:$Z$12"),0),0)),"ER"))</f>
        <v>?</v>
      </c>
      <c r="Z14" s="83" t="str">
        <f aca="true">IF($H14=0,"NA",IF($A14=INDIRECT("'"&amp;$A14&amp;"'!$B$1"),IF(VLOOKUP(Z$1,INDIRECT("'"&amp;$A14&amp;"'!$A$12:$Z$41"),MATCH("Points (Auto-generate)",INDIRECT("'"&amp;$A14&amp;"'!$A$12:$Z$12"),0),0)="","?",VLOOKUP(Z$1,INDIRECT("'"&amp;$A14&amp;"'!$A$12:$Z$41"),MATCH("Points (Auto-generate)",INDIRECT("'"&amp;$A14&amp;"'!$A$12:$Z$12"),0),0)),"ER"))</f>
        <v>?</v>
      </c>
      <c r="AA14" s="83" t="str">
        <f aca="true">IF($H14=0,"NA",IF($A14=INDIRECT("'"&amp;$A14&amp;"'!$B$1"),IF(VLOOKUP(AA$1,INDIRECT("'"&amp;$A14&amp;"'!$A$12:$Z$41"),MATCH("Points (Auto-generate)",INDIRECT("'"&amp;$A14&amp;"'!$A$12:$Z$12"),0),0)="","?",VLOOKUP(AA$1,INDIRECT("'"&amp;$A14&amp;"'!$A$12:$Z$41"),MATCH("Points (Auto-generate)",INDIRECT("'"&amp;$A14&amp;"'!$A$12:$Z$12"),0),0)),"ER"))</f>
        <v>?</v>
      </c>
      <c r="AB14" s="83" t="str">
        <f aca="true">IF($H14=0,"NA",IF($A14=INDIRECT("'"&amp;$A14&amp;"'!$B$1"),IF(VLOOKUP(AB$1,INDIRECT("'"&amp;$A14&amp;"'!$A$12:$Z$41"),MATCH("Points (Auto-generate)",INDIRECT("'"&amp;$A14&amp;"'!$A$12:$Z$12"),0),0)="","?",VLOOKUP(AB$1,INDIRECT("'"&amp;$A14&amp;"'!$A$12:$Z$41"),MATCH("Points (Auto-generate)",INDIRECT("'"&amp;$A14&amp;"'!$A$12:$Z$12"),0),0)),"ER"))</f>
        <v>?</v>
      </c>
      <c r="AC14" s="83" t="str">
        <f aca="true">IF($H14=0,"NA",IF($A14=INDIRECT("'"&amp;$A14&amp;"'!$B$1"),IF(VLOOKUP(AC$1,INDIRECT("'"&amp;$A14&amp;"'!$A$12:$Z$41"),MATCH("Points (Auto-generate)",INDIRECT("'"&amp;$A14&amp;"'!$A$12:$Z$12"),0),0)="","?",VLOOKUP(AC$1,INDIRECT("'"&amp;$A14&amp;"'!$A$12:$Z$41"),MATCH("Points (Auto-generate)",INDIRECT("'"&amp;$A14&amp;"'!$A$12:$Z$12"),0),0)),"ER"))</f>
        <v>?</v>
      </c>
      <c r="AD14" s="83" t="str">
        <f aca="true">IF($H14=0,"NA",IF($A14=INDIRECT("'"&amp;$A14&amp;"'!$B$1"),IF(VLOOKUP(AD$1,INDIRECT("'"&amp;$A14&amp;"'!$A$12:$Z$41"),MATCH("Points (Auto-generate)",INDIRECT("'"&amp;$A14&amp;"'!$A$12:$Z$12"),0),0)="","?",VLOOKUP(AD$1,INDIRECT("'"&amp;$A14&amp;"'!$A$12:$Z$41"),MATCH("Points (Auto-generate)",INDIRECT("'"&amp;$A14&amp;"'!$A$12:$Z$12"),0),0)),"ER"))</f>
        <v>?</v>
      </c>
      <c r="AE14" s="83" t="str">
        <f aca="true">IF($H14=0,"NA",IF($A14=INDIRECT("'"&amp;$A14&amp;"'!$B$1"),IF(VLOOKUP(AE$1,INDIRECT("'"&amp;$A14&amp;"'!$A$12:$Z$41"),MATCH("Points (Auto-generate)",INDIRECT("'"&amp;$A14&amp;"'!$A$12:$Z$12"),0),0)="","?",VLOOKUP(AE$1,INDIRECT("'"&amp;$A14&amp;"'!$A$12:$Z$41"),MATCH("Points (Auto-generate)",INDIRECT("'"&amp;$A14&amp;"'!$A$12:$Z$12"),0),0)),"ER"))</f>
        <v>?</v>
      </c>
      <c r="AF14" s="83" t="str">
        <f aca="true">IF($H14=0,"NA",IF($A14=INDIRECT("'"&amp;$A14&amp;"'!$B$1"),IF(VLOOKUP(AF$1,INDIRECT("'"&amp;$A14&amp;"'!$A$12:$Z$41"),MATCH("Points (Auto-generate)",INDIRECT("'"&amp;$A14&amp;"'!$A$12:$Z$12"),0),0)="","?",VLOOKUP(AF$1,INDIRECT("'"&amp;$A14&amp;"'!$A$12:$Z$41"),MATCH("Points (Auto-generate)",INDIRECT("'"&amp;$A14&amp;"'!$A$12:$Z$12"),0),0)),"ER"))</f>
        <v>?</v>
      </c>
      <c r="AG14" s="83" t="str">
        <f aca="true">IF($H14=0,"NA",IF($A14=INDIRECT("'"&amp;$A14&amp;"'!$B$1"),IF(VLOOKUP(AG$1,INDIRECT("'"&amp;$A14&amp;"'!$A$12:$Z$41"),MATCH("Points (Auto-generate)",INDIRECT("'"&amp;$A14&amp;"'!$A$12:$Z$12"),0),0)="","?",VLOOKUP(AG$1,INDIRECT("'"&amp;$A14&amp;"'!$A$12:$Z$41"),MATCH("Points (Auto-generate)",INDIRECT("'"&amp;$A14&amp;"'!$A$12:$Z$12"),0),0)),"ER"))</f>
        <v>?</v>
      </c>
      <c r="AH14" s="83" t="str">
        <f aca="true">IF($H14=0,"NA",IF($A14=INDIRECT("'"&amp;$A14&amp;"'!$B$1"),IF(VLOOKUP(AH$1,INDIRECT("'"&amp;$A14&amp;"'!$A$12:$Z$41"),MATCH("Points (Auto-generate)",INDIRECT("'"&amp;$A14&amp;"'!$A$12:$Z$12"),0),0)="","?",VLOOKUP(AH$1,INDIRECT("'"&amp;$A14&amp;"'!$A$12:$Z$41"),MATCH("Points (Auto-generate)",INDIRECT("'"&amp;$A14&amp;"'!$A$12:$Z$12"),0),0)),"ER"))</f>
        <v>?</v>
      </c>
      <c r="AI14" s="83" t="str">
        <f aca="true">IF($H14=0,"NA",IF($A14=INDIRECT("'"&amp;$A14&amp;"'!$B$1"),IF(VLOOKUP(AI$1,INDIRECT("'"&amp;$A14&amp;"'!$A$12:$Z$41"),MATCH("Points (Auto-generate)",INDIRECT("'"&amp;$A14&amp;"'!$A$12:$Z$12"),0),0)="","?",VLOOKUP(AI$1,INDIRECT("'"&amp;$A14&amp;"'!$A$12:$Z$41"),MATCH("Points (Auto-generate)",INDIRECT("'"&amp;$A14&amp;"'!$A$12:$Z$12"),0),0)),"ER"))</f>
        <v>?</v>
      </c>
      <c r="AJ14" s="83" t="str">
        <f aca="true">IF($H14=0,"NA",IF($A14=INDIRECT("'"&amp;$A14&amp;"'!$B$1"),IF(VLOOKUP(AJ$1,INDIRECT("'"&amp;$A14&amp;"'!$A$12:$Z$41"),MATCH("Points (Auto-generate)",INDIRECT("'"&amp;$A14&amp;"'!$A$12:$Z$12"),0),0)="","?",VLOOKUP(AJ$1,INDIRECT("'"&amp;$A14&amp;"'!$A$12:$Z$41"),MATCH("Points (Auto-generate)",INDIRECT("'"&amp;$A14&amp;"'!$A$12:$Z$12"),0),0)),"ER"))</f>
        <v>?</v>
      </c>
      <c r="AK14" s="83" t="str">
        <f aca="true">IF($H14=0,"NA",IF($A14=INDIRECT("'"&amp;$A14&amp;"'!$B$1"),IF(VLOOKUP(AK$1,INDIRECT("'"&amp;$A14&amp;"'!$A$12:$Z$41"),MATCH("Points (Auto-generate)",INDIRECT("'"&amp;$A14&amp;"'!$A$12:$Z$12"),0),0)="","?",VLOOKUP(AK$1,INDIRECT("'"&amp;$A14&amp;"'!$A$12:$Z$41"),MATCH("Points (Auto-generate)",INDIRECT("'"&amp;$A14&amp;"'!$A$12:$Z$12"),0),0)),"ER"))</f>
        <v>?</v>
      </c>
    </row>
    <row r="15" customFormat="false" ht="25.5" hidden="false" customHeight="true" outlineLevel="0" collapsed="false">
      <c r="A15" s="79" t="s">
        <v>474</v>
      </c>
      <c r="B15" s="80" t="str">
        <f aca="false">IF(ISBLANK($A15),"NO_CODE",VLOOKUP($A15,'UPD Questions_290926 '!$E$1:$N$300,MATCH(B$1,'UPD Questions_290926 '!$E$1:$N$1,0),0)&amp;"")</f>
        <v>Planning </v>
      </c>
      <c r="C15" s="81" t="str">
        <f aca="false">IF(ISBLANK($A15),"NO_CODE",VLOOKUP($A15,'UPD Questions_290926 '!$E$1:$N$300,MATCH(C$1,'UPD Questions_290926 '!$E$1:$N$1,0),0)&amp;"")</f>
        <v>Legal and institutional planning architecture</v>
      </c>
      <c r="D15" s="80" t="str">
        <f aca="false">IF(ISBLANK($A15),"NO_CODE",VLOOKUP($A15,'UPD Questions_290926 '!$E$1:$N$300,MATCH(D$1,'UPD Questions_290926 '!$E$1:$N$1,0),0)&amp;"")</f>
        <v>Metropolitan and district planning institutions</v>
      </c>
      <c r="E15" s="80" t="str">
        <f aca="false">IF(ISBLANK($A15),"NO_CODE",VLOOKUP($A15,'UPD Questions_290926 '!$E$1:$N$300,MATCH(E$1,'UPD Questions_290926 '!$E$1:$N$1,0),0)&amp;"")</f>
        <v>MQ</v>
      </c>
      <c r="F15" s="80" t="str">
        <f aca="false">IF(ISBLANK($A15),"NO_CODE",VLOOKUP($A15,'UPD Questions_290926 '!$E$1:$N$300,MATCH(F$1,'UPD Questions_290926 '!$E$1:$N$1,0),0)&amp;"")</f>
        <v>Does the city have a functional MPC/DPC?</v>
      </c>
      <c r="G15" s="80" t="str">
        <f aca="false">IF(ISBLANK($A15),"NO_CODE",VLOOKUP($A15,'UPD Questions_290926 '!$E$1:$N$300,MATCH(G$1,'UPD Questions_290926 '!$E$1:$N$1,0),0)&amp;"")</f>
        <v>Law/Policy &amp; Implementation</v>
      </c>
      <c r="H15" s="82" t="n">
        <f aca="false">IF(ISBLANK($A15),"NO_CODE",VLOOKUP($A15,'UPD Questions_290926 '!$E$1:$N$300,MATCH(H$1,'UPD Questions_290926 '!$E$1:$N$1,0),0))</f>
        <v>10</v>
      </c>
      <c r="I15" s="83" t="str">
        <f aca="false">IF(OR(I16="ER",I17="ER"),"ER",IF(OR(I16="?",I17="?"),"?",IF(AND(I16="NA",I17="NA"),"NA",SUM(I16,I17)/((I16&lt;&gt;"NA")*$H$16+(I17&lt;&gt;"NA")*$H$17)*$H15)))</f>
        <v>?</v>
      </c>
      <c r="J15" s="83" t="str">
        <f aca="false">IF(OR(J16="ER",J17="ER"),"ER",IF(OR(J16="?",J17="?"),"?",IF(AND(J16="NA",J17="NA"),"NA",SUM(J16,J17)/((J16&lt;&gt;"NA")*$H$16+(J17&lt;&gt;"NA")*$H$17)*$H15)))</f>
        <v>?</v>
      </c>
      <c r="K15" s="83" t="str">
        <f aca="false">IF(OR(K16="ER",K17="ER"),"ER",IF(OR(K16="?",K17="?"),"?",IF(AND(K16="NA",K17="NA"),"NA",SUM(K16,K17)/((K16&lt;&gt;"NA")*$H$16+(K17&lt;&gt;"NA")*$H$17)*$H15)))</f>
        <v>?</v>
      </c>
      <c r="L15" s="83" t="str">
        <f aca="false">IF(OR(L16="ER",L17="ER"),"ER",IF(OR(L16="?",L17="?"),"?",IF(AND(L16="NA",L17="NA"),"NA",SUM(L16,L17)/((L16&lt;&gt;"NA")*$H$16+(L17&lt;&gt;"NA")*$H$17)*$H15)))</f>
        <v>?</v>
      </c>
      <c r="M15" s="83" t="str">
        <f aca="false">IF(OR(M16="ER",M17="ER"),"ER",IF(OR(M16="?",M17="?"),"?",IF(AND(M16="NA",M17="NA"),"NA",SUM(M16,M17)/((M16&lt;&gt;"NA")*$H$16+(M17&lt;&gt;"NA")*$H$17)*$H15)))</f>
        <v>?</v>
      </c>
      <c r="N15" s="83" t="str">
        <f aca="false">IF(OR(N16="ER",N17="ER"),"ER",IF(OR(N16="?",N17="?"),"?",IF(AND(N16="NA",N17="NA"),"NA",SUM(N16,N17)/((N16&lt;&gt;"NA")*$H$16+(N17&lt;&gt;"NA")*$H$17)*$H15)))</f>
        <v>?</v>
      </c>
      <c r="O15" s="83" t="str">
        <f aca="false">IF(OR(O16="ER",O17="ER"),"ER",IF(OR(O16="?",O17="?"),"?",IF(AND(O16="NA",O17="NA"),"NA",SUM(O16,O17)/((O16&lt;&gt;"NA")*$H$16+(O17&lt;&gt;"NA")*$H$17)*$H15)))</f>
        <v>?</v>
      </c>
      <c r="P15" s="83" t="str">
        <f aca="false">IF(OR(P16="ER",P17="ER"),"ER",IF(OR(P16="?",P17="?"),"?",IF(AND(P16="NA",P17="NA"),"NA",SUM(P16,P17)/((P16&lt;&gt;"NA")*$H$16+(P17&lt;&gt;"NA")*$H$17)*$H15)))</f>
        <v>?</v>
      </c>
      <c r="Q15" s="83" t="str">
        <f aca="false">IF(OR(Q16="ER",Q17="ER"),"ER",IF(OR(Q16="?",Q17="?"),"?",IF(AND(Q16="NA",Q17="NA"),"NA",SUM(Q16,Q17)/((Q16&lt;&gt;"NA")*$H$16+(Q17&lt;&gt;"NA")*$H$17)*$H15)))</f>
        <v>?</v>
      </c>
      <c r="R15" s="83" t="str">
        <f aca="false">IF(OR(R16="ER",R17="ER"),"ER",IF(OR(R16="?",R17="?"),"?",IF(AND(R16="NA",R17="NA"),"NA",SUM(R16,R17)/((R16&lt;&gt;"NA")*$H$16+(R17&lt;&gt;"NA")*$H$17)*$H15)))</f>
        <v>?</v>
      </c>
      <c r="S15" s="83" t="str">
        <f aca="false">IF(OR(S16="ER",S17="ER"),"ER",IF(OR(S16="?",S17="?"),"?",IF(AND(S16="NA",S17="NA"),"NA",SUM(S16,S17)/((S16&lt;&gt;"NA")*$H$16+(S17&lt;&gt;"NA")*$H$17)*$H15)))</f>
        <v>?</v>
      </c>
      <c r="T15" s="83" t="str">
        <f aca="false">IF(OR(T16="ER",T17="ER"),"ER",IF(OR(T16="?",T17="?"),"?",IF(AND(T16="NA",T17="NA"),"NA",SUM(T16,T17)/((T16&lt;&gt;"NA")*$H$16+(T17&lt;&gt;"NA")*$H$17)*$H15)))</f>
        <v>?</v>
      </c>
      <c r="U15" s="83" t="str">
        <f aca="false">IF(OR(U16="ER",U17="ER"),"ER",IF(OR(U16="?",U17="?"),"?",IF(AND(U16="NA",U17="NA"),"NA",SUM(U16,U17)/((U16&lt;&gt;"NA")*$H$16+(U17&lt;&gt;"NA")*$H$17)*$H15)))</f>
        <v>?</v>
      </c>
      <c r="V15" s="83" t="str">
        <f aca="false">IF(OR(V16="ER",V17="ER"),"ER",IF(OR(V16="?",V17="?"),"?",IF(AND(V16="NA",V17="NA"),"NA",SUM(V16,V17)/((V16&lt;&gt;"NA")*$H$16+(V17&lt;&gt;"NA")*$H$17)*$H15)))</f>
        <v>?</v>
      </c>
      <c r="W15" s="83" t="str">
        <f aca="false">IF(OR(W16="ER",W17="ER"),"ER",IF(OR(W16="?",W17="?"),"?",IF(AND(W16="NA",W17="NA"),"NA",SUM(W16,W17)/((W16&lt;&gt;"NA")*$H$16+(W17&lt;&gt;"NA")*$H$17)*$H15)))</f>
        <v>?</v>
      </c>
      <c r="X15" s="83" t="str">
        <f aca="false">IF(OR(X16="ER",X17="ER"),"ER",IF(OR(X16="?",X17="?"),"?",IF(AND(X16="NA",X17="NA"),"NA",SUM(X16,X17)/((X16&lt;&gt;"NA")*$H$16+(X17&lt;&gt;"NA")*$H$17)*$H15)))</f>
        <v>?</v>
      </c>
      <c r="Y15" s="83" t="str">
        <f aca="false">IF(OR(Y16="ER",Y17="ER"),"ER",IF(OR(Y16="?",Y17="?"),"?",IF(AND(Y16="NA",Y17="NA"),"NA",SUM(Y16,Y17)/((Y16&lt;&gt;"NA")*$H$16+(Y17&lt;&gt;"NA")*$H$17)*$H15)))</f>
        <v>?</v>
      </c>
      <c r="Z15" s="83" t="str">
        <f aca="false">IF(OR(Z16="ER",Z17="ER"),"ER",IF(OR(Z16="?",Z17="?"),"?",IF(AND(Z16="NA",Z17="NA"),"NA",SUM(Z16,Z17)/((Z16&lt;&gt;"NA")*$H$16+(Z17&lt;&gt;"NA")*$H$17)*$H15)))</f>
        <v>?</v>
      </c>
      <c r="AA15" s="83" t="str">
        <f aca="false">IF(OR(AA16="ER",AA17="ER"),"ER",IF(OR(AA16="?",AA17="?"),"?",IF(AND(AA16="NA",AA17="NA"),"NA",SUM(AA16,AA17)/((AA16&lt;&gt;"NA")*$H$16+(AA17&lt;&gt;"NA")*$H$17)*$H15)))</f>
        <v>?</v>
      </c>
      <c r="AB15" s="83" t="str">
        <f aca="false">IF(OR(AB16="ER",AB17="ER"),"ER",IF(OR(AB16="?",AB17="?"),"?",IF(AND(AB16="NA",AB17="NA"),"NA",SUM(AB16,AB17)/((AB16&lt;&gt;"NA")*$H$16+(AB17&lt;&gt;"NA")*$H$17)*$H15)))</f>
        <v>?</v>
      </c>
      <c r="AC15" s="83" t="str">
        <f aca="false">IF(OR(AC16="ER",AC17="ER"),"ER",IF(OR(AC16="?",AC17="?"),"?",IF(AND(AC16="NA",AC17="NA"),"NA",SUM(AC16,AC17)/((AC16&lt;&gt;"NA")*$H$16+(AC17&lt;&gt;"NA")*$H$17)*$H15)))</f>
        <v>?</v>
      </c>
      <c r="AD15" s="83" t="str">
        <f aca="false">IF(OR(AD16="ER",AD17="ER"),"ER",IF(OR(AD16="?",AD17="?"),"?",IF(AND(AD16="NA",AD17="NA"),"NA",SUM(AD16,AD17)/((AD16&lt;&gt;"NA")*$H$16+(AD17&lt;&gt;"NA")*$H$17)*$H15)))</f>
        <v>?</v>
      </c>
      <c r="AE15" s="83" t="str">
        <f aca="false">IF(OR(AE16="ER",AE17="ER"),"ER",IF(OR(AE16="?",AE17="?"),"?",IF(AND(AE16="NA",AE17="NA"),"NA",SUM(AE16,AE17)/((AE16&lt;&gt;"NA")*$H$16+(AE17&lt;&gt;"NA")*$H$17)*$H15)))</f>
        <v>?</v>
      </c>
      <c r="AF15" s="83" t="str">
        <f aca="false">IF(OR(AF16="ER",AF17="ER"),"ER",IF(OR(AF16="?",AF17="?"),"?",IF(AND(AF16="NA",AF17="NA"),"NA",SUM(AF16,AF17)/((AF16&lt;&gt;"NA")*$H$16+(AF17&lt;&gt;"NA")*$H$17)*$H15)))</f>
        <v>?</v>
      </c>
      <c r="AG15" s="83" t="str">
        <f aca="false">IF(OR(AG16="ER",AG17="ER"),"ER",IF(OR(AG16="?",AG17="?"),"?",IF(AND(AG16="NA",AG17="NA"),"NA",SUM(AG16,AG17)/((AG16&lt;&gt;"NA")*$H$16+(AG17&lt;&gt;"NA")*$H$17)*$H15)))</f>
        <v>?</v>
      </c>
      <c r="AH15" s="83" t="str">
        <f aca="false">IF(OR(AH16="ER",AH17="ER"),"ER",IF(OR(AH16="?",AH17="?"),"?",IF(AND(AH16="NA",AH17="NA"),"NA",SUM(AH16,AH17)/((AH16&lt;&gt;"NA")*$H$16+(AH17&lt;&gt;"NA")*$H$17)*$H15)))</f>
        <v>?</v>
      </c>
      <c r="AI15" s="83" t="str">
        <f aca="false">IF(OR(AI16="ER",AI17="ER"),"ER",IF(OR(AI16="?",AI17="?"),"?",IF(AND(AI16="NA",AI17="NA"),"NA",SUM(AI16,AI17)/((AI16&lt;&gt;"NA")*$H$16+(AI17&lt;&gt;"NA")*$H$17)*$H15)))</f>
        <v>?</v>
      </c>
      <c r="AJ15" s="83" t="str">
        <f aca="false">IF(OR(AJ16="ER",AJ17="ER"),"ER",IF(OR(AJ16="?",AJ17="?"),"?",IF(AND(AJ16="NA",AJ17="NA"),"NA",SUM(AJ16,AJ17)/((AJ16&lt;&gt;"NA")*$H$16+(AJ17&lt;&gt;"NA")*$H$17)*$H15)))</f>
        <v>?</v>
      </c>
      <c r="AK15" s="83" t="str">
        <f aca="false">IF(OR(AK16="ER",AK17="ER"),"ER",IF(OR(AK16="?",AK17="?"),"?",IF(AND(AK16="NA",AK17="NA"),"NA",SUM(AK16,AK17)/((AK16&lt;&gt;"NA")*$H$16+(AK17&lt;&gt;"NA")*$H$17)*$H15)))</f>
        <v>?</v>
      </c>
    </row>
    <row r="16" customFormat="false" ht="25.5" hidden="false" customHeight="true" outlineLevel="0" collapsed="false">
      <c r="A16" s="79" t="s">
        <v>79</v>
      </c>
      <c r="B16" s="80" t="str">
        <f aca="false">IF(ISBLANK($A16),"NO_CODE",VLOOKUP($A16,'UPD Questions_290926 '!$E$1:$N$300,MATCH(B$1,'UPD Questions_290926 '!$E$1:$N$1,0),0)&amp;"")</f>
        <v>Planning </v>
      </c>
      <c r="C16" s="81" t="str">
        <f aca="false">IF(ISBLANK($A16),"NO_CODE",VLOOKUP($A16,'UPD Questions_290926 '!$E$1:$N$300,MATCH(C$1,'UPD Questions_290926 '!$E$1:$N$1,0),0)&amp;"")</f>
        <v>Legal and institutional planning architecture</v>
      </c>
      <c r="D16" s="80" t="str">
        <f aca="false">IF(ISBLANK($A16),"NO_CODE",VLOOKUP($A16,'UPD Questions_290926 '!$E$1:$N$300,MATCH(D$1,'UPD Questions_290926 '!$E$1:$N$1,0),0)&amp;"")</f>
        <v>Metropolitan and district planning institutions</v>
      </c>
      <c r="E16" s="80" t="str">
        <f aca="false">IF(ISBLANK($A16),"NO_CODE",VLOOKUP($A16,'UPD Questions_290926 '!$E$1:$N$300,MATCH(E$1,'UPD Questions_290926 '!$E$1:$N$1,0),0)&amp;"")</f>
        <v>SQ</v>
      </c>
      <c r="F16" s="80" t="str">
        <f aca="false">IF(ISBLANK($A16),"NO_CODE",VLOOKUP($A16,'UPD Questions_290926 '!$E$1:$N$300,MATCH(F$1,'UPD Questions_290926 '!$E$1:$N$1,0),0)&amp;"")</f>
        <v>Does the law provide for the constitution of an MPC/DPC?</v>
      </c>
      <c r="G16" s="80" t="str">
        <f aca="false">IF(ISBLANK($A16),"NO_CODE",VLOOKUP($A16,'UPD Questions_290926 '!$E$1:$N$300,MATCH(G$1,'UPD Questions_290926 '!$E$1:$N$1,0),0)&amp;"")</f>
        <v>Law/Policy</v>
      </c>
      <c r="H16" s="82" t="n">
        <f aca="false">IF(ISBLANK($A16),"NO_CODE",VLOOKUP($A16,'UPD Questions_290926 '!$E$1:$N$300,MATCH(H$1,'UPD Questions_290926 '!$E$1:$N$1,0),0))</f>
        <v>5</v>
      </c>
      <c r="I16" s="83" t="str">
        <f aca="true">IF($H16=0,"NA",IF($A16=INDIRECT("'"&amp;$A16&amp;"'!$B$1"),IF(VLOOKUP(I$1,INDIRECT("'"&amp;$A16&amp;"'!$A$12:$Z$41"),MATCH("Points (Auto-generate)",INDIRECT("'"&amp;$A16&amp;"'!$A$12:$Z$12"),0),0)="","?",VLOOKUP(I$1,INDIRECT("'"&amp;$A16&amp;"'!$A$12:$Z$41"),MATCH("Points (Auto-generate)",INDIRECT("'"&amp;$A16&amp;"'!$A$12:$Z$12"),0),0)),"ER"))</f>
        <v>?</v>
      </c>
      <c r="J16" s="83" t="str">
        <f aca="true">IF($H16=0,"NA",IF($A16=INDIRECT("'"&amp;$A16&amp;"'!$B$1"),IF(VLOOKUP(J$1,INDIRECT("'"&amp;$A16&amp;"'!$A$12:$Z$41"),MATCH("Points (Auto-generate)",INDIRECT("'"&amp;$A16&amp;"'!$A$12:$Z$12"),0),0)="","?",VLOOKUP(J$1,INDIRECT("'"&amp;$A16&amp;"'!$A$12:$Z$41"),MATCH("Points (Auto-generate)",INDIRECT("'"&amp;$A16&amp;"'!$A$12:$Z$12"),0),0)),"ER"))</f>
        <v>?</v>
      </c>
      <c r="K16" s="83" t="str">
        <f aca="true">IF($H16=0,"NA",IF($A16=INDIRECT("'"&amp;$A16&amp;"'!$B$1"),IF(VLOOKUP(K$1,INDIRECT("'"&amp;$A16&amp;"'!$A$12:$Z$41"),MATCH("Points (Auto-generate)",INDIRECT("'"&amp;$A16&amp;"'!$A$12:$Z$12"),0),0)="","?",VLOOKUP(K$1,INDIRECT("'"&amp;$A16&amp;"'!$A$12:$Z$41"),MATCH("Points (Auto-generate)",INDIRECT("'"&amp;$A16&amp;"'!$A$12:$Z$12"),0),0)),"ER"))</f>
        <v>?</v>
      </c>
      <c r="L16" s="83" t="str">
        <f aca="true">IF($H16=0,"NA",IF($A16=INDIRECT("'"&amp;$A16&amp;"'!$B$1"),IF(VLOOKUP(L$1,INDIRECT("'"&amp;$A16&amp;"'!$A$12:$Z$41"),MATCH("Points (Auto-generate)",INDIRECT("'"&amp;$A16&amp;"'!$A$12:$Z$12"),0),0)="","?",VLOOKUP(L$1,INDIRECT("'"&amp;$A16&amp;"'!$A$12:$Z$41"),MATCH("Points (Auto-generate)",INDIRECT("'"&amp;$A16&amp;"'!$A$12:$Z$12"),0),0)),"ER"))</f>
        <v>?</v>
      </c>
      <c r="M16" s="83" t="str">
        <f aca="true">IF($H16=0,"NA",IF($A16=INDIRECT("'"&amp;$A16&amp;"'!$B$1"),IF(VLOOKUP(M$1,INDIRECT("'"&amp;$A16&amp;"'!$A$12:$Z$41"),MATCH("Points (Auto-generate)",INDIRECT("'"&amp;$A16&amp;"'!$A$12:$Z$12"),0),0)="","?",VLOOKUP(M$1,INDIRECT("'"&amp;$A16&amp;"'!$A$12:$Z$41"),MATCH("Points (Auto-generate)",INDIRECT("'"&amp;$A16&amp;"'!$A$12:$Z$12"),0),0)),"ER"))</f>
        <v>?</v>
      </c>
      <c r="N16" s="83" t="str">
        <f aca="true">IF($H16=0,"NA",IF($A16=INDIRECT("'"&amp;$A16&amp;"'!$B$1"),IF(VLOOKUP(N$1,INDIRECT("'"&amp;$A16&amp;"'!$A$12:$Z$41"),MATCH("Points (Auto-generate)",INDIRECT("'"&amp;$A16&amp;"'!$A$12:$Z$12"),0),0)="","?",VLOOKUP(N$1,INDIRECT("'"&amp;$A16&amp;"'!$A$12:$Z$41"),MATCH("Points (Auto-generate)",INDIRECT("'"&amp;$A16&amp;"'!$A$12:$Z$12"),0),0)),"ER"))</f>
        <v>?</v>
      </c>
      <c r="O16" s="83" t="str">
        <f aca="true">IF($H16=0,"NA",IF($A16=INDIRECT("'"&amp;$A16&amp;"'!$B$1"),IF(VLOOKUP(O$1,INDIRECT("'"&amp;$A16&amp;"'!$A$12:$Z$41"),MATCH("Points (Auto-generate)",INDIRECT("'"&amp;$A16&amp;"'!$A$12:$Z$12"),0),0)="","?",VLOOKUP(O$1,INDIRECT("'"&amp;$A16&amp;"'!$A$12:$Z$41"),MATCH("Points (Auto-generate)",INDIRECT("'"&amp;$A16&amp;"'!$A$12:$Z$12"),0),0)),"ER"))</f>
        <v>?</v>
      </c>
      <c r="P16" s="83" t="str">
        <f aca="true">IF($H16=0,"NA",IF($A16=INDIRECT("'"&amp;$A16&amp;"'!$B$1"),IF(VLOOKUP(P$1,INDIRECT("'"&amp;$A16&amp;"'!$A$12:$Z$41"),MATCH("Points (Auto-generate)",INDIRECT("'"&amp;$A16&amp;"'!$A$12:$Z$12"),0),0)="","?",VLOOKUP(P$1,INDIRECT("'"&amp;$A16&amp;"'!$A$12:$Z$41"),MATCH("Points (Auto-generate)",INDIRECT("'"&amp;$A16&amp;"'!$A$12:$Z$12"),0),0)),"ER"))</f>
        <v>?</v>
      </c>
      <c r="Q16" s="83" t="str">
        <f aca="true">IF($H16=0,"NA",IF($A16=INDIRECT("'"&amp;$A16&amp;"'!$B$1"),IF(VLOOKUP(Q$1,INDIRECT("'"&amp;$A16&amp;"'!$A$12:$Z$41"),MATCH("Points (Auto-generate)",INDIRECT("'"&amp;$A16&amp;"'!$A$12:$Z$12"),0),0)="","?",VLOOKUP(Q$1,INDIRECT("'"&amp;$A16&amp;"'!$A$12:$Z$41"),MATCH("Points (Auto-generate)",INDIRECT("'"&amp;$A16&amp;"'!$A$12:$Z$12"),0),0)),"ER"))</f>
        <v>?</v>
      </c>
      <c r="R16" s="83" t="str">
        <f aca="true">IF($H16=0,"NA",IF($A16=INDIRECT("'"&amp;$A16&amp;"'!$B$1"),IF(VLOOKUP(R$1,INDIRECT("'"&amp;$A16&amp;"'!$A$12:$Z$41"),MATCH("Points (Auto-generate)",INDIRECT("'"&amp;$A16&amp;"'!$A$12:$Z$12"),0),0)="","?",VLOOKUP(R$1,INDIRECT("'"&amp;$A16&amp;"'!$A$12:$Z$41"),MATCH("Points (Auto-generate)",INDIRECT("'"&amp;$A16&amp;"'!$A$12:$Z$12"),0),0)),"ER"))</f>
        <v>?</v>
      </c>
      <c r="S16" s="83" t="str">
        <f aca="true">IF($H16=0,"NA",IF($A16=INDIRECT("'"&amp;$A16&amp;"'!$B$1"),IF(VLOOKUP(S$1,INDIRECT("'"&amp;$A16&amp;"'!$A$12:$Z$41"),MATCH("Points (Auto-generate)",INDIRECT("'"&amp;$A16&amp;"'!$A$12:$Z$12"),0),0)="","?",VLOOKUP(S$1,INDIRECT("'"&amp;$A16&amp;"'!$A$12:$Z$41"),MATCH("Points (Auto-generate)",INDIRECT("'"&amp;$A16&amp;"'!$A$12:$Z$12"),0),0)),"ER"))</f>
        <v>?</v>
      </c>
      <c r="T16" s="83" t="str">
        <f aca="true">IF($H16=0,"NA",IF($A16=INDIRECT("'"&amp;$A16&amp;"'!$B$1"),IF(VLOOKUP(T$1,INDIRECT("'"&amp;$A16&amp;"'!$A$12:$Z$41"),MATCH("Points (Auto-generate)",INDIRECT("'"&amp;$A16&amp;"'!$A$12:$Z$12"),0),0)="","?",VLOOKUP(T$1,INDIRECT("'"&amp;$A16&amp;"'!$A$12:$Z$41"),MATCH("Points (Auto-generate)",INDIRECT("'"&amp;$A16&amp;"'!$A$12:$Z$12"),0),0)),"ER"))</f>
        <v>?</v>
      </c>
      <c r="U16" s="83" t="str">
        <f aca="true">IF($H16=0,"NA",IF($A16=INDIRECT("'"&amp;$A16&amp;"'!$B$1"),IF(VLOOKUP(U$1,INDIRECT("'"&amp;$A16&amp;"'!$A$12:$Z$41"),MATCH("Points (Auto-generate)",INDIRECT("'"&amp;$A16&amp;"'!$A$12:$Z$12"),0),0)="","?",VLOOKUP(U$1,INDIRECT("'"&amp;$A16&amp;"'!$A$12:$Z$41"),MATCH("Points (Auto-generate)",INDIRECT("'"&amp;$A16&amp;"'!$A$12:$Z$12"),0),0)),"ER"))</f>
        <v>?</v>
      </c>
      <c r="V16" s="83" t="str">
        <f aca="true">IF($H16=0,"NA",IF($A16=INDIRECT("'"&amp;$A16&amp;"'!$B$1"),IF(VLOOKUP(V$1,INDIRECT("'"&amp;$A16&amp;"'!$A$12:$Z$41"),MATCH("Points (Auto-generate)",INDIRECT("'"&amp;$A16&amp;"'!$A$12:$Z$12"),0),0)="","?",VLOOKUP(V$1,INDIRECT("'"&amp;$A16&amp;"'!$A$12:$Z$41"),MATCH("Points (Auto-generate)",INDIRECT("'"&amp;$A16&amp;"'!$A$12:$Z$12"),0),0)),"ER"))</f>
        <v>?</v>
      </c>
      <c r="W16" s="83" t="str">
        <f aca="true">IF($H16=0,"NA",IF($A16=INDIRECT("'"&amp;$A16&amp;"'!$B$1"),IF(VLOOKUP(W$1,INDIRECT("'"&amp;$A16&amp;"'!$A$12:$Z$41"),MATCH("Points (Auto-generate)",INDIRECT("'"&amp;$A16&amp;"'!$A$12:$Z$12"),0),0)="","?",VLOOKUP(W$1,INDIRECT("'"&amp;$A16&amp;"'!$A$12:$Z$41"),MATCH("Points (Auto-generate)",INDIRECT("'"&amp;$A16&amp;"'!$A$12:$Z$12"),0),0)),"ER"))</f>
        <v>?</v>
      </c>
      <c r="X16" s="83" t="str">
        <f aca="true">IF($H16=0,"NA",IF($A16=INDIRECT("'"&amp;$A16&amp;"'!$B$1"),IF(VLOOKUP(X$1,INDIRECT("'"&amp;$A16&amp;"'!$A$12:$Z$41"),MATCH("Points (Auto-generate)",INDIRECT("'"&amp;$A16&amp;"'!$A$12:$Z$12"),0),0)="","?",VLOOKUP(X$1,INDIRECT("'"&amp;$A16&amp;"'!$A$12:$Z$41"),MATCH("Points (Auto-generate)",INDIRECT("'"&amp;$A16&amp;"'!$A$12:$Z$12"),0),0)),"ER"))</f>
        <v>?</v>
      </c>
      <c r="Y16" s="83" t="str">
        <f aca="true">IF($H16=0,"NA",IF($A16=INDIRECT("'"&amp;$A16&amp;"'!$B$1"),IF(VLOOKUP(Y$1,INDIRECT("'"&amp;$A16&amp;"'!$A$12:$Z$41"),MATCH("Points (Auto-generate)",INDIRECT("'"&amp;$A16&amp;"'!$A$12:$Z$12"),0),0)="","?",VLOOKUP(Y$1,INDIRECT("'"&amp;$A16&amp;"'!$A$12:$Z$41"),MATCH("Points (Auto-generate)",INDIRECT("'"&amp;$A16&amp;"'!$A$12:$Z$12"),0),0)),"ER"))</f>
        <v>?</v>
      </c>
      <c r="Z16" s="83" t="str">
        <f aca="true">IF($H16=0,"NA",IF($A16=INDIRECT("'"&amp;$A16&amp;"'!$B$1"),IF(VLOOKUP(Z$1,INDIRECT("'"&amp;$A16&amp;"'!$A$12:$Z$41"),MATCH("Points (Auto-generate)",INDIRECT("'"&amp;$A16&amp;"'!$A$12:$Z$12"),0),0)="","?",VLOOKUP(Z$1,INDIRECT("'"&amp;$A16&amp;"'!$A$12:$Z$41"),MATCH("Points (Auto-generate)",INDIRECT("'"&amp;$A16&amp;"'!$A$12:$Z$12"),0),0)),"ER"))</f>
        <v>?</v>
      </c>
      <c r="AA16" s="83" t="str">
        <f aca="true">IF($H16=0,"NA",IF($A16=INDIRECT("'"&amp;$A16&amp;"'!$B$1"),IF(VLOOKUP(AA$1,INDIRECT("'"&amp;$A16&amp;"'!$A$12:$Z$41"),MATCH("Points (Auto-generate)",INDIRECT("'"&amp;$A16&amp;"'!$A$12:$Z$12"),0),0)="","?",VLOOKUP(AA$1,INDIRECT("'"&amp;$A16&amp;"'!$A$12:$Z$41"),MATCH("Points (Auto-generate)",INDIRECT("'"&amp;$A16&amp;"'!$A$12:$Z$12"),0),0)),"ER"))</f>
        <v>?</v>
      </c>
      <c r="AB16" s="83" t="str">
        <f aca="true">IF($H16=0,"NA",IF($A16=INDIRECT("'"&amp;$A16&amp;"'!$B$1"),IF(VLOOKUP(AB$1,INDIRECT("'"&amp;$A16&amp;"'!$A$12:$Z$41"),MATCH("Points (Auto-generate)",INDIRECT("'"&amp;$A16&amp;"'!$A$12:$Z$12"),0),0)="","?",VLOOKUP(AB$1,INDIRECT("'"&amp;$A16&amp;"'!$A$12:$Z$41"),MATCH("Points (Auto-generate)",INDIRECT("'"&amp;$A16&amp;"'!$A$12:$Z$12"),0),0)),"ER"))</f>
        <v>?</v>
      </c>
      <c r="AC16" s="83" t="str">
        <f aca="true">IF($H16=0,"NA",IF($A16=INDIRECT("'"&amp;$A16&amp;"'!$B$1"),IF(VLOOKUP(AC$1,INDIRECT("'"&amp;$A16&amp;"'!$A$12:$Z$41"),MATCH("Points (Auto-generate)",INDIRECT("'"&amp;$A16&amp;"'!$A$12:$Z$12"),0),0)="","?",VLOOKUP(AC$1,INDIRECT("'"&amp;$A16&amp;"'!$A$12:$Z$41"),MATCH("Points (Auto-generate)",INDIRECT("'"&amp;$A16&amp;"'!$A$12:$Z$12"),0),0)),"ER"))</f>
        <v>?</v>
      </c>
      <c r="AD16" s="83" t="str">
        <f aca="true">IF($H16=0,"NA",IF($A16=INDIRECT("'"&amp;$A16&amp;"'!$B$1"),IF(VLOOKUP(AD$1,INDIRECT("'"&amp;$A16&amp;"'!$A$12:$Z$41"),MATCH("Points (Auto-generate)",INDIRECT("'"&amp;$A16&amp;"'!$A$12:$Z$12"),0),0)="","?",VLOOKUP(AD$1,INDIRECT("'"&amp;$A16&amp;"'!$A$12:$Z$41"),MATCH("Points (Auto-generate)",INDIRECT("'"&amp;$A16&amp;"'!$A$12:$Z$12"),0),0)),"ER"))</f>
        <v>?</v>
      </c>
      <c r="AE16" s="83" t="str">
        <f aca="true">IF($H16=0,"NA",IF($A16=INDIRECT("'"&amp;$A16&amp;"'!$B$1"),IF(VLOOKUP(AE$1,INDIRECT("'"&amp;$A16&amp;"'!$A$12:$Z$41"),MATCH("Points (Auto-generate)",INDIRECT("'"&amp;$A16&amp;"'!$A$12:$Z$12"),0),0)="","?",VLOOKUP(AE$1,INDIRECT("'"&amp;$A16&amp;"'!$A$12:$Z$41"),MATCH("Points (Auto-generate)",INDIRECT("'"&amp;$A16&amp;"'!$A$12:$Z$12"),0),0)),"ER"))</f>
        <v>?</v>
      </c>
      <c r="AF16" s="83" t="str">
        <f aca="true">IF($H16=0,"NA",IF($A16=INDIRECT("'"&amp;$A16&amp;"'!$B$1"),IF(VLOOKUP(AF$1,INDIRECT("'"&amp;$A16&amp;"'!$A$12:$Z$41"),MATCH("Points (Auto-generate)",INDIRECT("'"&amp;$A16&amp;"'!$A$12:$Z$12"),0),0)="","?",VLOOKUP(AF$1,INDIRECT("'"&amp;$A16&amp;"'!$A$12:$Z$41"),MATCH("Points (Auto-generate)",INDIRECT("'"&amp;$A16&amp;"'!$A$12:$Z$12"),0),0)),"ER"))</f>
        <v>?</v>
      </c>
      <c r="AG16" s="83" t="str">
        <f aca="true">IF($H16=0,"NA",IF($A16=INDIRECT("'"&amp;$A16&amp;"'!$B$1"),IF(VLOOKUP(AG$1,INDIRECT("'"&amp;$A16&amp;"'!$A$12:$Z$41"),MATCH("Points (Auto-generate)",INDIRECT("'"&amp;$A16&amp;"'!$A$12:$Z$12"),0),0)="","?",VLOOKUP(AG$1,INDIRECT("'"&amp;$A16&amp;"'!$A$12:$Z$41"),MATCH("Points (Auto-generate)",INDIRECT("'"&amp;$A16&amp;"'!$A$12:$Z$12"),0),0)),"ER"))</f>
        <v>?</v>
      </c>
      <c r="AH16" s="83" t="str">
        <f aca="true">IF($H16=0,"NA",IF($A16=INDIRECT("'"&amp;$A16&amp;"'!$B$1"),IF(VLOOKUP(AH$1,INDIRECT("'"&amp;$A16&amp;"'!$A$12:$Z$41"),MATCH("Points (Auto-generate)",INDIRECT("'"&amp;$A16&amp;"'!$A$12:$Z$12"),0),0)="","?",VLOOKUP(AH$1,INDIRECT("'"&amp;$A16&amp;"'!$A$12:$Z$41"),MATCH("Points (Auto-generate)",INDIRECT("'"&amp;$A16&amp;"'!$A$12:$Z$12"),0),0)),"ER"))</f>
        <v>?</v>
      </c>
      <c r="AI16" s="83" t="str">
        <f aca="true">IF($H16=0,"NA",IF($A16=INDIRECT("'"&amp;$A16&amp;"'!$B$1"),IF(VLOOKUP(AI$1,INDIRECT("'"&amp;$A16&amp;"'!$A$12:$Z$41"),MATCH("Points (Auto-generate)",INDIRECT("'"&amp;$A16&amp;"'!$A$12:$Z$12"),0),0)="","?",VLOOKUP(AI$1,INDIRECT("'"&amp;$A16&amp;"'!$A$12:$Z$41"),MATCH("Points (Auto-generate)",INDIRECT("'"&amp;$A16&amp;"'!$A$12:$Z$12"),0),0)),"ER"))</f>
        <v>?</v>
      </c>
      <c r="AJ16" s="83" t="str">
        <f aca="true">IF($H16=0,"NA",IF($A16=INDIRECT("'"&amp;$A16&amp;"'!$B$1"),IF(VLOOKUP(AJ$1,INDIRECT("'"&amp;$A16&amp;"'!$A$12:$Z$41"),MATCH("Points (Auto-generate)",INDIRECT("'"&amp;$A16&amp;"'!$A$12:$Z$12"),0),0)="","?",VLOOKUP(AJ$1,INDIRECT("'"&amp;$A16&amp;"'!$A$12:$Z$41"),MATCH("Points (Auto-generate)",INDIRECT("'"&amp;$A16&amp;"'!$A$12:$Z$12"),0),0)),"ER"))</f>
        <v>?</v>
      </c>
      <c r="AK16" s="83" t="str">
        <f aca="true">IF($H16=0,"NA",IF($A16=INDIRECT("'"&amp;$A16&amp;"'!$B$1"),IF(VLOOKUP(AK$1,INDIRECT("'"&amp;$A16&amp;"'!$A$12:$Z$41"),MATCH("Points (Auto-generate)",INDIRECT("'"&amp;$A16&amp;"'!$A$12:$Z$12"),0),0)="","?",VLOOKUP(AK$1,INDIRECT("'"&amp;$A16&amp;"'!$A$12:$Z$41"),MATCH("Points (Auto-generate)",INDIRECT("'"&amp;$A16&amp;"'!$A$12:$Z$12"),0),0)),"ER"))</f>
        <v>?</v>
      </c>
    </row>
    <row r="17" customFormat="false" ht="25.5" hidden="false" customHeight="true" outlineLevel="0" collapsed="false">
      <c r="A17" s="79" t="s">
        <v>85</v>
      </c>
      <c r="B17" s="80" t="str">
        <f aca="false">IF(ISBLANK($A17),"NO_CODE",VLOOKUP($A17,'UPD Questions_290926 '!$E$1:$N$300,MATCH(B$1,'UPD Questions_290926 '!$E$1:$N$1,0),0)&amp;"")</f>
        <v>Planning </v>
      </c>
      <c r="C17" s="81" t="str">
        <f aca="false">IF(ISBLANK($A17),"NO_CODE",VLOOKUP($A17,'UPD Questions_290926 '!$E$1:$N$300,MATCH(C$1,'UPD Questions_290926 '!$E$1:$N$1,0),0)&amp;"")</f>
        <v>Legal and institutional planning architecture</v>
      </c>
      <c r="D17" s="80" t="str">
        <f aca="false">IF(ISBLANK($A17),"NO_CODE",VLOOKUP($A17,'UPD Questions_290926 '!$E$1:$N$300,MATCH(D$1,'UPD Questions_290926 '!$E$1:$N$1,0),0)&amp;"")</f>
        <v>Metropolitan and district planning institutions</v>
      </c>
      <c r="E17" s="80" t="str">
        <f aca="false">IF(ISBLANK($A17),"NO_CODE",VLOOKUP($A17,'UPD Questions_290926 '!$E$1:$N$300,MATCH(E$1,'UPD Questions_290926 '!$E$1:$N$1,0),0)&amp;"")</f>
        <v>SQ</v>
      </c>
      <c r="F17" s="80" t="str">
        <f aca="false">IF(ISBLANK($A17),"NO_CODE",VLOOKUP($A17,'UPD Questions_290926 '!$E$1:$N$300,MATCH(F$1,'UPD Questions_290926 '!$E$1:$N$1,0),0)&amp;"")</f>
        <v>Have they met at least once in the past two years?</v>
      </c>
      <c r="G17" s="80" t="str">
        <f aca="false">IF(ISBLANK($A17),"NO_CODE",VLOOKUP($A17,'UPD Questions_290926 '!$E$1:$N$300,MATCH(G$1,'UPD Questions_290926 '!$E$1:$N$1,0),0)&amp;"")</f>
        <v>Implementation</v>
      </c>
      <c r="H17" s="82" t="n">
        <f aca="false">IF(ISBLANK($A17),"NO_CODE",VLOOKUP($A17,'UPD Questions_290926 '!$E$1:$N$300,MATCH(H$1,'UPD Questions_290926 '!$E$1:$N$1,0),0))</f>
        <v>5</v>
      </c>
      <c r="I17" s="83" t="str">
        <f aca="true">IF($H17=0,"NA",IF($A17=INDIRECT("'"&amp;$A17&amp;"'!$B$1"),IF(VLOOKUP(I$1,INDIRECT("'"&amp;$A17&amp;"'!$A$12:$Z$41"),MATCH("Points (Auto-generate)",INDIRECT("'"&amp;$A17&amp;"'!$A$12:$Z$12"),0),0)="","?",VLOOKUP(I$1,INDIRECT("'"&amp;$A17&amp;"'!$A$12:$Z$41"),MATCH("Points (Auto-generate)",INDIRECT("'"&amp;$A17&amp;"'!$A$12:$Z$12"),0),0)),"ER"))</f>
        <v>?</v>
      </c>
      <c r="J17" s="83" t="str">
        <f aca="true">IF($H17=0,"NA",IF($A17=INDIRECT("'"&amp;$A17&amp;"'!$B$1"),IF(VLOOKUP(J$1,INDIRECT("'"&amp;$A17&amp;"'!$A$12:$Z$41"),MATCH("Points (Auto-generate)",INDIRECT("'"&amp;$A17&amp;"'!$A$12:$Z$12"),0),0)="","?",VLOOKUP(J$1,INDIRECT("'"&amp;$A17&amp;"'!$A$12:$Z$41"),MATCH("Points (Auto-generate)",INDIRECT("'"&amp;$A17&amp;"'!$A$12:$Z$12"),0),0)),"ER"))</f>
        <v>?</v>
      </c>
      <c r="K17" s="83" t="str">
        <f aca="true">IF($H17=0,"NA",IF($A17=INDIRECT("'"&amp;$A17&amp;"'!$B$1"),IF(VLOOKUP(K$1,INDIRECT("'"&amp;$A17&amp;"'!$A$12:$Z$41"),MATCH("Points (Auto-generate)",INDIRECT("'"&amp;$A17&amp;"'!$A$12:$Z$12"),0),0)="","?",VLOOKUP(K$1,INDIRECT("'"&amp;$A17&amp;"'!$A$12:$Z$41"),MATCH("Points (Auto-generate)",INDIRECT("'"&amp;$A17&amp;"'!$A$12:$Z$12"),0),0)),"ER"))</f>
        <v>?</v>
      </c>
      <c r="L17" s="83" t="str">
        <f aca="true">IF($H17=0,"NA",IF($A17=INDIRECT("'"&amp;$A17&amp;"'!$B$1"),IF(VLOOKUP(L$1,INDIRECT("'"&amp;$A17&amp;"'!$A$12:$Z$41"),MATCH("Points (Auto-generate)",INDIRECT("'"&amp;$A17&amp;"'!$A$12:$Z$12"),0),0)="","?",VLOOKUP(L$1,INDIRECT("'"&amp;$A17&amp;"'!$A$12:$Z$41"),MATCH("Points (Auto-generate)",INDIRECT("'"&amp;$A17&amp;"'!$A$12:$Z$12"),0),0)),"ER"))</f>
        <v>?</v>
      </c>
      <c r="M17" s="83" t="str">
        <f aca="true">IF($H17=0,"NA",IF($A17=INDIRECT("'"&amp;$A17&amp;"'!$B$1"),IF(VLOOKUP(M$1,INDIRECT("'"&amp;$A17&amp;"'!$A$12:$Z$41"),MATCH("Points (Auto-generate)",INDIRECT("'"&amp;$A17&amp;"'!$A$12:$Z$12"),0),0)="","?",VLOOKUP(M$1,INDIRECT("'"&amp;$A17&amp;"'!$A$12:$Z$41"),MATCH("Points (Auto-generate)",INDIRECT("'"&amp;$A17&amp;"'!$A$12:$Z$12"),0),0)),"ER"))</f>
        <v>?</v>
      </c>
      <c r="N17" s="83" t="str">
        <f aca="true">IF($H17=0,"NA",IF($A17=INDIRECT("'"&amp;$A17&amp;"'!$B$1"),IF(VLOOKUP(N$1,INDIRECT("'"&amp;$A17&amp;"'!$A$12:$Z$41"),MATCH("Points (Auto-generate)",INDIRECT("'"&amp;$A17&amp;"'!$A$12:$Z$12"),0),0)="","?",VLOOKUP(N$1,INDIRECT("'"&amp;$A17&amp;"'!$A$12:$Z$41"),MATCH("Points (Auto-generate)",INDIRECT("'"&amp;$A17&amp;"'!$A$12:$Z$12"),0),0)),"ER"))</f>
        <v>?</v>
      </c>
      <c r="O17" s="83" t="str">
        <f aca="true">IF($H17=0,"NA",IF($A17=INDIRECT("'"&amp;$A17&amp;"'!$B$1"),IF(VLOOKUP(O$1,INDIRECT("'"&amp;$A17&amp;"'!$A$12:$Z$41"),MATCH("Points (Auto-generate)",INDIRECT("'"&amp;$A17&amp;"'!$A$12:$Z$12"),0),0)="","?",VLOOKUP(O$1,INDIRECT("'"&amp;$A17&amp;"'!$A$12:$Z$41"),MATCH("Points (Auto-generate)",INDIRECT("'"&amp;$A17&amp;"'!$A$12:$Z$12"),0),0)),"ER"))</f>
        <v>?</v>
      </c>
      <c r="P17" s="83" t="str">
        <f aca="true">IF($H17=0,"NA",IF($A17=INDIRECT("'"&amp;$A17&amp;"'!$B$1"),IF(VLOOKUP(P$1,INDIRECT("'"&amp;$A17&amp;"'!$A$12:$Z$41"),MATCH("Points (Auto-generate)",INDIRECT("'"&amp;$A17&amp;"'!$A$12:$Z$12"),0),0)="","?",VLOOKUP(P$1,INDIRECT("'"&amp;$A17&amp;"'!$A$12:$Z$41"),MATCH("Points (Auto-generate)",INDIRECT("'"&amp;$A17&amp;"'!$A$12:$Z$12"),0),0)),"ER"))</f>
        <v>?</v>
      </c>
      <c r="Q17" s="83" t="str">
        <f aca="true">IF($H17=0,"NA",IF($A17=INDIRECT("'"&amp;$A17&amp;"'!$B$1"),IF(VLOOKUP(Q$1,INDIRECT("'"&amp;$A17&amp;"'!$A$12:$Z$41"),MATCH("Points (Auto-generate)",INDIRECT("'"&amp;$A17&amp;"'!$A$12:$Z$12"),0),0)="","?",VLOOKUP(Q$1,INDIRECT("'"&amp;$A17&amp;"'!$A$12:$Z$41"),MATCH("Points (Auto-generate)",INDIRECT("'"&amp;$A17&amp;"'!$A$12:$Z$12"),0),0)),"ER"))</f>
        <v>?</v>
      </c>
      <c r="R17" s="83" t="str">
        <f aca="true">IF($H17=0,"NA",IF($A17=INDIRECT("'"&amp;$A17&amp;"'!$B$1"),IF(VLOOKUP(R$1,INDIRECT("'"&amp;$A17&amp;"'!$A$12:$Z$41"),MATCH("Points (Auto-generate)",INDIRECT("'"&amp;$A17&amp;"'!$A$12:$Z$12"),0),0)="","?",VLOOKUP(R$1,INDIRECT("'"&amp;$A17&amp;"'!$A$12:$Z$41"),MATCH("Points (Auto-generate)",INDIRECT("'"&amp;$A17&amp;"'!$A$12:$Z$12"),0),0)),"ER"))</f>
        <v>?</v>
      </c>
      <c r="S17" s="83" t="str">
        <f aca="true">IF($H17=0,"NA",IF($A17=INDIRECT("'"&amp;$A17&amp;"'!$B$1"),IF(VLOOKUP(S$1,INDIRECT("'"&amp;$A17&amp;"'!$A$12:$Z$41"),MATCH("Points (Auto-generate)",INDIRECT("'"&amp;$A17&amp;"'!$A$12:$Z$12"),0),0)="","?",VLOOKUP(S$1,INDIRECT("'"&amp;$A17&amp;"'!$A$12:$Z$41"),MATCH("Points (Auto-generate)",INDIRECT("'"&amp;$A17&amp;"'!$A$12:$Z$12"),0),0)),"ER"))</f>
        <v>?</v>
      </c>
      <c r="T17" s="83" t="str">
        <f aca="true">IF($H17=0,"NA",IF($A17=INDIRECT("'"&amp;$A17&amp;"'!$B$1"),IF(VLOOKUP(T$1,INDIRECT("'"&amp;$A17&amp;"'!$A$12:$Z$41"),MATCH("Points (Auto-generate)",INDIRECT("'"&amp;$A17&amp;"'!$A$12:$Z$12"),0),0)="","?",VLOOKUP(T$1,INDIRECT("'"&amp;$A17&amp;"'!$A$12:$Z$41"),MATCH("Points (Auto-generate)",INDIRECT("'"&amp;$A17&amp;"'!$A$12:$Z$12"),0),0)),"ER"))</f>
        <v>?</v>
      </c>
      <c r="U17" s="83" t="str">
        <f aca="true">IF($H17=0,"NA",IF($A17=INDIRECT("'"&amp;$A17&amp;"'!$B$1"),IF(VLOOKUP(U$1,INDIRECT("'"&amp;$A17&amp;"'!$A$12:$Z$41"),MATCH("Points (Auto-generate)",INDIRECT("'"&amp;$A17&amp;"'!$A$12:$Z$12"),0),0)="","?",VLOOKUP(U$1,INDIRECT("'"&amp;$A17&amp;"'!$A$12:$Z$41"),MATCH("Points (Auto-generate)",INDIRECT("'"&amp;$A17&amp;"'!$A$12:$Z$12"),0),0)),"ER"))</f>
        <v>?</v>
      </c>
      <c r="V17" s="83" t="str">
        <f aca="true">IF($H17=0,"NA",IF($A17=INDIRECT("'"&amp;$A17&amp;"'!$B$1"),IF(VLOOKUP(V$1,INDIRECT("'"&amp;$A17&amp;"'!$A$12:$Z$41"),MATCH("Points (Auto-generate)",INDIRECT("'"&amp;$A17&amp;"'!$A$12:$Z$12"),0),0)="","?",VLOOKUP(V$1,INDIRECT("'"&amp;$A17&amp;"'!$A$12:$Z$41"),MATCH("Points (Auto-generate)",INDIRECT("'"&amp;$A17&amp;"'!$A$12:$Z$12"),0),0)),"ER"))</f>
        <v>?</v>
      </c>
      <c r="W17" s="83" t="str">
        <f aca="true">IF($H17=0,"NA",IF($A17=INDIRECT("'"&amp;$A17&amp;"'!$B$1"),IF(VLOOKUP(W$1,INDIRECT("'"&amp;$A17&amp;"'!$A$12:$Z$41"),MATCH("Points (Auto-generate)",INDIRECT("'"&amp;$A17&amp;"'!$A$12:$Z$12"),0),0)="","?",VLOOKUP(W$1,INDIRECT("'"&amp;$A17&amp;"'!$A$12:$Z$41"),MATCH("Points (Auto-generate)",INDIRECT("'"&amp;$A17&amp;"'!$A$12:$Z$12"),0),0)),"ER"))</f>
        <v>?</v>
      </c>
      <c r="X17" s="83" t="str">
        <f aca="true">IF($H17=0,"NA",IF($A17=INDIRECT("'"&amp;$A17&amp;"'!$B$1"),IF(VLOOKUP(X$1,INDIRECT("'"&amp;$A17&amp;"'!$A$12:$Z$41"),MATCH("Points (Auto-generate)",INDIRECT("'"&amp;$A17&amp;"'!$A$12:$Z$12"),0),0)="","?",VLOOKUP(X$1,INDIRECT("'"&amp;$A17&amp;"'!$A$12:$Z$41"),MATCH("Points (Auto-generate)",INDIRECT("'"&amp;$A17&amp;"'!$A$12:$Z$12"),0),0)),"ER"))</f>
        <v>?</v>
      </c>
      <c r="Y17" s="83" t="str">
        <f aca="true">IF($H17=0,"NA",IF($A17=INDIRECT("'"&amp;$A17&amp;"'!$B$1"),IF(VLOOKUP(Y$1,INDIRECT("'"&amp;$A17&amp;"'!$A$12:$Z$41"),MATCH("Points (Auto-generate)",INDIRECT("'"&amp;$A17&amp;"'!$A$12:$Z$12"),0),0)="","?",VLOOKUP(Y$1,INDIRECT("'"&amp;$A17&amp;"'!$A$12:$Z$41"),MATCH("Points (Auto-generate)",INDIRECT("'"&amp;$A17&amp;"'!$A$12:$Z$12"),0),0)),"ER"))</f>
        <v>?</v>
      </c>
      <c r="Z17" s="83" t="str">
        <f aca="true">IF($H17=0,"NA",IF($A17=INDIRECT("'"&amp;$A17&amp;"'!$B$1"),IF(VLOOKUP(Z$1,INDIRECT("'"&amp;$A17&amp;"'!$A$12:$Z$41"),MATCH("Points (Auto-generate)",INDIRECT("'"&amp;$A17&amp;"'!$A$12:$Z$12"),0),0)="","?",VLOOKUP(Z$1,INDIRECT("'"&amp;$A17&amp;"'!$A$12:$Z$41"),MATCH("Points (Auto-generate)",INDIRECT("'"&amp;$A17&amp;"'!$A$12:$Z$12"),0),0)),"ER"))</f>
        <v>?</v>
      </c>
      <c r="AA17" s="83" t="str">
        <f aca="true">IF($H17=0,"NA",IF($A17=INDIRECT("'"&amp;$A17&amp;"'!$B$1"),IF(VLOOKUP(AA$1,INDIRECT("'"&amp;$A17&amp;"'!$A$12:$Z$41"),MATCH("Points (Auto-generate)",INDIRECT("'"&amp;$A17&amp;"'!$A$12:$Z$12"),0),0)="","?",VLOOKUP(AA$1,INDIRECT("'"&amp;$A17&amp;"'!$A$12:$Z$41"),MATCH("Points (Auto-generate)",INDIRECT("'"&amp;$A17&amp;"'!$A$12:$Z$12"),0),0)),"ER"))</f>
        <v>?</v>
      </c>
      <c r="AB17" s="83" t="str">
        <f aca="true">IF($H17=0,"NA",IF($A17=INDIRECT("'"&amp;$A17&amp;"'!$B$1"),IF(VLOOKUP(AB$1,INDIRECT("'"&amp;$A17&amp;"'!$A$12:$Z$41"),MATCH("Points (Auto-generate)",INDIRECT("'"&amp;$A17&amp;"'!$A$12:$Z$12"),0),0)="","?",VLOOKUP(AB$1,INDIRECT("'"&amp;$A17&amp;"'!$A$12:$Z$41"),MATCH("Points (Auto-generate)",INDIRECT("'"&amp;$A17&amp;"'!$A$12:$Z$12"),0),0)),"ER"))</f>
        <v>?</v>
      </c>
      <c r="AC17" s="83" t="str">
        <f aca="true">IF($H17=0,"NA",IF($A17=INDIRECT("'"&amp;$A17&amp;"'!$B$1"),IF(VLOOKUP(AC$1,INDIRECT("'"&amp;$A17&amp;"'!$A$12:$Z$41"),MATCH("Points (Auto-generate)",INDIRECT("'"&amp;$A17&amp;"'!$A$12:$Z$12"),0),0)="","?",VLOOKUP(AC$1,INDIRECT("'"&amp;$A17&amp;"'!$A$12:$Z$41"),MATCH("Points (Auto-generate)",INDIRECT("'"&amp;$A17&amp;"'!$A$12:$Z$12"),0),0)),"ER"))</f>
        <v>?</v>
      </c>
      <c r="AD17" s="83" t="str">
        <f aca="true">IF($H17=0,"NA",IF($A17=INDIRECT("'"&amp;$A17&amp;"'!$B$1"),IF(VLOOKUP(AD$1,INDIRECT("'"&amp;$A17&amp;"'!$A$12:$Z$41"),MATCH("Points (Auto-generate)",INDIRECT("'"&amp;$A17&amp;"'!$A$12:$Z$12"),0),0)="","?",VLOOKUP(AD$1,INDIRECT("'"&amp;$A17&amp;"'!$A$12:$Z$41"),MATCH("Points (Auto-generate)",INDIRECT("'"&amp;$A17&amp;"'!$A$12:$Z$12"),0),0)),"ER"))</f>
        <v>?</v>
      </c>
      <c r="AE17" s="83" t="str">
        <f aca="true">IF($H17=0,"NA",IF($A17=INDIRECT("'"&amp;$A17&amp;"'!$B$1"),IF(VLOOKUP(AE$1,INDIRECT("'"&amp;$A17&amp;"'!$A$12:$Z$41"),MATCH("Points (Auto-generate)",INDIRECT("'"&amp;$A17&amp;"'!$A$12:$Z$12"),0),0)="","?",VLOOKUP(AE$1,INDIRECT("'"&amp;$A17&amp;"'!$A$12:$Z$41"),MATCH("Points (Auto-generate)",INDIRECT("'"&amp;$A17&amp;"'!$A$12:$Z$12"),0),0)),"ER"))</f>
        <v>?</v>
      </c>
      <c r="AF17" s="83" t="str">
        <f aca="true">IF($H17=0,"NA",IF($A17=INDIRECT("'"&amp;$A17&amp;"'!$B$1"),IF(VLOOKUP(AF$1,INDIRECT("'"&amp;$A17&amp;"'!$A$12:$Z$41"),MATCH("Points (Auto-generate)",INDIRECT("'"&amp;$A17&amp;"'!$A$12:$Z$12"),0),0)="","?",VLOOKUP(AF$1,INDIRECT("'"&amp;$A17&amp;"'!$A$12:$Z$41"),MATCH("Points (Auto-generate)",INDIRECT("'"&amp;$A17&amp;"'!$A$12:$Z$12"),0),0)),"ER"))</f>
        <v>?</v>
      </c>
      <c r="AG17" s="83" t="str">
        <f aca="true">IF($H17=0,"NA",IF($A17=INDIRECT("'"&amp;$A17&amp;"'!$B$1"),IF(VLOOKUP(AG$1,INDIRECT("'"&amp;$A17&amp;"'!$A$12:$Z$41"),MATCH("Points (Auto-generate)",INDIRECT("'"&amp;$A17&amp;"'!$A$12:$Z$12"),0),0)="","?",VLOOKUP(AG$1,INDIRECT("'"&amp;$A17&amp;"'!$A$12:$Z$41"),MATCH("Points (Auto-generate)",INDIRECT("'"&amp;$A17&amp;"'!$A$12:$Z$12"),0),0)),"ER"))</f>
        <v>?</v>
      </c>
      <c r="AH17" s="83" t="str">
        <f aca="true">IF($H17=0,"NA",IF($A17=INDIRECT("'"&amp;$A17&amp;"'!$B$1"),IF(VLOOKUP(AH$1,INDIRECT("'"&amp;$A17&amp;"'!$A$12:$Z$41"),MATCH("Points (Auto-generate)",INDIRECT("'"&amp;$A17&amp;"'!$A$12:$Z$12"),0),0)="","?",VLOOKUP(AH$1,INDIRECT("'"&amp;$A17&amp;"'!$A$12:$Z$41"),MATCH("Points (Auto-generate)",INDIRECT("'"&amp;$A17&amp;"'!$A$12:$Z$12"),0),0)),"ER"))</f>
        <v>?</v>
      </c>
      <c r="AI17" s="83" t="str">
        <f aca="true">IF($H17=0,"NA",IF($A17=INDIRECT("'"&amp;$A17&amp;"'!$B$1"),IF(VLOOKUP(AI$1,INDIRECT("'"&amp;$A17&amp;"'!$A$12:$Z$41"),MATCH("Points (Auto-generate)",INDIRECT("'"&amp;$A17&amp;"'!$A$12:$Z$12"),0),0)="","?",VLOOKUP(AI$1,INDIRECT("'"&amp;$A17&amp;"'!$A$12:$Z$41"),MATCH("Points (Auto-generate)",INDIRECT("'"&amp;$A17&amp;"'!$A$12:$Z$12"),0),0)),"ER"))</f>
        <v>?</v>
      </c>
      <c r="AJ17" s="83" t="str">
        <f aca="true">IF($H17=0,"NA",IF($A17=INDIRECT("'"&amp;$A17&amp;"'!$B$1"),IF(VLOOKUP(AJ$1,INDIRECT("'"&amp;$A17&amp;"'!$A$12:$Z$41"),MATCH("Points (Auto-generate)",INDIRECT("'"&amp;$A17&amp;"'!$A$12:$Z$12"),0),0)="","?",VLOOKUP(AJ$1,INDIRECT("'"&amp;$A17&amp;"'!$A$12:$Z$41"),MATCH("Points (Auto-generate)",INDIRECT("'"&amp;$A17&amp;"'!$A$12:$Z$12"),0),0)),"ER"))</f>
        <v>?</v>
      </c>
      <c r="AK17" s="83" t="str">
        <f aca="true">IF($H17=0,"NA",IF($A17=INDIRECT("'"&amp;$A17&amp;"'!$B$1"),IF(VLOOKUP(AK$1,INDIRECT("'"&amp;$A17&amp;"'!$A$12:$Z$41"),MATCH("Points (Auto-generate)",INDIRECT("'"&amp;$A17&amp;"'!$A$12:$Z$12"),0),0)="","?",VLOOKUP(AK$1,INDIRECT("'"&amp;$A17&amp;"'!$A$12:$Z$41"),MATCH("Points (Auto-generate)",INDIRECT("'"&amp;$A17&amp;"'!$A$12:$Z$12"),0),0)),"ER"))</f>
        <v>?</v>
      </c>
    </row>
    <row r="18" customFormat="false" ht="25.5" hidden="false" customHeight="true" outlineLevel="0" collapsed="false">
      <c r="A18" s="79" t="s">
        <v>88</v>
      </c>
      <c r="B18" s="80" t="str">
        <f aca="false">IF(ISBLANK($A18),"NO_CODE",VLOOKUP($A18,'UPD Questions_290926 '!$E$1:$N$300,MATCH(B$1,'UPD Questions_290926 '!$E$1:$N$1,0),0)&amp;"")</f>
        <v>Planning </v>
      </c>
      <c r="C18" s="81" t="str">
        <f aca="false">IF(ISBLANK($A18),"NO_CODE",VLOOKUP($A18,'UPD Questions_290926 '!$E$1:$N$300,MATCH(C$1,'UPD Questions_290926 '!$E$1:$N$1,0),0)&amp;"")</f>
        <v>Legal and institutional planning architecture</v>
      </c>
      <c r="D18" s="80" t="str">
        <f aca="false">IF(ISBLANK($A18),"NO_CODE",VLOOKUP($A18,'UPD Questions_290926 '!$E$1:$N$300,MATCH(D$1,'UPD Questions_290926 '!$E$1:$N$1,0),0)&amp;"")</f>
        <v>Metropolitan and district planning institutions</v>
      </c>
      <c r="E18" s="80" t="str">
        <f aca="false">IF(ISBLANK($A18),"NO_CODE",VLOOKUP($A18,'UPD Questions_290926 '!$E$1:$N$300,MATCH(E$1,'UPD Questions_290926 '!$E$1:$N$1,0),0)&amp;"")</f>
        <v>MQ</v>
      </c>
      <c r="F18" s="80" t="str">
        <f aca="false">IF(ISBLANK($A18),"NO_CODE",VLOOKUP($A18,'UPD Questions_290926 '!$E$1:$N$300,MATCH(F$1,'UPD Questions_290926 '!$E$1:$N$1,0),0)&amp;"")</f>
        <v>Does the city (million-plus) have a Metropolitan Authority?</v>
      </c>
      <c r="G18" s="80" t="str">
        <f aca="false">IF(ISBLANK($A18),"NO_CODE",VLOOKUP($A18,'UPD Questions_290926 '!$E$1:$N$300,MATCH(G$1,'UPD Questions_290926 '!$E$1:$N$1,0),0)&amp;"")</f>
        <v>Law or Policy </v>
      </c>
      <c r="H18" s="82" t="n">
        <f aca="false">IF(ISBLANK($A18),"NO_CODE",VLOOKUP($A18,'UPD Questions_290926 '!$E$1:$N$300,MATCH(H$1,'UPD Questions_290926 '!$E$1:$N$1,0),0))</f>
        <v>10</v>
      </c>
      <c r="I18" s="83" t="str">
        <f aca="true">IF($H18=0,"NA",IF($A18=INDIRECT("'"&amp;$A18&amp;"'!$B$1"),IF(VLOOKUP(I$1,INDIRECT("'"&amp;$A18&amp;"'!$A$12:$Z$41"),MATCH("Points (Auto-generate)",INDIRECT("'"&amp;$A18&amp;"'!$A$12:$Z$12"),0),0)="","?",VLOOKUP(I$1,INDIRECT("'"&amp;$A18&amp;"'!$A$12:$Z$41"),MATCH("Points (Auto-generate)",INDIRECT("'"&amp;$A18&amp;"'!$A$12:$Z$12"),0),0)),"ER"))</f>
        <v>?</v>
      </c>
      <c r="J18" s="83" t="str">
        <f aca="true">IF($H18=0,"NA",IF($A18=INDIRECT("'"&amp;$A18&amp;"'!$B$1"),IF(VLOOKUP(J$1,INDIRECT("'"&amp;$A18&amp;"'!$A$12:$Z$41"),MATCH("Points (Auto-generate)",INDIRECT("'"&amp;$A18&amp;"'!$A$12:$Z$12"),0),0)="","?",VLOOKUP(J$1,INDIRECT("'"&amp;$A18&amp;"'!$A$12:$Z$41"),MATCH("Points (Auto-generate)",INDIRECT("'"&amp;$A18&amp;"'!$A$12:$Z$12"),0),0)),"ER"))</f>
        <v>?</v>
      </c>
      <c r="K18" s="83" t="str">
        <f aca="true">IF($H18=0,"NA",IF($A18=INDIRECT("'"&amp;$A18&amp;"'!$B$1"),IF(VLOOKUP(K$1,INDIRECT("'"&amp;$A18&amp;"'!$A$12:$Z$41"),MATCH("Points (Auto-generate)",INDIRECT("'"&amp;$A18&amp;"'!$A$12:$Z$12"),0),0)="","?",VLOOKUP(K$1,INDIRECT("'"&amp;$A18&amp;"'!$A$12:$Z$41"),MATCH("Points (Auto-generate)",INDIRECT("'"&amp;$A18&amp;"'!$A$12:$Z$12"),0),0)),"ER"))</f>
        <v>?</v>
      </c>
      <c r="L18" s="83" t="str">
        <f aca="true">IF($H18=0,"NA",IF($A18=INDIRECT("'"&amp;$A18&amp;"'!$B$1"),IF(VLOOKUP(L$1,INDIRECT("'"&amp;$A18&amp;"'!$A$12:$Z$41"),MATCH("Points (Auto-generate)",INDIRECT("'"&amp;$A18&amp;"'!$A$12:$Z$12"),0),0)="","?",VLOOKUP(L$1,INDIRECT("'"&amp;$A18&amp;"'!$A$12:$Z$41"),MATCH("Points (Auto-generate)",INDIRECT("'"&amp;$A18&amp;"'!$A$12:$Z$12"),0),0)),"ER"))</f>
        <v>?</v>
      </c>
      <c r="M18" s="83" t="str">
        <f aca="true">IF($H18=0,"NA",IF($A18=INDIRECT("'"&amp;$A18&amp;"'!$B$1"),IF(VLOOKUP(M$1,INDIRECT("'"&amp;$A18&amp;"'!$A$12:$Z$41"),MATCH("Points (Auto-generate)",INDIRECT("'"&amp;$A18&amp;"'!$A$12:$Z$12"),0),0)="","?",VLOOKUP(M$1,INDIRECT("'"&amp;$A18&amp;"'!$A$12:$Z$41"),MATCH("Points (Auto-generate)",INDIRECT("'"&amp;$A18&amp;"'!$A$12:$Z$12"),0),0)),"ER"))</f>
        <v>?</v>
      </c>
      <c r="N18" s="83" t="str">
        <f aca="true">IF($H18=0,"NA",IF($A18=INDIRECT("'"&amp;$A18&amp;"'!$B$1"),IF(VLOOKUP(N$1,INDIRECT("'"&amp;$A18&amp;"'!$A$12:$Z$41"),MATCH("Points (Auto-generate)",INDIRECT("'"&amp;$A18&amp;"'!$A$12:$Z$12"),0),0)="","?",VLOOKUP(N$1,INDIRECT("'"&amp;$A18&amp;"'!$A$12:$Z$41"),MATCH("Points (Auto-generate)",INDIRECT("'"&amp;$A18&amp;"'!$A$12:$Z$12"),0),0)),"ER"))</f>
        <v>?</v>
      </c>
      <c r="O18" s="83" t="str">
        <f aca="true">IF($H18=0,"NA",IF($A18=INDIRECT("'"&amp;$A18&amp;"'!$B$1"),IF(VLOOKUP(O$1,INDIRECT("'"&amp;$A18&amp;"'!$A$12:$Z$41"),MATCH("Points (Auto-generate)",INDIRECT("'"&amp;$A18&amp;"'!$A$12:$Z$12"),0),0)="","?",VLOOKUP(O$1,INDIRECT("'"&amp;$A18&amp;"'!$A$12:$Z$41"),MATCH("Points (Auto-generate)",INDIRECT("'"&amp;$A18&amp;"'!$A$12:$Z$12"),0),0)),"ER"))</f>
        <v>?</v>
      </c>
      <c r="P18" s="83" t="str">
        <f aca="true">IF($H18=0,"NA",IF($A18=INDIRECT("'"&amp;$A18&amp;"'!$B$1"),IF(VLOOKUP(P$1,INDIRECT("'"&amp;$A18&amp;"'!$A$12:$Z$41"),MATCH("Points (Auto-generate)",INDIRECT("'"&amp;$A18&amp;"'!$A$12:$Z$12"),0),0)="","?",VLOOKUP(P$1,INDIRECT("'"&amp;$A18&amp;"'!$A$12:$Z$41"),MATCH("Points (Auto-generate)",INDIRECT("'"&amp;$A18&amp;"'!$A$12:$Z$12"),0),0)),"ER"))</f>
        <v>?</v>
      </c>
      <c r="Q18" s="83" t="str">
        <f aca="true">IF($H18=0,"NA",IF($A18=INDIRECT("'"&amp;$A18&amp;"'!$B$1"),IF(VLOOKUP(Q$1,INDIRECT("'"&amp;$A18&amp;"'!$A$12:$Z$41"),MATCH("Points (Auto-generate)",INDIRECT("'"&amp;$A18&amp;"'!$A$12:$Z$12"),0),0)="","?",VLOOKUP(Q$1,INDIRECT("'"&amp;$A18&amp;"'!$A$12:$Z$41"),MATCH("Points (Auto-generate)",INDIRECT("'"&amp;$A18&amp;"'!$A$12:$Z$12"),0),0)),"ER"))</f>
        <v>?</v>
      </c>
      <c r="R18" s="83" t="str">
        <f aca="true">IF($H18=0,"NA",IF($A18=INDIRECT("'"&amp;$A18&amp;"'!$B$1"),IF(VLOOKUP(R$1,INDIRECT("'"&amp;$A18&amp;"'!$A$12:$Z$41"),MATCH("Points (Auto-generate)",INDIRECT("'"&amp;$A18&amp;"'!$A$12:$Z$12"),0),0)="","?",VLOOKUP(R$1,INDIRECT("'"&amp;$A18&amp;"'!$A$12:$Z$41"),MATCH("Points (Auto-generate)",INDIRECT("'"&amp;$A18&amp;"'!$A$12:$Z$12"),0),0)),"ER"))</f>
        <v>?</v>
      </c>
      <c r="S18" s="83" t="str">
        <f aca="true">IF($H18=0,"NA",IF($A18=INDIRECT("'"&amp;$A18&amp;"'!$B$1"),IF(VLOOKUP(S$1,INDIRECT("'"&amp;$A18&amp;"'!$A$12:$Z$41"),MATCH("Points (Auto-generate)",INDIRECT("'"&amp;$A18&amp;"'!$A$12:$Z$12"),0),0)="","?",VLOOKUP(S$1,INDIRECT("'"&amp;$A18&amp;"'!$A$12:$Z$41"),MATCH("Points (Auto-generate)",INDIRECT("'"&amp;$A18&amp;"'!$A$12:$Z$12"),0),0)),"ER"))</f>
        <v>?</v>
      </c>
      <c r="T18" s="83" t="str">
        <f aca="true">IF($H18=0,"NA",IF($A18=INDIRECT("'"&amp;$A18&amp;"'!$B$1"),IF(VLOOKUP(T$1,INDIRECT("'"&amp;$A18&amp;"'!$A$12:$Z$41"),MATCH("Points (Auto-generate)",INDIRECT("'"&amp;$A18&amp;"'!$A$12:$Z$12"),0),0)="","?",VLOOKUP(T$1,INDIRECT("'"&amp;$A18&amp;"'!$A$12:$Z$41"),MATCH("Points (Auto-generate)",INDIRECT("'"&amp;$A18&amp;"'!$A$12:$Z$12"),0),0)),"ER"))</f>
        <v>?</v>
      </c>
      <c r="U18" s="83" t="str">
        <f aca="true">IF($H18=0,"NA",IF($A18=INDIRECT("'"&amp;$A18&amp;"'!$B$1"),IF(VLOOKUP(U$1,INDIRECT("'"&amp;$A18&amp;"'!$A$12:$Z$41"),MATCH("Points (Auto-generate)",INDIRECT("'"&amp;$A18&amp;"'!$A$12:$Z$12"),0),0)="","?",VLOOKUP(U$1,INDIRECT("'"&amp;$A18&amp;"'!$A$12:$Z$41"),MATCH("Points (Auto-generate)",INDIRECT("'"&amp;$A18&amp;"'!$A$12:$Z$12"),0),0)),"ER"))</f>
        <v>?</v>
      </c>
      <c r="V18" s="83" t="str">
        <f aca="true">IF($H18=0,"NA",IF($A18=INDIRECT("'"&amp;$A18&amp;"'!$B$1"),IF(VLOOKUP(V$1,INDIRECT("'"&amp;$A18&amp;"'!$A$12:$Z$41"),MATCH("Points (Auto-generate)",INDIRECT("'"&amp;$A18&amp;"'!$A$12:$Z$12"),0),0)="","?",VLOOKUP(V$1,INDIRECT("'"&amp;$A18&amp;"'!$A$12:$Z$41"),MATCH("Points (Auto-generate)",INDIRECT("'"&amp;$A18&amp;"'!$A$12:$Z$12"),0),0)),"ER"))</f>
        <v>?</v>
      </c>
      <c r="W18" s="83" t="str">
        <f aca="true">IF($H18=0,"NA",IF($A18=INDIRECT("'"&amp;$A18&amp;"'!$B$1"),IF(VLOOKUP(W$1,INDIRECT("'"&amp;$A18&amp;"'!$A$12:$Z$41"),MATCH("Points (Auto-generate)",INDIRECT("'"&amp;$A18&amp;"'!$A$12:$Z$12"),0),0)="","?",VLOOKUP(W$1,INDIRECT("'"&amp;$A18&amp;"'!$A$12:$Z$41"),MATCH("Points (Auto-generate)",INDIRECT("'"&amp;$A18&amp;"'!$A$12:$Z$12"),0),0)),"ER"))</f>
        <v>?</v>
      </c>
      <c r="X18" s="83" t="str">
        <f aca="true">IF($H18=0,"NA",IF($A18=INDIRECT("'"&amp;$A18&amp;"'!$B$1"),IF(VLOOKUP(X$1,INDIRECT("'"&amp;$A18&amp;"'!$A$12:$Z$41"),MATCH("Points (Auto-generate)",INDIRECT("'"&amp;$A18&amp;"'!$A$12:$Z$12"),0),0)="","?",VLOOKUP(X$1,INDIRECT("'"&amp;$A18&amp;"'!$A$12:$Z$41"),MATCH("Points (Auto-generate)",INDIRECT("'"&amp;$A18&amp;"'!$A$12:$Z$12"),0),0)),"ER"))</f>
        <v>?</v>
      </c>
      <c r="Y18" s="83" t="str">
        <f aca="true">IF($H18=0,"NA",IF($A18=INDIRECT("'"&amp;$A18&amp;"'!$B$1"),IF(VLOOKUP(Y$1,INDIRECT("'"&amp;$A18&amp;"'!$A$12:$Z$41"),MATCH("Points (Auto-generate)",INDIRECT("'"&amp;$A18&amp;"'!$A$12:$Z$12"),0),0)="","?",VLOOKUP(Y$1,INDIRECT("'"&amp;$A18&amp;"'!$A$12:$Z$41"),MATCH("Points (Auto-generate)",INDIRECT("'"&amp;$A18&amp;"'!$A$12:$Z$12"),0),0)),"ER"))</f>
        <v>?</v>
      </c>
      <c r="Z18" s="83" t="str">
        <f aca="true">IF($H18=0,"NA",IF($A18=INDIRECT("'"&amp;$A18&amp;"'!$B$1"),IF(VLOOKUP(Z$1,INDIRECT("'"&amp;$A18&amp;"'!$A$12:$Z$41"),MATCH("Points (Auto-generate)",INDIRECT("'"&amp;$A18&amp;"'!$A$12:$Z$12"),0),0)="","?",VLOOKUP(Z$1,INDIRECT("'"&amp;$A18&amp;"'!$A$12:$Z$41"),MATCH("Points (Auto-generate)",INDIRECT("'"&amp;$A18&amp;"'!$A$12:$Z$12"),0),0)),"ER"))</f>
        <v>?</v>
      </c>
      <c r="AA18" s="83" t="str">
        <f aca="true">IF($H18=0,"NA",IF($A18=INDIRECT("'"&amp;$A18&amp;"'!$B$1"),IF(VLOOKUP(AA$1,INDIRECT("'"&amp;$A18&amp;"'!$A$12:$Z$41"),MATCH("Points (Auto-generate)",INDIRECT("'"&amp;$A18&amp;"'!$A$12:$Z$12"),0),0)="","?",VLOOKUP(AA$1,INDIRECT("'"&amp;$A18&amp;"'!$A$12:$Z$41"),MATCH("Points (Auto-generate)",INDIRECT("'"&amp;$A18&amp;"'!$A$12:$Z$12"),0),0)),"ER"))</f>
        <v>?</v>
      </c>
      <c r="AB18" s="83" t="str">
        <f aca="true">IF($H18=0,"NA",IF($A18=INDIRECT("'"&amp;$A18&amp;"'!$B$1"),IF(VLOOKUP(AB$1,INDIRECT("'"&amp;$A18&amp;"'!$A$12:$Z$41"),MATCH("Points (Auto-generate)",INDIRECT("'"&amp;$A18&amp;"'!$A$12:$Z$12"),0),0)="","?",VLOOKUP(AB$1,INDIRECT("'"&amp;$A18&amp;"'!$A$12:$Z$41"),MATCH("Points (Auto-generate)",INDIRECT("'"&amp;$A18&amp;"'!$A$12:$Z$12"),0),0)),"ER"))</f>
        <v>?</v>
      </c>
      <c r="AC18" s="83" t="str">
        <f aca="true">IF($H18=0,"NA",IF($A18=INDIRECT("'"&amp;$A18&amp;"'!$B$1"),IF(VLOOKUP(AC$1,INDIRECT("'"&amp;$A18&amp;"'!$A$12:$Z$41"),MATCH("Points (Auto-generate)",INDIRECT("'"&amp;$A18&amp;"'!$A$12:$Z$12"),0),0)="","?",VLOOKUP(AC$1,INDIRECT("'"&amp;$A18&amp;"'!$A$12:$Z$41"),MATCH("Points (Auto-generate)",INDIRECT("'"&amp;$A18&amp;"'!$A$12:$Z$12"),0),0)),"ER"))</f>
        <v>?</v>
      </c>
      <c r="AD18" s="83" t="str">
        <f aca="true">IF($H18=0,"NA",IF($A18=INDIRECT("'"&amp;$A18&amp;"'!$B$1"),IF(VLOOKUP(AD$1,INDIRECT("'"&amp;$A18&amp;"'!$A$12:$Z$41"),MATCH("Points (Auto-generate)",INDIRECT("'"&amp;$A18&amp;"'!$A$12:$Z$12"),0),0)="","?",VLOOKUP(AD$1,INDIRECT("'"&amp;$A18&amp;"'!$A$12:$Z$41"),MATCH("Points (Auto-generate)",INDIRECT("'"&amp;$A18&amp;"'!$A$12:$Z$12"),0),0)),"ER"))</f>
        <v>?</v>
      </c>
      <c r="AE18" s="83" t="str">
        <f aca="true">IF($H18=0,"NA",IF($A18=INDIRECT("'"&amp;$A18&amp;"'!$B$1"),IF(VLOOKUP(AE$1,INDIRECT("'"&amp;$A18&amp;"'!$A$12:$Z$41"),MATCH("Points (Auto-generate)",INDIRECT("'"&amp;$A18&amp;"'!$A$12:$Z$12"),0),0)="","?",VLOOKUP(AE$1,INDIRECT("'"&amp;$A18&amp;"'!$A$12:$Z$41"),MATCH("Points (Auto-generate)",INDIRECT("'"&amp;$A18&amp;"'!$A$12:$Z$12"),0),0)),"ER"))</f>
        <v>?</v>
      </c>
      <c r="AF18" s="83" t="str">
        <f aca="true">IF($H18=0,"NA",IF($A18=INDIRECT("'"&amp;$A18&amp;"'!$B$1"),IF(VLOOKUP(AF$1,INDIRECT("'"&amp;$A18&amp;"'!$A$12:$Z$41"),MATCH("Points (Auto-generate)",INDIRECT("'"&amp;$A18&amp;"'!$A$12:$Z$12"),0),0)="","?",VLOOKUP(AF$1,INDIRECT("'"&amp;$A18&amp;"'!$A$12:$Z$41"),MATCH("Points (Auto-generate)",INDIRECT("'"&amp;$A18&amp;"'!$A$12:$Z$12"),0),0)),"ER"))</f>
        <v>?</v>
      </c>
      <c r="AG18" s="83" t="str">
        <f aca="true">IF($H18=0,"NA",IF($A18=INDIRECT("'"&amp;$A18&amp;"'!$B$1"),IF(VLOOKUP(AG$1,INDIRECT("'"&amp;$A18&amp;"'!$A$12:$Z$41"),MATCH("Points (Auto-generate)",INDIRECT("'"&amp;$A18&amp;"'!$A$12:$Z$12"),0),0)="","?",VLOOKUP(AG$1,INDIRECT("'"&amp;$A18&amp;"'!$A$12:$Z$41"),MATCH("Points (Auto-generate)",INDIRECT("'"&amp;$A18&amp;"'!$A$12:$Z$12"),0),0)),"ER"))</f>
        <v>?</v>
      </c>
      <c r="AH18" s="83" t="str">
        <f aca="true">IF($H18=0,"NA",IF($A18=INDIRECT("'"&amp;$A18&amp;"'!$B$1"),IF(VLOOKUP(AH$1,INDIRECT("'"&amp;$A18&amp;"'!$A$12:$Z$41"),MATCH("Points (Auto-generate)",INDIRECT("'"&amp;$A18&amp;"'!$A$12:$Z$12"),0),0)="","?",VLOOKUP(AH$1,INDIRECT("'"&amp;$A18&amp;"'!$A$12:$Z$41"),MATCH("Points (Auto-generate)",INDIRECT("'"&amp;$A18&amp;"'!$A$12:$Z$12"),0),0)),"ER"))</f>
        <v>?</v>
      </c>
      <c r="AI18" s="83" t="str">
        <f aca="true">IF($H18=0,"NA",IF($A18=INDIRECT("'"&amp;$A18&amp;"'!$B$1"),IF(VLOOKUP(AI$1,INDIRECT("'"&amp;$A18&amp;"'!$A$12:$Z$41"),MATCH("Points (Auto-generate)",INDIRECT("'"&amp;$A18&amp;"'!$A$12:$Z$12"),0),0)="","?",VLOOKUP(AI$1,INDIRECT("'"&amp;$A18&amp;"'!$A$12:$Z$41"),MATCH("Points (Auto-generate)",INDIRECT("'"&amp;$A18&amp;"'!$A$12:$Z$12"),0),0)),"ER"))</f>
        <v>?</v>
      </c>
      <c r="AJ18" s="83" t="str">
        <f aca="true">IF($H18=0,"NA",IF($A18=INDIRECT("'"&amp;$A18&amp;"'!$B$1"),IF(VLOOKUP(AJ$1,INDIRECT("'"&amp;$A18&amp;"'!$A$12:$Z$41"),MATCH("Points (Auto-generate)",INDIRECT("'"&amp;$A18&amp;"'!$A$12:$Z$12"),0),0)="","?",VLOOKUP(AJ$1,INDIRECT("'"&amp;$A18&amp;"'!$A$12:$Z$41"),MATCH("Points (Auto-generate)",INDIRECT("'"&amp;$A18&amp;"'!$A$12:$Z$12"),0),0)),"ER"))</f>
        <v>?</v>
      </c>
      <c r="AK18" s="83" t="str">
        <f aca="true">IF($H18=0,"NA",IF($A18=INDIRECT("'"&amp;$A18&amp;"'!$B$1"),IF(VLOOKUP(AK$1,INDIRECT("'"&amp;$A18&amp;"'!$A$12:$Z$41"),MATCH("Points (Auto-generate)",INDIRECT("'"&amp;$A18&amp;"'!$A$12:$Z$12"),0),0)="","?",VLOOKUP(AK$1,INDIRECT("'"&amp;$A18&amp;"'!$A$12:$Z$41"),MATCH("Points (Auto-generate)",INDIRECT("'"&amp;$A18&amp;"'!$A$12:$Z$12"),0),0)),"ER"))</f>
        <v>?</v>
      </c>
    </row>
    <row r="19" customFormat="false" ht="14.25" hidden="false" customHeight="false" outlineLevel="0" collapsed="false">
      <c r="A19" s="79" t="s">
        <v>93</v>
      </c>
      <c r="B19" s="80" t="str">
        <f aca="false">IF(ISBLANK($A19),"NO_CODE",VLOOKUP($A19,'UPD Questions_290926 '!$E$1:$N$300,MATCH(B$1,'UPD Questions_290926 '!$E$1:$N$1,0),0)&amp;"")</f>
        <v>Planning </v>
      </c>
      <c r="C19" s="80" t="str">
        <f aca="false">IF(ISBLANK($A19),"NO_CODE",VLOOKUP($A19,'UPD Questions_290926 '!$E$1:$N$300,MATCH(C$1,'UPD Questions_290926 '!$E$1:$N$1,0),0)&amp;"")</f>
        <v>Municipal/City Plan preparation, participation and review</v>
      </c>
      <c r="D19" s="80" t="str">
        <f aca="false">IF(ISBLANK($A19),"NO_CODE",VLOOKUP($A19,'UPD Questions_290926 '!$E$1:$N$300,MATCH(D$1,'UPD Questions_290926 '!$E$1:$N$1,0),0)&amp;"")</f>
        <v>Inter-agency participation</v>
      </c>
      <c r="E19" s="80" t="str">
        <f aca="false">IF(ISBLANK($A19),"NO_CODE",VLOOKUP($A19,'UPD Questions_290926 '!$E$1:$N$300,MATCH(E$1,'UPD Questions_290926 '!$E$1:$N$1,0),0)&amp;"")</f>
        <v>MQ</v>
      </c>
      <c r="F19" s="80" t="str">
        <f aca="false">IF(ISBLANK($A19),"NO_CODE",VLOOKUP($A19,'UPD Questions_290926 '!$E$1:$N$300,MATCH(F$1,'UPD Questions_290926 '!$E$1:$N$1,0),0)&amp;"")</f>
        <v>Does the law mandate participation of all parastatals/ agencies /ULGs in creation of Spatial plans (metro/municipal/ward)?</v>
      </c>
      <c r="G19" s="80" t="str">
        <f aca="false">IF(ISBLANK($A19),"NO_CODE",VLOOKUP($A19,'UPD Questions_290926 '!$E$1:$N$300,MATCH(G$1,'UPD Questions_290926 '!$E$1:$N$1,0),0)&amp;"")</f>
        <v>Law or Policy</v>
      </c>
      <c r="H19" s="82" t="n">
        <f aca="false">IF(ISBLANK($A19),"NO_CODE",VLOOKUP($A19,'UPD Questions_290926 '!$E$1:$N$300,MATCH(H$1,'UPD Questions_290926 '!$E$1:$N$1,0),0))</f>
        <v>10</v>
      </c>
      <c r="I19" s="83" t="str">
        <f aca="true">IF($H19=0,"NA",IF($A19=INDIRECT("'"&amp;$A19&amp;"'!$B$1"),IF(VLOOKUP(I$1,INDIRECT("'"&amp;$A19&amp;"'!$A$12:$Z$41"),MATCH("Points (Auto-generate)",INDIRECT("'"&amp;$A19&amp;"'!$A$12:$Z$12"),0),0)="","?",VLOOKUP(I$1,INDIRECT("'"&amp;$A19&amp;"'!$A$12:$Z$41"),MATCH("Points (Auto-generate)",INDIRECT("'"&amp;$A19&amp;"'!$A$12:$Z$12"),0),0)),"ER"))</f>
        <v>?</v>
      </c>
      <c r="J19" s="83" t="str">
        <f aca="true">IF($H19=0,"NA",IF($A19=INDIRECT("'"&amp;$A19&amp;"'!$B$1"),IF(VLOOKUP(J$1,INDIRECT("'"&amp;$A19&amp;"'!$A$12:$Z$41"),MATCH("Points (Auto-generate)",INDIRECT("'"&amp;$A19&amp;"'!$A$12:$Z$12"),0),0)="","?",VLOOKUP(J$1,INDIRECT("'"&amp;$A19&amp;"'!$A$12:$Z$41"),MATCH("Points (Auto-generate)",INDIRECT("'"&amp;$A19&amp;"'!$A$12:$Z$12"),0),0)),"ER"))</f>
        <v>?</v>
      </c>
      <c r="K19" s="83" t="str">
        <f aca="true">IF($H19=0,"NA",IF($A19=INDIRECT("'"&amp;$A19&amp;"'!$B$1"),IF(VLOOKUP(K$1,INDIRECT("'"&amp;$A19&amp;"'!$A$12:$Z$41"),MATCH("Points (Auto-generate)",INDIRECT("'"&amp;$A19&amp;"'!$A$12:$Z$12"),0),0)="","?",VLOOKUP(K$1,INDIRECT("'"&amp;$A19&amp;"'!$A$12:$Z$41"),MATCH("Points (Auto-generate)",INDIRECT("'"&amp;$A19&amp;"'!$A$12:$Z$12"),0),0)),"ER"))</f>
        <v>?</v>
      </c>
      <c r="L19" s="83" t="str">
        <f aca="true">IF($H19=0,"NA",IF($A19=INDIRECT("'"&amp;$A19&amp;"'!$B$1"),IF(VLOOKUP(L$1,INDIRECT("'"&amp;$A19&amp;"'!$A$12:$Z$41"),MATCH("Points (Auto-generate)",INDIRECT("'"&amp;$A19&amp;"'!$A$12:$Z$12"),0),0)="","?",VLOOKUP(L$1,INDIRECT("'"&amp;$A19&amp;"'!$A$12:$Z$41"),MATCH("Points (Auto-generate)",INDIRECT("'"&amp;$A19&amp;"'!$A$12:$Z$12"),0),0)),"ER"))</f>
        <v>?</v>
      </c>
      <c r="M19" s="83" t="str">
        <f aca="true">IF($H19=0,"NA",IF($A19=INDIRECT("'"&amp;$A19&amp;"'!$B$1"),IF(VLOOKUP(M$1,INDIRECT("'"&amp;$A19&amp;"'!$A$12:$Z$41"),MATCH("Points (Auto-generate)",INDIRECT("'"&amp;$A19&amp;"'!$A$12:$Z$12"),0),0)="","?",VLOOKUP(M$1,INDIRECT("'"&amp;$A19&amp;"'!$A$12:$Z$41"),MATCH("Points (Auto-generate)",INDIRECT("'"&amp;$A19&amp;"'!$A$12:$Z$12"),0),0)),"ER"))</f>
        <v>?</v>
      </c>
      <c r="N19" s="83" t="str">
        <f aca="true">IF($H19=0,"NA",IF($A19=INDIRECT("'"&amp;$A19&amp;"'!$B$1"),IF(VLOOKUP(N$1,INDIRECT("'"&amp;$A19&amp;"'!$A$12:$Z$41"),MATCH("Points (Auto-generate)",INDIRECT("'"&amp;$A19&amp;"'!$A$12:$Z$12"),0),0)="","?",VLOOKUP(N$1,INDIRECT("'"&amp;$A19&amp;"'!$A$12:$Z$41"),MATCH("Points (Auto-generate)",INDIRECT("'"&amp;$A19&amp;"'!$A$12:$Z$12"),0),0)),"ER"))</f>
        <v>?</v>
      </c>
      <c r="O19" s="83" t="str">
        <f aca="true">IF($H19=0,"NA",IF($A19=INDIRECT("'"&amp;$A19&amp;"'!$B$1"),IF(VLOOKUP(O$1,INDIRECT("'"&amp;$A19&amp;"'!$A$12:$Z$41"),MATCH("Points (Auto-generate)",INDIRECT("'"&amp;$A19&amp;"'!$A$12:$Z$12"),0),0)="","?",VLOOKUP(O$1,INDIRECT("'"&amp;$A19&amp;"'!$A$12:$Z$41"),MATCH("Points (Auto-generate)",INDIRECT("'"&amp;$A19&amp;"'!$A$12:$Z$12"),0),0)),"ER"))</f>
        <v>?</v>
      </c>
      <c r="P19" s="83" t="str">
        <f aca="true">IF($H19=0,"NA",IF($A19=INDIRECT("'"&amp;$A19&amp;"'!$B$1"),IF(VLOOKUP(P$1,INDIRECT("'"&amp;$A19&amp;"'!$A$12:$Z$41"),MATCH("Points (Auto-generate)",INDIRECT("'"&amp;$A19&amp;"'!$A$12:$Z$12"),0),0)="","?",VLOOKUP(P$1,INDIRECT("'"&amp;$A19&amp;"'!$A$12:$Z$41"),MATCH("Points (Auto-generate)",INDIRECT("'"&amp;$A19&amp;"'!$A$12:$Z$12"),0),0)),"ER"))</f>
        <v>?</v>
      </c>
      <c r="Q19" s="83" t="str">
        <f aca="true">IF($H19=0,"NA",IF($A19=INDIRECT("'"&amp;$A19&amp;"'!$B$1"),IF(VLOOKUP(Q$1,INDIRECT("'"&amp;$A19&amp;"'!$A$12:$Z$41"),MATCH("Points (Auto-generate)",INDIRECT("'"&amp;$A19&amp;"'!$A$12:$Z$12"),0),0)="","?",VLOOKUP(Q$1,INDIRECT("'"&amp;$A19&amp;"'!$A$12:$Z$41"),MATCH("Points (Auto-generate)",INDIRECT("'"&amp;$A19&amp;"'!$A$12:$Z$12"),0),0)),"ER"))</f>
        <v>?</v>
      </c>
      <c r="R19" s="83" t="str">
        <f aca="true">IF($H19=0,"NA",IF($A19=INDIRECT("'"&amp;$A19&amp;"'!$B$1"),IF(VLOOKUP(R$1,INDIRECT("'"&amp;$A19&amp;"'!$A$12:$Z$41"),MATCH("Points (Auto-generate)",INDIRECT("'"&amp;$A19&amp;"'!$A$12:$Z$12"),0),0)="","?",VLOOKUP(R$1,INDIRECT("'"&amp;$A19&amp;"'!$A$12:$Z$41"),MATCH("Points (Auto-generate)",INDIRECT("'"&amp;$A19&amp;"'!$A$12:$Z$12"),0),0)),"ER"))</f>
        <v>?</v>
      </c>
      <c r="S19" s="83" t="str">
        <f aca="true">IF($H19=0,"NA",IF($A19=INDIRECT("'"&amp;$A19&amp;"'!$B$1"),IF(VLOOKUP(S$1,INDIRECT("'"&amp;$A19&amp;"'!$A$12:$Z$41"),MATCH("Points (Auto-generate)",INDIRECT("'"&amp;$A19&amp;"'!$A$12:$Z$12"),0),0)="","?",VLOOKUP(S$1,INDIRECT("'"&amp;$A19&amp;"'!$A$12:$Z$41"),MATCH("Points (Auto-generate)",INDIRECT("'"&amp;$A19&amp;"'!$A$12:$Z$12"),0),0)),"ER"))</f>
        <v>?</v>
      </c>
      <c r="T19" s="83" t="str">
        <f aca="true">IF($H19=0,"NA",IF($A19=INDIRECT("'"&amp;$A19&amp;"'!$B$1"),IF(VLOOKUP(T$1,INDIRECT("'"&amp;$A19&amp;"'!$A$12:$Z$41"),MATCH("Points (Auto-generate)",INDIRECT("'"&amp;$A19&amp;"'!$A$12:$Z$12"),0),0)="","?",VLOOKUP(T$1,INDIRECT("'"&amp;$A19&amp;"'!$A$12:$Z$41"),MATCH("Points (Auto-generate)",INDIRECT("'"&amp;$A19&amp;"'!$A$12:$Z$12"),0),0)),"ER"))</f>
        <v>?</v>
      </c>
      <c r="U19" s="83" t="str">
        <f aca="true">IF($H19=0,"NA",IF($A19=INDIRECT("'"&amp;$A19&amp;"'!$B$1"),IF(VLOOKUP(U$1,INDIRECT("'"&amp;$A19&amp;"'!$A$12:$Z$41"),MATCH("Points (Auto-generate)",INDIRECT("'"&amp;$A19&amp;"'!$A$12:$Z$12"),0),0)="","?",VLOOKUP(U$1,INDIRECT("'"&amp;$A19&amp;"'!$A$12:$Z$41"),MATCH("Points (Auto-generate)",INDIRECT("'"&amp;$A19&amp;"'!$A$12:$Z$12"),0),0)),"ER"))</f>
        <v>?</v>
      </c>
      <c r="V19" s="83" t="str">
        <f aca="true">IF($H19=0,"NA",IF($A19=INDIRECT("'"&amp;$A19&amp;"'!$B$1"),IF(VLOOKUP(V$1,INDIRECT("'"&amp;$A19&amp;"'!$A$12:$Z$41"),MATCH("Points (Auto-generate)",INDIRECT("'"&amp;$A19&amp;"'!$A$12:$Z$12"),0),0)="","?",VLOOKUP(V$1,INDIRECT("'"&amp;$A19&amp;"'!$A$12:$Z$41"),MATCH("Points (Auto-generate)",INDIRECT("'"&amp;$A19&amp;"'!$A$12:$Z$12"),0),0)),"ER"))</f>
        <v>?</v>
      </c>
      <c r="W19" s="83" t="str">
        <f aca="true">IF($H19=0,"NA",IF($A19=INDIRECT("'"&amp;$A19&amp;"'!$B$1"),IF(VLOOKUP(W$1,INDIRECT("'"&amp;$A19&amp;"'!$A$12:$Z$41"),MATCH("Points (Auto-generate)",INDIRECT("'"&amp;$A19&amp;"'!$A$12:$Z$12"),0),0)="","?",VLOOKUP(W$1,INDIRECT("'"&amp;$A19&amp;"'!$A$12:$Z$41"),MATCH("Points (Auto-generate)",INDIRECT("'"&amp;$A19&amp;"'!$A$12:$Z$12"),0),0)),"ER"))</f>
        <v>?</v>
      </c>
      <c r="X19" s="83" t="str">
        <f aca="true">IF($H19=0,"NA",IF($A19=INDIRECT("'"&amp;$A19&amp;"'!$B$1"),IF(VLOOKUP(X$1,INDIRECT("'"&amp;$A19&amp;"'!$A$12:$Z$41"),MATCH("Points (Auto-generate)",INDIRECT("'"&amp;$A19&amp;"'!$A$12:$Z$12"),0),0)="","?",VLOOKUP(X$1,INDIRECT("'"&amp;$A19&amp;"'!$A$12:$Z$41"),MATCH("Points (Auto-generate)",INDIRECT("'"&amp;$A19&amp;"'!$A$12:$Z$12"),0),0)),"ER"))</f>
        <v>?</v>
      </c>
      <c r="Y19" s="83" t="str">
        <f aca="true">IF($H19=0,"NA",IF($A19=INDIRECT("'"&amp;$A19&amp;"'!$B$1"),IF(VLOOKUP(Y$1,INDIRECT("'"&amp;$A19&amp;"'!$A$12:$Z$41"),MATCH("Points (Auto-generate)",INDIRECT("'"&amp;$A19&amp;"'!$A$12:$Z$12"),0),0)="","?",VLOOKUP(Y$1,INDIRECT("'"&amp;$A19&amp;"'!$A$12:$Z$41"),MATCH("Points (Auto-generate)",INDIRECT("'"&amp;$A19&amp;"'!$A$12:$Z$12"),0),0)),"ER"))</f>
        <v>?</v>
      </c>
      <c r="Z19" s="83" t="str">
        <f aca="true">IF($H19=0,"NA",IF($A19=INDIRECT("'"&amp;$A19&amp;"'!$B$1"),IF(VLOOKUP(Z$1,INDIRECT("'"&amp;$A19&amp;"'!$A$12:$Z$41"),MATCH("Points (Auto-generate)",INDIRECT("'"&amp;$A19&amp;"'!$A$12:$Z$12"),0),0)="","?",VLOOKUP(Z$1,INDIRECT("'"&amp;$A19&amp;"'!$A$12:$Z$41"),MATCH("Points (Auto-generate)",INDIRECT("'"&amp;$A19&amp;"'!$A$12:$Z$12"),0),0)),"ER"))</f>
        <v>?</v>
      </c>
      <c r="AA19" s="83" t="str">
        <f aca="true">IF($H19=0,"NA",IF($A19=INDIRECT("'"&amp;$A19&amp;"'!$B$1"),IF(VLOOKUP(AA$1,INDIRECT("'"&amp;$A19&amp;"'!$A$12:$Z$41"),MATCH("Points (Auto-generate)",INDIRECT("'"&amp;$A19&amp;"'!$A$12:$Z$12"),0),0)="","?",VLOOKUP(AA$1,INDIRECT("'"&amp;$A19&amp;"'!$A$12:$Z$41"),MATCH("Points (Auto-generate)",INDIRECT("'"&amp;$A19&amp;"'!$A$12:$Z$12"),0),0)),"ER"))</f>
        <v>?</v>
      </c>
      <c r="AB19" s="83" t="str">
        <f aca="true">IF($H19=0,"NA",IF($A19=INDIRECT("'"&amp;$A19&amp;"'!$B$1"),IF(VLOOKUP(AB$1,INDIRECT("'"&amp;$A19&amp;"'!$A$12:$Z$41"),MATCH("Points (Auto-generate)",INDIRECT("'"&amp;$A19&amp;"'!$A$12:$Z$12"),0),0)="","?",VLOOKUP(AB$1,INDIRECT("'"&amp;$A19&amp;"'!$A$12:$Z$41"),MATCH("Points (Auto-generate)",INDIRECT("'"&amp;$A19&amp;"'!$A$12:$Z$12"),0),0)),"ER"))</f>
        <v>?</v>
      </c>
      <c r="AC19" s="83" t="str">
        <f aca="true">IF($H19=0,"NA",IF($A19=INDIRECT("'"&amp;$A19&amp;"'!$B$1"),IF(VLOOKUP(AC$1,INDIRECT("'"&amp;$A19&amp;"'!$A$12:$Z$41"),MATCH("Points (Auto-generate)",INDIRECT("'"&amp;$A19&amp;"'!$A$12:$Z$12"),0),0)="","?",VLOOKUP(AC$1,INDIRECT("'"&amp;$A19&amp;"'!$A$12:$Z$41"),MATCH("Points (Auto-generate)",INDIRECT("'"&amp;$A19&amp;"'!$A$12:$Z$12"),0),0)),"ER"))</f>
        <v>?</v>
      </c>
      <c r="AD19" s="83" t="str">
        <f aca="true">IF($H19=0,"NA",IF($A19=INDIRECT("'"&amp;$A19&amp;"'!$B$1"),IF(VLOOKUP(AD$1,INDIRECT("'"&amp;$A19&amp;"'!$A$12:$Z$41"),MATCH("Points (Auto-generate)",INDIRECT("'"&amp;$A19&amp;"'!$A$12:$Z$12"),0),0)="","?",VLOOKUP(AD$1,INDIRECT("'"&amp;$A19&amp;"'!$A$12:$Z$41"),MATCH("Points (Auto-generate)",INDIRECT("'"&amp;$A19&amp;"'!$A$12:$Z$12"),0),0)),"ER"))</f>
        <v>?</v>
      </c>
      <c r="AE19" s="83" t="str">
        <f aca="true">IF($H19=0,"NA",IF($A19=INDIRECT("'"&amp;$A19&amp;"'!$B$1"),IF(VLOOKUP(AE$1,INDIRECT("'"&amp;$A19&amp;"'!$A$12:$Z$41"),MATCH("Points (Auto-generate)",INDIRECT("'"&amp;$A19&amp;"'!$A$12:$Z$12"),0),0)="","?",VLOOKUP(AE$1,INDIRECT("'"&amp;$A19&amp;"'!$A$12:$Z$41"),MATCH("Points (Auto-generate)",INDIRECT("'"&amp;$A19&amp;"'!$A$12:$Z$12"),0),0)),"ER"))</f>
        <v>?</v>
      </c>
      <c r="AF19" s="83" t="str">
        <f aca="true">IF($H19=0,"NA",IF($A19=INDIRECT("'"&amp;$A19&amp;"'!$B$1"),IF(VLOOKUP(AF$1,INDIRECT("'"&amp;$A19&amp;"'!$A$12:$Z$41"),MATCH("Points (Auto-generate)",INDIRECT("'"&amp;$A19&amp;"'!$A$12:$Z$12"),0),0)="","?",VLOOKUP(AF$1,INDIRECT("'"&amp;$A19&amp;"'!$A$12:$Z$41"),MATCH("Points (Auto-generate)",INDIRECT("'"&amp;$A19&amp;"'!$A$12:$Z$12"),0),0)),"ER"))</f>
        <v>?</v>
      </c>
      <c r="AG19" s="83" t="str">
        <f aca="true">IF($H19=0,"NA",IF($A19=INDIRECT("'"&amp;$A19&amp;"'!$B$1"),IF(VLOOKUP(AG$1,INDIRECT("'"&amp;$A19&amp;"'!$A$12:$Z$41"),MATCH("Points (Auto-generate)",INDIRECT("'"&amp;$A19&amp;"'!$A$12:$Z$12"),0),0)="","?",VLOOKUP(AG$1,INDIRECT("'"&amp;$A19&amp;"'!$A$12:$Z$41"),MATCH("Points (Auto-generate)",INDIRECT("'"&amp;$A19&amp;"'!$A$12:$Z$12"),0),0)),"ER"))</f>
        <v>?</v>
      </c>
      <c r="AH19" s="83" t="str">
        <f aca="true">IF($H19=0,"NA",IF($A19=INDIRECT("'"&amp;$A19&amp;"'!$B$1"),IF(VLOOKUP(AH$1,INDIRECT("'"&amp;$A19&amp;"'!$A$12:$Z$41"),MATCH("Points (Auto-generate)",INDIRECT("'"&amp;$A19&amp;"'!$A$12:$Z$12"),0),0)="","?",VLOOKUP(AH$1,INDIRECT("'"&amp;$A19&amp;"'!$A$12:$Z$41"),MATCH("Points (Auto-generate)",INDIRECT("'"&amp;$A19&amp;"'!$A$12:$Z$12"),0),0)),"ER"))</f>
        <v>?</v>
      </c>
      <c r="AI19" s="83" t="str">
        <f aca="true">IF($H19=0,"NA",IF($A19=INDIRECT("'"&amp;$A19&amp;"'!$B$1"),IF(VLOOKUP(AI$1,INDIRECT("'"&amp;$A19&amp;"'!$A$12:$Z$41"),MATCH("Points (Auto-generate)",INDIRECT("'"&amp;$A19&amp;"'!$A$12:$Z$12"),0),0)="","?",VLOOKUP(AI$1,INDIRECT("'"&amp;$A19&amp;"'!$A$12:$Z$41"),MATCH("Points (Auto-generate)",INDIRECT("'"&amp;$A19&amp;"'!$A$12:$Z$12"),0),0)),"ER"))</f>
        <v>?</v>
      </c>
      <c r="AJ19" s="83" t="str">
        <f aca="true">IF($H19=0,"NA",IF($A19=INDIRECT("'"&amp;$A19&amp;"'!$B$1"),IF(VLOOKUP(AJ$1,INDIRECT("'"&amp;$A19&amp;"'!$A$12:$Z$41"),MATCH("Points (Auto-generate)",INDIRECT("'"&amp;$A19&amp;"'!$A$12:$Z$12"),0),0)="","?",VLOOKUP(AJ$1,INDIRECT("'"&amp;$A19&amp;"'!$A$12:$Z$41"),MATCH("Points (Auto-generate)",INDIRECT("'"&amp;$A19&amp;"'!$A$12:$Z$12"),0),0)),"ER"))</f>
        <v>?</v>
      </c>
      <c r="AK19" s="83" t="str">
        <f aca="true">IF($H19=0,"NA",IF($A19=INDIRECT("'"&amp;$A19&amp;"'!$B$1"),IF(VLOOKUP(AK$1,INDIRECT("'"&amp;$A19&amp;"'!$A$12:$Z$41"),MATCH("Points (Auto-generate)",INDIRECT("'"&amp;$A19&amp;"'!$A$12:$Z$12"),0),0)="","?",VLOOKUP(AK$1,INDIRECT("'"&amp;$A19&amp;"'!$A$12:$Z$41"),MATCH("Points (Auto-generate)",INDIRECT("'"&amp;$A19&amp;"'!$A$12:$Z$12"),0),0)),"ER"))</f>
        <v>?</v>
      </c>
    </row>
    <row r="20" customFormat="false" ht="14.25" hidden="false" customHeight="false" outlineLevel="0" collapsed="false">
      <c r="A20" s="79" t="s">
        <v>98</v>
      </c>
      <c r="B20" s="80" t="str">
        <f aca="false">IF(ISBLANK($A20),"NO_CODE",VLOOKUP($A20,'UPD Questions_290926 '!$E$1:$N$300,MATCH(B$1,'UPD Questions_290926 '!$E$1:$N$1,0),0)&amp;"")</f>
        <v>Planning </v>
      </c>
      <c r="C20" s="80" t="str">
        <f aca="false">IF(ISBLANK($A20),"NO_CODE",VLOOKUP($A20,'UPD Questions_290926 '!$E$1:$N$300,MATCH(C$1,'UPD Questions_290926 '!$E$1:$N$1,0),0)&amp;"")</f>
        <v>Municipal/City Plan preparation, participation and review</v>
      </c>
      <c r="D20" s="80" t="str">
        <f aca="false">IF(ISBLANK($A20),"NO_CODE",VLOOKUP($A20,'UPD Questions_290926 '!$E$1:$N$300,MATCH(D$1,'UPD Questions_290926 '!$E$1:$N$1,0),0)&amp;"")</f>
        <v>Public participation and scrutiny</v>
      </c>
      <c r="E20" s="80" t="str">
        <f aca="false">IF(ISBLANK($A20),"NO_CODE",VLOOKUP($A20,'UPD Questions_290926 '!$E$1:$N$300,MATCH(E$1,'UPD Questions_290926 '!$E$1:$N$1,0),0)&amp;"")</f>
        <v>MQ</v>
      </c>
      <c r="F20" s="80" t="str">
        <f aca="false">IF(ISBLANK($A20),"NO_CODE",VLOOKUP($A20,'UPD Questions_290926 '!$E$1:$N$300,MATCH(F$1,'UPD Questions_290926 '!$E$1:$N$1,0),0)&amp;"")</f>
        <v>Does the law mandate public participation in preparation of the municipal plan through Area Sabhas / Ward Sabhas and other means?</v>
      </c>
      <c r="G20" s="80" t="str">
        <f aca="false">IF(ISBLANK($A20),"NO_CODE",VLOOKUP($A20,'UPD Questions_290926 '!$E$1:$N$300,MATCH(G$1,'UPD Questions_290926 '!$E$1:$N$1,0),0)&amp;"")</f>
        <v>Law or Policy</v>
      </c>
      <c r="H20" s="82" t="n">
        <f aca="false">IF(ISBLANK($A20),"NO_CODE",VLOOKUP($A20,'UPD Questions_290926 '!$E$1:$N$300,MATCH(H$1,'UPD Questions_290926 '!$E$1:$N$1,0),0))</f>
        <v>10</v>
      </c>
      <c r="I20" s="83" t="str">
        <f aca="true">IF($H20=0,"NA",IF($A20=INDIRECT("'"&amp;$A20&amp;"'!$B$1"),IF(VLOOKUP(I$1,INDIRECT("'"&amp;$A20&amp;"'!$A$12:$Z$41"),MATCH("Points (Auto-generate)",INDIRECT("'"&amp;$A20&amp;"'!$A$12:$Z$12"),0),0)="","?",VLOOKUP(I$1,INDIRECT("'"&amp;$A20&amp;"'!$A$12:$Z$41"),MATCH("Points (Auto-generate)",INDIRECT("'"&amp;$A20&amp;"'!$A$12:$Z$12"),0),0)),"ER"))</f>
        <v>?</v>
      </c>
      <c r="J20" s="83" t="str">
        <f aca="true">IF($H20=0,"NA",IF($A20=INDIRECT("'"&amp;$A20&amp;"'!$B$1"),IF(VLOOKUP(J$1,INDIRECT("'"&amp;$A20&amp;"'!$A$12:$Z$41"),MATCH("Points (Auto-generate)",INDIRECT("'"&amp;$A20&amp;"'!$A$12:$Z$12"),0),0)="","?",VLOOKUP(J$1,INDIRECT("'"&amp;$A20&amp;"'!$A$12:$Z$41"),MATCH("Points (Auto-generate)",INDIRECT("'"&amp;$A20&amp;"'!$A$12:$Z$12"),0),0)),"ER"))</f>
        <v>?</v>
      </c>
      <c r="K20" s="83" t="str">
        <f aca="true">IF($H20=0,"NA",IF($A20=INDIRECT("'"&amp;$A20&amp;"'!$B$1"),IF(VLOOKUP(K$1,INDIRECT("'"&amp;$A20&amp;"'!$A$12:$Z$41"),MATCH("Points (Auto-generate)",INDIRECT("'"&amp;$A20&amp;"'!$A$12:$Z$12"),0),0)="","?",VLOOKUP(K$1,INDIRECT("'"&amp;$A20&amp;"'!$A$12:$Z$41"),MATCH("Points (Auto-generate)",INDIRECT("'"&amp;$A20&amp;"'!$A$12:$Z$12"),0),0)),"ER"))</f>
        <v>?</v>
      </c>
      <c r="L20" s="83" t="str">
        <f aca="true">IF($H20=0,"NA",IF($A20=INDIRECT("'"&amp;$A20&amp;"'!$B$1"),IF(VLOOKUP(L$1,INDIRECT("'"&amp;$A20&amp;"'!$A$12:$Z$41"),MATCH("Points (Auto-generate)",INDIRECT("'"&amp;$A20&amp;"'!$A$12:$Z$12"),0),0)="","?",VLOOKUP(L$1,INDIRECT("'"&amp;$A20&amp;"'!$A$12:$Z$41"),MATCH("Points (Auto-generate)",INDIRECT("'"&amp;$A20&amp;"'!$A$12:$Z$12"),0),0)),"ER"))</f>
        <v>?</v>
      </c>
      <c r="M20" s="83" t="str">
        <f aca="true">IF($H20=0,"NA",IF($A20=INDIRECT("'"&amp;$A20&amp;"'!$B$1"),IF(VLOOKUP(M$1,INDIRECT("'"&amp;$A20&amp;"'!$A$12:$Z$41"),MATCH("Points (Auto-generate)",INDIRECT("'"&amp;$A20&amp;"'!$A$12:$Z$12"),0),0)="","?",VLOOKUP(M$1,INDIRECT("'"&amp;$A20&amp;"'!$A$12:$Z$41"),MATCH("Points (Auto-generate)",INDIRECT("'"&amp;$A20&amp;"'!$A$12:$Z$12"),0),0)),"ER"))</f>
        <v>?</v>
      </c>
      <c r="N20" s="83" t="str">
        <f aca="true">IF($H20=0,"NA",IF($A20=INDIRECT("'"&amp;$A20&amp;"'!$B$1"),IF(VLOOKUP(N$1,INDIRECT("'"&amp;$A20&amp;"'!$A$12:$Z$41"),MATCH("Points (Auto-generate)",INDIRECT("'"&amp;$A20&amp;"'!$A$12:$Z$12"),0),0)="","?",VLOOKUP(N$1,INDIRECT("'"&amp;$A20&amp;"'!$A$12:$Z$41"),MATCH("Points (Auto-generate)",INDIRECT("'"&amp;$A20&amp;"'!$A$12:$Z$12"),0),0)),"ER"))</f>
        <v>?</v>
      </c>
      <c r="O20" s="83" t="str">
        <f aca="true">IF($H20=0,"NA",IF($A20=INDIRECT("'"&amp;$A20&amp;"'!$B$1"),IF(VLOOKUP(O$1,INDIRECT("'"&amp;$A20&amp;"'!$A$12:$Z$41"),MATCH("Points (Auto-generate)",INDIRECT("'"&amp;$A20&amp;"'!$A$12:$Z$12"),0),0)="","?",VLOOKUP(O$1,INDIRECT("'"&amp;$A20&amp;"'!$A$12:$Z$41"),MATCH("Points (Auto-generate)",INDIRECT("'"&amp;$A20&amp;"'!$A$12:$Z$12"),0),0)),"ER"))</f>
        <v>?</v>
      </c>
      <c r="P20" s="83" t="str">
        <f aca="true">IF($H20=0,"NA",IF($A20=INDIRECT("'"&amp;$A20&amp;"'!$B$1"),IF(VLOOKUP(P$1,INDIRECT("'"&amp;$A20&amp;"'!$A$12:$Z$41"),MATCH("Points (Auto-generate)",INDIRECT("'"&amp;$A20&amp;"'!$A$12:$Z$12"),0),0)="","?",VLOOKUP(P$1,INDIRECT("'"&amp;$A20&amp;"'!$A$12:$Z$41"),MATCH("Points (Auto-generate)",INDIRECT("'"&amp;$A20&amp;"'!$A$12:$Z$12"),0),0)),"ER"))</f>
        <v>?</v>
      </c>
      <c r="Q20" s="83" t="str">
        <f aca="true">IF($H20=0,"NA",IF($A20=INDIRECT("'"&amp;$A20&amp;"'!$B$1"),IF(VLOOKUP(Q$1,INDIRECT("'"&amp;$A20&amp;"'!$A$12:$Z$41"),MATCH("Points (Auto-generate)",INDIRECT("'"&amp;$A20&amp;"'!$A$12:$Z$12"),0),0)="","?",VLOOKUP(Q$1,INDIRECT("'"&amp;$A20&amp;"'!$A$12:$Z$41"),MATCH("Points (Auto-generate)",INDIRECT("'"&amp;$A20&amp;"'!$A$12:$Z$12"),0),0)),"ER"))</f>
        <v>?</v>
      </c>
      <c r="R20" s="83" t="str">
        <f aca="true">IF($H20=0,"NA",IF($A20=INDIRECT("'"&amp;$A20&amp;"'!$B$1"),IF(VLOOKUP(R$1,INDIRECT("'"&amp;$A20&amp;"'!$A$12:$Z$41"),MATCH("Points (Auto-generate)",INDIRECT("'"&amp;$A20&amp;"'!$A$12:$Z$12"),0),0)="","?",VLOOKUP(R$1,INDIRECT("'"&amp;$A20&amp;"'!$A$12:$Z$41"),MATCH("Points (Auto-generate)",INDIRECT("'"&amp;$A20&amp;"'!$A$12:$Z$12"),0),0)),"ER"))</f>
        <v>?</v>
      </c>
      <c r="S20" s="83" t="str">
        <f aca="true">IF($H20=0,"NA",IF($A20=INDIRECT("'"&amp;$A20&amp;"'!$B$1"),IF(VLOOKUP(S$1,INDIRECT("'"&amp;$A20&amp;"'!$A$12:$Z$41"),MATCH("Points (Auto-generate)",INDIRECT("'"&amp;$A20&amp;"'!$A$12:$Z$12"),0),0)="","?",VLOOKUP(S$1,INDIRECT("'"&amp;$A20&amp;"'!$A$12:$Z$41"),MATCH("Points (Auto-generate)",INDIRECT("'"&amp;$A20&amp;"'!$A$12:$Z$12"),0),0)),"ER"))</f>
        <v>?</v>
      </c>
      <c r="T20" s="83" t="str">
        <f aca="true">IF($H20=0,"NA",IF($A20=INDIRECT("'"&amp;$A20&amp;"'!$B$1"),IF(VLOOKUP(T$1,INDIRECT("'"&amp;$A20&amp;"'!$A$12:$Z$41"),MATCH("Points (Auto-generate)",INDIRECT("'"&amp;$A20&amp;"'!$A$12:$Z$12"),0),0)="","?",VLOOKUP(T$1,INDIRECT("'"&amp;$A20&amp;"'!$A$12:$Z$41"),MATCH("Points (Auto-generate)",INDIRECT("'"&amp;$A20&amp;"'!$A$12:$Z$12"),0),0)),"ER"))</f>
        <v>?</v>
      </c>
      <c r="U20" s="83" t="str">
        <f aca="true">IF($H20=0,"NA",IF($A20=INDIRECT("'"&amp;$A20&amp;"'!$B$1"),IF(VLOOKUP(U$1,INDIRECT("'"&amp;$A20&amp;"'!$A$12:$Z$41"),MATCH("Points (Auto-generate)",INDIRECT("'"&amp;$A20&amp;"'!$A$12:$Z$12"),0),0)="","?",VLOOKUP(U$1,INDIRECT("'"&amp;$A20&amp;"'!$A$12:$Z$41"),MATCH("Points (Auto-generate)",INDIRECT("'"&amp;$A20&amp;"'!$A$12:$Z$12"),0),0)),"ER"))</f>
        <v>?</v>
      </c>
      <c r="V20" s="83" t="str">
        <f aca="true">IF($H20=0,"NA",IF($A20=INDIRECT("'"&amp;$A20&amp;"'!$B$1"),IF(VLOOKUP(V$1,INDIRECT("'"&amp;$A20&amp;"'!$A$12:$Z$41"),MATCH("Points (Auto-generate)",INDIRECT("'"&amp;$A20&amp;"'!$A$12:$Z$12"),0),0)="","?",VLOOKUP(V$1,INDIRECT("'"&amp;$A20&amp;"'!$A$12:$Z$41"),MATCH("Points (Auto-generate)",INDIRECT("'"&amp;$A20&amp;"'!$A$12:$Z$12"),0),0)),"ER"))</f>
        <v>?</v>
      </c>
      <c r="W20" s="83" t="str">
        <f aca="true">IF($H20=0,"NA",IF($A20=INDIRECT("'"&amp;$A20&amp;"'!$B$1"),IF(VLOOKUP(W$1,INDIRECT("'"&amp;$A20&amp;"'!$A$12:$Z$41"),MATCH("Points (Auto-generate)",INDIRECT("'"&amp;$A20&amp;"'!$A$12:$Z$12"),0),0)="","?",VLOOKUP(W$1,INDIRECT("'"&amp;$A20&amp;"'!$A$12:$Z$41"),MATCH("Points (Auto-generate)",INDIRECT("'"&amp;$A20&amp;"'!$A$12:$Z$12"),0),0)),"ER"))</f>
        <v>?</v>
      </c>
      <c r="X20" s="83" t="str">
        <f aca="true">IF($H20=0,"NA",IF($A20=INDIRECT("'"&amp;$A20&amp;"'!$B$1"),IF(VLOOKUP(X$1,INDIRECT("'"&amp;$A20&amp;"'!$A$12:$Z$41"),MATCH("Points (Auto-generate)",INDIRECT("'"&amp;$A20&amp;"'!$A$12:$Z$12"),0),0)="","?",VLOOKUP(X$1,INDIRECT("'"&amp;$A20&amp;"'!$A$12:$Z$41"),MATCH("Points (Auto-generate)",INDIRECT("'"&amp;$A20&amp;"'!$A$12:$Z$12"),0),0)),"ER"))</f>
        <v>?</v>
      </c>
      <c r="Y20" s="83" t="str">
        <f aca="true">IF($H20=0,"NA",IF($A20=INDIRECT("'"&amp;$A20&amp;"'!$B$1"),IF(VLOOKUP(Y$1,INDIRECT("'"&amp;$A20&amp;"'!$A$12:$Z$41"),MATCH("Points (Auto-generate)",INDIRECT("'"&amp;$A20&amp;"'!$A$12:$Z$12"),0),0)="","?",VLOOKUP(Y$1,INDIRECT("'"&amp;$A20&amp;"'!$A$12:$Z$41"),MATCH("Points (Auto-generate)",INDIRECT("'"&amp;$A20&amp;"'!$A$12:$Z$12"),0),0)),"ER"))</f>
        <v>?</v>
      </c>
      <c r="Z20" s="83" t="str">
        <f aca="true">IF($H20=0,"NA",IF($A20=INDIRECT("'"&amp;$A20&amp;"'!$B$1"),IF(VLOOKUP(Z$1,INDIRECT("'"&amp;$A20&amp;"'!$A$12:$Z$41"),MATCH("Points (Auto-generate)",INDIRECT("'"&amp;$A20&amp;"'!$A$12:$Z$12"),0),0)="","?",VLOOKUP(Z$1,INDIRECT("'"&amp;$A20&amp;"'!$A$12:$Z$41"),MATCH("Points (Auto-generate)",INDIRECT("'"&amp;$A20&amp;"'!$A$12:$Z$12"),0),0)),"ER"))</f>
        <v>?</v>
      </c>
      <c r="AA20" s="83" t="str">
        <f aca="true">IF($H20=0,"NA",IF($A20=INDIRECT("'"&amp;$A20&amp;"'!$B$1"),IF(VLOOKUP(AA$1,INDIRECT("'"&amp;$A20&amp;"'!$A$12:$Z$41"),MATCH("Points (Auto-generate)",INDIRECT("'"&amp;$A20&amp;"'!$A$12:$Z$12"),0),0)="","?",VLOOKUP(AA$1,INDIRECT("'"&amp;$A20&amp;"'!$A$12:$Z$41"),MATCH("Points (Auto-generate)",INDIRECT("'"&amp;$A20&amp;"'!$A$12:$Z$12"),0),0)),"ER"))</f>
        <v>?</v>
      </c>
      <c r="AB20" s="83" t="str">
        <f aca="true">IF($H20=0,"NA",IF($A20=INDIRECT("'"&amp;$A20&amp;"'!$B$1"),IF(VLOOKUP(AB$1,INDIRECT("'"&amp;$A20&amp;"'!$A$12:$Z$41"),MATCH("Points (Auto-generate)",INDIRECT("'"&amp;$A20&amp;"'!$A$12:$Z$12"),0),0)="","?",VLOOKUP(AB$1,INDIRECT("'"&amp;$A20&amp;"'!$A$12:$Z$41"),MATCH("Points (Auto-generate)",INDIRECT("'"&amp;$A20&amp;"'!$A$12:$Z$12"),0),0)),"ER"))</f>
        <v>?</v>
      </c>
      <c r="AC20" s="83" t="str">
        <f aca="true">IF($H20=0,"NA",IF($A20=INDIRECT("'"&amp;$A20&amp;"'!$B$1"),IF(VLOOKUP(AC$1,INDIRECT("'"&amp;$A20&amp;"'!$A$12:$Z$41"),MATCH("Points (Auto-generate)",INDIRECT("'"&amp;$A20&amp;"'!$A$12:$Z$12"),0),0)="","?",VLOOKUP(AC$1,INDIRECT("'"&amp;$A20&amp;"'!$A$12:$Z$41"),MATCH("Points (Auto-generate)",INDIRECT("'"&amp;$A20&amp;"'!$A$12:$Z$12"),0),0)),"ER"))</f>
        <v>?</v>
      </c>
      <c r="AD20" s="83" t="str">
        <f aca="true">IF($H20=0,"NA",IF($A20=INDIRECT("'"&amp;$A20&amp;"'!$B$1"),IF(VLOOKUP(AD$1,INDIRECT("'"&amp;$A20&amp;"'!$A$12:$Z$41"),MATCH("Points (Auto-generate)",INDIRECT("'"&amp;$A20&amp;"'!$A$12:$Z$12"),0),0)="","?",VLOOKUP(AD$1,INDIRECT("'"&amp;$A20&amp;"'!$A$12:$Z$41"),MATCH("Points (Auto-generate)",INDIRECT("'"&amp;$A20&amp;"'!$A$12:$Z$12"),0),0)),"ER"))</f>
        <v>?</v>
      </c>
      <c r="AE20" s="83" t="str">
        <f aca="true">IF($H20=0,"NA",IF($A20=INDIRECT("'"&amp;$A20&amp;"'!$B$1"),IF(VLOOKUP(AE$1,INDIRECT("'"&amp;$A20&amp;"'!$A$12:$Z$41"),MATCH("Points (Auto-generate)",INDIRECT("'"&amp;$A20&amp;"'!$A$12:$Z$12"),0),0)="","?",VLOOKUP(AE$1,INDIRECT("'"&amp;$A20&amp;"'!$A$12:$Z$41"),MATCH("Points (Auto-generate)",INDIRECT("'"&amp;$A20&amp;"'!$A$12:$Z$12"),0),0)),"ER"))</f>
        <v>?</v>
      </c>
      <c r="AF20" s="83" t="str">
        <f aca="true">IF($H20=0,"NA",IF($A20=INDIRECT("'"&amp;$A20&amp;"'!$B$1"),IF(VLOOKUP(AF$1,INDIRECT("'"&amp;$A20&amp;"'!$A$12:$Z$41"),MATCH("Points (Auto-generate)",INDIRECT("'"&amp;$A20&amp;"'!$A$12:$Z$12"),0),0)="","?",VLOOKUP(AF$1,INDIRECT("'"&amp;$A20&amp;"'!$A$12:$Z$41"),MATCH("Points (Auto-generate)",INDIRECT("'"&amp;$A20&amp;"'!$A$12:$Z$12"),0),0)),"ER"))</f>
        <v>?</v>
      </c>
      <c r="AG20" s="83" t="str">
        <f aca="true">IF($H20=0,"NA",IF($A20=INDIRECT("'"&amp;$A20&amp;"'!$B$1"),IF(VLOOKUP(AG$1,INDIRECT("'"&amp;$A20&amp;"'!$A$12:$Z$41"),MATCH("Points (Auto-generate)",INDIRECT("'"&amp;$A20&amp;"'!$A$12:$Z$12"),0),0)="","?",VLOOKUP(AG$1,INDIRECT("'"&amp;$A20&amp;"'!$A$12:$Z$41"),MATCH("Points (Auto-generate)",INDIRECT("'"&amp;$A20&amp;"'!$A$12:$Z$12"),0),0)),"ER"))</f>
        <v>?</v>
      </c>
      <c r="AH20" s="83" t="str">
        <f aca="true">IF($H20=0,"NA",IF($A20=INDIRECT("'"&amp;$A20&amp;"'!$B$1"),IF(VLOOKUP(AH$1,INDIRECT("'"&amp;$A20&amp;"'!$A$12:$Z$41"),MATCH("Points (Auto-generate)",INDIRECT("'"&amp;$A20&amp;"'!$A$12:$Z$12"),0),0)="","?",VLOOKUP(AH$1,INDIRECT("'"&amp;$A20&amp;"'!$A$12:$Z$41"),MATCH("Points (Auto-generate)",INDIRECT("'"&amp;$A20&amp;"'!$A$12:$Z$12"),0),0)),"ER"))</f>
        <v>?</v>
      </c>
      <c r="AI20" s="83" t="str">
        <f aca="true">IF($H20=0,"NA",IF($A20=INDIRECT("'"&amp;$A20&amp;"'!$B$1"),IF(VLOOKUP(AI$1,INDIRECT("'"&amp;$A20&amp;"'!$A$12:$Z$41"),MATCH("Points (Auto-generate)",INDIRECT("'"&amp;$A20&amp;"'!$A$12:$Z$12"),0),0)="","?",VLOOKUP(AI$1,INDIRECT("'"&amp;$A20&amp;"'!$A$12:$Z$41"),MATCH("Points (Auto-generate)",INDIRECT("'"&amp;$A20&amp;"'!$A$12:$Z$12"),0),0)),"ER"))</f>
        <v>?</v>
      </c>
      <c r="AJ20" s="83" t="str">
        <f aca="true">IF($H20=0,"NA",IF($A20=INDIRECT("'"&amp;$A20&amp;"'!$B$1"),IF(VLOOKUP(AJ$1,INDIRECT("'"&amp;$A20&amp;"'!$A$12:$Z$41"),MATCH("Points (Auto-generate)",INDIRECT("'"&amp;$A20&amp;"'!$A$12:$Z$12"),0),0)="","?",VLOOKUP(AJ$1,INDIRECT("'"&amp;$A20&amp;"'!$A$12:$Z$41"),MATCH("Points (Auto-generate)",INDIRECT("'"&amp;$A20&amp;"'!$A$12:$Z$12"),0),0)),"ER"))</f>
        <v>?</v>
      </c>
      <c r="AK20" s="83" t="str">
        <f aca="true">IF($H20=0,"NA",IF($A20=INDIRECT("'"&amp;$A20&amp;"'!$B$1"),IF(VLOOKUP(AK$1,INDIRECT("'"&amp;$A20&amp;"'!$A$12:$Z$41"),MATCH("Points (Auto-generate)",INDIRECT("'"&amp;$A20&amp;"'!$A$12:$Z$12"),0),0)="","?",VLOOKUP(AK$1,INDIRECT("'"&amp;$A20&amp;"'!$A$12:$Z$41"),MATCH("Points (Auto-generate)",INDIRECT("'"&amp;$A20&amp;"'!$A$12:$Z$12"),0),0)),"ER"))</f>
        <v>?</v>
      </c>
    </row>
    <row r="21" customFormat="false" ht="14.25" hidden="false" customHeight="false" outlineLevel="0" collapsed="false">
      <c r="A21" s="79" t="s">
        <v>501</v>
      </c>
      <c r="B21" s="80" t="str">
        <f aca="false">IF(ISBLANK($A21),"NO_CODE",VLOOKUP($A21,'UPD Questions_290926 '!$E$1:$N$300,MATCH(B$1,'UPD Questions_290926 '!$E$1:$N$1,0),0)&amp;"")</f>
        <v>Planning </v>
      </c>
      <c r="C21" s="80" t="str">
        <f aca="false">IF(ISBLANK($A21),"NO_CODE",VLOOKUP($A21,'UPD Questions_290926 '!$E$1:$N$300,MATCH(C$1,'UPD Questions_290926 '!$E$1:$N$1,0),0)&amp;"")</f>
        <v>Municipal/City Plan preparation, participation and review</v>
      </c>
      <c r="D21" s="80" t="str">
        <f aca="false">IF(ISBLANK($A21),"NO_CODE",VLOOKUP($A21,'UPD Questions_290926 '!$E$1:$N$300,MATCH(D$1,'UPD Questions_290926 '!$E$1:$N$1,0),0)&amp;"")</f>
        <v>Public participation and scrutiny</v>
      </c>
      <c r="E21" s="80" t="str">
        <f aca="false">IF(ISBLANK($A21),"NO_CODE",VLOOKUP($A21,'UPD Questions_290926 '!$E$1:$N$300,MATCH(E$1,'UPD Questions_290926 '!$E$1:$N$1,0),0)&amp;"")</f>
        <v>MQ</v>
      </c>
      <c r="F21" s="80" t="str">
        <f aca="false">IF(ISBLANK($A21),"NO_CODE",VLOOKUP($A21,'UPD Questions_290926 '!$E$1:$N$300,MATCH(F$1,'UPD Questions_290926 '!$E$1:$N$1,0),0)&amp;"")</f>
        <v>Is there public scrutiny for (including objections and responses) municipal/city plan?</v>
      </c>
      <c r="G21" s="80" t="str">
        <f aca="false">IF(ISBLANK($A21),"NO_CODE",VLOOKUP($A21,'UPD Questions_290926 '!$E$1:$N$300,MATCH(G$1,'UPD Questions_290926 '!$E$1:$N$1,0),0)&amp;"")</f>
        <v>Law/Policy &amp; Implementation</v>
      </c>
      <c r="H21" s="82" t="n">
        <f aca="false">IF(ISBLANK($A21),"NO_CODE",VLOOKUP($A21,'UPD Questions_290926 '!$E$1:$N$300,MATCH(H$1,'UPD Questions_290926 '!$E$1:$N$1,0),0))</f>
        <v>10</v>
      </c>
      <c r="I21" s="83" t="str">
        <f aca="false">IF(OR(I22="ER",I23="ER"),"ER",IF(OR(I22="?",I23="?"),"?",IF(AND(I22="NA",I23="NA"),"NA",SUM(I22,I23)/((I22&lt;&gt;"NA")*$H$22+(I23&lt;&gt;"NA")*$H$23)*$H21)))</f>
        <v>?</v>
      </c>
      <c r="J21" s="83" t="str">
        <f aca="false">IF(OR(J22="ER",J23="ER"),"ER",IF(OR(J22="?",J23="?"),"?",IF(AND(J22="NA",J23="NA"),"NA",SUM(J22,J23)/((J22&lt;&gt;"NA")*$H$22+(J23&lt;&gt;"NA")*$H$23)*$H21)))</f>
        <v>?</v>
      </c>
      <c r="K21" s="83" t="str">
        <f aca="false">IF(OR(K22="ER",K23="ER"),"ER",IF(OR(K22="?",K23="?"),"?",IF(AND(K22="NA",K23="NA"),"NA",SUM(K22,K23)/((K22&lt;&gt;"NA")*$H$22+(K23&lt;&gt;"NA")*$H$23)*$H21)))</f>
        <v>?</v>
      </c>
      <c r="L21" s="83" t="str">
        <f aca="false">IF(OR(L22="ER",L23="ER"),"ER",IF(OR(L22="?",L23="?"),"?",IF(AND(L22="NA",L23="NA"),"NA",SUM(L22,L23)/((L22&lt;&gt;"NA")*$H$22+(L23&lt;&gt;"NA")*$H$23)*$H21)))</f>
        <v>?</v>
      </c>
      <c r="M21" s="83" t="str">
        <f aca="false">IF(OR(M22="ER",M23="ER"),"ER",IF(OR(M22="?",M23="?"),"?",IF(AND(M22="NA",M23="NA"),"NA",SUM(M22,M23)/((M22&lt;&gt;"NA")*$H$22+(M23&lt;&gt;"NA")*$H$23)*$H21)))</f>
        <v>?</v>
      </c>
      <c r="N21" s="83" t="str">
        <f aca="false">IF(OR(N22="ER",N23="ER"),"ER",IF(OR(N22="?",N23="?"),"?",IF(AND(N22="NA",N23="NA"),"NA",SUM(N22,N23)/((N22&lt;&gt;"NA")*$H$22+(N23&lt;&gt;"NA")*$H$23)*$H21)))</f>
        <v>?</v>
      </c>
      <c r="O21" s="83" t="str">
        <f aca="false">IF(OR(O22="ER",O23="ER"),"ER",IF(OR(O22="?",O23="?"),"?",IF(AND(O22="NA",O23="NA"),"NA",SUM(O22,O23)/((O22&lt;&gt;"NA")*$H$22+(O23&lt;&gt;"NA")*$H$23)*$H21)))</f>
        <v>?</v>
      </c>
      <c r="P21" s="83" t="str">
        <f aca="false">IF(OR(P22="ER",P23="ER"),"ER",IF(OR(P22="?",P23="?"),"?",IF(AND(P22="NA",P23="NA"),"NA",SUM(P22,P23)/((P22&lt;&gt;"NA")*$H$22+(P23&lt;&gt;"NA")*$H$23)*$H21)))</f>
        <v>?</v>
      </c>
      <c r="Q21" s="83" t="str">
        <f aca="false">IF(OR(Q22="ER",Q23="ER"),"ER",IF(OR(Q22="?",Q23="?"),"?",IF(AND(Q22="NA",Q23="NA"),"NA",SUM(Q22,Q23)/((Q22&lt;&gt;"NA")*$H$22+(Q23&lt;&gt;"NA")*$H$23)*$H21)))</f>
        <v>?</v>
      </c>
      <c r="R21" s="83" t="str">
        <f aca="false">IF(OR(R22="ER",R23="ER"),"ER",IF(OR(R22="?",R23="?"),"?",IF(AND(R22="NA",R23="NA"),"NA",SUM(R22,R23)/((R22&lt;&gt;"NA")*$H$22+(R23&lt;&gt;"NA")*$H$23)*$H21)))</f>
        <v>?</v>
      </c>
      <c r="S21" s="83" t="str">
        <f aca="false">IF(OR(S22="ER",S23="ER"),"ER",IF(OR(S22="?",S23="?"),"?",IF(AND(S22="NA",S23="NA"),"NA",SUM(S22,S23)/((S22&lt;&gt;"NA")*$H$22+(S23&lt;&gt;"NA")*$H$23)*$H21)))</f>
        <v>?</v>
      </c>
      <c r="T21" s="83" t="str">
        <f aca="false">IF(OR(T22="ER",T23="ER"),"ER",IF(OR(T22="?",T23="?"),"?",IF(AND(T22="NA",T23="NA"),"NA",SUM(T22,T23)/((T22&lt;&gt;"NA")*$H$22+(T23&lt;&gt;"NA")*$H$23)*$H21)))</f>
        <v>?</v>
      </c>
      <c r="U21" s="83" t="str">
        <f aca="false">IF(OR(U22="ER",U23="ER"),"ER",IF(OR(U22="?",U23="?"),"?",IF(AND(U22="NA",U23="NA"),"NA",SUM(U22,U23)/((U22&lt;&gt;"NA")*$H$22+(U23&lt;&gt;"NA")*$H$23)*$H21)))</f>
        <v>?</v>
      </c>
      <c r="V21" s="83" t="str">
        <f aca="false">IF(OR(V22="ER",V23="ER"),"ER",IF(OR(V22="?",V23="?"),"?",IF(AND(V22="NA",V23="NA"),"NA",SUM(V22,V23)/((V22&lt;&gt;"NA")*$H$22+(V23&lt;&gt;"NA")*$H$23)*$H21)))</f>
        <v>?</v>
      </c>
      <c r="W21" s="83" t="str">
        <f aca="false">IF(OR(W22="ER",W23="ER"),"ER",IF(OR(W22="?",W23="?"),"?",IF(AND(W22="NA",W23="NA"),"NA",SUM(W22,W23)/((W22&lt;&gt;"NA")*$H$22+(W23&lt;&gt;"NA")*$H$23)*$H21)))</f>
        <v>?</v>
      </c>
      <c r="X21" s="83" t="str">
        <f aca="false">IF(OR(X22="ER",X23="ER"),"ER",IF(OR(X22="?",X23="?"),"?",IF(AND(X22="NA",X23="NA"),"NA",SUM(X22,X23)/((X22&lt;&gt;"NA")*$H$22+(X23&lt;&gt;"NA")*$H$23)*$H21)))</f>
        <v>?</v>
      </c>
      <c r="Y21" s="83" t="str">
        <f aca="false">IF(OR(Y22="ER",Y23="ER"),"ER",IF(OR(Y22="?",Y23="?"),"?",IF(AND(Y22="NA",Y23="NA"),"NA",SUM(Y22,Y23)/((Y22&lt;&gt;"NA")*$H$22+(Y23&lt;&gt;"NA")*$H$23)*$H21)))</f>
        <v>?</v>
      </c>
      <c r="Z21" s="83" t="str">
        <f aca="false">IF(OR(Z22="ER",Z23="ER"),"ER",IF(OR(Z22="?",Z23="?"),"?",IF(AND(Z22="NA",Z23="NA"),"NA",SUM(Z22,Z23)/((Z22&lt;&gt;"NA")*$H$22+(Z23&lt;&gt;"NA")*$H$23)*$H21)))</f>
        <v>?</v>
      </c>
      <c r="AA21" s="83" t="str">
        <f aca="false">IF(OR(AA22="ER",AA23="ER"),"ER",IF(OR(AA22="?",AA23="?"),"?",IF(AND(AA22="NA",AA23="NA"),"NA",SUM(AA22,AA23)/((AA22&lt;&gt;"NA")*$H$22+(AA23&lt;&gt;"NA")*$H$23)*$H21)))</f>
        <v>?</v>
      </c>
      <c r="AB21" s="83" t="str">
        <f aca="false">IF(OR(AB22="ER",AB23="ER"),"ER",IF(OR(AB22="?",AB23="?"),"?",IF(AND(AB22="NA",AB23="NA"),"NA",SUM(AB22,AB23)/((AB22&lt;&gt;"NA")*$H$22+(AB23&lt;&gt;"NA")*$H$23)*$H21)))</f>
        <v>?</v>
      </c>
      <c r="AC21" s="83" t="str">
        <f aca="false">IF(OR(AC22="ER",AC23="ER"),"ER",IF(OR(AC22="?",AC23="?"),"?",IF(AND(AC22="NA",AC23="NA"),"NA",SUM(AC22,AC23)/((AC22&lt;&gt;"NA")*$H$22+(AC23&lt;&gt;"NA")*$H$23)*$H21)))</f>
        <v>?</v>
      </c>
      <c r="AD21" s="83" t="str">
        <f aca="false">IF(OR(AD22="ER",AD23="ER"),"ER",IF(OR(AD22="?",AD23="?"),"?",IF(AND(AD22="NA",AD23="NA"),"NA",SUM(AD22,AD23)/((AD22&lt;&gt;"NA")*$H$22+(AD23&lt;&gt;"NA")*$H$23)*$H21)))</f>
        <v>?</v>
      </c>
      <c r="AE21" s="83" t="str">
        <f aca="false">IF(OR(AE22="ER",AE23="ER"),"ER",IF(OR(AE22="?",AE23="?"),"?",IF(AND(AE22="NA",AE23="NA"),"NA",SUM(AE22,AE23)/((AE22&lt;&gt;"NA")*$H$22+(AE23&lt;&gt;"NA")*$H$23)*$H21)))</f>
        <v>?</v>
      </c>
      <c r="AF21" s="83" t="str">
        <f aca="false">IF(OR(AF22="ER",AF23="ER"),"ER",IF(OR(AF22="?",AF23="?"),"?",IF(AND(AF22="NA",AF23="NA"),"NA",SUM(AF22,AF23)/((AF22&lt;&gt;"NA")*$H$22+(AF23&lt;&gt;"NA")*$H$23)*$H21)))</f>
        <v>?</v>
      </c>
      <c r="AG21" s="83" t="str">
        <f aca="false">IF(OR(AG22="ER",AG23="ER"),"ER",IF(OR(AG22="?",AG23="?"),"?",IF(AND(AG22="NA",AG23="NA"),"NA",SUM(AG22,AG23)/((AG22&lt;&gt;"NA")*$H$22+(AG23&lt;&gt;"NA")*$H$23)*$H21)))</f>
        <v>?</v>
      </c>
      <c r="AH21" s="83" t="str">
        <f aca="false">IF(OR(AH22="ER",AH23="ER"),"ER",IF(OR(AH22="?",AH23="?"),"?",IF(AND(AH22="NA",AH23="NA"),"NA",SUM(AH22,AH23)/((AH22&lt;&gt;"NA")*$H$22+(AH23&lt;&gt;"NA")*$H$23)*$H21)))</f>
        <v>?</v>
      </c>
      <c r="AI21" s="83" t="str">
        <f aca="false">IF(OR(AI22="ER",AI23="ER"),"ER",IF(OR(AI22="?",AI23="?"),"?",IF(AND(AI22="NA",AI23="NA"),"NA",SUM(AI22,AI23)/((AI22&lt;&gt;"NA")*$H$22+(AI23&lt;&gt;"NA")*$H$23)*$H21)))</f>
        <v>?</v>
      </c>
      <c r="AJ21" s="83" t="str">
        <f aca="false">IF(OR(AJ22="ER",AJ23="ER"),"ER",IF(OR(AJ22="?",AJ23="?"),"?",IF(AND(AJ22="NA",AJ23="NA"),"NA",SUM(AJ22,AJ23)/((AJ22&lt;&gt;"NA")*$H$22+(AJ23&lt;&gt;"NA")*$H$23)*$H21)))</f>
        <v>?</v>
      </c>
      <c r="AK21" s="83" t="str">
        <f aca="false">IF(OR(AK22="ER",AK23="ER"),"ER",IF(OR(AK22="?",AK23="?"),"?",IF(AND(AK22="NA",AK23="NA"),"NA",SUM(AK22,AK23)/((AK22&lt;&gt;"NA")*$H$22+(AK23&lt;&gt;"NA")*$H$23)*$H21)))</f>
        <v>?</v>
      </c>
    </row>
    <row r="22" customFormat="false" ht="14.25" hidden="false" customHeight="false" outlineLevel="0" collapsed="false">
      <c r="A22" s="79" t="s">
        <v>104</v>
      </c>
      <c r="B22" s="80" t="str">
        <f aca="false">IF(ISBLANK($A22),"NO_CODE",VLOOKUP($A22,'UPD Questions_290926 '!$E$1:$N$300,MATCH(B$1,'UPD Questions_290926 '!$E$1:$N$1,0),0)&amp;"")</f>
        <v>Planning </v>
      </c>
      <c r="C22" s="80" t="str">
        <f aca="false">IF(ISBLANK($A22),"NO_CODE",VLOOKUP($A22,'UPD Questions_290926 '!$E$1:$N$300,MATCH(C$1,'UPD Questions_290926 '!$E$1:$N$1,0),0)&amp;"")</f>
        <v>Municipal/City Plan preparation, participation and review</v>
      </c>
      <c r="D22" s="80" t="str">
        <f aca="false">IF(ISBLANK($A22),"NO_CODE",VLOOKUP($A22,'UPD Questions_290926 '!$E$1:$N$300,MATCH(D$1,'UPD Questions_290926 '!$E$1:$N$1,0),0)&amp;"")</f>
        <v>Public participation and scrutiny</v>
      </c>
      <c r="E22" s="80" t="str">
        <f aca="false">IF(ISBLANK($A22),"NO_CODE",VLOOKUP($A22,'UPD Questions_290926 '!$E$1:$N$300,MATCH(E$1,'UPD Questions_290926 '!$E$1:$N$1,0),0)&amp;"")</f>
        <v>SQ</v>
      </c>
      <c r="F22" s="80" t="str">
        <f aca="false">IF(ISBLANK($A22),"NO_CODE",VLOOKUP($A22,'UPD Questions_290926 '!$E$1:$N$300,MATCH(F$1,'UPD Questions_290926 '!$E$1:$N$1,0),0)&amp;"")</f>
        <v>Does the law mandate public scrutiny for (including objections and responses) municipal/city plan through Area Sabhas / Ward Sabhas and other means?</v>
      </c>
      <c r="G22" s="80" t="str">
        <f aca="false">IF(ISBLANK($A22),"NO_CODE",VLOOKUP($A22,'UPD Questions_290926 '!$E$1:$N$300,MATCH(G$1,'UPD Questions_290926 '!$E$1:$N$1,0),0)&amp;"")</f>
        <v>Law/Policy</v>
      </c>
      <c r="H22" s="82" t="n">
        <f aca="false">IF(ISBLANK($A22),"NO_CODE",VLOOKUP($A22,'UPD Questions_290926 '!$E$1:$N$300,MATCH(H$1,'UPD Questions_290926 '!$E$1:$N$1,0),0))</f>
        <v>5</v>
      </c>
      <c r="I22" s="83" t="str">
        <f aca="true">IF($H22=0,"NA",IF($A22=INDIRECT("'"&amp;$A22&amp;"'!$B$1"),IF(VLOOKUP(I$1,INDIRECT("'"&amp;$A22&amp;"'!$A$12:$Z$41"),MATCH("Points (Auto-generate)",INDIRECT("'"&amp;$A22&amp;"'!$A$12:$Z$12"),0),0)="","?",VLOOKUP(I$1,INDIRECT("'"&amp;$A22&amp;"'!$A$12:$Z$41"),MATCH("Points (Auto-generate)",INDIRECT("'"&amp;$A22&amp;"'!$A$12:$Z$12"),0),0)),"ER"))</f>
        <v>?</v>
      </c>
      <c r="J22" s="83" t="str">
        <f aca="true">IF($H22=0,"NA",IF($A22=INDIRECT("'"&amp;$A22&amp;"'!$B$1"),IF(VLOOKUP(J$1,INDIRECT("'"&amp;$A22&amp;"'!$A$12:$Z$41"),MATCH("Points (Auto-generate)",INDIRECT("'"&amp;$A22&amp;"'!$A$12:$Z$12"),0),0)="","?",VLOOKUP(J$1,INDIRECT("'"&amp;$A22&amp;"'!$A$12:$Z$41"),MATCH("Points (Auto-generate)",INDIRECT("'"&amp;$A22&amp;"'!$A$12:$Z$12"),0),0)),"ER"))</f>
        <v>?</v>
      </c>
      <c r="K22" s="83" t="str">
        <f aca="true">IF($H22=0,"NA",IF($A22=INDIRECT("'"&amp;$A22&amp;"'!$B$1"),IF(VLOOKUP(K$1,INDIRECT("'"&amp;$A22&amp;"'!$A$12:$Z$41"),MATCH("Points (Auto-generate)",INDIRECT("'"&amp;$A22&amp;"'!$A$12:$Z$12"),0),0)="","?",VLOOKUP(K$1,INDIRECT("'"&amp;$A22&amp;"'!$A$12:$Z$41"),MATCH("Points (Auto-generate)",INDIRECT("'"&amp;$A22&amp;"'!$A$12:$Z$12"),0),0)),"ER"))</f>
        <v>?</v>
      </c>
      <c r="L22" s="83" t="str">
        <f aca="true">IF($H22=0,"NA",IF($A22=INDIRECT("'"&amp;$A22&amp;"'!$B$1"),IF(VLOOKUP(L$1,INDIRECT("'"&amp;$A22&amp;"'!$A$12:$Z$41"),MATCH("Points (Auto-generate)",INDIRECT("'"&amp;$A22&amp;"'!$A$12:$Z$12"),0),0)="","?",VLOOKUP(L$1,INDIRECT("'"&amp;$A22&amp;"'!$A$12:$Z$41"),MATCH("Points (Auto-generate)",INDIRECT("'"&amp;$A22&amp;"'!$A$12:$Z$12"),0),0)),"ER"))</f>
        <v>?</v>
      </c>
      <c r="M22" s="83" t="str">
        <f aca="true">IF($H22=0,"NA",IF($A22=INDIRECT("'"&amp;$A22&amp;"'!$B$1"),IF(VLOOKUP(M$1,INDIRECT("'"&amp;$A22&amp;"'!$A$12:$Z$41"),MATCH("Points (Auto-generate)",INDIRECT("'"&amp;$A22&amp;"'!$A$12:$Z$12"),0),0)="","?",VLOOKUP(M$1,INDIRECT("'"&amp;$A22&amp;"'!$A$12:$Z$41"),MATCH("Points (Auto-generate)",INDIRECT("'"&amp;$A22&amp;"'!$A$12:$Z$12"),0),0)),"ER"))</f>
        <v>?</v>
      </c>
      <c r="N22" s="83" t="str">
        <f aca="true">IF($H22=0,"NA",IF($A22=INDIRECT("'"&amp;$A22&amp;"'!$B$1"),IF(VLOOKUP(N$1,INDIRECT("'"&amp;$A22&amp;"'!$A$12:$Z$41"),MATCH("Points (Auto-generate)",INDIRECT("'"&amp;$A22&amp;"'!$A$12:$Z$12"),0),0)="","?",VLOOKUP(N$1,INDIRECT("'"&amp;$A22&amp;"'!$A$12:$Z$41"),MATCH("Points (Auto-generate)",INDIRECT("'"&amp;$A22&amp;"'!$A$12:$Z$12"),0),0)),"ER"))</f>
        <v>?</v>
      </c>
      <c r="O22" s="83" t="str">
        <f aca="true">IF($H22=0,"NA",IF($A22=INDIRECT("'"&amp;$A22&amp;"'!$B$1"),IF(VLOOKUP(O$1,INDIRECT("'"&amp;$A22&amp;"'!$A$12:$Z$41"),MATCH("Points (Auto-generate)",INDIRECT("'"&amp;$A22&amp;"'!$A$12:$Z$12"),0),0)="","?",VLOOKUP(O$1,INDIRECT("'"&amp;$A22&amp;"'!$A$12:$Z$41"),MATCH("Points (Auto-generate)",INDIRECT("'"&amp;$A22&amp;"'!$A$12:$Z$12"),0),0)),"ER"))</f>
        <v>?</v>
      </c>
      <c r="P22" s="83" t="str">
        <f aca="true">IF($H22=0,"NA",IF($A22=INDIRECT("'"&amp;$A22&amp;"'!$B$1"),IF(VLOOKUP(P$1,INDIRECT("'"&amp;$A22&amp;"'!$A$12:$Z$41"),MATCH("Points (Auto-generate)",INDIRECT("'"&amp;$A22&amp;"'!$A$12:$Z$12"),0),0)="","?",VLOOKUP(P$1,INDIRECT("'"&amp;$A22&amp;"'!$A$12:$Z$41"),MATCH("Points (Auto-generate)",INDIRECT("'"&amp;$A22&amp;"'!$A$12:$Z$12"),0),0)),"ER"))</f>
        <v>?</v>
      </c>
      <c r="Q22" s="83" t="str">
        <f aca="true">IF($H22=0,"NA",IF($A22=INDIRECT("'"&amp;$A22&amp;"'!$B$1"),IF(VLOOKUP(Q$1,INDIRECT("'"&amp;$A22&amp;"'!$A$12:$Z$41"),MATCH("Points (Auto-generate)",INDIRECT("'"&amp;$A22&amp;"'!$A$12:$Z$12"),0),0)="","?",VLOOKUP(Q$1,INDIRECT("'"&amp;$A22&amp;"'!$A$12:$Z$41"),MATCH("Points (Auto-generate)",INDIRECT("'"&amp;$A22&amp;"'!$A$12:$Z$12"),0),0)),"ER"))</f>
        <v>?</v>
      </c>
      <c r="R22" s="83" t="str">
        <f aca="true">IF($H22=0,"NA",IF($A22=INDIRECT("'"&amp;$A22&amp;"'!$B$1"),IF(VLOOKUP(R$1,INDIRECT("'"&amp;$A22&amp;"'!$A$12:$Z$41"),MATCH("Points (Auto-generate)",INDIRECT("'"&amp;$A22&amp;"'!$A$12:$Z$12"),0),0)="","?",VLOOKUP(R$1,INDIRECT("'"&amp;$A22&amp;"'!$A$12:$Z$41"),MATCH("Points (Auto-generate)",INDIRECT("'"&amp;$A22&amp;"'!$A$12:$Z$12"),0),0)),"ER"))</f>
        <v>?</v>
      </c>
      <c r="S22" s="83" t="str">
        <f aca="true">IF($H22=0,"NA",IF($A22=INDIRECT("'"&amp;$A22&amp;"'!$B$1"),IF(VLOOKUP(S$1,INDIRECT("'"&amp;$A22&amp;"'!$A$12:$Z$41"),MATCH("Points (Auto-generate)",INDIRECT("'"&amp;$A22&amp;"'!$A$12:$Z$12"),0),0)="","?",VLOOKUP(S$1,INDIRECT("'"&amp;$A22&amp;"'!$A$12:$Z$41"),MATCH("Points (Auto-generate)",INDIRECT("'"&amp;$A22&amp;"'!$A$12:$Z$12"),0),0)),"ER"))</f>
        <v>?</v>
      </c>
      <c r="T22" s="83" t="str">
        <f aca="true">IF($H22=0,"NA",IF($A22=INDIRECT("'"&amp;$A22&amp;"'!$B$1"),IF(VLOOKUP(T$1,INDIRECT("'"&amp;$A22&amp;"'!$A$12:$Z$41"),MATCH("Points (Auto-generate)",INDIRECT("'"&amp;$A22&amp;"'!$A$12:$Z$12"),0),0)="","?",VLOOKUP(T$1,INDIRECT("'"&amp;$A22&amp;"'!$A$12:$Z$41"),MATCH("Points (Auto-generate)",INDIRECT("'"&amp;$A22&amp;"'!$A$12:$Z$12"),0),0)),"ER"))</f>
        <v>?</v>
      </c>
      <c r="U22" s="83" t="str">
        <f aca="true">IF($H22=0,"NA",IF($A22=INDIRECT("'"&amp;$A22&amp;"'!$B$1"),IF(VLOOKUP(U$1,INDIRECT("'"&amp;$A22&amp;"'!$A$12:$Z$41"),MATCH("Points (Auto-generate)",INDIRECT("'"&amp;$A22&amp;"'!$A$12:$Z$12"),0),0)="","?",VLOOKUP(U$1,INDIRECT("'"&amp;$A22&amp;"'!$A$12:$Z$41"),MATCH("Points (Auto-generate)",INDIRECT("'"&amp;$A22&amp;"'!$A$12:$Z$12"),0),0)),"ER"))</f>
        <v>?</v>
      </c>
      <c r="V22" s="83" t="str">
        <f aca="true">IF($H22=0,"NA",IF($A22=INDIRECT("'"&amp;$A22&amp;"'!$B$1"),IF(VLOOKUP(V$1,INDIRECT("'"&amp;$A22&amp;"'!$A$12:$Z$41"),MATCH("Points (Auto-generate)",INDIRECT("'"&amp;$A22&amp;"'!$A$12:$Z$12"),0),0)="","?",VLOOKUP(V$1,INDIRECT("'"&amp;$A22&amp;"'!$A$12:$Z$41"),MATCH("Points (Auto-generate)",INDIRECT("'"&amp;$A22&amp;"'!$A$12:$Z$12"),0),0)),"ER"))</f>
        <v>?</v>
      </c>
      <c r="W22" s="83" t="str">
        <f aca="true">IF($H22=0,"NA",IF($A22=INDIRECT("'"&amp;$A22&amp;"'!$B$1"),IF(VLOOKUP(W$1,INDIRECT("'"&amp;$A22&amp;"'!$A$12:$Z$41"),MATCH("Points (Auto-generate)",INDIRECT("'"&amp;$A22&amp;"'!$A$12:$Z$12"),0),0)="","?",VLOOKUP(W$1,INDIRECT("'"&amp;$A22&amp;"'!$A$12:$Z$41"),MATCH("Points (Auto-generate)",INDIRECT("'"&amp;$A22&amp;"'!$A$12:$Z$12"),0),0)),"ER"))</f>
        <v>?</v>
      </c>
      <c r="X22" s="83" t="str">
        <f aca="true">IF($H22=0,"NA",IF($A22=INDIRECT("'"&amp;$A22&amp;"'!$B$1"),IF(VLOOKUP(X$1,INDIRECT("'"&amp;$A22&amp;"'!$A$12:$Z$41"),MATCH("Points (Auto-generate)",INDIRECT("'"&amp;$A22&amp;"'!$A$12:$Z$12"),0),0)="","?",VLOOKUP(X$1,INDIRECT("'"&amp;$A22&amp;"'!$A$12:$Z$41"),MATCH("Points (Auto-generate)",INDIRECT("'"&amp;$A22&amp;"'!$A$12:$Z$12"),0),0)),"ER"))</f>
        <v>?</v>
      </c>
      <c r="Y22" s="83" t="str">
        <f aca="true">IF($H22=0,"NA",IF($A22=INDIRECT("'"&amp;$A22&amp;"'!$B$1"),IF(VLOOKUP(Y$1,INDIRECT("'"&amp;$A22&amp;"'!$A$12:$Z$41"),MATCH("Points (Auto-generate)",INDIRECT("'"&amp;$A22&amp;"'!$A$12:$Z$12"),0),0)="","?",VLOOKUP(Y$1,INDIRECT("'"&amp;$A22&amp;"'!$A$12:$Z$41"),MATCH("Points (Auto-generate)",INDIRECT("'"&amp;$A22&amp;"'!$A$12:$Z$12"),0),0)),"ER"))</f>
        <v>?</v>
      </c>
      <c r="Z22" s="83" t="str">
        <f aca="true">IF($H22=0,"NA",IF($A22=INDIRECT("'"&amp;$A22&amp;"'!$B$1"),IF(VLOOKUP(Z$1,INDIRECT("'"&amp;$A22&amp;"'!$A$12:$Z$41"),MATCH("Points (Auto-generate)",INDIRECT("'"&amp;$A22&amp;"'!$A$12:$Z$12"),0),0)="","?",VLOOKUP(Z$1,INDIRECT("'"&amp;$A22&amp;"'!$A$12:$Z$41"),MATCH("Points (Auto-generate)",INDIRECT("'"&amp;$A22&amp;"'!$A$12:$Z$12"),0),0)),"ER"))</f>
        <v>?</v>
      </c>
      <c r="AA22" s="83" t="str">
        <f aca="true">IF($H22=0,"NA",IF($A22=INDIRECT("'"&amp;$A22&amp;"'!$B$1"),IF(VLOOKUP(AA$1,INDIRECT("'"&amp;$A22&amp;"'!$A$12:$Z$41"),MATCH("Points (Auto-generate)",INDIRECT("'"&amp;$A22&amp;"'!$A$12:$Z$12"),0),0)="","?",VLOOKUP(AA$1,INDIRECT("'"&amp;$A22&amp;"'!$A$12:$Z$41"),MATCH("Points (Auto-generate)",INDIRECT("'"&amp;$A22&amp;"'!$A$12:$Z$12"),0),0)),"ER"))</f>
        <v>?</v>
      </c>
      <c r="AB22" s="83" t="str">
        <f aca="true">IF($H22=0,"NA",IF($A22=INDIRECT("'"&amp;$A22&amp;"'!$B$1"),IF(VLOOKUP(AB$1,INDIRECT("'"&amp;$A22&amp;"'!$A$12:$Z$41"),MATCH("Points (Auto-generate)",INDIRECT("'"&amp;$A22&amp;"'!$A$12:$Z$12"),0),0)="","?",VLOOKUP(AB$1,INDIRECT("'"&amp;$A22&amp;"'!$A$12:$Z$41"),MATCH("Points (Auto-generate)",INDIRECT("'"&amp;$A22&amp;"'!$A$12:$Z$12"),0),0)),"ER"))</f>
        <v>?</v>
      </c>
      <c r="AC22" s="83" t="str">
        <f aca="true">IF($H22=0,"NA",IF($A22=INDIRECT("'"&amp;$A22&amp;"'!$B$1"),IF(VLOOKUP(AC$1,INDIRECT("'"&amp;$A22&amp;"'!$A$12:$Z$41"),MATCH("Points (Auto-generate)",INDIRECT("'"&amp;$A22&amp;"'!$A$12:$Z$12"),0),0)="","?",VLOOKUP(AC$1,INDIRECT("'"&amp;$A22&amp;"'!$A$12:$Z$41"),MATCH("Points (Auto-generate)",INDIRECT("'"&amp;$A22&amp;"'!$A$12:$Z$12"),0),0)),"ER"))</f>
        <v>?</v>
      </c>
      <c r="AD22" s="83" t="str">
        <f aca="true">IF($H22=0,"NA",IF($A22=INDIRECT("'"&amp;$A22&amp;"'!$B$1"),IF(VLOOKUP(AD$1,INDIRECT("'"&amp;$A22&amp;"'!$A$12:$Z$41"),MATCH("Points (Auto-generate)",INDIRECT("'"&amp;$A22&amp;"'!$A$12:$Z$12"),0),0)="","?",VLOOKUP(AD$1,INDIRECT("'"&amp;$A22&amp;"'!$A$12:$Z$41"),MATCH("Points (Auto-generate)",INDIRECT("'"&amp;$A22&amp;"'!$A$12:$Z$12"),0),0)),"ER"))</f>
        <v>?</v>
      </c>
      <c r="AE22" s="83" t="str">
        <f aca="true">IF($H22=0,"NA",IF($A22=INDIRECT("'"&amp;$A22&amp;"'!$B$1"),IF(VLOOKUP(AE$1,INDIRECT("'"&amp;$A22&amp;"'!$A$12:$Z$41"),MATCH("Points (Auto-generate)",INDIRECT("'"&amp;$A22&amp;"'!$A$12:$Z$12"),0),0)="","?",VLOOKUP(AE$1,INDIRECT("'"&amp;$A22&amp;"'!$A$12:$Z$41"),MATCH("Points (Auto-generate)",INDIRECT("'"&amp;$A22&amp;"'!$A$12:$Z$12"),0),0)),"ER"))</f>
        <v>?</v>
      </c>
      <c r="AF22" s="83" t="str">
        <f aca="true">IF($H22=0,"NA",IF($A22=INDIRECT("'"&amp;$A22&amp;"'!$B$1"),IF(VLOOKUP(AF$1,INDIRECT("'"&amp;$A22&amp;"'!$A$12:$Z$41"),MATCH("Points (Auto-generate)",INDIRECT("'"&amp;$A22&amp;"'!$A$12:$Z$12"),0),0)="","?",VLOOKUP(AF$1,INDIRECT("'"&amp;$A22&amp;"'!$A$12:$Z$41"),MATCH("Points (Auto-generate)",INDIRECT("'"&amp;$A22&amp;"'!$A$12:$Z$12"),0),0)),"ER"))</f>
        <v>?</v>
      </c>
      <c r="AG22" s="83" t="str">
        <f aca="true">IF($H22=0,"NA",IF($A22=INDIRECT("'"&amp;$A22&amp;"'!$B$1"),IF(VLOOKUP(AG$1,INDIRECT("'"&amp;$A22&amp;"'!$A$12:$Z$41"),MATCH("Points (Auto-generate)",INDIRECT("'"&amp;$A22&amp;"'!$A$12:$Z$12"),0),0)="","?",VLOOKUP(AG$1,INDIRECT("'"&amp;$A22&amp;"'!$A$12:$Z$41"),MATCH("Points (Auto-generate)",INDIRECT("'"&amp;$A22&amp;"'!$A$12:$Z$12"),0),0)),"ER"))</f>
        <v>?</v>
      </c>
      <c r="AH22" s="83" t="str">
        <f aca="true">IF($H22=0,"NA",IF($A22=INDIRECT("'"&amp;$A22&amp;"'!$B$1"),IF(VLOOKUP(AH$1,INDIRECT("'"&amp;$A22&amp;"'!$A$12:$Z$41"),MATCH("Points (Auto-generate)",INDIRECT("'"&amp;$A22&amp;"'!$A$12:$Z$12"),0),0)="","?",VLOOKUP(AH$1,INDIRECT("'"&amp;$A22&amp;"'!$A$12:$Z$41"),MATCH("Points (Auto-generate)",INDIRECT("'"&amp;$A22&amp;"'!$A$12:$Z$12"),0),0)),"ER"))</f>
        <v>?</v>
      </c>
      <c r="AI22" s="83" t="str">
        <f aca="true">IF($H22=0,"NA",IF($A22=INDIRECT("'"&amp;$A22&amp;"'!$B$1"),IF(VLOOKUP(AI$1,INDIRECT("'"&amp;$A22&amp;"'!$A$12:$Z$41"),MATCH("Points (Auto-generate)",INDIRECT("'"&amp;$A22&amp;"'!$A$12:$Z$12"),0),0)="","?",VLOOKUP(AI$1,INDIRECT("'"&amp;$A22&amp;"'!$A$12:$Z$41"),MATCH("Points (Auto-generate)",INDIRECT("'"&amp;$A22&amp;"'!$A$12:$Z$12"),0),0)),"ER"))</f>
        <v>?</v>
      </c>
      <c r="AJ22" s="83" t="str">
        <f aca="true">IF($H22=0,"NA",IF($A22=INDIRECT("'"&amp;$A22&amp;"'!$B$1"),IF(VLOOKUP(AJ$1,INDIRECT("'"&amp;$A22&amp;"'!$A$12:$Z$41"),MATCH("Points (Auto-generate)",INDIRECT("'"&amp;$A22&amp;"'!$A$12:$Z$12"),0),0)="","?",VLOOKUP(AJ$1,INDIRECT("'"&amp;$A22&amp;"'!$A$12:$Z$41"),MATCH("Points (Auto-generate)",INDIRECT("'"&amp;$A22&amp;"'!$A$12:$Z$12"),0),0)),"ER"))</f>
        <v>?</v>
      </c>
      <c r="AK22" s="83" t="str">
        <f aca="true">IF($H22=0,"NA",IF($A22=INDIRECT("'"&amp;$A22&amp;"'!$B$1"),IF(VLOOKUP(AK$1,INDIRECT("'"&amp;$A22&amp;"'!$A$12:$Z$41"),MATCH("Points (Auto-generate)",INDIRECT("'"&amp;$A22&amp;"'!$A$12:$Z$12"),0),0)="","?",VLOOKUP(AK$1,INDIRECT("'"&amp;$A22&amp;"'!$A$12:$Z$41"),MATCH("Points (Auto-generate)",INDIRECT("'"&amp;$A22&amp;"'!$A$12:$Z$12"),0),0)),"ER"))</f>
        <v>?</v>
      </c>
    </row>
    <row r="23" customFormat="false" ht="14.25" hidden="false" customHeight="false" outlineLevel="0" collapsed="false">
      <c r="A23" s="79" t="s">
        <v>108</v>
      </c>
      <c r="B23" s="80" t="str">
        <f aca="false">IF(ISBLANK($A23),"NO_CODE",VLOOKUP($A23,'UPD Questions_290926 '!$E$1:$N$300,MATCH(B$1,'UPD Questions_290926 '!$E$1:$N$1,0),0)&amp;"")</f>
        <v>Planning </v>
      </c>
      <c r="C23" s="80" t="str">
        <f aca="false">IF(ISBLANK($A23),"NO_CODE",VLOOKUP($A23,'UPD Questions_290926 '!$E$1:$N$300,MATCH(C$1,'UPD Questions_290926 '!$E$1:$N$1,0),0)&amp;"")</f>
        <v>Municipal/City Plan preparation, participation and review</v>
      </c>
      <c r="D23" s="80" t="str">
        <f aca="false">IF(ISBLANK($A23),"NO_CODE",VLOOKUP($A23,'UPD Questions_290926 '!$E$1:$N$300,MATCH(D$1,'UPD Questions_290926 '!$E$1:$N$1,0),0)&amp;"")</f>
        <v>Public participation and scrutiny</v>
      </c>
      <c r="E23" s="80" t="str">
        <f aca="false">IF(ISBLANK($A23),"NO_CODE",VLOOKUP($A23,'UPD Questions_290926 '!$E$1:$N$300,MATCH(E$1,'UPD Questions_290926 '!$E$1:$N$1,0),0)&amp;"")</f>
        <v>SQ</v>
      </c>
      <c r="F23" s="80" t="str">
        <f aca="false">IF(ISBLANK($A23),"NO_CODE",VLOOKUP($A23,'UPD Questions_290926 '!$E$1:$N$300,MATCH(F$1,'UPD Questions_290926 '!$E$1:$N$1,0),0)&amp;"")</f>
        <v>Was the public scrutiny undertaken for (including objections and responses) municipal/city plan?</v>
      </c>
      <c r="G23" s="80" t="str">
        <f aca="false">IF(ISBLANK($A23),"NO_CODE",VLOOKUP($A23,'UPD Questions_290926 '!$E$1:$N$300,MATCH(G$1,'UPD Questions_290926 '!$E$1:$N$1,0),0)&amp;"")</f>
        <v>Implementation</v>
      </c>
      <c r="H23" s="82" t="n">
        <f aca="false">IF(ISBLANK($A23),"NO_CODE",VLOOKUP($A23,'UPD Questions_290926 '!$E$1:$N$300,MATCH(H$1,'UPD Questions_290926 '!$E$1:$N$1,0),0))</f>
        <v>5</v>
      </c>
      <c r="I23" s="83" t="str">
        <f aca="true">IF($H23=0,"NA",IF($A23=INDIRECT("'"&amp;$A23&amp;"'!$B$1"),IF(VLOOKUP(I$1,INDIRECT("'"&amp;$A23&amp;"'!$A$12:$Z$41"),MATCH("Points (Auto-generate)",INDIRECT("'"&amp;$A23&amp;"'!$A$12:$Z$12"),0),0)="","?",VLOOKUP(I$1,INDIRECT("'"&amp;$A23&amp;"'!$A$12:$Z$41"),MATCH("Points (Auto-generate)",INDIRECT("'"&amp;$A23&amp;"'!$A$12:$Z$12"),0),0)),"ER"))</f>
        <v>?</v>
      </c>
      <c r="J23" s="83" t="str">
        <f aca="true">IF($H23=0,"NA",IF($A23=INDIRECT("'"&amp;$A23&amp;"'!$B$1"),IF(VLOOKUP(J$1,INDIRECT("'"&amp;$A23&amp;"'!$A$12:$Z$41"),MATCH("Points (Auto-generate)",INDIRECT("'"&amp;$A23&amp;"'!$A$12:$Z$12"),0),0)="","?",VLOOKUP(J$1,INDIRECT("'"&amp;$A23&amp;"'!$A$12:$Z$41"),MATCH("Points (Auto-generate)",INDIRECT("'"&amp;$A23&amp;"'!$A$12:$Z$12"),0),0)),"ER"))</f>
        <v>?</v>
      </c>
      <c r="K23" s="83" t="str">
        <f aca="true">IF($H23=0,"NA",IF($A23=INDIRECT("'"&amp;$A23&amp;"'!$B$1"),IF(VLOOKUP(K$1,INDIRECT("'"&amp;$A23&amp;"'!$A$12:$Z$41"),MATCH("Points (Auto-generate)",INDIRECT("'"&amp;$A23&amp;"'!$A$12:$Z$12"),0),0)="","?",VLOOKUP(K$1,INDIRECT("'"&amp;$A23&amp;"'!$A$12:$Z$41"),MATCH("Points (Auto-generate)",INDIRECT("'"&amp;$A23&amp;"'!$A$12:$Z$12"),0),0)),"ER"))</f>
        <v>?</v>
      </c>
      <c r="L23" s="83" t="str">
        <f aca="true">IF($H23=0,"NA",IF($A23=INDIRECT("'"&amp;$A23&amp;"'!$B$1"),IF(VLOOKUP(L$1,INDIRECT("'"&amp;$A23&amp;"'!$A$12:$Z$41"),MATCH("Points (Auto-generate)",INDIRECT("'"&amp;$A23&amp;"'!$A$12:$Z$12"),0),0)="","?",VLOOKUP(L$1,INDIRECT("'"&amp;$A23&amp;"'!$A$12:$Z$41"),MATCH("Points (Auto-generate)",INDIRECT("'"&amp;$A23&amp;"'!$A$12:$Z$12"),0),0)),"ER"))</f>
        <v>?</v>
      </c>
      <c r="M23" s="83" t="str">
        <f aca="true">IF($H23=0,"NA",IF($A23=INDIRECT("'"&amp;$A23&amp;"'!$B$1"),IF(VLOOKUP(M$1,INDIRECT("'"&amp;$A23&amp;"'!$A$12:$Z$41"),MATCH("Points (Auto-generate)",INDIRECT("'"&amp;$A23&amp;"'!$A$12:$Z$12"),0),0)="","?",VLOOKUP(M$1,INDIRECT("'"&amp;$A23&amp;"'!$A$12:$Z$41"),MATCH("Points (Auto-generate)",INDIRECT("'"&amp;$A23&amp;"'!$A$12:$Z$12"),0),0)),"ER"))</f>
        <v>?</v>
      </c>
      <c r="N23" s="83" t="str">
        <f aca="true">IF($H23=0,"NA",IF($A23=INDIRECT("'"&amp;$A23&amp;"'!$B$1"),IF(VLOOKUP(N$1,INDIRECT("'"&amp;$A23&amp;"'!$A$12:$Z$41"),MATCH("Points (Auto-generate)",INDIRECT("'"&amp;$A23&amp;"'!$A$12:$Z$12"),0),0)="","?",VLOOKUP(N$1,INDIRECT("'"&amp;$A23&amp;"'!$A$12:$Z$41"),MATCH("Points (Auto-generate)",INDIRECT("'"&amp;$A23&amp;"'!$A$12:$Z$12"),0),0)),"ER"))</f>
        <v>?</v>
      </c>
      <c r="O23" s="83" t="str">
        <f aca="true">IF($H23=0,"NA",IF($A23=INDIRECT("'"&amp;$A23&amp;"'!$B$1"),IF(VLOOKUP(O$1,INDIRECT("'"&amp;$A23&amp;"'!$A$12:$Z$41"),MATCH("Points (Auto-generate)",INDIRECT("'"&amp;$A23&amp;"'!$A$12:$Z$12"),0),0)="","?",VLOOKUP(O$1,INDIRECT("'"&amp;$A23&amp;"'!$A$12:$Z$41"),MATCH("Points (Auto-generate)",INDIRECT("'"&amp;$A23&amp;"'!$A$12:$Z$12"),0),0)),"ER"))</f>
        <v>?</v>
      </c>
      <c r="P23" s="83" t="str">
        <f aca="true">IF($H23=0,"NA",IF($A23=INDIRECT("'"&amp;$A23&amp;"'!$B$1"),IF(VLOOKUP(P$1,INDIRECT("'"&amp;$A23&amp;"'!$A$12:$Z$41"),MATCH("Points (Auto-generate)",INDIRECT("'"&amp;$A23&amp;"'!$A$12:$Z$12"),0),0)="","?",VLOOKUP(P$1,INDIRECT("'"&amp;$A23&amp;"'!$A$12:$Z$41"),MATCH("Points (Auto-generate)",INDIRECT("'"&amp;$A23&amp;"'!$A$12:$Z$12"),0),0)),"ER"))</f>
        <v>?</v>
      </c>
      <c r="Q23" s="83" t="str">
        <f aca="true">IF($H23=0,"NA",IF($A23=INDIRECT("'"&amp;$A23&amp;"'!$B$1"),IF(VLOOKUP(Q$1,INDIRECT("'"&amp;$A23&amp;"'!$A$12:$Z$41"),MATCH("Points (Auto-generate)",INDIRECT("'"&amp;$A23&amp;"'!$A$12:$Z$12"),0),0)="","?",VLOOKUP(Q$1,INDIRECT("'"&amp;$A23&amp;"'!$A$12:$Z$41"),MATCH("Points (Auto-generate)",INDIRECT("'"&amp;$A23&amp;"'!$A$12:$Z$12"),0),0)),"ER"))</f>
        <v>?</v>
      </c>
      <c r="R23" s="83" t="str">
        <f aca="true">IF($H23=0,"NA",IF($A23=INDIRECT("'"&amp;$A23&amp;"'!$B$1"),IF(VLOOKUP(R$1,INDIRECT("'"&amp;$A23&amp;"'!$A$12:$Z$41"),MATCH("Points (Auto-generate)",INDIRECT("'"&amp;$A23&amp;"'!$A$12:$Z$12"),0),0)="","?",VLOOKUP(R$1,INDIRECT("'"&amp;$A23&amp;"'!$A$12:$Z$41"),MATCH("Points (Auto-generate)",INDIRECT("'"&amp;$A23&amp;"'!$A$12:$Z$12"),0),0)),"ER"))</f>
        <v>?</v>
      </c>
      <c r="S23" s="83" t="str">
        <f aca="true">IF($H23=0,"NA",IF($A23=INDIRECT("'"&amp;$A23&amp;"'!$B$1"),IF(VLOOKUP(S$1,INDIRECT("'"&amp;$A23&amp;"'!$A$12:$Z$41"),MATCH("Points (Auto-generate)",INDIRECT("'"&amp;$A23&amp;"'!$A$12:$Z$12"),0),0)="","?",VLOOKUP(S$1,INDIRECT("'"&amp;$A23&amp;"'!$A$12:$Z$41"),MATCH("Points (Auto-generate)",INDIRECT("'"&amp;$A23&amp;"'!$A$12:$Z$12"),0),0)),"ER"))</f>
        <v>?</v>
      </c>
      <c r="T23" s="83" t="str">
        <f aca="true">IF($H23=0,"NA",IF($A23=INDIRECT("'"&amp;$A23&amp;"'!$B$1"),IF(VLOOKUP(T$1,INDIRECT("'"&amp;$A23&amp;"'!$A$12:$Z$41"),MATCH("Points (Auto-generate)",INDIRECT("'"&amp;$A23&amp;"'!$A$12:$Z$12"),0),0)="","?",VLOOKUP(T$1,INDIRECT("'"&amp;$A23&amp;"'!$A$12:$Z$41"),MATCH("Points (Auto-generate)",INDIRECT("'"&amp;$A23&amp;"'!$A$12:$Z$12"),0),0)),"ER"))</f>
        <v>?</v>
      </c>
      <c r="U23" s="83" t="str">
        <f aca="true">IF($H23=0,"NA",IF($A23=INDIRECT("'"&amp;$A23&amp;"'!$B$1"),IF(VLOOKUP(U$1,INDIRECT("'"&amp;$A23&amp;"'!$A$12:$Z$41"),MATCH("Points (Auto-generate)",INDIRECT("'"&amp;$A23&amp;"'!$A$12:$Z$12"),0),0)="","?",VLOOKUP(U$1,INDIRECT("'"&amp;$A23&amp;"'!$A$12:$Z$41"),MATCH("Points (Auto-generate)",INDIRECT("'"&amp;$A23&amp;"'!$A$12:$Z$12"),0),0)),"ER"))</f>
        <v>?</v>
      </c>
      <c r="V23" s="83" t="str">
        <f aca="true">IF($H23=0,"NA",IF($A23=INDIRECT("'"&amp;$A23&amp;"'!$B$1"),IF(VLOOKUP(V$1,INDIRECT("'"&amp;$A23&amp;"'!$A$12:$Z$41"),MATCH("Points (Auto-generate)",INDIRECT("'"&amp;$A23&amp;"'!$A$12:$Z$12"),0),0)="","?",VLOOKUP(V$1,INDIRECT("'"&amp;$A23&amp;"'!$A$12:$Z$41"),MATCH("Points (Auto-generate)",INDIRECT("'"&amp;$A23&amp;"'!$A$12:$Z$12"),0),0)),"ER"))</f>
        <v>?</v>
      </c>
      <c r="W23" s="83" t="str">
        <f aca="true">IF($H23=0,"NA",IF($A23=INDIRECT("'"&amp;$A23&amp;"'!$B$1"),IF(VLOOKUP(W$1,INDIRECT("'"&amp;$A23&amp;"'!$A$12:$Z$41"),MATCH("Points (Auto-generate)",INDIRECT("'"&amp;$A23&amp;"'!$A$12:$Z$12"),0),0)="","?",VLOOKUP(W$1,INDIRECT("'"&amp;$A23&amp;"'!$A$12:$Z$41"),MATCH("Points (Auto-generate)",INDIRECT("'"&amp;$A23&amp;"'!$A$12:$Z$12"),0),0)),"ER"))</f>
        <v>?</v>
      </c>
      <c r="X23" s="83" t="str">
        <f aca="true">IF($H23=0,"NA",IF($A23=INDIRECT("'"&amp;$A23&amp;"'!$B$1"),IF(VLOOKUP(X$1,INDIRECT("'"&amp;$A23&amp;"'!$A$12:$Z$41"),MATCH("Points (Auto-generate)",INDIRECT("'"&amp;$A23&amp;"'!$A$12:$Z$12"),0),0)="","?",VLOOKUP(X$1,INDIRECT("'"&amp;$A23&amp;"'!$A$12:$Z$41"),MATCH("Points (Auto-generate)",INDIRECT("'"&amp;$A23&amp;"'!$A$12:$Z$12"),0),0)),"ER"))</f>
        <v>?</v>
      </c>
      <c r="Y23" s="83" t="str">
        <f aca="true">IF($H23=0,"NA",IF($A23=INDIRECT("'"&amp;$A23&amp;"'!$B$1"),IF(VLOOKUP(Y$1,INDIRECT("'"&amp;$A23&amp;"'!$A$12:$Z$41"),MATCH("Points (Auto-generate)",INDIRECT("'"&amp;$A23&amp;"'!$A$12:$Z$12"),0),0)="","?",VLOOKUP(Y$1,INDIRECT("'"&amp;$A23&amp;"'!$A$12:$Z$41"),MATCH("Points (Auto-generate)",INDIRECT("'"&amp;$A23&amp;"'!$A$12:$Z$12"),0),0)),"ER"))</f>
        <v>?</v>
      </c>
      <c r="Z23" s="83" t="str">
        <f aca="true">IF($H23=0,"NA",IF($A23=INDIRECT("'"&amp;$A23&amp;"'!$B$1"),IF(VLOOKUP(Z$1,INDIRECT("'"&amp;$A23&amp;"'!$A$12:$Z$41"),MATCH("Points (Auto-generate)",INDIRECT("'"&amp;$A23&amp;"'!$A$12:$Z$12"),0),0)="","?",VLOOKUP(Z$1,INDIRECT("'"&amp;$A23&amp;"'!$A$12:$Z$41"),MATCH("Points (Auto-generate)",INDIRECT("'"&amp;$A23&amp;"'!$A$12:$Z$12"),0),0)),"ER"))</f>
        <v>?</v>
      </c>
      <c r="AA23" s="83" t="str">
        <f aca="true">IF($H23=0,"NA",IF($A23=INDIRECT("'"&amp;$A23&amp;"'!$B$1"),IF(VLOOKUP(AA$1,INDIRECT("'"&amp;$A23&amp;"'!$A$12:$Z$41"),MATCH("Points (Auto-generate)",INDIRECT("'"&amp;$A23&amp;"'!$A$12:$Z$12"),0),0)="","?",VLOOKUP(AA$1,INDIRECT("'"&amp;$A23&amp;"'!$A$12:$Z$41"),MATCH("Points (Auto-generate)",INDIRECT("'"&amp;$A23&amp;"'!$A$12:$Z$12"),0),0)),"ER"))</f>
        <v>?</v>
      </c>
      <c r="AB23" s="83" t="str">
        <f aca="true">IF($H23=0,"NA",IF($A23=INDIRECT("'"&amp;$A23&amp;"'!$B$1"),IF(VLOOKUP(AB$1,INDIRECT("'"&amp;$A23&amp;"'!$A$12:$Z$41"),MATCH("Points (Auto-generate)",INDIRECT("'"&amp;$A23&amp;"'!$A$12:$Z$12"),0),0)="","?",VLOOKUP(AB$1,INDIRECT("'"&amp;$A23&amp;"'!$A$12:$Z$41"),MATCH("Points (Auto-generate)",INDIRECT("'"&amp;$A23&amp;"'!$A$12:$Z$12"),0),0)),"ER"))</f>
        <v>?</v>
      </c>
      <c r="AC23" s="83" t="n">
        <f aca="true">IF($H23=0,"NA",IF($A23=INDIRECT("'"&amp;$A23&amp;"'!$B$1"),IF(VLOOKUP(AC$1,INDIRECT("'"&amp;$A23&amp;"'!$A$12:$Z$41"),MATCH("Points (Auto-generate)",INDIRECT("'"&amp;$A23&amp;"'!$A$12:$Z$12"),0),0)="","?",VLOOKUP(AC$1,INDIRECT("'"&amp;$A23&amp;"'!$A$12:$Z$41"),MATCH("Points (Auto-generate)",INDIRECT("'"&amp;$A23&amp;"'!$A$12:$Z$12"),0),0)),"ER"))</f>
        <v>5</v>
      </c>
      <c r="AD23" s="83" t="str">
        <f aca="true">IF($H23=0,"NA",IF($A23=INDIRECT("'"&amp;$A23&amp;"'!$B$1"),IF(VLOOKUP(AD$1,INDIRECT("'"&amp;$A23&amp;"'!$A$12:$Z$41"),MATCH("Points (Auto-generate)",INDIRECT("'"&amp;$A23&amp;"'!$A$12:$Z$12"),0),0)="","?",VLOOKUP(AD$1,INDIRECT("'"&amp;$A23&amp;"'!$A$12:$Z$41"),MATCH("Points (Auto-generate)",INDIRECT("'"&amp;$A23&amp;"'!$A$12:$Z$12"),0),0)),"ER"))</f>
        <v>?</v>
      </c>
      <c r="AE23" s="83" t="str">
        <f aca="true">IF($H23=0,"NA",IF($A23=INDIRECT("'"&amp;$A23&amp;"'!$B$1"),IF(VLOOKUP(AE$1,INDIRECT("'"&amp;$A23&amp;"'!$A$12:$Z$41"),MATCH("Points (Auto-generate)",INDIRECT("'"&amp;$A23&amp;"'!$A$12:$Z$12"),0),0)="","?",VLOOKUP(AE$1,INDIRECT("'"&amp;$A23&amp;"'!$A$12:$Z$41"),MATCH("Points (Auto-generate)",INDIRECT("'"&amp;$A23&amp;"'!$A$12:$Z$12"),0),0)),"ER"))</f>
        <v>?</v>
      </c>
      <c r="AF23" s="83" t="str">
        <f aca="true">IF($H23=0,"NA",IF($A23=INDIRECT("'"&amp;$A23&amp;"'!$B$1"),IF(VLOOKUP(AF$1,INDIRECT("'"&amp;$A23&amp;"'!$A$12:$Z$41"),MATCH("Points (Auto-generate)",INDIRECT("'"&amp;$A23&amp;"'!$A$12:$Z$12"),0),0)="","?",VLOOKUP(AF$1,INDIRECT("'"&amp;$A23&amp;"'!$A$12:$Z$41"),MATCH("Points (Auto-generate)",INDIRECT("'"&amp;$A23&amp;"'!$A$12:$Z$12"),0),0)),"ER"))</f>
        <v>?</v>
      </c>
      <c r="AG23" s="83" t="str">
        <f aca="true">IF($H23=0,"NA",IF($A23=INDIRECT("'"&amp;$A23&amp;"'!$B$1"),IF(VLOOKUP(AG$1,INDIRECT("'"&amp;$A23&amp;"'!$A$12:$Z$41"),MATCH("Points (Auto-generate)",INDIRECT("'"&amp;$A23&amp;"'!$A$12:$Z$12"),0),0)="","?",VLOOKUP(AG$1,INDIRECT("'"&amp;$A23&amp;"'!$A$12:$Z$41"),MATCH("Points (Auto-generate)",INDIRECT("'"&amp;$A23&amp;"'!$A$12:$Z$12"),0),0)),"ER"))</f>
        <v>?</v>
      </c>
      <c r="AH23" s="83" t="str">
        <f aca="true">IF($H23=0,"NA",IF($A23=INDIRECT("'"&amp;$A23&amp;"'!$B$1"),IF(VLOOKUP(AH$1,INDIRECT("'"&amp;$A23&amp;"'!$A$12:$Z$41"),MATCH("Points (Auto-generate)",INDIRECT("'"&amp;$A23&amp;"'!$A$12:$Z$12"),0),0)="","?",VLOOKUP(AH$1,INDIRECT("'"&amp;$A23&amp;"'!$A$12:$Z$41"),MATCH("Points (Auto-generate)",INDIRECT("'"&amp;$A23&amp;"'!$A$12:$Z$12"),0),0)),"ER"))</f>
        <v>?</v>
      </c>
      <c r="AI23" s="83" t="str">
        <f aca="true">IF($H23=0,"NA",IF($A23=INDIRECT("'"&amp;$A23&amp;"'!$B$1"),IF(VLOOKUP(AI$1,INDIRECT("'"&amp;$A23&amp;"'!$A$12:$Z$41"),MATCH("Points (Auto-generate)",INDIRECT("'"&amp;$A23&amp;"'!$A$12:$Z$12"),0),0)="","?",VLOOKUP(AI$1,INDIRECT("'"&amp;$A23&amp;"'!$A$12:$Z$41"),MATCH("Points (Auto-generate)",INDIRECT("'"&amp;$A23&amp;"'!$A$12:$Z$12"),0),0)),"ER"))</f>
        <v>?</v>
      </c>
      <c r="AJ23" s="83" t="str">
        <f aca="true">IF($H23=0,"NA",IF($A23=INDIRECT("'"&amp;$A23&amp;"'!$B$1"),IF(VLOOKUP(AJ$1,INDIRECT("'"&amp;$A23&amp;"'!$A$12:$Z$41"),MATCH("Points (Auto-generate)",INDIRECT("'"&amp;$A23&amp;"'!$A$12:$Z$12"),0),0)="","?",VLOOKUP(AJ$1,INDIRECT("'"&amp;$A23&amp;"'!$A$12:$Z$41"),MATCH("Points (Auto-generate)",INDIRECT("'"&amp;$A23&amp;"'!$A$12:$Z$12"),0),0)),"ER"))</f>
        <v>?</v>
      </c>
      <c r="AK23" s="83" t="str">
        <f aca="true">IF($H23=0,"NA",IF($A23=INDIRECT("'"&amp;$A23&amp;"'!$B$1"),IF(VLOOKUP(AK$1,INDIRECT("'"&amp;$A23&amp;"'!$A$12:$Z$41"),MATCH("Points (Auto-generate)",INDIRECT("'"&amp;$A23&amp;"'!$A$12:$Z$12"),0),0)="","?",VLOOKUP(AK$1,INDIRECT("'"&amp;$A23&amp;"'!$A$12:$Z$41"),MATCH("Points (Auto-generate)",INDIRECT("'"&amp;$A23&amp;"'!$A$12:$Z$12"),0),0)),"ER"))</f>
        <v>?</v>
      </c>
    </row>
    <row r="24" customFormat="false" ht="14.25" hidden="false" customHeight="false" outlineLevel="0" collapsed="false">
      <c r="A24" s="79" t="s">
        <v>113</v>
      </c>
      <c r="B24" s="80" t="str">
        <f aca="false">IF(ISBLANK($A24),"NO_CODE",VLOOKUP($A24,'UPD Questions_290926 '!$E$1:$N$300,MATCH(B$1,'UPD Questions_290926 '!$E$1:$N$1,0),0)&amp;"")</f>
        <v>Planning </v>
      </c>
      <c r="C24" s="80" t="str">
        <f aca="false">IF(ISBLANK($A24),"NO_CODE",VLOOKUP($A24,'UPD Questions_290926 '!$E$1:$N$300,MATCH(C$1,'UPD Questions_290926 '!$E$1:$N$1,0),0)&amp;"")</f>
        <v>Municipal/City Plan preparation, participation and review</v>
      </c>
      <c r="D24" s="80" t="str">
        <f aca="false">IF(ISBLANK($A24),"NO_CODE",VLOOKUP($A24,'UPD Questions_290926 '!$E$1:$N$300,MATCH(D$1,'UPD Questions_290926 '!$E$1:$N$1,0),0)&amp;"")</f>
        <v>Plan modification and implementation review</v>
      </c>
      <c r="E24" s="80" t="str">
        <f aca="false">IF(ISBLANK($A24),"NO_CODE",VLOOKUP($A24,'UPD Questions_290926 '!$E$1:$N$300,MATCH(E$1,'UPD Questions_290926 '!$E$1:$N$1,0),0)&amp;"")</f>
        <v>MQ</v>
      </c>
      <c r="F24" s="80" t="str">
        <f aca="false">IF(ISBLANK($A24),"NO_CODE",VLOOKUP($A24,'UPD Questions_290926 '!$E$1:$N$300,MATCH(F$1,'UPD Questions_290926 '!$E$1:$N$1,0),0)&amp;"")</f>
        <v>Does the law mandate periodic review and revision of the notified municipal/city plan, including corresponding revisions to the Development Control Regulations (DCRs)?</v>
      </c>
      <c r="G24" s="80" t="str">
        <f aca="false">IF(ISBLANK($A24),"NO_CODE",VLOOKUP($A24,'UPD Questions_290926 '!$E$1:$N$300,MATCH(G$1,'UPD Questions_290926 '!$E$1:$N$1,0),0)&amp;"")</f>
        <v>Law or Policy</v>
      </c>
      <c r="H24" s="82" t="n">
        <f aca="false">IF(ISBLANK($A24),"NO_CODE",VLOOKUP($A24,'UPD Questions_290926 '!$E$1:$N$300,MATCH(H$1,'UPD Questions_290926 '!$E$1:$N$1,0),0))</f>
        <v>10</v>
      </c>
      <c r="I24" s="83" t="str">
        <f aca="true">IF($H24=0,"NA",IF($A24=INDIRECT("'"&amp;$A24&amp;"'!$B$1"),IF(VLOOKUP(I$1,INDIRECT("'"&amp;$A24&amp;"'!$A$12:$Z$41"),MATCH("Points (Auto-generate)",INDIRECT("'"&amp;$A24&amp;"'!$A$12:$Z$12"),0),0)="","?",VLOOKUP(I$1,INDIRECT("'"&amp;$A24&amp;"'!$A$12:$Z$41"),MATCH("Points (Auto-generate)",INDIRECT("'"&amp;$A24&amp;"'!$A$12:$Z$12"),0),0)),"ER"))</f>
        <v>?</v>
      </c>
      <c r="J24" s="83" t="str">
        <f aca="true">IF($H24=0,"NA",IF($A24=INDIRECT("'"&amp;$A24&amp;"'!$B$1"),IF(VLOOKUP(J$1,INDIRECT("'"&amp;$A24&amp;"'!$A$12:$Z$41"),MATCH("Points (Auto-generate)",INDIRECT("'"&amp;$A24&amp;"'!$A$12:$Z$12"),0),0)="","?",VLOOKUP(J$1,INDIRECT("'"&amp;$A24&amp;"'!$A$12:$Z$41"),MATCH("Points (Auto-generate)",INDIRECT("'"&amp;$A24&amp;"'!$A$12:$Z$12"),0),0)),"ER"))</f>
        <v>?</v>
      </c>
      <c r="K24" s="83" t="str">
        <f aca="true">IF($H24=0,"NA",IF($A24=INDIRECT("'"&amp;$A24&amp;"'!$B$1"),IF(VLOOKUP(K$1,INDIRECT("'"&amp;$A24&amp;"'!$A$12:$Z$41"),MATCH("Points (Auto-generate)",INDIRECT("'"&amp;$A24&amp;"'!$A$12:$Z$12"),0),0)="","?",VLOOKUP(K$1,INDIRECT("'"&amp;$A24&amp;"'!$A$12:$Z$41"),MATCH("Points (Auto-generate)",INDIRECT("'"&amp;$A24&amp;"'!$A$12:$Z$12"),0),0)),"ER"))</f>
        <v>?</v>
      </c>
      <c r="L24" s="83" t="str">
        <f aca="true">IF($H24=0,"NA",IF($A24=INDIRECT("'"&amp;$A24&amp;"'!$B$1"),IF(VLOOKUP(L$1,INDIRECT("'"&amp;$A24&amp;"'!$A$12:$Z$41"),MATCH("Points (Auto-generate)",INDIRECT("'"&amp;$A24&amp;"'!$A$12:$Z$12"),0),0)="","?",VLOOKUP(L$1,INDIRECT("'"&amp;$A24&amp;"'!$A$12:$Z$41"),MATCH("Points (Auto-generate)",INDIRECT("'"&amp;$A24&amp;"'!$A$12:$Z$12"),0),0)),"ER"))</f>
        <v>?</v>
      </c>
      <c r="M24" s="83" t="str">
        <f aca="true">IF($H24=0,"NA",IF($A24=INDIRECT("'"&amp;$A24&amp;"'!$B$1"),IF(VLOOKUP(M$1,INDIRECT("'"&amp;$A24&amp;"'!$A$12:$Z$41"),MATCH("Points (Auto-generate)",INDIRECT("'"&amp;$A24&amp;"'!$A$12:$Z$12"),0),0)="","?",VLOOKUP(M$1,INDIRECT("'"&amp;$A24&amp;"'!$A$12:$Z$41"),MATCH("Points (Auto-generate)",INDIRECT("'"&amp;$A24&amp;"'!$A$12:$Z$12"),0),0)),"ER"))</f>
        <v>?</v>
      </c>
      <c r="N24" s="83" t="str">
        <f aca="true">IF($H24=0,"NA",IF($A24=INDIRECT("'"&amp;$A24&amp;"'!$B$1"),IF(VLOOKUP(N$1,INDIRECT("'"&amp;$A24&amp;"'!$A$12:$Z$41"),MATCH("Points (Auto-generate)",INDIRECT("'"&amp;$A24&amp;"'!$A$12:$Z$12"),0),0)="","?",VLOOKUP(N$1,INDIRECT("'"&amp;$A24&amp;"'!$A$12:$Z$41"),MATCH("Points (Auto-generate)",INDIRECT("'"&amp;$A24&amp;"'!$A$12:$Z$12"),0),0)),"ER"))</f>
        <v>?</v>
      </c>
      <c r="O24" s="83" t="str">
        <f aca="true">IF($H24=0,"NA",IF($A24=INDIRECT("'"&amp;$A24&amp;"'!$B$1"),IF(VLOOKUP(O$1,INDIRECT("'"&amp;$A24&amp;"'!$A$12:$Z$41"),MATCH("Points (Auto-generate)",INDIRECT("'"&amp;$A24&amp;"'!$A$12:$Z$12"),0),0)="","?",VLOOKUP(O$1,INDIRECT("'"&amp;$A24&amp;"'!$A$12:$Z$41"),MATCH("Points (Auto-generate)",INDIRECT("'"&amp;$A24&amp;"'!$A$12:$Z$12"),0),0)),"ER"))</f>
        <v>?</v>
      </c>
      <c r="P24" s="83" t="str">
        <f aca="true">IF($H24=0,"NA",IF($A24=INDIRECT("'"&amp;$A24&amp;"'!$B$1"),IF(VLOOKUP(P$1,INDIRECT("'"&amp;$A24&amp;"'!$A$12:$Z$41"),MATCH("Points (Auto-generate)",INDIRECT("'"&amp;$A24&amp;"'!$A$12:$Z$12"),0),0)="","?",VLOOKUP(P$1,INDIRECT("'"&amp;$A24&amp;"'!$A$12:$Z$41"),MATCH("Points (Auto-generate)",INDIRECT("'"&amp;$A24&amp;"'!$A$12:$Z$12"),0),0)),"ER"))</f>
        <v>?</v>
      </c>
      <c r="Q24" s="83" t="str">
        <f aca="true">IF($H24=0,"NA",IF($A24=INDIRECT("'"&amp;$A24&amp;"'!$B$1"),IF(VLOOKUP(Q$1,INDIRECT("'"&amp;$A24&amp;"'!$A$12:$Z$41"),MATCH("Points (Auto-generate)",INDIRECT("'"&amp;$A24&amp;"'!$A$12:$Z$12"),0),0)="","?",VLOOKUP(Q$1,INDIRECT("'"&amp;$A24&amp;"'!$A$12:$Z$41"),MATCH("Points (Auto-generate)",INDIRECT("'"&amp;$A24&amp;"'!$A$12:$Z$12"),0),0)),"ER"))</f>
        <v>?</v>
      </c>
      <c r="R24" s="83" t="str">
        <f aca="true">IF($H24=0,"NA",IF($A24=INDIRECT("'"&amp;$A24&amp;"'!$B$1"),IF(VLOOKUP(R$1,INDIRECT("'"&amp;$A24&amp;"'!$A$12:$Z$41"),MATCH("Points (Auto-generate)",INDIRECT("'"&amp;$A24&amp;"'!$A$12:$Z$12"),0),0)="","?",VLOOKUP(R$1,INDIRECT("'"&amp;$A24&amp;"'!$A$12:$Z$41"),MATCH("Points (Auto-generate)",INDIRECT("'"&amp;$A24&amp;"'!$A$12:$Z$12"),0),0)),"ER"))</f>
        <v>?</v>
      </c>
      <c r="S24" s="83" t="str">
        <f aca="true">IF($H24=0,"NA",IF($A24=INDIRECT("'"&amp;$A24&amp;"'!$B$1"),IF(VLOOKUP(S$1,INDIRECT("'"&amp;$A24&amp;"'!$A$12:$Z$41"),MATCH("Points (Auto-generate)",INDIRECT("'"&amp;$A24&amp;"'!$A$12:$Z$12"),0),0)="","?",VLOOKUP(S$1,INDIRECT("'"&amp;$A24&amp;"'!$A$12:$Z$41"),MATCH("Points (Auto-generate)",INDIRECT("'"&amp;$A24&amp;"'!$A$12:$Z$12"),0),0)),"ER"))</f>
        <v>?</v>
      </c>
      <c r="T24" s="83" t="str">
        <f aca="true">IF($H24=0,"NA",IF($A24=INDIRECT("'"&amp;$A24&amp;"'!$B$1"),IF(VLOOKUP(T$1,INDIRECT("'"&amp;$A24&amp;"'!$A$12:$Z$41"),MATCH("Points (Auto-generate)",INDIRECT("'"&amp;$A24&amp;"'!$A$12:$Z$12"),0),0)="","?",VLOOKUP(T$1,INDIRECT("'"&amp;$A24&amp;"'!$A$12:$Z$41"),MATCH("Points (Auto-generate)",INDIRECT("'"&amp;$A24&amp;"'!$A$12:$Z$12"),0),0)),"ER"))</f>
        <v>?</v>
      </c>
      <c r="U24" s="83" t="str">
        <f aca="true">IF($H24=0,"NA",IF($A24=INDIRECT("'"&amp;$A24&amp;"'!$B$1"),IF(VLOOKUP(U$1,INDIRECT("'"&amp;$A24&amp;"'!$A$12:$Z$41"),MATCH("Points (Auto-generate)",INDIRECT("'"&amp;$A24&amp;"'!$A$12:$Z$12"),0),0)="","?",VLOOKUP(U$1,INDIRECT("'"&amp;$A24&amp;"'!$A$12:$Z$41"),MATCH("Points (Auto-generate)",INDIRECT("'"&amp;$A24&amp;"'!$A$12:$Z$12"),0),0)),"ER"))</f>
        <v>?</v>
      </c>
      <c r="V24" s="83" t="str">
        <f aca="true">IF($H24=0,"NA",IF($A24=INDIRECT("'"&amp;$A24&amp;"'!$B$1"),IF(VLOOKUP(V$1,INDIRECT("'"&amp;$A24&amp;"'!$A$12:$Z$41"),MATCH("Points (Auto-generate)",INDIRECT("'"&amp;$A24&amp;"'!$A$12:$Z$12"),0),0)="","?",VLOOKUP(V$1,INDIRECT("'"&amp;$A24&amp;"'!$A$12:$Z$41"),MATCH("Points (Auto-generate)",INDIRECT("'"&amp;$A24&amp;"'!$A$12:$Z$12"),0),0)),"ER"))</f>
        <v>?</v>
      </c>
      <c r="W24" s="83" t="str">
        <f aca="true">IF($H24=0,"NA",IF($A24=INDIRECT("'"&amp;$A24&amp;"'!$B$1"),IF(VLOOKUP(W$1,INDIRECT("'"&amp;$A24&amp;"'!$A$12:$Z$41"),MATCH("Points (Auto-generate)",INDIRECT("'"&amp;$A24&amp;"'!$A$12:$Z$12"),0),0)="","?",VLOOKUP(W$1,INDIRECT("'"&amp;$A24&amp;"'!$A$12:$Z$41"),MATCH("Points (Auto-generate)",INDIRECT("'"&amp;$A24&amp;"'!$A$12:$Z$12"),0),0)),"ER"))</f>
        <v>?</v>
      </c>
      <c r="X24" s="83" t="str">
        <f aca="true">IF($H24=0,"NA",IF($A24=INDIRECT("'"&amp;$A24&amp;"'!$B$1"),IF(VLOOKUP(X$1,INDIRECT("'"&amp;$A24&amp;"'!$A$12:$Z$41"),MATCH("Points (Auto-generate)",INDIRECT("'"&amp;$A24&amp;"'!$A$12:$Z$12"),0),0)="","?",VLOOKUP(X$1,INDIRECT("'"&amp;$A24&amp;"'!$A$12:$Z$41"),MATCH("Points (Auto-generate)",INDIRECT("'"&amp;$A24&amp;"'!$A$12:$Z$12"),0),0)),"ER"))</f>
        <v>?</v>
      </c>
      <c r="Y24" s="83" t="str">
        <f aca="true">IF($H24=0,"NA",IF($A24=INDIRECT("'"&amp;$A24&amp;"'!$B$1"),IF(VLOOKUP(Y$1,INDIRECT("'"&amp;$A24&amp;"'!$A$12:$Z$41"),MATCH("Points (Auto-generate)",INDIRECT("'"&amp;$A24&amp;"'!$A$12:$Z$12"),0),0)="","?",VLOOKUP(Y$1,INDIRECT("'"&amp;$A24&amp;"'!$A$12:$Z$41"),MATCH("Points (Auto-generate)",INDIRECT("'"&amp;$A24&amp;"'!$A$12:$Z$12"),0),0)),"ER"))</f>
        <v>?</v>
      </c>
      <c r="Z24" s="83" t="str">
        <f aca="true">IF($H24=0,"NA",IF($A24=INDIRECT("'"&amp;$A24&amp;"'!$B$1"),IF(VLOOKUP(Z$1,INDIRECT("'"&amp;$A24&amp;"'!$A$12:$Z$41"),MATCH("Points (Auto-generate)",INDIRECT("'"&amp;$A24&amp;"'!$A$12:$Z$12"),0),0)="","?",VLOOKUP(Z$1,INDIRECT("'"&amp;$A24&amp;"'!$A$12:$Z$41"),MATCH("Points (Auto-generate)",INDIRECT("'"&amp;$A24&amp;"'!$A$12:$Z$12"),0),0)),"ER"))</f>
        <v>?</v>
      </c>
      <c r="AA24" s="83" t="str">
        <f aca="true">IF($H24=0,"NA",IF($A24=INDIRECT("'"&amp;$A24&amp;"'!$B$1"),IF(VLOOKUP(AA$1,INDIRECT("'"&amp;$A24&amp;"'!$A$12:$Z$41"),MATCH("Points (Auto-generate)",INDIRECT("'"&amp;$A24&amp;"'!$A$12:$Z$12"),0),0)="","?",VLOOKUP(AA$1,INDIRECT("'"&amp;$A24&amp;"'!$A$12:$Z$41"),MATCH("Points (Auto-generate)",INDIRECT("'"&amp;$A24&amp;"'!$A$12:$Z$12"),0),0)),"ER"))</f>
        <v>?</v>
      </c>
      <c r="AB24" s="83" t="str">
        <f aca="true">IF($H24=0,"NA",IF($A24=INDIRECT("'"&amp;$A24&amp;"'!$B$1"),IF(VLOOKUP(AB$1,INDIRECT("'"&amp;$A24&amp;"'!$A$12:$Z$41"),MATCH("Points (Auto-generate)",INDIRECT("'"&amp;$A24&amp;"'!$A$12:$Z$12"),0),0)="","?",VLOOKUP(AB$1,INDIRECT("'"&amp;$A24&amp;"'!$A$12:$Z$41"),MATCH("Points (Auto-generate)",INDIRECT("'"&amp;$A24&amp;"'!$A$12:$Z$12"),0),0)),"ER"))</f>
        <v>?</v>
      </c>
      <c r="AC24" s="83" t="str">
        <f aca="true">IF($H24=0,"NA",IF($A24=INDIRECT("'"&amp;$A24&amp;"'!$B$1"),IF(VLOOKUP(AC$1,INDIRECT("'"&amp;$A24&amp;"'!$A$12:$Z$41"),MATCH("Points (Auto-generate)",INDIRECT("'"&amp;$A24&amp;"'!$A$12:$Z$12"),0),0)="","?",VLOOKUP(AC$1,INDIRECT("'"&amp;$A24&amp;"'!$A$12:$Z$41"),MATCH("Points (Auto-generate)",INDIRECT("'"&amp;$A24&amp;"'!$A$12:$Z$12"),0),0)),"ER"))</f>
        <v>?</v>
      </c>
      <c r="AD24" s="83" t="str">
        <f aca="true">IF($H24=0,"NA",IF($A24=INDIRECT("'"&amp;$A24&amp;"'!$B$1"),IF(VLOOKUP(AD$1,INDIRECT("'"&amp;$A24&amp;"'!$A$12:$Z$41"),MATCH("Points (Auto-generate)",INDIRECT("'"&amp;$A24&amp;"'!$A$12:$Z$12"),0),0)="","?",VLOOKUP(AD$1,INDIRECT("'"&amp;$A24&amp;"'!$A$12:$Z$41"),MATCH("Points (Auto-generate)",INDIRECT("'"&amp;$A24&amp;"'!$A$12:$Z$12"),0),0)),"ER"))</f>
        <v>?</v>
      </c>
      <c r="AE24" s="83" t="str">
        <f aca="true">IF($H24=0,"NA",IF($A24=INDIRECT("'"&amp;$A24&amp;"'!$B$1"),IF(VLOOKUP(AE$1,INDIRECT("'"&amp;$A24&amp;"'!$A$12:$Z$41"),MATCH("Points (Auto-generate)",INDIRECT("'"&amp;$A24&amp;"'!$A$12:$Z$12"),0),0)="","?",VLOOKUP(AE$1,INDIRECT("'"&amp;$A24&amp;"'!$A$12:$Z$41"),MATCH("Points (Auto-generate)",INDIRECT("'"&amp;$A24&amp;"'!$A$12:$Z$12"),0),0)),"ER"))</f>
        <v>?</v>
      </c>
      <c r="AF24" s="83" t="str">
        <f aca="true">IF($H24=0,"NA",IF($A24=INDIRECT("'"&amp;$A24&amp;"'!$B$1"),IF(VLOOKUP(AF$1,INDIRECT("'"&amp;$A24&amp;"'!$A$12:$Z$41"),MATCH("Points (Auto-generate)",INDIRECT("'"&amp;$A24&amp;"'!$A$12:$Z$12"),0),0)="","?",VLOOKUP(AF$1,INDIRECT("'"&amp;$A24&amp;"'!$A$12:$Z$41"),MATCH("Points (Auto-generate)",INDIRECT("'"&amp;$A24&amp;"'!$A$12:$Z$12"),0),0)),"ER"))</f>
        <v>?</v>
      </c>
      <c r="AG24" s="83" t="str">
        <f aca="true">IF($H24=0,"NA",IF($A24=INDIRECT("'"&amp;$A24&amp;"'!$B$1"),IF(VLOOKUP(AG$1,INDIRECT("'"&amp;$A24&amp;"'!$A$12:$Z$41"),MATCH("Points (Auto-generate)",INDIRECT("'"&amp;$A24&amp;"'!$A$12:$Z$12"),0),0)="","?",VLOOKUP(AG$1,INDIRECT("'"&amp;$A24&amp;"'!$A$12:$Z$41"),MATCH("Points (Auto-generate)",INDIRECT("'"&amp;$A24&amp;"'!$A$12:$Z$12"),0),0)),"ER"))</f>
        <v>?</v>
      </c>
      <c r="AH24" s="83" t="str">
        <f aca="true">IF($H24=0,"NA",IF($A24=INDIRECT("'"&amp;$A24&amp;"'!$B$1"),IF(VLOOKUP(AH$1,INDIRECT("'"&amp;$A24&amp;"'!$A$12:$Z$41"),MATCH("Points (Auto-generate)",INDIRECT("'"&amp;$A24&amp;"'!$A$12:$Z$12"),0),0)="","?",VLOOKUP(AH$1,INDIRECT("'"&amp;$A24&amp;"'!$A$12:$Z$41"),MATCH("Points (Auto-generate)",INDIRECT("'"&amp;$A24&amp;"'!$A$12:$Z$12"),0),0)),"ER"))</f>
        <v>?</v>
      </c>
      <c r="AI24" s="83" t="str">
        <f aca="true">IF($H24=0,"NA",IF($A24=INDIRECT("'"&amp;$A24&amp;"'!$B$1"),IF(VLOOKUP(AI$1,INDIRECT("'"&amp;$A24&amp;"'!$A$12:$Z$41"),MATCH("Points (Auto-generate)",INDIRECT("'"&amp;$A24&amp;"'!$A$12:$Z$12"),0),0)="","?",VLOOKUP(AI$1,INDIRECT("'"&amp;$A24&amp;"'!$A$12:$Z$41"),MATCH("Points (Auto-generate)",INDIRECT("'"&amp;$A24&amp;"'!$A$12:$Z$12"),0),0)),"ER"))</f>
        <v>?</v>
      </c>
      <c r="AJ24" s="83" t="str">
        <f aca="true">IF($H24=0,"NA",IF($A24=INDIRECT("'"&amp;$A24&amp;"'!$B$1"),IF(VLOOKUP(AJ$1,INDIRECT("'"&amp;$A24&amp;"'!$A$12:$Z$41"),MATCH("Points (Auto-generate)",INDIRECT("'"&amp;$A24&amp;"'!$A$12:$Z$12"),0),0)="","?",VLOOKUP(AJ$1,INDIRECT("'"&amp;$A24&amp;"'!$A$12:$Z$41"),MATCH("Points (Auto-generate)",INDIRECT("'"&amp;$A24&amp;"'!$A$12:$Z$12"),0),0)),"ER"))</f>
        <v>?</v>
      </c>
      <c r="AK24" s="83" t="str">
        <f aca="true">IF($H24=0,"NA",IF($A24=INDIRECT("'"&amp;$A24&amp;"'!$B$1"),IF(VLOOKUP(AK$1,INDIRECT("'"&amp;$A24&amp;"'!$A$12:$Z$41"),MATCH("Points (Auto-generate)",INDIRECT("'"&amp;$A24&amp;"'!$A$12:$Z$12"),0),0)="","?",VLOOKUP(AK$1,INDIRECT("'"&amp;$A24&amp;"'!$A$12:$Z$41"),MATCH("Points (Auto-generate)",INDIRECT("'"&amp;$A24&amp;"'!$A$12:$Z$12"),0),0)),"ER"))</f>
        <v>?</v>
      </c>
    </row>
    <row r="25" customFormat="false" ht="14.25" hidden="false" customHeight="false" outlineLevel="0" collapsed="false">
      <c r="A25" s="79" t="s">
        <v>515</v>
      </c>
      <c r="B25" s="80" t="str">
        <f aca="false">IF(ISBLANK($A25),"NO_CODE",VLOOKUP($A25,'UPD Questions_290926 '!$E$1:$N$300,MATCH(B$1,'UPD Questions_290926 '!$E$1:$N$1,0),0)&amp;"")</f>
        <v>Planning </v>
      </c>
      <c r="C25" s="80" t="str">
        <f aca="false">IF(ISBLANK($A25),"NO_CODE",VLOOKUP($A25,'UPD Questions_290926 '!$E$1:$N$300,MATCH(C$1,'UPD Questions_290926 '!$E$1:$N$1,0),0)&amp;"")</f>
        <v>Municipal/City Plan objectives and contents</v>
      </c>
      <c r="D25" s="80" t="str">
        <f aca="false">IF(ISBLANK($A25),"NO_CODE",VLOOKUP($A25,'UPD Questions_290926 '!$E$1:$N$300,MATCH(D$1,'UPD Questions_290926 '!$E$1:$N$1,0),0)&amp;"")</f>
        <v>Statutory requirements for plan content</v>
      </c>
      <c r="E25" s="80" t="str">
        <f aca="false">IF(ISBLANK($A25),"NO_CODE",VLOOKUP($A25,'UPD Questions_290926 '!$E$1:$N$300,MATCH(E$1,'UPD Questions_290926 '!$E$1:$N$1,0),0)&amp;"")</f>
        <v>MQ</v>
      </c>
      <c r="F25" s="80" t="str">
        <f aca="false">IF(ISBLANK($A25),"NO_CODE",VLOOKUP($A25,'UPD Questions_290926 '!$E$1:$N$300,MATCH(F$1,'UPD Questions_290926 '!$E$1:$N$1,0),0)&amp;"")</f>
        <v>Does the T&amp;CP Act mandate the planning for:  </v>
      </c>
      <c r="G25" s="80" t="str">
        <f aca="false">IF(ISBLANK($A25),"NO_CODE",VLOOKUP($A25,'UPD Questions_290926 '!$E$1:$N$300,MATCH(G$1,'UPD Questions_290926 '!$E$1:$N$1,0),0)&amp;"")</f>
        <v>NA- question already covered in ASICS 2017</v>
      </c>
      <c r="H25" s="82" t="n">
        <f aca="false">IF(ISBLANK($A25),"NO_CODE",VLOOKUP($A25,'UPD Questions_290926 '!$E$1:$N$300,MATCH(H$1,'UPD Questions_290926 '!$E$1:$N$1,0),0))</f>
        <v>10</v>
      </c>
      <c r="I25" s="83" t="str">
        <f aca="false">IF(OR(I26="ER",I27="ER",I28="ER",I29="ER",I30="ER",I31="ER"),"ER",IF(OR(I26="?",I27="?",I28="?",I29="?",I30="?",I31="?"),"?",IF(AND(I26="NA",I27="NA",I28="NA",I29="NA",I30="NA",I31="NA"),"NA",SUM(I26,I27,I28,I29,I30,I31)/((I26&lt;&gt;"NA")*$H$26+(I27&lt;&gt;"NA")*$H$27+(I28&lt;&gt;"NA")*$H$28+(I29&lt;&gt;"NA")*$H$29+(I30&lt;&gt;"NA")*$H$30+(I31&lt;&gt;"NA")*$H$31)*$H25)))</f>
        <v>?</v>
      </c>
      <c r="J25" s="83" t="str">
        <f aca="false">IF(OR(J26="ER",J27="ER",J28="ER",J29="ER",J30="ER",J31="ER"),"ER",IF(OR(J26="?",J27="?",J28="?",J29="?",J30="?",J31="?"),"?",IF(AND(J26="NA",J27="NA",J28="NA",J29="NA",J30="NA",J31="NA"),"NA",SUM(J26,J27,J28,J29,J30,J31)/((J26&lt;&gt;"NA")*$H$26+(J27&lt;&gt;"NA")*$H$27+(J28&lt;&gt;"NA")*$H$28+(J29&lt;&gt;"NA")*$H$29+(J30&lt;&gt;"NA")*$H$30+(J31&lt;&gt;"NA")*$H$31)*$H25)))</f>
        <v>?</v>
      </c>
      <c r="K25" s="83" t="str">
        <f aca="false">IF(OR(K26="ER",K27="ER",K28="ER",K29="ER",K30="ER",K31="ER"),"ER",IF(OR(K26="?",K27="?",K28="?",K29="?",K30="?",K31="?"),"?",IF(AND(K26="NA",K27="NA",K28="NA",K29="NA",K30="NA",K31="NA"),"NA",SUM(K26,K27,K28,K29,K30,K31)/((K26&lt;&gt;"NA")*$H$26+(K27&lt;&gt;"NA")*$H$27+(K28&lt;&gt;"NA")*$H$28+(K29&lt;&gt;"NA")*$H$29+(K30&lt;&gt;"NA")*$H$30+(K31&lt;&gt;"NA")*$H$31)*$H25)))</f>
        <v>?</v>
      </c>
      <c r="L25" s="83" t="str">
        <f aca="false">IF(OR(L26="ER",L27="ER",L28="ER",L29="ER",L30="ER",L31="ER"),"ER",IF(OR(L26="?",L27="?",L28="?",L29="?",L30="?",L31="?"),"?",IF(AND(L26="NA",L27="NA",L28="NA",L29="NA",L30="NA",L31="NA"),"NA",SUM(L26,L27,L28,L29,L30,L31)/((L26&lt;&gt;"NA")*$H$26+(L27&lt;&gt;"NA")*$H$27+(L28&lt;&gt;"NA")*$H$28+(L29&lt;&gt;"NA")*$H$29+(L30&lt;&gt;"NA")*$H$30+(L31&lt;&gt;"NA")*$H$31)*$H25)))</f>
        <v>?</v>
      </c>
      <c r="M25" s="83" t="str">
        <f aca="false">IF(OR(M26="ER",M27="ER",M28="ER",M29="ER",M30="ER",M31="ER"),"ER",IF(OR(M26="?",M27="?",M28="?",M29="?",M30="?",M31="?"),"?",IF(AND(M26="NA",M27="NA",M28="NA",M29="NA",M30="NA",M31="NA"),"NA",SUM(M26,M27,M28,M29,M30,M31)/((M26&lt;&gt;"NA")*$H$26+(M27&lt;&gt;"NA")*$H$27+(M28&lt;&gt;"NA")*$H$28+(M29&lt;&gt;"NA")*$H$29+(M30&lt;&gt;"NA")*$H$30+(M31&lt;&gt;"NA")*$H$31)*$H25)))</f>
        <v>?</v>
      </c>
      <c r="N25" s="83" t="str">
        <f aca="false">IF(OR(N26="ER",N27="ER",N28="ER",N29="ER",N30="ER",N31="ER"),"ER",IF(OR(N26="?",N27="?",N28="?",N29="?",N30="?",N31="?"),"?",IF(AND(N26="NA",N27="NA",N28="NA",N29="NA",N30="NA",N31="NA"),"NA",SUM(N26,N27,N28,N29,N30,N31)/((N26&lt;&gt;"NA")*$H$26+(N27&lt;&gt;"NA")*$H$27+(N28&lt;&gt;"NA")*$H$28+(N29&lt;&gt;"NA")*$H$29+(N30&lt;&gt;"NA")*$H$30+(N31&lt;&gt;"NA")*$H$31)*$H25)))</f>
        <v>?</v>
      </c>
      <c r="O25" s="83" t="str">
        <f aca="false">IF(OR(O26="ER",O27="ER",O28="ER",O29="ER",O30="ER",O31="ER"),"ER",IF(OR(O26="?",O27="?",O28="?",O29="?",O30="?",O31="?"),"?",IF(AND(O26="NA",O27="NA",O28="NA",O29="NA",O30="NA",O31="NA"),"NA",SUM(O26,O27,O28,O29,O30,O31)/((O26&lt;&gt;"NA")*$H$26+(O27&lt;&gt;"NA")*$H$27+(O28&lt;&gt;"NA")*$H$28+(O29&lt;&gt;"NA")*$H$29+(O30&lt;&gt;"NA")*$H$30+(O31&lt;&gt;"NA")*$H$31)*$H25)))</f>
        <v>?</v>
      </c>
      <c r="P25" s="83" t="str">
        <f aca="false">IF(OR(P26="ER",P27="ER",P28="ER",P29="ER",P30="ER",P31="ER"),"ER",IF(OR(P26="?",P27="?",P28="?",P29="?",P30="?",P31="?"),"?",IF(AND(P26="NA",P27="NA",P28="NA",P29="NA",P30="NA",P31="NA"),"NA",SUM(P26,P27,P28,P29,P30,P31)/((P26&lt;&gt;"NA")*$H$26+(P27&lt;&gt;"NA")*$H$27+(P28&lt;&gt;"NA")*$H$28+(P29&lt;&gt;"NA")*$H$29+(P30&lt;&gt;"NA")*$H$30+(P31&lt;&gt;"NA")*$H$31)*$H25)))</f>
        <v>?</v>
      </c>
      <c r="Q25" s="83" t="str">
        <f aca="false">IF(OR(Q26="ER",Q27="ER",Q28="ER",Q29="ER",Q30="ER",Q31="ER"),"ER",IF(OR(Q26="?",Q27="?",Q28="?",Q29="?",Q30="?",Q31="?"),"?",IF(AND(Q26="NA",Q27="NA",Q28="NA",Q29="NA",Q30="NA",Q31="NA"),"NA",SUM(Q26,Q27,Q28,Q29,Q30,Q31)/((Q26&lt;&gt;"NA")*$H$26+(Q27&lt;&gt;"NA")*$H$27+(Q28&lt;&gt;"NA")*$H$28+(Q29&lt;&gt;"NA")*$H$29+(Q30&lt;&gt;"NA")*$H$30+(Q31&lt;&gt;"NA")*$H$31)*$H25)))</f>
        <v>?</v>
      </c>
      <c r="R25" s="83" t="str">
        <f aca="false">IF(OR(R26="ER",R27="ER",R28="ER",R29="ER",R30="ER",R31="ER"),"ER",IF(OR(R26="?",R27="?",R28="?",R29="?",R30="?",R31="?"),"?",IF(AND(R26="NA",R27="NA",R28="NA",R29="NA",R30="NA",R31="NA"),"NA",SUM(R26,R27,R28,R29,R30,R31)/((R26&lt;&gt;"NA")*$H$26+(R27&lt;&gt;"NA")*$H$27+(R28&lt;&gt;"NA")*$H$28+(R29&lt;&gt;"NA")*$H$29+(R30&lt;&gt;"NA")*$H$30+(R31&lt;&gt;"NA")*$H$31)*$H25)))</f>
        <v>?</v>
      </c>
      <c r="S25" s="83" t="str">
        <f aca="false">IF(OR(S26="ER",S27="ER",S28="ER",S29="ER",S30="ER",S31="ER"),"ER",IF(OR(S26="?",S27="?",S28="?",S29="?",S30="?",S31="?"),"?",IF(AND(S26="NA",S27="NA",S28="NA",S29="NA",S30="NA",S31="NA"),"NA",SUM(S26,S27,S28,S29,S30,S31)/((S26&lt;&gt;"NA")*$H$26+(S27&lt;&gt;"NA")*$H$27+(S28&lt;&gt;"NA")*$H$28+(S29&lt;&gt;"NA")*$H$29+(S30&lt;&gt;"NA")*$H$30+(S31&lt;&gt;"NA")*$H$31)*$H25)))</f>
        <v>?</v>
      </c>
      <c r="T25" s="83" t="str">
        <f aca="false">IF(OR(T26="ER",T27="ER",T28="ER",T29="ER",T30="ER",T31="ER"),"ER",IF(OR(T26="?",T27="?",T28="?",T29="?",T30="?",T31="?"),"?",IF(AND(T26="NA",T27="NA",T28="NA",T29="NA",T30="NA",T31="NA"),"NA",SUM(T26,T27,T28,T29,T30,T31)/((T26&lt;&gt;"NA")*$H$26+(T27&lt;&gt;"NA")*$H$27+(T28&lt;&gt;"NA")*$H$28+(T29&lt;&gt;"NA")*$H$29+(T30&lt;&gt;"NA")*$H$30+(T31&lt;&gt;"NA")*$H$31)*$H25)))</f>
        <v>?</v>
      </c>
      <c r="U25" s="83" t="str">
        <f aca="false">IF(OR(U26="ER",U27="ER",U28="ER",U29="ER",U30="ER",U31="ER"),"ER",IF(OR(U26="?",U27="?",U28="?",U29="?",U30="?",U31="?"),"?",IF(AND(U26="NA",U27="NA",U28="NA",U29="NA",U30="NA",U31="NA"),"NA",SUM(U26,U27,U28,U29,U30,U31)/((U26&lt;&gt;"NA")*$H$26+(U27&lt;&gt;"NA")*$H$27+(U28&lt;&gt;"NA")*$H$28+(U29&lt;&gt;"NA")*$H$29+(U30&lt;&gt;"NA")*$H$30+(U31&lt;&gt;"NA")*$H$31)*$H25)))</f>
        <v>?</v>
      </c>
      <c r="V25" s="83" t="str">
        <f aca="false">IF(OR(V26="ER",V27="ER",V28="ER",V29="ER",V30="ER",V31="ER"),"ER",IF(OR(V26="?",V27="?",V28="?",V29="?",V30="?",V31="?"),"?",IF(AND(V26="NA",V27="NA",V28="NA",V29="NA",V30="NA",V31="NA"),"NA",SUM(V26,V27,V28,V29,V30,V31)/((V26&lt;&gt;"NA")*$H$26+(V27&lt;&gt;"NA")*$H$27+(V28&lt;&gt;"NA")*$H$28+(V29&lt;&gt;"NA")*$H$29+(V30&lt;&gt;"NA")*$H$30+(V31&lt;&gt;"NA")*$H$31)*$H25)))</f>
        <v>?</v>
      </c>
      <c r="W25" s="83" t="str">
        <f aca="false">IF(OR(W26="ER",W27="ER",W28="ER",W29="ER",W30="ER",W31="ER"),"ER",IF(OR(W26="?",W27="?",W28="?",W29="?",W30="?",W31="?"),"?",IF(AND(W26="NA",W27="NA",W28="NA",W29="NA",W30="NA",W31="NA"),"NA",SUM(W26,W27,W28,W29,W30,W31)/((W26&lt;&gt;"NA")*$H$26+(W27&lt;&gt;"NA")*$H$27+(W28&lt;&gt;"NA")*$H$28+(W29&lt;&gt;"NA")*$H$29+(W30&lt;&gt;"NA")*$H$30+(W31&lt;&gt;"NA")*$H$31)*$H25)))</f>
        <v>?</v>
      </c>
      <c r="X25" s="83" t="str">
        <f aca="false">IF(OR(X26="ER",X27="ER",X28="ER",X29="ER",X30="ER",X31="ER"),"ER",IF(OR(X26="?",X27="?",X28="?",X29="?",X30="?",X31="?"),"?",IF(AND(X26="NA",X27="NA",X28="NA",X29="NA",X30="NA",X31="NA"),"NA",SUM(X26,X27,X28,X29,X30,X31)/((X26&lt;&gt;"NA")*$H$26+(X27&lt;&gt;"NA")*$H$27+(X28&lt;&gt;"NA")*$H$28+(X29&lt;&gt;"NA")*$H$29+(X30&lt;&gt;"NA")*$H$30+(X31&lt;&gt;"NA")*$H$31)*$H25)))</f>
        <v>?</v>
      </c>
      <c r="Y25" s="83" t="str">
        <f aca="false">IF(OR(Y26="ER",Y27="ER",Y28="ER",Y29="ER",Y30="ER",Y31="ER"),"ER",IF(OR(Y26="?",Y27="?",Y28="?",Y29="?",Y30="?",Y31="?"),"?",IF(AND(Y26="NA",Y27="NA",Y28="NA",Y29="NA",Y30="NA",Y31="NA"),"NA",SUM(Y26,Y27,Y28,Y29,Y30,Y31)/((Y26&lt;&gt;"NA")*$H$26+(Y27&lt;&gt;"NA")*$H$27+(Y28&lt;&gt;"NA")*$H$28+(Y29&lt;&gt;"NA")*$H$29+(Y30&lt;&gt;"NA")*$H$30+(Y31&lt;&gt;"NA")*$H$31)*$H25)))</f>
        <v>?</v>
      </c>
      <c r="Z25" s="83" t="str">
        <f aca="false">IF(OR(Z26="ER",Z27="ER",Z28="ER",Z29="ER",Z30="ER",Z31="ER"),"ER",IF(OR(Z26="?",Z27="?",Z28="?",Z29="?",Z30="?",Z31="?"),"?",IF(AND(Z26="NA",Z27="NA",Z28="NA",Z29="NA",Z30="NA",Z31="NA"),"NA",SUM(Z26,Z27,Z28,Z29,Z30,Z31)/((Z26&lt;&gt;"NA")*$H$26+(Z27&lt;&gt;"NA")*$H$27+(Z28&lt;&gt;"NA")*$H$28+(Z29&lt;&gt;"NA")*$H$29+(Z30&lt;&gt;"NA")*$H$30+(Z31&lt;&gt;"NA")*$H$31)*$H25)))</f>
        <v>?</v>
      </c>
      <c r="AA25" s="83" t="str">
        <f aca="false">IF(OR(AA26="ER",AA27="ER",AA28="ER",AA29="ER",AA30="ER",AA31="ER"),"ER",IF(OR(AA26="?",AA27="?",AA28="?",AA29="?",AA30="?",AA31="?"),"?",IF(AND(AA26="NA",AA27="NA",AA28="NA",AA29="NA",AA30="NA",AA31="NA"),"NA",SUM(AA26,AA27,AA28,AA29,AA30,AA31)/((AA26&lt;&gt;"NA")*$H$26+(AA27&lt;&gt;"NA")*$H$27+(AA28&lt;&gt;"NA")*$H$28+(AA29&lt;&gt;"NA")*$H$29+(AA30&lt;&gt;"NA")*$H$30+(AA31&lt;&gt;"NA")*$H$31)*$H25)))</f>
        <v>?</v>
      </c>
      <c r="AB25" s="83" t="str">
        <f aca="false">IF(OR(AB26="ER",AB27="ER",AB28="ER",AB29="ER",AB30="ER",AB31="ER"),"ER",IF(OR(AB26="?",AB27="?",AB28="?",AB29="?",AB30="?",AB31="?"),"?",IF(AND(AB26="NA",AB27="NA",AB28="NA",AB29="NA",AB30="NA",AB31="NA"),"NA",SUM(AB26,AB27,AB28,AB29,AB30,AB31)/((AB26&lt;&gt;"NA")*$H$26+(AB27&lt;&gt;"NA")*$H$27+(AB28&lt;&gt;"NA")*$H$28+(AB29&lt;&gt;"NA")*$H$29+(AB30&lt;&gt;"NA")*$H$30+(AB31&lt;&gt;"NA")*$H$31)*$H25)))</f>
        <v>?</v>
      </c>
      <c r="AC25" s="83" t="str">
        <f aca="false">IF(OR(AC26="ER",AC27="ER",AC28="ER",AC29="ER",AC30="ER",AC31="ER"),"ER",IF(OR(AC26="?",AC27="?",AC28="?",AC29="?",AC30="?",AC31="?"),"?",IF(AND(AC26="NA",AC27="NA",AC28="NA",AC29="NA",AC30="NA",AC31="NA"),"NA",SUM(AC26,AC27,AC28,AC29,AC30,AC31)/((AC26&lt;&gt;"NA")*$H$26+(AC27&lt;&gt;"NA")*$H$27+(AC28&lt;&gt;"NA")*$H$28+(AC29&lt;&gt;"NA")*$H$29+(AC30&lt;&gt;"NA")*$H$30+(AC31&lt;&gt;"NA")*$H$31)*$H25)))</f>
        <v>?</v>
      </c>
      <c r="AD25" s="83" t="str">
        <f aca="false">IF(OR(AD26="ER",AD27="ER",AD28="ER",AD29="ER",AD30="ER",AD31="ER"),"ER",IF(OR(AD26="?",AD27="?",AD28="?",AD29="?",AD30="?",AD31="?"),"?",IF(AND(AD26="NA",AD27="NA",AD28="NA",AD29="NA",AD30="NA",AD31="NA"),"NA",SUM(AD26,AD27,AD28,AD29,AD30,AD31)/((AD26&lt;&gt;"NA")*$H$26+(AD27&lt;&gt;"NA")*$H$27+(AD28&lt;&gt;"NA")*$H$28+(AD29&lt;&gt;"NA")*$H$29+(AD30&lt;&gt;"NA")*$H$30+(AD31&lt;&gt;"NA")*$H$31)*$H25)))</f>
        <v>?</v>
      </c>
      <c r="AE25" s="83" t="str">
        <f aca="false">IF(OR(AE26="ER",AE27="ER",AE28="ER",AE29="ER",AE30="ER",AE31="ER"),"ER",IF(OR(AE26="?",AE27="?",AE28="?",AE29="?",AE30="?",AE31="?"),"?",IF(AND(AE26="NA",AE27="NA",AE28="NA",AE29="NA",AE30="NA",AE31="NA"),"NA",SUM(AE26,AE27,AE28,AE29,AE30,AE31)/((AE26&lt;&gt;"NA")*$H$26+(AE27&lt;&gt;"NA")*$H$27+(AE28&lt;&gt;"NA")*$H$28+(AE29&lt;&gt;"NA")*$H$29+(AE30&lt;&gt;"NA")*$H$30+(AE31&lt;&gt;"NA")*$H$31)*$H25)))</f>
        <v>?</v>
      </c>
      <c r="AF25" s="83" t="str">
        <f aca="false">IF(OR(AF26="ER",AF27="ER",AF28="ER",AF29="ER",AF30="ER",AF31="ER"),"ER",IF(OR(AF26="?",AF27="?",AF28="?",AF29="?",AF30="?",AF31="?"),"?",IF(AND(AF26="NA",AF27="NA",AF28="NA",AF29="NA",AF30="NA",AF31="NA"),"NA",SUM(AF26,AF27,AF28,AF29,AF30,AF31)/((AF26&lt;&gt;"NA")*$H$26+(AF27&lt;&gt;"NA")*$H$27+(AF28&lt;&gt;"NA")*$H$28+(AF29&lt;&gt;"NA")*$H$29+(AF30&lt;&gt;"NA")*$H$30+(AF31&lt;&gt;"NA")*$H$31)*$H25)))</f>
        <v>?</v>
      </c>
      <c r="AG25" s="83" t="str">
        <f aca="false">IF(OR(AG26="ER",AG27="ER",AG28="ER",AG29="ER",AG30="ER",AG31="ER"),"ER",IF(OR(AG26="?",AG27="?",AG28="?",AG29="?",AG30="?",AG31="?"),"?",IF(AND(AG26="NA",AG27="NA",AG28="NA",AG29="NA",AG30="NA",AG31="NA"),"NA",SUM(AG26,AG27,AG28,AG29,AG30,AG31)/((AG26&lt;&gt;"NA")*$H$26+(AG27&lt;&gt;"NA")*$H$27+(AG28&lt;&gt;"NA")*$H$28+(AG29&lt;&gt;"NA")*$H$29+(AG30&lt;&gt;"NA")*$H$30+(AG31&lt;&gt;"NA")*$H$31)*$H25)))</f>
        <v>?</v>
      </c>
      <c r="AH25" s="83" t="str">
        <f aca="false">IF(OR(AH26="ER",AH27="ER",AH28="ER",AH29="ER",AH30="ER",AH31="ER"),"ER",IF(OR(AH26="?",AH27="?",AH28="?",AH29="?",AH30="?",AH31="?"),"?",IF(AND(AH26="NA",AH27="NA",AH28="NA",AH29="NA",AH30="NA",AH31="NA"),"NA",SUM(AH26,AH27,AH28,AH29,AH30,AH31)/((AH26&lt;&gt;"NA")*$H$26+(AH27&lt;&gt;"NA")*$H$27+(AH28&lt;&gt;"NA")*$H$28+(AH29&lt;&gt;"NA")*$H$29+(AH30&lt;&gt;"NA")*$H$30+(AH31&lt;&gt;"NA")*$H$31)*$H25)))</f>
        <v>?</v>
      </c>
      <c r="AI25" s="83" t="str">
        <f aca="false">IF(OR(AI26="ER",AI27="ER",AI28="ER",AI29="ER",AI30="ER",AI31="ER"),"ER",IF(OR(AI26="?",AI27="?",AI28="?",AI29="?",AI30="?",AI31="?"),"?",IF(AND(AI26="NA",AI27="NA",AI28="NA",AI29="NA",AI30="NA",AI31="NA"),"NA",SUM(AI26,AI27,AI28,AI29,AI30,AI31)/((AI26&lt;&gt;"NA")*$H$26+(AI27&lt;&gt;"NA")*$H$27+(AI28&lt;&gt;"NA")*$H$28+(AI29&lt;&gt;"NA")*$H$29+(AI30&lt;&gt;"NA")*$H$30+(AI31&lt;&gt;"NA")*$H$31)*$H25)))</f>
        <v>?</v>
      </c>
      <c r="AJ25" s="83" t="str">
        <f aca="false">IF(OR(AJ26="ER",AJ27="ER",AJ28="ER",AJ29="ER",AJ30="ER",AJ31="ER"),"ER",IF(OR(AJ26="?",AJ27="?",AJ28="?",AJ29="?",AJ30="?",AJ31="?"),"?",IF(AND(AJ26="NA",AJ27="NA",AJ28="NA",AJ29="NA",AJ30="NA",AJ31="NA"),"NA",SUM(AJ26,AJ27,AJ28,AJ29,AJ30,AJ31)/((AJ26&lt;&gt;"NA")*$H$26+(AJ27&lt;&gt;"NA")*$H$27+(AJ28&lt;&gt;"NA")*$H$28+(AJ29&lt;&gt;"NA")*$H$29+(AJ30&lt;&gt;"NA")*$H$30+(AJ31&lt;&gt;"NA")*$H$31)*$H25)))</f>
        <v>?</v>
      </c>
      <c r="AK25" s="83" t="str">
        <f aca="false">IF(OR(AK26="ER",AK27="ER",AK28="ER",AK29="ER",AK30="ER",AK31="ER"),"ER",IF(OR(AK26="?",AK27="?",AK28="?",AK29="?",AK30="?",AK31="?"),"?",IF(AND(AK26="NA",AK27="NA",AK28="NA",AK29="NA",AK30="NA",AK31="NA"),"NA",SUM(AK26,AK27,AK28,AK29,AK30,AK31)/((AK26&lt;&gt;"NA")*$H$26+(AK27&lt;&gt;"NA")*$H$27+(AK28&lt;&gt;"NA")*$H$28+(AK29&lt;&gt;"NA")*$H$29+(AK30&lt;&gt;"NA")*$H$30+(AK31&lt;&gt;"NA")*$H$31)*$H25)))</f>
        <v>?</v>
      </c>
    </row>
    <row r="26" customFormat="false" ht="14.25" hidden="false" customHeight="false" outlineLevel="0" collapsed="false">
      <c r="A26" s="79" t="s">
        <v>118</v>
      </c>
      <c r="B26" s="80" t="str">
        <f aca="false">IF(ISBLANK($A26),"NO_CODE",VLOOKUP($A26,'UPD Questions_290926 '!$E$1:$N$300,MATCH(B$1,'UPD Questions_290926 '!$E$1:$N$1,0),0)&amp;"")</f>
        <v>Planning </v>
      </c>
      <c r="C26" s="80" t="str">
        <f aca="false">IF(ISBLANK($A26),"NO_CODE",VLOOKUP($A26,'UPD Questions_290926 '!$E$1:$N$300,MATCH(C$1,'UPD Questions_290926 '!$E$1:$N$1,0),0)&amp;"")</f>
        <v>Municipal/City Plan objectives and contents</v>
      </c>
      <c r="D26" s="80" t="str">
        <f aca="false">IF(ISBLANK($A26),"NO_CODE",VLOOKUP($A26,'UPD Questions_290926 '!$E$1:$N$300,MATCH(D$1,'UPD Questions_290926 '!$E$1:$N$1,0),0)&amp;"")</f>
        <v>Statutory requirements for plan content</v>
      </c>
      <c r="E26" s="80" t="str">
        <f aca="false">IF(ISBLANK($A26),"NO_CODE",VLOOKUP($A26,'UPD Questions_290926 '!$E$1:$N$300,MATCH(E$1,'UPD Questions_290926 '!$E$1:$N$1,0),0)&amp;"")</f>
        <v>SQ</v>
      </c>
      <c r="F26" s="80" t="str">
        <f aca="false">IF(ISBLANK($A26),"NO_CODE",VLOOKUP($A26,'UPD Questions_290926 '!$E$1:$N$300,MATCH(F$1,'UPD Questions_290926 '!$E$1:$N$1,0),0)&amp;"")</f>
        <v>a) Water Supply/ Sewerage, Sanitation and Solid Waste Management </v>
      </c>
      <c r="G26" s="80" t="str">
        <f aca="false">IF(ISBLANK($A26),"NO_CODE",VLOOKUP($A26,'UPD Questions_290926 '!$E$1:$N$300,MATCH(G$1,'UPD Questions_290926 '!$E$1:$N$1,0),0)&amp;"")</f>
        <v>Law/Policy</v>
      </c>
      <c r="H26" s="82" t="n">
        <f aca="false">IF(ISBLANK($A26),"NO_CODE",VLOOKUP($A26,'UPD Questions_290926 '!$E$1:$N$300,MATCH(H$1,'UPD Questions_290926 '!$E$1:$N$1,0),0))</f>
        <v>1.67</v>
      </c>
      <c r="I26" s="83" t="str">
        <f aca="true">IF($H26=0,"NA",IF($A26=INDIRECT("'"&amp;$A26&amp;"'!$B$1"),IF(VLOOKUP(I$1,INDIRECT("'"&amp;$A26&amp;"'!$A$12:$Z$41"),MATCH("Points (Auto-generate)",INDIRECT("'"&amp;$A26&amp;"'!$A$12:$Z$12"),0),0)="","?",VLOOKUP(I$1,INDIRECT("'"&amp;$A26&amp;"'!$A$12:$Z$41"),MATCH("Points (Auto-generate)",INDIRECT("'"&amp;$A26&amp;"'!$A$12:$Z$12"),0),0)),"ER"))</f>
        <v>?</v>
      </c>
      <c r="J26" s="83" t="str">
        <f aca="true">IF($H26=0,"NA",IF($A26=INDIRECT("'"&amp;$A26&amp;"'!$B$1"),IF(VLOOKUP(J$1,INDIRECT("'"&amp;$A26&amp;"'!$A$12:$Z$41"),MATCH("Points (Auto-generate)",INDIRECT("'"&amp;$A26&amp;"'!$A$12:$Z$12"),0),0)="","?",VLOOKUP(J$1,INDIRECT("'"&amp;$A26&amp;"'!$A$12:$Z$41"),MATCH("Points (Auto-generate)",INDIRECT("'"&amp;$A26&amp;"'!$A$12:$Z$12"),0),0)),"ER"))</f>
        <v>?</v>
      </c>
      <c r="K26" s="83" t="str">
        <f aca="true">IF($H26=0,"NA",IF($A26=INDIRECT("'"&amp;$A26&amp;"'!$B$1"),IF(VLOOKUP(K$1,INDIRECT("'"&amp;$A26&amp;"'!$A$12:$Z$41"),MATCH("Points (Auto-generate)",INDIRECT("'"&amp;$A26&amp;"'!$A$12:$Z$12"),0),0)="","?",VLOOKUP(K$1,INDIRECT("'"&amp;$A26&amp;"'!$A$12:$Z$41"),MATCH("Points (Auto-generate)",INDIRECT("'"&amp;$A26&amp;"'!$A$12:$Z$12"),0),0)),"ER"))</f>
        <v>?</v>
      </c>
      <c r="L26" s="83" t="str">
        <f aca="true">IF($H26=0,"NA",IF($A26=INDIRECT("'"&amp;$A26&amp;"'!$B$1"),IF(VLOOKUP(L$1,INDIRECT("'"&amp;$A26&amp;"'!$A$12:$Z$41"),MATCH("Points (Auto-generate)",INDIRECT("'"&amp;$A26&amp;"'!$A$12:$Z$12"),0),0)="","?",VLOOKUP(L$1,INDIRECT("'"&amp;$A26&amp;"'!$A$12:$Z$41"),MATCH("Points (Auto-generate)",INDIRECT("'"&amp;$A26&amp;"'!$A$12:$Z$12"),0),0)),"ER"))</f>
        <v>?</v>
      </c>
      <c r="M26" s="83" t="str">
        <f aca="true">IF($H26=0,"NA",IF($A26=INDIRECT("'"&amp;$A26&amp;"'!$B$1"),IF(VLOOKUP(M$1,INDIRECT("'"&amp;$A26&amp;"'!$A$12:$Z$41"),MATCH("Points (Auto-generate)",INDIRECT("'"&amp;$A26&amp;"'!$A$12:$Z$12"),0),0)="","?",VLOOKUP(M$1,INDIRECT("'"&amp;$A26&amp;"'!$A$12:$Z$41"),MATCH("Points (Auto-generate)",INDIRECT("'"&amp;$A26&amp;"'!$A$12:$Z$12"),0),0)),"ER"))</f>
        <v>?</v>
      </c>
      <c r="N26" s="83" t="str">
        <f aca="true">IF($H26=0,"NA",IF($A26=INDIRECT("'"&amp;$A26&amp;"'!$B$1"),IF(VLOOKUP(N$1,INDIRECT("'"&amp;$A26&amp;"'!$A$12:$Z$41"),MATCH("Points (Auto-generate)",INDIRECT("'"&amp;$A26&amp;"'!$A$12:$Z$12"),0),0)="","?",VLOOKUP(N$1,INDIRECT("'"&amp;$A26&amp;"'!$A$12:$Z$41"),MATCH("Points (Auto-generate)",INDIRECT("'"&amp;$A26&amp;"'!$A$12:$Z$12"),0),0)),"ER"))</f>
        <v>?</v>
      </c>
      <c r="O26" s="83" t="str">
        <f aca="true">IF($H26=0,"NA",IF($A26=INDIRECT("'"&amp;$A26&amp;"'!$B$1"),IF(VLOOKUP(O$1,INDIRECT("'"&amp;$A26&amp;"'!$A$12:$Z$41"),MATCH("Points (Auto-generate)",INDIRECT("'"&amp;$A26&amp;"'!$A$12:$Z$12"),0),0)="","?",VLOOKUP(O$1,INDIRECT("'"&amp;$A26&amp;"'!$A$12:$Z$41"),MATCH("Points (Auto-generate)",INDIRECT("'"&amp;$A26&amp;"'!$A$12:$Z$12"),0),0)),"ER"))</f>
        <v>?</v>
      </c>
      <c r="P26" s="83" t="str">
        <f aca="true">IF($H26=0,"NA",IF($A26=INDIRECT("'"&amp;$A26&amp;"'!$B$1"),IF(VLOOKUP(P$1,INDIRECT("'"&amp;$A26&amp;"'!$A$12:$Z$41"),MATCH("Points (Auto-generate)",INDIRECT("'"&amp;$A26&amp;"'!$A$12:$Z$12"),0),0)="","?",VLOOKUP(P$1,INDIRECT("'"&amp;$A26&amp;"'!$A$12:$Z$41"),MATCH("Points (Auto-generate)",INDIRECT("'"&amp;$A26&amp;"'!$A$12:$Z$12"),0),0)),"ER"))</f>
        <v>?</v>
      </c>
      <c r="Q26" s="83" t="str">
        <f aca="true">IF($H26=0,"NA",IF($A26=INDIRECT("'"&amp;$A26&amp;"'!$B$1"),IF(VLOOKUP(Q$1,INDIRECT("'"&amp;$A26&amp;"'!$A$12:$Z$41"),MATCH("Points (Auto-generate)",INDIRECT("'"&amp;$A26&amp;"'!$A$12:$Z$12"),0),0)="","?",VLOOKUP(Q$1,INDIRECT("'"&amp;$A26&amp;"'!$A$12:$Z$41"),MATCH("Points (Auto-generate)",INDIRECT("'"&amp;$A26&amp;"'!$A$12:$Z$12"),0),0)),"ER"))</f>
        <v>?</v>
      </c>
      <c r="R26" s="83" t="str">
        <f aca="true">IF($H26=0,"NA",IF($A26=INDIRECT("'"&amp;$A26&amp;"'!$B$1"),IF(VLOOKUP(R$1,INDIRECT("'"&amp;$A26&amp;"'!$A$12:$Z$41"),MATCH("Points (Auto-generate)",INDIRECT("'"&amp;$A26&amp;"'!$A$12:$Z$12"),0),0)="","?",VLOOKUP(R$1,INDIRECT("'"&amp;$A26&amp;"'!$A$12:$Z$41"),MATCH("Points (Auto-generate)",INDIRECT("'"&amp;$A26&amp;"'!$A$12:$Z$12"),0),0)),"ER"))</f>
        <v>?</v>
      </c>
      <c r="S26" s="83" t="str">
        <f aca="true">IF($H26=0,"NA",IF($A26=INDIRECT("'"&amp;$A26&amp;"'!$B$1"),IF(VLOOKUP(S$1,INDIRECT("'"&amp;$A26&amp;"'!$A$12:$Z$41"),MATCH("Points (Auto-generate)",INDIRECT("'"&amp;$A26&amp;"'!$A$12:$Z$12"),0),0)="","?",VLOOKUP(S$1,INDIRECT("'"&amp;$A26&amp;"'!$A$12:$Z$41"),MATCH("Points (Auto-generate)",INDIRECT("'"&amp;$A26&amp;"'!$A$12:$Z$12"),0),0)),"ER"))</f>
        <v>?</v>
      </c>
      <c r="T26" s="83" t="str">
        <f aca="true">IF($H26=0,"NA",IF($A26=INDIRECT("'"&amp;$A26&amp;"'!$B$1"),IF(VLOOKUP(T$1,INDIRECT("'"&amp;$A26&amp;"'!$A$12:$Z$41"),MATCH("Points (Auto-generate)",INDIRECT("'"&amp;$A26&amp;"'!$A$12:$Z$12"),0),0)="","?",VLOOKUP(T$1,INDIRECT("'"&amp;$A26&amp;"'!$A$12:$Z$41"),MATCH("Points (Auto-generate)",INDIRECT("'"&amp;$A26&amp;"'!$A$12:$Z$12"),0),0)),"ER"))</f>
        <v>?</v>
      </c>
      <c r="U26" s="83" t="str">
        <f aca="true">IF($H26=0,"NA",IF($A26=INDIRECT("'"&amp;$A26&amp;"'!$B$1"),IF(VLOOKUP(U$1,INDIRECT("'"&amp;$A26&amp;"'!$A$12:$Z$41"),MATCH("Points (Auto-generate)",INDIRECT("'"&amp;$A26&amp;"'!$A$12:$Z$12"),0),0)="","?",VLOOKUP(U$1,INDIRECT("'"&amp;$A26&amp;"'!$A$12:$Z$41"),MATCH("Points (Auto-generate)",INDIRECT("'"&amp;$A26&amp;"'!$A$12:$Z$12"),0),0)),"ER"))</f>
        <v>?</v>
      </c>
      <c r="V26" s="83" t="str">
        <f aca="true">IF($H26=0,"NA",IF($A26=INDIRECT("'"&amp;$A26&amp;"'!$B$1"),IF(VLOOKUP(V$1,INDIRECT("'"&amp;$A26&amp;"'!$A$12:$Z$41"),MATCH("Points (Auto-generate)",INDIRECT("'"&amp;$A26&amp;"'!$A$12:$Z$12"),0),0)="","?",VLOOKUP(V$1,INDIRECT("'"&amp;$A26&amp;"'!$A$12:$Z$41"),MATCH("Points (Auto-generate)",INDIRECT("'"&amp;$A26&amp;"'!$A$12:$Z$12"),0),0)),"ER"))</f>
        <v>?</v>
      </c>
      <c r="W26" s="83" t="str">
        <f aca="true">IF($H26=0,"NA",IF($A26=INDIRECT("'"&amp;$A26&amp;"'!$B$1"),IF(VLOOKUP(W$1,INDIRECT("'"&amp;$A26&amp;"'!$A$12:$Z$41"),MATCH("Points (Auto-generate)",INDIRECT("'"&amp;$A26&amp;"'!$A$12:$Z$12"),0),0)="","?",VLOOKUP(W$1,INDIRECT("'"&amp;$A26&amp;"'!$A$12:$Z$41"),MATCH("Points (Auto-generate)",INDIRECT("'"&amp;$A26&amp;"'!$A$12:$Z$12"),0),0)),"ER"))</f>
        <v>?</v>
      </c>
      <c r="X26" s="83" t="str">
        <f aca="true">IF($H26=0,"NA",IF($A26=INDIRECT("'"&amp;$A26&amp;"'!$B$1"),IF(VLOOKUP(X$1,INDIRECT("'"&amp;$A26&amp;"'!$A$12:$Z$41"),MATCH("Points (Auto-generate)",INDIRECT("'"&amp;$A26&amp;"'!$A$12:$Z$12"),0),0)="","?",VLOOKUP(X$1,INDIRECT("'"&amp;$A26&amp;"'!$A$12:$Z$41"),MATCH("Points (Auto-generate)",INDIRECT("'"&amp;$A26&amp;"'!$A$12:$Z$12"),0),0)),"ER"))</f>
        <v>?</v>
      </c>
      <c r="Y26" s="83" t="str">
        <f aca="true">IF($H26=0,"NA",IF($A26=INDIRECT("'"&amp;$A26&amp;"'!$B$1"),IF(VLOOKUP(Y$1,INDIRECT("'"&amp;$A26&amp;"'!$A$12:$Z$41"),MATCH("Points (Auto-generate)",INDIRECT("'"&amp;$A26&amp;"'!$A$12:$Z$12"),0),0)="","?",VLOOKUP(Y$1,INDIRECT("'"&amp;$A26&amp;"'!$A$12:$Z$41"),MATCH("Points (Auto-generate)",INDIRECT("'"&amp;$A26&amp;"'!$A$12:$Z$12"),0),0)),"ER"))</f>
        <v>?</v>
      </c>
      <c r="Z26" s="83" t="str">
        <f aca="true">IF($H26=0,"NA",IF($A26=INDIRECT("'"&amp;$A26&amp;"'!$B$1"),IF(VLOOKUP(Z$1,INDIRECT("'"&amp;$A26&amp;"'!$A$12:$Z$41"),MATCH("Points (Auto-generate)",INDIRECT("'"&amp;$A26&amp;"'!$A$12:$Z$12"),0),0)="","?",VLOOKUP(Z$1,INDIRECT("'"&amp;$A26&amp;"'!$A$12:$Z$41"),MATCH("Points (Auto-generate)",INDIRECT("'"&amp;$A26&amp;"'!$A$12:$Z$12"),0),0)),"ER"))</f>
        <v>?</v>
      </c>
      <c r="AA26" s="83" t="str">
        <f aca="true">IF($H26=0,"NA",IF($A26=INDIRECT("'"&amp;$A26&amp;"'!$B$1"),IF(VLOOKUP(AA$1,INDIRECT("'"&amp;$A26&amp;"'!$A$12:$Z$41"),MATCH("Points (Auto-generate)",INDIRECT("'"&amp;$A26&amp;"'!$A$12:$Z$12"),0),0)="","?",VLOOKUP(AA$1,INDIRECT("'"&amp;$A26&amp;"'!$A$12:$Z$41"),MATCH("Points (Auto-generate)",INDIRECT("'"&amp;$A26&amp;"'!$A$12:$Z$12"),0),0)),"ER"))</f>
        <v>?</v>
      </c>
      <c r="AB26" s="83" t="str">
        <f aca="true">IF($H26=0,"NA",IF($A26=INDIRECT("'"&amp;$A26&amp;"'!$B$1"),IF(VLOOKUP(AB$1,INDIRECT("'"&amp;$A26&amp;"'!$A$12:$Z$41"),MATCH("Points (Auto-generate)",INDIRECT("'"&amp;$A26&amp;"'!$A$12:$Z$12"),0),0)="","?",VLOOKUP(AB$1,INDIRECT("'"&amp;$A26&amp;"'!$A$12:$Z$41"),MATCH("Points (Auto-generate)",INDIRECT("'"&amp;$A26&amp;"'!$A$12:$Z$12"),0),0)),"ER"))</f>
        <v>?</v>
      </c>
      <c r="AC26" s="83" t="str">
        <f aca="true">IF($H26=0,"NA",IF($A26=INDIRECT("'"&amp;$A26&amp;"'!$B$1"),IF(VLOOKUP(AC$1,INDIRECT("'"&amp;$A26&amp;"'!$A$12:$Z$41"),MATCH("Points (Auto-generate)",INDIRECT("'"&amp;$A26&amp;"'!$A$12:$Z$12"),0),0)="","?",VLOOKUP(AC$1,INDIRECT("'"&amp;$A26&amp;"'!$A$12:$Z$41"),MATCH("Points (Auto-generate)",INDIRECT("'"&amp;$A26&amp;"'!$A$12:$Z$12"),0),0)),"ER"))</f>
        <v>?</v>
      </c>
      <c r="AD26" s="83" t="str">
        <f aca="true">IF($H26=0,"NA",IF($A26=INDIRECT("'"&amp;$A26&amp;"'!$B$1"),IF(VLOOKUP(AD$1,INDIRECT("'"&amp;$A26&amp;"'!$A$12:$Z$41"),MATCH("Points (Auto-generate)",INDIRECT("'"&amp;$A26&amp;"'!$A$12:$Z$12"),0),0)="","?",VLOOKUP(AD$1,INDIRECT("'"&amp;$A26&amp;"'!$A$12:$Z$41"),MATCH("Points (Auto-generate)",INDIRECT("'"&amp;$A26&amp;"'!$A$12:$Z$12"),0),0)),"ER"))</f>
        <v>?</v>
      </c>
      <c r="AE26" s="83" t="str">
        <f aca="true">IF($H26=0,"NA",IF($A26=INDIRECT("'"&amp;$A26&amp;"'!$B$1"),IF(VLOOKUP(AE$1,INDIRECT("'"&amp;$A26&amp;"'!$A$12:$Z$41"),MATCH("Points (Auto-generate)",INDIRECT("'"&amp;$A26&amp;"'!$A$12:$Z$12"),0),0)="","?",VLOOKUP(AE$1,INDIRECT("'"&amp;$A26&amp;"'!$A$12:$Z$41"),MATCH("Points (Auto-generate)",INDIRECT("'"&amp;$A26&amp;"'!$A$12:$Z$12"),0),0)),"ER"))</f>
        <v>?</v>
      </c>
      <c r="AF26" s="83" t="str">
        <f aca="true">IF($H26=0,"NA",IF($A26=INDIRECT("'"&amp;$A26&amp;"'!$B$1"),IF(VLOOKUP(AF$1,INDIRECT("'"&amp;$A26&amp;"'!$A$12:$Z$41"),MATCH("Points (Auto-generate)",INDIRECT("'"&amp;$A26&amp;"'!$A$12:$Z$12"),0),0)="","?",VLOOKUP(AF$1,INDIRECT("'"&amp;$A26&amp;"'!$A$12:$Z$41"),MATCH("Points (Auto-generate)",INDIRECT("'"&amp;$A26&amp;"'!$A$12:$Z$12"),0),0)),"ER"))</f>
        <v>?</v>
      </c>
      <c r="AG26" s="83" t="str">
        <f aca="true">IF($H26=0,"NA",IF($A26=INDIRECT("'"&amp;$A26&amp;"'!$B$1"),IF(VLOOKUP(AG$1,INDIRECT("'"&amp;$A26&amp;"'!$A$12:$Z$41"),MATCH("Points (Auto-generate)",INDIRECT("'"&amp;$A26&amp;"'!$A$12:$Z$12"),0),0)="","?",VLOOKUP(AG$1,INDIRECT("'"&amp;$A26&amp;"'!$A$12:$Z$41"),MATCH("Points (Auto-generate)",INDIRECT("'"&amp;$A26&amp;"'!$A$12:$Z$12"),0),0)),"ER"))</f>
        <v>?</v>
      </c>
      <c r="AH26" s="83" t="str">
        <f aca="true">IF($H26=0,"NA",IF($A26=INDIRECT("'"&amp;$A26&amp;"'!$B$1"),IF(VLOOKUP(AH$1,INDIRECT("'"&amp;$A26&amp;"'!$A$12:$Z$41"),MATCH("Points (Auto-generate)",INDIRECT("'"&amp;$A26&amp;"'!$A$12:$Z$12"),0),0)="","?",VLOOKUP(AH$1,INDIRECT("'"&amp;$A26&amp;"'!$A$12:$Z$41"),MATCH("Points (Auto-generate)",INDIRECT("'"&amp;$A26&amp;"'!$A$12:$Z$12"),0),0)),"ER"))</f>
        <v>?</v>
      </c>
      <c r="AI26" s="83" t="str">
        <f aca="true">IF($H26=0,"NA",IF($A26=INDIRECT("'"&amp;$A26&amp;"'!$B$1"),IF(VLOOKUP(AI$1,INDIRECT("'"&amp;$A26&amp;"'!$A$12:$Z$41"),MATCH("Points (Auto-generate)",INDIRECT("'"&amp;$A26&amp;"'!$A$12:$Z$12"),0),0)="","?",VLOOKUP(AI$1,INDIRECT("'"&amp;$A26&amp;"'!$A$12:$Z$41"),MATCH("Points (Auto-generate)",INDIRECT("'"&amp;$A26&amp;"'!$A$12:$Z$12"),0),0)),"ER"))</f>
        <v>?</v>
      </c>
      <c r="AJ26" s="83" t="str">
        <f aca="true">IF($H26=0,"NA",IF($A26=INDIRECT("'"&amp;$A26&amp;"'!$B$1"),IF(VLOOKUP(AJ$1,INDIRECT("'"&amp;$A26&amp;"'!$A$12:$Z$41"),MATCH("Points (Auto-generate)",INDIRECT("'"&amp;$A26&amp;"'!$A$12:$Z$12"),0),0)="","?",VLOOKUP(AJ$1,INDIRECT("'"&amp;$A26&amp;"'!$A$12:$Z$41"),MATCH("Points (Auto-generate)",INDIRECT("'"&amp;$A26&amp;"'!$A$12:$Z$12"),0),0)),"ER"))</f>
        <v>?</v>
      </c>
      <c r="AK26" s="83" t="str">
        <f aca="true">IF($H26=0,"NA",IF($A26=INDIRECT("'"&amp;$A26&amp;"'!$B$1"),IF(VLOOKUP(AK$1,INDIRECT("'"&amp;$A26&amp;"'!$A$12:$Z$41"),MATCH("Points (Auto-generate)",INDIRECT("'"&amp;$A26&amp;"'!$A$12:$Z$12"),0),0)="","?",VLOOKUP(AK$1,INDIRECT("'"&amp;$A26&amp;"'!$A$12:$Z$41"),MATCH("Points (Auto-generate)",INDIRECT("'"&amp;$A26&amp;"'!$A$12:$Z$12"),0),0)),"ER"))</f>
        <v>?</v>
      </c>
    </row>
    <row r="27" customFormat="false" ht="14.25" hidden="false" customHeight="false" outlineLevel="0" collapsed="false">
      <c r="A27" s="79" t="s">
        <v>125</v>
      </c>
      <c r="B27" s="80" t="str">
        <f aca="false">IF(ISBLANK($A27),"NO_CODE",VLOOKUP($A27,'UPD Questions_290926 '!$E$1:$N$300,MATCH(B$1,'UPD Questions_290926 '!$E$1:$N$1,0),0)&amp;"")</f>
        <v>Planning </v>
      </c>
      <c r="C27" s="80" t="str">
        <f aca="false">IF(ISBLANK($A27),"NO_CODE",VLOOKUP($A27,'UPD Questions_290926 '!$E$1:$N$300,MATCH(C$1,'UPD Questions_290926 '!$E$1:$N$1,0),0)&amp;"")</f>
        <v>Municipal/City Plan objectives and contents</v>
      </c>
      <c r="D27" s="80" t="str">
        <f aca="false">IF(ISBLANK($A27),"NO_CODE",VLOOKUP($A27,'UPD Questions_290926 '!$E$1:$N$300,MATCH(D$1,'UPD Questions_290926 '!$E$1:$N$1,0),0)&amp;"")</f>
        <v>Statutory requirements for plan content</v>
      </c>
      <c r="E27" s="80" t="str">
        <f aca="false">IF(ISBLANK($A27),"NO_CODE",VLOOKUP($A27,'UPD Questions_290926 '!$E$1:$N$300,MATCH(E$1,'UPD Questions_290926 '!$E$1:$N$1,0),0)&amp;"")</f>
        <v>SQ</v>
      </c>
      <c r="F27" s="80" t="str">
        <f aca="false">IF(ISBLANK($A27),"NO_CODE",VLOOKUP($A27,'UPD Questions_290926 '!$E$1:$N$300,MATCH(F$1,'UPD Questions_290926 '!$E$1:$N$1,0),0)&amp;"")</f>
        <v>b) Disaster Resilience</v>
      </c>
      <c r="G27" s="80" t="str">
        <f aca="false">IF(ISBLANK($A27),"NO_CODE",VLOOKUP($A27,'UPD Questions_290926 '!$E$1:$N$300,MATCH(G$1,'UPD Questions_290926 '!$E$1:$N$1,0),0)&amp;"")</f>
        <v>Law/Policy</v>
      </c>
      <c r="H27" s="82" t="n">
        <f aca="false">IF(ISBLANK($A27),"NO_CODE",VLOOKUP($A27,'UPD Questions_290926 '!$E$1:$N$300,MATCH(H$1,'UPD Questions_290926 '!$E$1:$N$1,0),0))</f>
        <v>1.67</v>
      </c>
      <c r="I27" s="83" t="str">
        <f aca="true">IF($H27=0,"NA",IF($A27=INDIRECT("'"&amp;$A27&amp;"'!$B$1"),IF(VLOOKUP(I$1,INDIRECT("'"&amp;$A27&amp;"'!$A$12:$Z$41"),MATCH("Points (Auto-generate)",INDIRECT("'"&amp;$A27&amp;"'!$A$12:$Z$12"),0),0)="","?",VLOOKUP(I$1,INDIRECT("'"&amp;$A27&amp;"'!$A$12:$Z$41"),MATCH("Points (Auto-generate)",INDIRECT("'"&amp;$A27&amp;"'!$A$12:$Z$12"),0),0)),"ER"))</f>
        <v>?</v>
      </c>
      <c r="J27" s="83" t="str">
        <f aca="true">IF($H27=0,"NA",IF($A27=INDIRECT("'"&amp;$A27&amp;"'!$B$1"),IF(VLOOKUP(J$1,INDIRECT("'"&amp;$A27&amp;"'!$A$12:$Z$41"),MATCH("Points (Auto-generate)",INDIRECT("'"&amp;$A27&amp;"'!$A$12:$Z$12"),0),0)="","?",VLOOKUP(J$1,INDIRECT("'"&amp;$A27&amp;"'!$A$12:$Z$41"),MATCH("Points (Auto-generate)",INDIRECT("'"&amp;$A27&amp;"'!$A$12:$Z$12"),0),0)),"ER"))</f>
        <v>?</v>
      </c>
      <c r="K27" s="83" t="str">
        <f aca="true">IF($H27=0,"NA",IF($A27=INDIRECT("'"&amp;$A27&amp;"'!$B$1"),IF(VLOOKUP(K$1,INDIRECT("'"&amp;$A27&amp;"'!$A$12:$Z$41"),MATCH("Points (Auto-generate)",INDIRECT("'"&amp;$A27&amp;"'!$A$12:$Z$12"),0),0)="","?",VLOOKUP(K$1,INDIRECT("'"&amp;$A27&amp;"'!$A$12:$Z$41"),MATCH("Points (Auto-generate)",INDIRECT("'"&amp;$A27&amp;"'!$A$12:$Z$12"),0),0)),"ER"))</f>
        <v>?</v>
      </c>
      <c r="L27" s="83" t="str">
        <f aca="true">IF($H27=0,"NA",IF($A27=INDIRECT("'"&amp;$A27&amp;"'!$B$1"),IF(VLOOKUP(L$1,INDIRECT("'"&amp;$A27&amp;"'!$A$12:$Z$41"),MATCH("Points (Auto-generate)",INDIRECT("'"&amp;$A27&amp;"'!$A$12:$Z$12"),0),0)="","?",VLOOKUP(L$1,INDIRECT("'"&amp;$A27&amp;"'!$A$12:$Z$41"),MATCH("Points (Auto-generate)",INDIRECT("'"&amp;$A27&amp;"'!$A$12:$Z$12"),0),0)),"ER"))</f>
        <v>?</v>
      </c>
      <c r="M27" s="83" t="str">
        <f aca="true">IF($H27=0,"NA",IF($A27=INDIRECT("'"&amp;$A27&amp;"'!$B$1"),IF(VLOOKUP(M$1,INDIRECT("'"&amp;$A27&amp;"'!$A$12:$Z$41"),MATCH("Points (Auto-generate)",INDIRECT("'"&amp;$A27&amp;"'!$A$12:$Z$12"),0),0)="","?",VLOOKUP(M$1,INDIRECT("'"&amp;$A27&amp;"'!$A$12:$Z$41"),MATCH("Points (Auto-generate)",INDIRECT("'"&amp;$A27&amp;"'!$A$12:$Z$12"),0),0)),"ER"))</f>
        <v>?</v>
      </c>
      <c r="N27" s="83" t="str">
        <f aca="true">IF($H27=0,"NA",IF($A27=INDIRECT("'"&amp;$A27&amp;"'!$B$1"),IF(VLOOKUP(N$1,INDIRECT("'"&amp;$A27&amp;"'!$A$12:$Z$41"),MATCH("Points (Auto-generate)",INDIRECT("'"&amp;$A27&amp;"'!$A$12:$Z$12"),0),0)="","?",VLOOKUP(N$1,INDIRECT("'"&amp;$A27&amp;"'!$A$12:$Z$41"),MATCH("Points (Auto-generate)",INDIRECT("'"&amp;$A27&amp;"'!$A$12:$Z$12"),0),0)),"ER"))</f>
        <v>?</v>
      </c>
      <c r="O27" s="83" t="str">
        <f aca="true">IF($H27=0,"NA",IF($A27=INDIRECT("'"&amp;$A27&amp;"'!$B$1"),IF(VLOOKUP(O$1,INDIRECT("'"&amp;$A27&amp;"'!$A$12:$Z$41"),MATCH("Points (Auto-generate)",INDIRECT("'"&amp;$A27&amp;"'!$A$12:$Z$12"),0),0)="","?",VLOOKUP(O$1,INDIRECT("'"&amp;$A27&amp;"'!$A$12:$Z$41"),MATCH("Points (Auto-generate)",INDIRECT("'"&amp;$A27&amp;"'!$A$12:$Z$12"),0),0)),"ER"))</f>
        <v>?</v>
      </c>
      <c r="P27" s="83" t="str">
        <f aca="true">IF($H27=0,"NA",IF($A27=INDIRECT("'"&amp;$A27&amp;"'!$B$1"),IF(VLOOKUP(P$1,INDIRECT("'"&amp;$A27&amp;"'!$A$12:$Z$41"),MATCH("Points (Auto-generate)",INDIRECT("'"&amp;$A27&amp;"'!$A$12:$Z$12"),0),0)="","?",VLOOKUP(P$1,INDIRECT("'"&amp;$A27&amp;"'!$A$12:$Z$41"),MATCH("Points (Auto-generate)",INDIRECT("'"&amp;$A27&amp;"'!$A$12:$Z$12"),0),0)),"ER"))</f>
        <v>?</v>
      </c>
      <c r="Q27" s="83" t="str">
        <f aca="true">IF($H27=0,"NA",IF($A27=INDIRECT("'"&amp;$A27&amp;"'!$B$1"),IF(VLOOKUP(Q$1,INDIRECT("'"&amp;$A27&amp;"'!$A$12:$Z$41"),MATCH("Points (Auto-generate)",INDIRECT("'"&amp;$A27&amp;"'!$A$12:$Z$12"),0),0)="","?",VLOOKUP(Q$1,INDIRECT("'"&amp;$A27&amp;"'!$A$12:$Z$41"),MATCH("Points (Auto-generate)",INDIRECT("'"&amp;$A27&amp;"'!$A$12:$Z$12"),0),0)),"ER"))</f>
        <v>?</v>
      </c>
      <c r="R27" s="83" t="str">
        <f aca="true">IF($H27=0,"NA",IF($A27=INDIRECT("'"&amp;$A27&amp;"'!$B$1"),IF(VLOOKUP(R$1,INDIRECT("'"&amp;$A27&amp;"'!$A$12:$Z$41"),MATCH("Points (Auto-generate)",INDIRECT("'"&amp;$A27&amp;"'!$A$12:$Z$12"),0),0)="","?",VLOOKUP(R$1,INDIRECT("'"&amp;$A27&amp;"'!$A$12:$Z$41"),MATCH("Points (Auto-generate)",INDIRECT("'"&amp;$A27&amp;"'!$A$12:$Z$12"),0),0)),"ER"))</f>
        <v>?</v>
      </c>
      <c r="S27" s="83" t="str">
        <f aca="true">IF($H27=0,"NA",IF($A27=INDIRECT("'"&amp;$A27&amp;"'!$B$1"),IF(VLOOKUP(S$1,INDIRECT("'"&amp;$A27&amp;"'!$A$12:$Z$41"),MATCH("Points (Auto-generate)",INDIRECT("'"&amp;$A27&amp;"'!$A$12:$Z$12"),0),0)="","?",VLOOKUP(S$1,INDIRECT("'"&amp;$A27&amp;"'!$A$12:$Z$41"),MATCH("Points (Auto-generate)",INDIRECT("'"&amp;$A27&amp;"'!$A$12:$Z$12"),0),0)),"ER"))</f>
        <v>?</v>
      </c>
      <c r="T27" s="83" t="str">
        <f aca="true">IF($H27=0,"NA",IF($A27=INDIRECT("'"&amp;$A27&amp;"'!$B$1"),IF(VLOOKUP(T$1,INDIRECT("'"&amp;$A27&amp;"'!$A$12:$Z$41"),MATCH("Points (Auto-generate)",INDIRECT("'"&amp;$A27&amp;"'!$A$12:$Z$12"),0),0)="","?",VLOOKUP(T$1,INDIRECT("'"&amp;$A27&amp;"'!$A$12:$Z$41"),MATCH("Points (Auto-generate)",INDIRECT("'"&amp;$A27&amp;"'!$A$12:$Z$12"),0),0)),"ER"))</f>
        <v>?</v>
      </c>
      <c r="U27" s="83" t="str">
        <f aca="true">IF($H27=0,"NA",IF($A27=INDIRECT("'"&amp;$A27&amp;"'!$B$1"),IF(VLOOKUP(U$1,INDIRECT("'"&amp;$A27&amp;"'!$A$12:$Z$41"),MATCH("Points (Auto-generate)",INDIRECT("'"&amp;$A27&amp;"'!$A$12:$Z$12"),0),0)="","?",VLOOKUP(U$1,INDIRECT("'"&amp;$A27&amp;"'!$A$12:$Z$41"),MATCH("Points (Auto-generate)",INDIRECT("'"&amp;$A27&amp;"'!$A$12:$Z$12"),0),0)),"ER"))</f>
        <v>?</v>
      </c>
      <c r="V27" s="83" t="str">
        <f aca="true">IF($H27=0,"NA",IF($A27=INDIRECT("'"&amp;$A27&amp;"'!$B$1"),IF(VLOOKUP(V$1,INDIRECT("'"&amp;$A27&amp;"'!$A$12:$Z$41"),MATCH("Points (Auto-generate)",INDIRECT("'"&amp;$A27&amp;"'!$A$12:$Z$12"),0),0)="","?",VLOOKUP(V$1,INDIRECT("'"&amp;$A27&amp;"'!$A$12:$Z$41"),MATCH("Points (Auto-generate)",INDIRECT("'"&amp;$A27&amp;"'!$A$12:$Z$12"),0),0)),"ER"))</f>
        <v>?</v>
      </c>
      <c r="W27" s="83" t="str">
        <f aca="true">IF($H27=0,"NA",IF($A27=INDIRECT("'"&amp;$A27&amp;"'!$B$1"),IF(VLOOKUP(W$1,INDIRECT("'"&amp;$A27&amp;"'!$A$12:$Z$41"),MATCH("Points (Auto-generate)",INDIRECT("'"&amp;$A27&amp;"'!$A$12:$Z$12"),0),0)="","?",VLOOKUP(W$1,INDIRECT("'"&amp;$A27&amp;"'!$A$12:$Z$41"),MATCH("Points (Auto-generate)",INDIRECT("'"&amp;$A27&amp;"'!$A$12:$Z$12"),0),0)),"ER"))</f>
        <v>?</v>
      </c>
      <c r="X27" s="83" t="str">
        <f aca="true">IF($H27=0,"NA",IF($A27=INDIRECT("'"&amp;$A27&amp;"'!$B$1"),IF(VLOOKUP(X$1,INDIRECT("'"&amp;$A27&amp;"'!$A$12:$Z$41"),MATCH("Points (Auto-generate)",INDIRECT("'"&amp;$A27&amp;"'!$A$12:$Z$12"),0),0)="","?",VLOOKUP(X$1,INDIRECT("'"&amp;$A27&amp;"'!$A$12:$Z$41"),MATCH("Points (Auto-generate)",INDIRECT("'"&amp;$A27&amp;"'!$A$12:$Z$12"),0),0)),"ER"))</f>
        <v>?</v>
      </c>
      <c r="Y27" s="83" t="str">
        <f aca="true">IF($H27=0,"NA",IF($A27=INDIRECT("'"&amp;$A27&amp;"'!$B$1"),IF(VLOOKUP(Y$1,INDIRECT("'"&amp;$A27&amp;"'!$A$12:$Z$41"),MATCH("Points (Auto-generate)",INDIRECT("'"&amp;$A27&amp;"'!$A$12:$Z$12"),0),0)="","?",VLOOKUP(Y$1,INDIRECT("'"&amp;$A27&amp;"'!$A$12:$Z$41"),MATCH("Points (Auto-generate)",INDIRECT("'"&amp;$A27&amp;"'!$A$12:$Z$12"),0),0)),"ER"))</f>
        <v>?</v>
      </c>
      <c r="Z27" s="83" t="str">
        <f aca="true">IF($H27=0,"NA",IF($A27=INDIRECT("'"&amp;$A27&amp;"'!$B$1"),IF(VLOOKUP(Z$1,INDIRECT("'"&amp;$A27&amp;"'!$A$12:$Z$41"),MATCH("Points (Auto-generate)",INDIRECT("'"&amp;$A27&amp;"'!$A$12:$Z$12"),0),0)="","?",VLOOKUP(Z$1,INDIRECT("'"&amp;$A27&amp;"'!$A$12:$Z$41"),MATCH("Points (Auto-generate)",INDIRECT("'"&amp;$A27&amp;"'!$A$12:$Z$12"),0),0)),"ER"))</f>
        <v>?</v>
      </c>
      <c r="AA27" s="83" t="str">
        <f aca="true">IF($H27=0,"NA",IF($A27=INDIRECT("'"&amp;$A27&amp;"'!$B$1"),IF(VLOOKUP(AA$1,INDIRECT("'"&amp;$A27&amp;"'!$A$12:$Z$41"),MATCH("Points (Auto-generate)",INDIRECT("'"&amp;$A27&amp;"'!$A$12:$Z$12"),0),0)="","?",VLOOKUP(AA$1,INDIRECT("'"&amp;$A27&amp;"'!$A$12:$Z$41"),MATCH("Points (Auto-generate)",INDIRECT("'"&amp;$A27&amp;"'!$A$12:$Z$12"),0),0)),"ER"))</f>
        <v>?</v>
      </c>
      <c r="AB27" s="83" t="str">
        <f aca="true">IF($H27=0,"NA",IF($A27=INDIRECT("'"&amp;$A27&amp;"'!$B$1"),IF(VLOOKUP(AB$1,INDIRECT("'"&amp;$A27&amp;"'!$A$12:$Z$41"),MATCH("Points (Auto-generate)",INDIRECT("'"&amp;$A27&amp;"'!$A$12:$Z$12"),0),0)="","?",VLOOKUP(AB$1,INDIRECT("'"&amp;$A27&amp;"'!$A$12:$Z$41"),MATCH("Points (Auto-generate)",INDIRECT("'"&amp;$A27&amp;"'!$A$12:$Z$12"),0),0)),"ER"))</f>
        <v>?</v>
      </c>
      <c r="AC27" s="83" t="str">
        <f aca="true">IF($H27=0,"NA",IF($A27=INDIRECT("'"&amp;$A27&amp;"'!$B$1"),IF(VLOOKUP(AC$1,INDIRECT("'"&amp;$A27&amp;"'!$A$12:$Z$41"),MATCH("Points (Auto-generate)",INDIRECT("'"&amp;$A27&amp;"'!$A$12:$Z$12"),0),0)="","?",VLOOKUP(AC$1,INDIRECT("'"&amp;$A27&amp;"'!$A$12:$Z$41"),MATCH("Points (Auto-generate)",INDIRECT("'"&amp;$A27&amp;"'!$A$12:$Z$12"),0),0)),"ER"))</f>
        <v>?</v>
      </c>
      <c r="AD27" s="83" t="str">
        <f aca="true">IF($H27=0,"NA",IF($A27=INDIRECT("'"&amp;$A27&amp;"'!$B$1"),IF(VLOOKUP(AD$1,INDIRECT("'"&amp;$A27&amp;"'!$A$12:$Z$41"),MATCH("Points (Auto-generate)",INDIRECT("'"&amp;$A27&amp;"'!$A$12:$Z$12"),0),0)="","?",VLOOKUP(AD$1,INDIRECT("'"&amp;$A27&amp;"'!$A$12:$Z$41"),MATCH("Points (Auto-generate)",INDIRECT("'"&amp;$A27&amp;"'!$A$12:$Z$12"),0),0)),"ER"))</f>
        <v>?</v>
      </c>
      <c r="AE27" s="83" t="str">
        <f aca="true">IF($H27=0,"NA",IF($A27=INDIRECT("'"&amp;$A27&amp;"'!$B$1"),IF(VLOOKUP(AE$1,INDIRECT("'"&amp;$A27&amp;"'!$A$12:$Z$41"),MATCH("Points (Auto-generate)",INDIRECT("'"&amp;$A27&amp;"'!$A$12:$Z$12"),0),0)="","?",VLOOKUP(AE$1,INDIRECT("'"&amp;$A27&amp;"'!$A$12:$Z$41"),MATCH("Points (Auto-generate)",INDIRECT("'"&amp;$A27&amp;"'!$A$12:$Z$12"),0),0)),"ER"))</f>
        <v>?</v>
      </c>
      <c r="AF27" s="83" t="str">
        <f aca="true">IF($H27=0,"NA",IF($A27=INDIRECT("'"&amp;$A27&amp;"'!$B$1"),IF(VLOOKUP(AF$1,INDIRECT("'"&amp;$A27&amp;"'!$A$12:$Z$41"),MATCH("Points (Auto-generate)",INDIRECT("'"&amp;$A27&amp;"'!$A$12:$Z$12"),0),0)="","?",VLOOKUP(AF$1,INDIRECT("'"&amp;$A27&amp;"'!$A$12:$Z$41"),MATCH("Points (Auto-generate)",INDIRECT("'"&amp;$A27&amp;"'!$A$12:$Z$12"),0),0)),"ER"))</f>
        <v>?</v>
      </c>
      <c r="AG27" s="83" t="str">
        <f aca="true">IF($H27=0,"NA",IF($A27=INDIRECT("'"&amp;$A27&amp;"'!$B$1"),IF(VLOOKUP(AG$1,INDIRECT("'"&amp;$A27&amp;"'!$A$12:$Z$41"),MATCH("Points (Auto-generate)",INDIRECT("'"&amp;$A27&amp;"'!$A$12:$Z$12"),0),0)="","?",VLOOKUP(AG$1,INDIRECT("'"&amp;$A27&amp;"'!$A$12:$Z$41"),MATCH("Points (Auto-generate)",INDIRECT("'"&amp;$A27&amp;"'!$A$12:$Z$12"),0),0)),"ER"))</f>
        <v>?</v>
      </c>
      <c r="AH27" s="83" t="str">
        <f aca="true">IF($H27=0,"NA",IF($A27=INDIRECT("'"&amp;$A27&amp;"'!$B$1"),IF(VLOOKUP(AH$1,INDIRECT("'"&amp;$A27&amp;"'!$A$12:$Z$41"),MATCH("Points (Auto-generate)",INDIRECT("'"&amp;$A27&amp;"'!$A$12:$Z$12"),0),0)="","?",VLOOKUP(AH$1,INDIRECT("'"&amp;$A27&amp;"'!$A$12:$Z$41"),MATCH("Points (Auto-generate)",INDIRECT("'"&amp;$A27&amp;"'!$A$12:$Z$12"),0),0)),"ER"))</f>
        <v>?</v>
      </c>
      <c r="AI27" s="83" t="str">
        <f aca="true">IF($H27=0,"NA",IF($A27=INDIRECT("'"&amp;$A27&amp;"'!$B$1"),IF(VLOOKUP(AI$1,INDIRECT("'"&amp;$A27&amp;"'!$A$12:$Z$41"),MATCH("Points (Auto-generate)",INDIRECT("'"&amp;$A27&amp;"'!$A$12:$Z$12"),0),0)="","?",VLOOKUP(AI$1,INDIRECT("'"&amp;$A27&amp;"'!$A$12:$Z$41"),MATCH("Points (Auto-generate)",INDIRECT("'"&amp;$A27&amp;"'!$A$12:$Z$12"),0),0)),"ER"))</f>
        <v>?</v>
      </c>
      <c r="AJ27" s="83" t="str">
        <f aca="true">IF($H27=0,"NA",IF($A27=INDIRECT("'"&amp;$A27&amp;"'!$B$1"),IF(VLOOKUP(AJ$1,INDIRECT("'"&amp;$A27&amp;"'!$A$12:$Z$41"),MATCH("Points (Auto-generate)",INDIRECT("'"&amp;$A27&amp;"'!$A$12:$Z$12"),0),0)="","?",VLOOKUP(AJ$1,INDIRECT("'"&amp;$A27&amp;"'!$A$12:$Z$41"),MATCH("Points (Auto-generate)",INDIRECT("'"&amp;$A27&amp;"'!$A$12:$Z$12"),0),0)),"ER"))</f>
        <v>?</v>
      </c>
      <c r="AK27" s="83" t="str">
        <f aca="true">IF($H27=0,"NA",IF($A27=INDIRECT("'"&amp;$A27&amp;"'!$B$1"),IF(VLOOKUP(AK$1,INDIRECT("'"&amp;$A27&amp;"'!$A$12:$Z$41"),MATCH("Points (Auto-generate)",INDIRECT("'"&amp;$A27&amp;"'!$A$12:$Z$12"),0),0)="","?",VLOOKUP(AK$1,INDIRECT("'"&amp;$A27&amp;"'!$A$12:$Z$41"),MATCH("Points (Auto-generate)",INDIRECT("'"&amp;$A27&amp;"'!$A$12:$Z$12"),0),0)),"ER"))</f>
        <v>?</v>
      </c>
    </row>
    <row r="28" customFormat="false" ht="14.25" hidden="false" customHeight="false" outlineLevel="0" collapsed="false">
      <c r="A28" s="79" t="s">
        <v>128</v>
      </c>
      <c r="B28" s="80" t="str">
        <f aca="false">IF(ISBLANK($A28),"NO_CODE",VLOOKUP($A28,'UPD Questions_290926 '!$E$1:$N$300,MATCH(B$1,'UPD Questions_290926 '!$E$1:$N$1,0),0)&amp;"")</f>
        <v>Planning </v>
      </c>
      <c r="C28" s="80" t="str">
        <f aca="false">IF(ISBLANK($A28),"NO_CODE",VLOOKUP($A28,'UPD Questions_290926 '!$E$1:$N$300,MATCH(C$1,'UPD Questions_290926 '!$E$1:$N$1,0),0)&amp;"")</f>
        <v>Municipal/City Plan objectives and contents</v>
      </c>
      <c r="D28" s="80" t="str">
        <f aca="false">IF(ISBLANK($A28),"NO_CODE",VLOOKUP($A28,'UPD Questions_290926 '!$E$1:$N$300,MATCH(D$1,'UPD Questions_290926 '!$E$1:$N$1,0),0)&amp;"")</f>
        <v>Statutory requirements for plan content</v>
      </c>
      <c r="E28" s="80" t="str">
        <f aca="false">IF(ISBLANK($A28),"NO_CODE",VLOOKUP($A28,'UPD Questions_290926 '!$E$1:$N$300,MATCH(E$1,'UPD Questions_290926 '!$E$1:$N$1,0),0)&amp;"")</f>
        <v>SQ</v>
      </c>
      <c r="F28" s="80" t="str">
        <f aca="false">IF(ISBLANK($A28),"NO_CODE",VLOOKUP($A28,'UPD Questions_290926 '!$E$1:$N$300,MATCH(F$1,'UPD Questions_290926 '!$E$1:$N$1,0),0)&amp;"")</f>
        <v>c) Comprehensive mobility</v>
      </c>
      <c r="G28" s="80" t="str">
        <f aca="false">IF(ISBLANK($A28),"NO_CODE",VLOOKUP($A28,'UPD Questions_290926 '!$E$1:$N$300,MATCH(G$1,'UPD Questions_290926 '!$E$1:$N$1,0),0)&amp;"")</f>
        <v>Law/Policy</v>
      </c>
      <c r="H28" s="82" t="n">
        <f aca="false">IF(ISBLANK($A28),"NO_CODE",VLOOKUP($A28,'UPD Questions_290926 '!$E$1:$N$300,MATCH(H$1,'UPD Questions_290926 '!$E$1:$N$1,0),0))</f>
        <v>1.67</v>
      </c>
      <c r="I28" s="83" t="str">
        <f aca="true">IF($H28=0,"NA",IF($A28=INDIRECT("'"&amp;$A28&amp;"'!$B$1"),IF(VLOOKUP(I$1,INDIRECT("'"&amp;$A28&amp;"'!$A$12:$Z$41"),MATCH("Points (Auto-generate)",INDIRECT("'"&amp;$A28&amp;"'!$A$12:$Z$12"),0),0)="","?",VLOOKUP(I$1,INDIRECT("'"&amp;$A28&amp;"'!$A$12:$Z$41"),MATCH("Points (Auto-generate)",INDIRECT("'"&amp;$A28&amp;"'!$A$12:$Z$12"),0),0)),"ER"))</f>
        <v>?</v>
      </c>
      <c r="J28" s="83" t="str">
        <f aca="true">IF($H28=0,"NA",IF($A28=INDIRECT("'"&amp;$A28&amp;"'!$B$1"),IF(VLOOKUP(J$1,INDIRECT("'"&amp;$A28&amp;"'!$A$12:$Z$41"),MATCH("Points (Auto-generate)",INDIRECT("'"&amp;$A28&amp;"'!$A$12:$Z$12"),0),0)="","?",VLOOKUP(J$1,INDIRECT("'"&amp;$A28&amp;"'!$A$12:$Z$41"),MATCH("Points (Auto-generate)",INDIRECT("'"&amp;$A28&amp;"'!$A$12:$Z$12"),0),0)),"ER"))</f>
        <v>?</v>
      </c>
      <c r="K28" s="83" t="str">
        <f aca="true">IF($H28=0,"NA",IF($A28=INDIRECT("'"&amp;$A28&amp;"'!$B$1"),IF(VLOOKUP(K$1,INDIRECT("'"&amp;$A28&amp;"'!$A$12:$Z$41"),MATCH("Points (Auto-generate)",INDIRECT("'"&amp;$A28&amp;"'!$A$12:$Z$12"),0),0)="","?",VLOOKUP(K$1,INDIRECT("'"&amp;$A28&amp;"'!$A$12:$Z$41"),MATCH("Points (Auto-generate)",INDIRECT("'"&amp;$A28&amp;"'!$A$12:$Z$12"),0),0)),"ER"))</f>
        <v>?</v>
      </c>
      <c r="L28" s="83" t="str">
        <f aca="true">IF($H28=0,"NA",IF($A28=INDIRECT("'"&amp;$A28&amp;"'!$B$1"),IF(VLOOKUP(L$1,INDIRECT("'"&amp;$A28&amp;"'!$A$12:$Z$41"),MATCH("Points (Auto-generate)",INDIRECT("'"&amp;$A28&amp;"'!$A$12:$Z$12"),0),0)="","?",VLOOKUP(L$1,INDIRECT("'"&amp;$A28&amp;"'!$A$12:$Z$41"),MATCH("Points (Auto-generate)",INDIRECT("'"&amp;$A28&amp;"'!$A$12:$Z$12"),0),0)),"ER"))</f>
        <v>?</v>
      </c>
      <c r="M28" s="83" t="str">
        <f aca="true">IF($H28=0,"NA",IF($A28=INDIRECT("'"&amp;$A28&amp;"'!$B$1"),IF(VLOOKUP(M$1,INDIRECT("'"&amp;$A28&amp;"'!$A$12:$Z$41"),MATCH("Points (Auto-generate)",INDIRECT("'"&amp;$A28&amp;"'!$A$12:$Z$12"),0),0)="","?",VLOOKUP(M$1,INDIRECT("'"&amp;$A28&amp;"'!$A$12:$Z$41"),MATCH("Points (Auto-generate)",INDIRECT("'"&amp;$A28&amp;"'!$A$12:$Z$12"),0),0)),"ER"))</f>
        <v>?</v>
      </c>
      <c r="N28" s="83" t="str">
        <f aca="true">IF($H28=0,"NA",IF($A28=INDIRECT("'"&amp;$A28&amp;"'!$B$1"),IF(VLOOKUP(N$1,INDIRECT("'"&amp;$A28&amp;"'!$A$12:$Z$41"),MATCH("Points (Auto-generate)",INDIRECT("'"&amp;$A28&amp;"'!$A$12:$Z$12"),0),0)="","?",VLOOKUP(N$1,INDIRECT("'"&amp;$A28&amp;"'!$A$12:$Z$41"),MATCH("Points (Auto-generate)",INDIRECT("'"&amp;$A28&amp;"'!$A$12:$Z$12"),0),0)),"ER"))</f>
        <v>?</v>
      </c>
      <c r="O28" s="83" t="str">
        <f aca="true">IF($H28=0,"NA",IF($A28=INDIRECT("'"&amp;$A28&amp;"'!$B$1"),IF(VLOOKUP(O$1,INDIRECT("'"&amp;$A28&amp;"'!$A$12:$Z$41"),MATCH("Points (Auto-generate)",INDIRECT("'"&amp;$A28&amp;"'!$A$12:$Z$12"),0),0)="","?",VLOOKUP(O$1,INDIRECT("'"&amp;$A28&amp;"'!$A$12:$Z$41"),MATCH("Points (Auto-generate)",INDIRECT("'"&amp;$A28&amp;"'!$A$12:$Z$12"),0),0)),"ER"))</f>
        <v>?</v>
      </c>
      <c r="P28" s="83" t="str">
        <f aca="true">IF($H28=0,"NA",IF($A28=INDIRECT("'"&amp;$A28&amp;"'!$B$1"),IF(VLOOKUP(P$1,INDIRECT("'"&amp;$A28&amp;"'!$A$12:$Z$41"),MATCH("Points (Auto-generate)",INDIRECT("'"&amp;$A28&amp;"'!$A$12:$Z$12"),0),0)="","?",VLOOKUP(P$1,INDIRECT("'"&amp;$A28&amp;"'!$A$12:$Z$41"),MATCH("Points (Auto-generate)",INDIRECT("'"&amp;$A28&amp;"'!$A$12:$Z$12"),0),0)),"ER"))</f>
        <v>?</v>
      </c>
      <c r="Q28" s="83" t="str">
        <f aca="true">IF($H28=0,"NA",IF($A28=INDIRECT("'"&amp;$A28&amp;"'!$B$1"),IF(VLOOKUP(Q$1,INDIRECT("'"&amp;$A28&amp;"'!$A$12:$Z$41"),MATCH("Points (Auto-generate)",INDIRECT("'"&amp;$A28&amp;"'!$A$12:$Z$12"),0),0)="","?",VLOOKUP(Q$1,INDIRECT("'"&amp;$A28&amp;"'!$A$12:$Z$41"),MATCH("Points (Auto-generate)",INDIRECT("'"&amp;$A28&amp;"'!$A$12:$Z$12"),0),0)),"ER"))</f>
        <v>?</v>
      </c>
      <c r="R28" s="83" t="str">
        <f aca="true">IF($H28=0,"NA",IF($A28=INDIRECT("'"&amp;$A28&amp;"'!$B$1"),IF(VLOOKUP(R$1,INDIRECT("'"&amp;$A28&amp;"'!$A$12:$Z$41"),MATCH("Points (Auto-generate)",INDIRECT("'"&amp;$A28&amp;"'!$A$12:$Z$12"),0),0)="","?",VLOOKUP(R$1,INDIRECT("'"&amp;$A28&amp;"'!$A$12:$Z$41"),MATCH("Points (Auto-generate)",INDIRECT("'"&amp;$A28&amp;"'!$A$12:$Z$12"),0),0)),"ER"))</f>
        <v>?</v>
      </c>
      <c r="S28" s="83" t="str">
        <f aca="true">IF($H28=0,"NA",IF($A28=INDIRECT("'"&amp;$A28&amp;"'!$B$1"),IF(VLOOKUP(S$1,INDIRECT("'"&amp;$A28&amp;"'!$A$12:$Z$41"),MATCH("Points (Auto-generate)",INDIRECT("'"&amp;$A28&amp;"'!$A$12:$Z$12"),0),0)="","?",VLOOKUP(S$1,INDIRECT("'"&amp;$A28&amp;"'!$A$12:$Z$41"),MATCH("Points (Auto-generate)",INDIRECT("'"&amp;$A28&amp;"'!$A$12:$Z$12"),0),0)),"ER"))</f>
        <v>?</v>
      </c>
      <c r="T28" s="83" t="str">
        <f aca="true">IF($H28=0,"NA",IF($A28=INDIRECT("'"&amp;$A28&amp;"'!$B$1"),IF(VLOOKUP(T$1,INDIRECT("'"&amp;$A28&amp;"'!$A$12:$Z$41"),MATCH("Points (Auto-generate)",INDIRECT("'"&amp;$A28&amp;"'!$A$12:$Z$12"),0),0)="","?",VLOOKUP(T$1,INDIRECT("'"&amp;$A28&amp;"'!$A$12:$Z$41"),MATCH("Points (Auto-generate)",INDIRECT("'"&amp;$A28&amp;"'!$A$12:$Z$12"),0),0)),"ER"))</f>
        <v>?</v>
      </c>
      <c r="U28" s="83" t="str">
        <f aca="true">IF($H28=0,"NA",IF($A28=INDIRECT("'"&amp;$A28&amp;"'!$B$1"),IF(VLOOKUP(U$1,INDIRECT("'"&amp;$A28&amp;"'!$A$12:$Z$41"),MATCH("Points (Auto-generate)",INDIRECT("'"&amp;$A28&amp;"'!$A$12:$Z$12"),0),0)="","?",VLOOKUP(U$1,INDIRECT("'"&amp;$A28&amp;"'!$A$12:$Z$41"),MATCH("Points (Auto-generate)",INDIRECT("'"&amp;$A28&amp;"'!$A$12:$Z$12"),0),0)),"ER"))</f>
        <v>?</v>
      </c>
      <c r="V28" s="83" t="str">
        <f aca="true">IF($H28=0,"NA",IF($A28=INDIRECT("'"&amp;$A28&amp;"'!$B$1"),IF(VLOOKUP(V$1,INDIRECT("'"&amp;$A28&amp;"'!$A$12:$Z$41"),MATCH("Points (Auto-generate)",INDIRECT("'"&amp;$A28&amp;"'!$A$12:$Z$12"),0),0)="","?",VLOOKUP(V$1,INDIRECT("'"&amp;$A28&amp;"'!$A$12:$Z$41"),MATCH("Points (Auto-generate)",INDIRECT("'"&amp;$A28&amp;"'!$A$12:$Z$12"),0),0)),"ER"))</f>
        <v>?</v>
      </c>
      <c r="W28" s="83" t="str">
        <f aca="true">IF($H28=0,"NA",IF($A28=INDIRECT("'"&amp;$A28&amp;"'!$B$1"),IF(VLOOKUP(W$1,INDIRECT("'"&amp;$A28&amp;"'!$A$12:$Z$41"),MATCH("Points (Auto-generate)",INDIRECT("'"&amp;$A28&amp;"'!$A$12:$Z$12"),0),0)="","?",VLOOKUP(W$1,INDIRECT("'"&amp;$A28&amp;"'!$A$12:$Z$41"),MATCH("Points (Auto-generate)",INDIRECT("'"&amp;$A28&amp;"'!$A$12:$Z$12"),0),0)),"ER"))</f>
        <v>?</v>
      </c>
      <c r="X28" s="83" t="str">
        <f aca="true">IF($H28=0,"NA",IF($A28=INDIRECT("'"&amp;$A28&amp;"'!$B$1"),IF(VLOOKUP(X$1,INDIRECT("'"&amp;$A28&amp;"'!$A$12:$Z$41"),MATCH("Points (Auto-generate)",INDIRECT("'"&amp;$A28&amp;"'!$A$12:$Z$12"),0),0)="","?",VLOOKUP(X$1,INDIRECT("'"&amp;$A28&amp;"'!$A$12:$Z$41"),MATCH("Points (Auto-generate)",INDIRECT("'"&amp;$A28&amp;"'!$A$12:$Z$12"),0),0)),"ER"))</f>
        <v>?</v>
      </c>
      <c r="Y28" s="83" t="str">
        <f aca="true">IF($H28=0,"NA",IF($A28=INDIRECT("'"&amp;$A28&amp;"'!$B$1"),IF(VLOOKUP(Y$1,INDIRECT("'"&amp;$A28&amp;"'!$A$12:$Z$41"),MATCH("Points (Auto-generate)",INDIRECT("'"&amp;$A28&amp;"'!$A$12:$Z$12"),0),0)="","?",VLOOKUP(Y$1,INDIRECT("'"&amp;$A28&amp;"'!$A$12:$Z$41"),MATCH("Points (Auto-generate)",INDIRECT("'"&amp;$A28&amp;"'!$A$12:$Z$12"),0),0)),"ER"))</f>
        <v>?</v>
      </c>
      <c r="Z28" s="83" t="str">
        <f aca="true">IF($H28=0,"NA",IF($A28=INDIRECT("'"&amp;$A28&amp;"'!$B$1"),IF(VLOOKUP(Z$1,INDIRECT("'"&amp;$A28&amp;"'!$A$12:$Z$41"),MATCH("Points (Auto-generate)",INDIRECT("'"&amp;$A28&amp;"'!$A$12:$Z$12"),0),0)="","?",VLOOKUP(Z$1,INDIRECT("'"&amp;$A28&amp;"'!$A$12:$Z$41"),MATCH("Points (Auto-generate)",INDIRECT("'"&amp;$A28&amp;"'!$A$12:$Z$12"),0),0)),"ER"))</f>
        <v>?</v>
      </c>
      <c r="AA28" s="83" t="str">
        <f aca="true">IF($H28=0,"NA",IF($A28=INDIRECT("'"&amp;$A28&amp;"'!$B$1"),IF(VLOOKUP(AA$1,INDIRECT("'"&amp;$A28&amp;"'!$A$12:$Z$41"),MATCH("Points (Auto-generate)",INDIRECT("'"&amp;$A28&amp;"'!$A$12:$Z$12"),0),0)="","?",VLOOKUP(AA$1,INDIRECT("'"&amp;$A28&amp;"'!$A$12:$Z$41"),MATCH("Points (Auto-generate)",INDIRECT("'"&amp;$A28&amp;"'!$A$12:$Z$12"),0),0)),"ER"))</f>
        <v>?</v>
      </c>
      <c r="AB28" s="83" t="str">
        <f aca="true">IF($H28=0,"NA",IF($A28=INDIRECT("'"&amp;$A28&amp;"'!$B$1"),IF(VLOOKUP(AB$1,INDIRECT("'"&amp;$A28&amp;"'!$A$12:$Z$41"),MATCH("Points (Auto-generate)",INDIRECT("'"&amp;$A28&amp;"'!$A$12:$Z$12"),0),0)="","?",VLOOKUP(AB$1,INDIRECT("'"&amp;$A28&amp;"'!$A$12:$Z$41"),MATCH("Points (Auto-generate)",INDIRECT("'"&amp;$A28&amp;"'!$A$12:$Z$12"),0),0)),"ER"))</f>
        <v>?</v>
      </c>
      <c r="AC28" s="83" t="str">
        <f aca="true">IF($H28=0,"NA",IF($A28=INDIRECT("'"&amp;$A28&amp;"'!$B$1"),IF(VLOOKUP(AC$1,INDIRECT("'"&amp;$A28&amp;"'!$A$12:$Z$41"),MATCH("Points (Auto-generate)",INDIRECT("'"&amp;$A28&amp;"'!$A$12:$Z$12"),0),0)="","?",VLOOKUP(AC$1,INDIRECT("'"&amp;$A28&amp;"'!$A$12:$Z$41"),MATCH("Points (Auto-generate)",INDIRECT("'"&amp;$A28&amp;"'!$A$12:$Z$12"),0),0)),"ER"))</f>
        <v>?</v>
      </c>
      <c r="AD28" s="83" t="str">
        <f aca="true">IF($H28=0,"NA",IF($A28=INDIRECT("'"&amp;$A28&amp;"'!$B$1"),IF(VLOOKUP(AD$1,INDIRECT("'"&amp;$A28&amp;"'!$A$12:$Z$41"),MATCH("Points (Auto-generate)",INDIRECT("'"&amp;$A28&amp;"'!$A$12:$Z$12"),0),0)="","?",VLOOKUP(AD$1,INDIRECT("'"&amp;$A28&amp;"'!$A$12:$Z$41"),MATCH("Points (Auto-generate)",INDIRECT("'"&amp;$A28&amp;"'!$A$12:$Z$12"),0),0)),"ER"))</f>
        <v>?</v>
      </c>
      <c r="AE28" s="83" t="str">
        <f aca="true">IF($H28=0,"NA",IF($A28=INDIRECT("'"&amp;$A28&amp;"'!$B$1"),IF(VLOOKUP(AE$1,INDIRECT("'"&amp;$A28&amp;"'!$A$12:$Z$41"),MATCH("Points (Auto-generate)",INDIRECT("'"&amp;$A28&amp;"'!$A$12:$Z$12"),0),0)="","?",VLOOKUP(AE$1,INDIRECT("'"&amp;$A28&amp;"'!$A$12:$Z$41"),MATCH("Points (Auto-generate)",INDIRECT("'"&amp;$A28&amp;"'!$A$12:$Z$12"),0),0)),"ER"))</f>
        <v>?</v>
      </c>
      <c r="AF28" s="83" t="str">
        <f aca="true">IF($H28=0,"NA",IF($A28=INDIRECT("'"&amp;$A28&amp;"'!$B$1"),IF(VLOOKUP(AF$1,INDIRECT("'"&amp;$A28&amp;"'!$A$12:$Z$41"),MATCH("Points (Auto-generate)",INDIRECT("'"&amp;$A28&amp;"'!$A$12:$Z$12"),0),0)="","?",VLOOKUP(AF$1,INDIRECT("'"&amp;$A28&amp;"'!$A$12:$Z$41"),MATCH("Points (Auto-generate)",INDIRECT("'"&amp;$A28&amp;"'!$A$12:$Z$12"),0),0)),"ER"))</f>
        <v>?</v>
      </c>
      <c r="AG28" s="83" t="str">
        <f aca="true">IF($H28=0,"NA",IF($A28=INDIRECT("'"&amp;$A28&amp;"'!$B$1"),IF(VLOOKUP(AG$1,INDIRECT("'"&amp;$A28&amp;"'!$A$12:$Z$41"),MATCH("Points (Auto-generate)",INDIRECT("'"&amp;$A28&amp;"'!$A$12:$Z$12"),0),0)="","?",VLOOKUP(AG$1,INDIRECT("'"&amp;$A28&amp;"'!$A$12:$Z$41"),MATCH("Points (Auto-generate)",INDIRECT("'"&amp;$A28&amp;"'!$A$12:$Z$12"),0),0)),"ER"))</f>
        <v>?</v>
      </c>
      <c r="AH28" s="83" t="str">
        <f aca="true">IF($H28=0,"NA",IF($A28=INDIRECT("'"&amp;$A28&amp;"'!$B$1"),IF(VLOOKUP(AH$1,INDIRECT("'"&amp;$A28&amp;"'!$A$12:$Z$41"),MATCH("Points (Auto-generate)",INDIRECT("'"&amp;$A28&amp;"'!$A$12:$Z$12"),0),0)="","?",VLOOKUP(AH$1,INDIRECT("'"&amp;$A28&amp;"'!$A$12:$Z$41"),MATCH("Points (Auto-generate)",INDIRECT("'"&amp;$A28&amp;"'!$A$12:$Z$12"),0),0)),"ER"))</f>
        <v>?</v>
      </c>
      <c r="AI28" s="83" t="str">
        <f aca="true">IF($H28=0,"NA",IF($A28=INDIRECT("'"&amp;$A28&amp;"'!$B$1"),IF(VLOOKUP(AI$1,INDIRECT("'"&amp;$A28&amp;"'!$A$12:$Z$41"),MATCH("Points (Auto-generate)",INDIRECT("'"&amp;$A28&amp;"'!$A$12:$Z$12"),0),0)="","?",VLOOKUP(AI$1,INDIRECT("'"&amp;$A28&amp;"'!$A$12:$Z$41"),MATCH("Points (Auto-generate)",INDIRECT("'"&amp;$A28&amp;"'!$A$12:$Z$12"),0),0)),"ER"))</f>
        <v>?</v>
      </c>
      <c r="AJ28" s="83" t="str">
        <f aca="true">IF($H28=0,"NA",IF($A28=INDIRECT("'"&amp;$A28&amp;"'!$B$1"),IF(VLOOKUP(AJ$1,INDIRECT("'"&amp;$A28&amp;"'!$A$12:$Z$41"),MATCH("Points (Auto-generate)",INDIRECT("'"&amp;$A28&amp;"'!$A$12:$Z$12"),0),0)="","?",VLOOKUP(AJ$1,INDIRECT("'"&amp;$A28&amp;"'!$A$12:$Z$41"),MATCH("Points (Auto-generate)",INDIRECT("'"&amp;$A28&amp;"'!$A$12:$Z$12"),0),0)),"ER"))</f>
        <v>?</v>
      </c>
      <c r="AK28" s="83" t="str">
        <f aca="true">IF($H28=0,"NA",IF($A28=INDIRECT("'"&amp;$A28&amp;"'!$B$1"),IF(VLOOKUP(AK$1,INDIRECT("'"&amp;$A28&amp;"'!$A$12:$Z$41"),MATCH("Points (Auto-generate)",INDIRECT("'"&amp;$A28&amp;"'!$A$12:$Z$12"),0),0)="","?",VLOOKUP(AK$1,INDIRECT("'"&amp;$A28&amp;"'!$A$12:$Z$41"),MATCH("Points (Auto-generate)",INDIRECT("'"&amp;$A28&amp;"'!$A$12:$Z$12"),0),0)),"ER"))</f>
        <v>?</v>
      </c>
    </row>
    <row r="29" customFormat="false" ht="14.25" hidden="false" customHeight="false" outlineLevel="0" collapsed="false">
      <c r="A29" s="79" t="s">
        <v>132</v>
      </c>
      <c r="B29" s="80" t="str">
        <f aca="false">IF(ISBLANK($A29),"NO_CODE",VLOOKUP($A29,'UPD Questions_290926 '!$E$1:$N$300,MATCH(B$1,'UPD Questions_290926 '!$E$1:$N$1,0),0)&amp;"")</f>
        <v>Planning </v>
      </c>
      <c r="C29" s="80" t="str">
        <f aca="false">IF(ISBLANK($A29),"NO_CODE",VLOOKUP($A29,'UPD Questions_290926 '!$E$1:$N$300,MATCH(C$1,'UPD Questions_290926 '!$E$1:$N$1,0),0)&amp;"")</f>
        <v>Municipal/City Plan objectives and contents</v>
      </c>
      <c r="D29" s="80" t="str">
        <f aca="false">IF(ISBLANK($A29),"NO_CODE",VLOOKUP($A29,'UPD Questions_290926 '!$E$1:$N$300,MATCH(D$1,'UPD Questions_290926 '!$E$1:$N$1,0),0)&amp;"")</f>
        <v>Statutory requirements for plan content</v>
      </c>
      <c r="E29" s="80" t="str">
        <f aca="false">IF(ISBLANK($A29),"NO_CODE",VLOOKUP($A29,'UPD Questions_290926 '!$E$1:$N$300,MATCH(E$1,'UPD Questions_290926 '!$E$1:$N$1,0),0)&amp;"")</f>
        <v>SQ</v>
      </c>
      <c r="F29" s="80" t="str">
        <f aca="false">IF(ISBLANK($A29),"NO_CODE",VLOOKUP($A29,'UPD Questions_290926 '!$E$1:$N$300,MATCH(F$1,'UPD Questions_290926 '!$E$1:$N$1,0),0)&amp;"")</f>
        <v>d) Sustainability/Climate/Environmental conservation</v>
      </c>
      <c r="G29" s="80" t="str">
        <f aca="false">IF(ISBLANK($A29),"NO_CODE",VLOOKUP($A29,'UPD Questions_290926 '!$E$1:$N$300,MATCH(G$1,'UPD Questions_290926 '!$E$1:$N$1,0),0)&amp;"")</f>
        <v>Law/Policy</v>
      </c>
      <c r="H29" s="82" t="n">
        <f aca="false">IF(ISBLANK($A29),"NO_CODE",VLOOKUP($A29,'UPD Questions_290926 '!$E$1:$N$300,MATCH(H$1,'UPD Questions_290926 '!$E$1:$N$1,0),0))</f>
        <v>1.67</v>
      </c>
      <c r="I29" s="83" t="str">
        <f aca="true">IF($H29=0,"NA",IF($A29=INDIRECT("'"&amp;$A29&amp;"'!$B$1"),IF(VLOOKUP(I$1,INDIRECT("'"&amp;$A29&amp;"'!$A$12:$Z$41"),MATCH("Points (Auto-generate)",INDIRECT("'"&amp;$A29&amp;"'!$A$12:$Z$12"),0),0)="","?",VLOOKUP(I$1,INDIRECT("'"&amp;$A29&amp;"'!$A$12:$Z$41"),MATCH("Points (Auto-generate)",INDIRECT("'"&amp;$A29&amp;"'!$A$12:$Z$12"),0),0)),"ER"))</f>
        <v>?</v>
      </c>
      <c r="J29" s="83" t="str">
        <f aca="true">IF($H29=0,"NA",IF($A29=INDIRECT("'"&amp;$A29&amp;"'!$B$1"),IF(VLOOKUP(J$1,INDIRECT("'"&amp;$A29&amp;"'!$A$12:$Z$41"),MATCH("Points (Auto-generate)",INDIRECT("'"&amp;$A29&amp;"'!$A$12:$Z$12"),0),0)="","?",VLOOKUP(J$1,INDIRECT("'"&amp;$A29&amp;"'!$A$12:$Z$41"),MATCH("Points (Auto-generate)",INDIRECT("'"&amp;$A29&amp;"'!$A$12:$Z$12"),0),0)),"ER"))</f>
        <v>?</v>
      </c>
      <c r="K29" s="83" t="str">
        <f aca="true">IF($H29=0,"NA",IF($A29=INDIRECT("'"&amp;$A29&amp;"'!$B$1"),IF(VLOOKUP(K$1,INDIRECT("'"&amp;$A29&amp;"'!$A$12:$Z$41"),MATCH("Points (Auto-generate)",INDIRECT("'"&amp;$A29&amp;"'!$A$12:$Z$12"),0),0)="","?",VLOOKUP(K$1,INDIRECT("'"&amp;$A29&amp;"'!$A$12:$Z$41"),MATCH("Points (Auto-generate)",INDIRECT("'"&amp;$A29&amp;"'!$A$12:$Z$12"),0),0)),"ER"))</f>
        <v>?</v>
      </c>
      <c r="L29" s="83" t="str">
        <f aca="true">IF($H29=0,"NA",IF($A29=INDIRECT("'"&amp;$A29&amp;"'!$B$1"),IF(VLOOKUP(L$1,INDIRECT("'"&amp;$A29&amp;"'!$A$12:$Z$41"),MATCH("Points (Auto-generate)",INDIRECT("'"&amp;$A29&amp;"'!$A$12:$Z$12"),0),0)="","?",VLOOKUP(L$1,INDIRECT("'"&amp;$A29&amp;"'!$A$12:$Z$41"),MATCH("Points (Auto-generate)",INDIRECT("'"&amp;$A29&amp;"'!$A$12:$Z$12"),0),0)),"ER"))</f>
        <v>?</v>
      </c>
      <c r="M29" s="83" t="str">
        <f aca="true">IF($H29=0,"NA",IF($A29=INDIRECT("'"&amp;$A29&amp;"'!$B$1"),IF(VLOOKUP(M$1,INDIRECT("'"&amp;$A29&amp;"'!$A$12:$Z$41"),MATCH("Points (Auto-generate)",INDIRECT("'"&amp;$A29&amp;"'!$A$12:$Z$12"),0),0)="","?",VLOOKUP(M$1,INDIRECT("'"&amp;$A29&amp;"'!$A$12:$Z$41"),MATCH("Points (Auto-generate)",INDIRECT("'"&amp;$A29&amp;"'!$A$12:$Z$12"),0),0)),"ER"))</f>
        <v>?</v>
      </c>
      <c r="N29" s="83" t="str">
        <f aca="true">IF($H29=0,"NA",IF($A29=INDIRECT("'"&amp;$A29&amp;"'!$B$1"),IF(VLOOKUP(N$1,INDIRECT("'"&amp;$A29&amp;"'!$A$12:$Z$41"),MATCH("Points (Auto-generate)",INDIRECT("'"&amp;$A29&amp;"'!$A$12:$Z$12"),0),0)="","?",VLOOKUP(N$1,INDIRECT("'"&amp;$A29&amp;"'!$A$12:$Z$41"),MATCH("Points (Auto-generate)",INDIRECT("'"&amp;$A29&amp;"'!$A$12:$Z$12"),0),0)),"ER"))</f>
        <v>?</v>
      </c>
      <c r="O29" s="83" t="str">
        <f aca="true">IF($H29=0,"NA",IF($A29=INDIRECT("'"&amp;$A29&amp;"'!$B$1"),IF(VLOOKUP(O$1,INDIRECT("'"&amp;$A29&amp;"'!$A$12:$Z$41"),MATCH("Points (Auto-generate)",INDIRECT("'"&amp;$A29&amp;"'!$A$12:$Z$12"),0),0)="","?",VLOOKUP(O$1,INDIRECT("'"&amp;$A29&amp;"'!$A$12:$Z$41"),MATCH("Points (Auto-generate)",INDIRECT("'"&amp;$A29&amp;"'!$A$12:$Z$12"),0),0)),"ER"))</f>
        <v>?</v>
      </c>
      <c r="P29" s="83" t="str">
        <f aca="true">IF($H29=0,"NA",IF($A29=INDIRECT("'"&amp;$A29&amp;"'!$B$1"),IF(VLOOKUP(P$1,INDIRECT("'"&amp;$A29&amp;"'!$A$12:$Z$41"),MATCH("Points (Auto-generate)",INDIRECT("'"&amp;$A29&amp;"'!$A$12:$Z$12"),0),0)="","?",VLOOKUP(P$1,INDIRECT("'"&amp;$A29&amp;"'!$A$12:$Z$41"),MATCH("Points (Auto-generate)",INDIRECT("'"&amp;$A29&amp;"'!$A$12:$Z$12"),0),0)),"ER"))</f>
        <v>?</v>
      </c>
      <c r="Q29" s="83" t="str">
        <f aca="true">IF($H29=0,"NA",IF($A29=INDIRECT("'"&amp;$A29&amp;"'!$B$1"),IF(VLOOKUP(Q$1,INDIRECT("'"&amp;$A29&amp;"'!$A$12:$Z$41"),MATCH("Points (Auto-generate)",INDIRECT("'"&amp;$A29&amp;"'!$A$12:$Z$12"),0),0)="","?",VLOOKUP(Q$1,INDIRECT("'"&amp;$A29&amp;"'!$A$12:$Z$41"),MATCH("Points (Auto-generate)",INDIRECT("'"&amp;$A29&amp;"'!$A$12:$Z$12"),0),0)),"ER"))</f>
        <v>?</v>
      </c>
      <c r="R29" s="83" t="str">
        <f aca="true">IF($H29=0,"NA",IF($A29=INDIRECT("'"&amp;$A29&amp;"'!$B$1"),IF(VLOOKUP(R$1,INDIRECT("'"&amp;$A29&amp;"'!$A$12:$Z$41"),MATCH("Points (Auto-generate)",INDIRECT("'"&amp;$A29&amp;"'!$A$12:$Z$12"),0),0)="","?",VLOOKUP(R$1,INDIRECT("'"&amp;$A29&amp;"'!$A$12:$Z$41"),MATCH("Points (Auto-generate)",INDIRECT("'"&amp;$A29&amp;"'!$A$12:$Z$12"),0),0)),"ER"))</f>
        <v>?</v>
      </c>
      <c r="S29" s="83" t="str">
        <f aca="true">IF($H29=0,"NA",IF($A29=INDIRECT("'"&amp;$A29&amp;"'!$B$1"),IF(VLOOKUP(S$1,INDIRECT("'"&amp;$A29&amp;"'!$A$12:$Z$41"),MATCH("Points (Auto-generate)",INDIRECT("'"&amp;$A29&amp;"'!$A$12:$Z$12"),0),0)="","?",VLOOKUP(S$1,INDIRECT("'"&amp;$A29&amp;"'!$A$12:$Z$41"),MATCH("Points (Auto-generate)",INDIRECT("'"&amp;$A29&amp;"'!$A$12:$Z$12"),0),0)),"ER"))</f>
        <v>?</v>
      </c>
      <c r="T29" s="83" t="str">
        <f aca="true">IF($H29=0,"NA",IF($A29=INDIRECT("'"&amp;$A29&amp;"'!$B$1"),IF(VLOOKUP(T$1,INDIRECT("'"&amp;$A29&amp;"'!$A$12:$Z$41"),MATCH("Points (Auto-generate)",INDIRECT("'"&amp;$A29&amp;"'!$A$12:$Z$12"),0),0)="","?",VLOOKUP(T$1,INDIRECT("'"&amp;$A29&amp;"'!$A$12:$Z$41"),MATCH("Points (Auto-generate)",INDIRECT("'"&amp;$A29&amp;"'!$A$12:$Z$12"),0),0)),"ER"))</f>
        <v>?</v>
      </c>
      <c r="U29" s="83" t="str">
        <f aca="true">IF($H29=0,"NA",IF($A29=INDIRECT("'"&amp;$A29&amp;"'!$B$1"),IF(VLOOKUP(U$1,INDIRECT("'"&amp;$A29&amp;"'!$A$12:$Z$41"),MATCH("Points (Auto-generate)",INDIRECT("'"&amp;$A29&amp;"'!$A$12:$Z$12"),0),0)="","?",VLOOKUP(U$1,INDIRECT("'"&amp;$A29&amp;"'!$A$12:$Z$41"),MATCH("Points (Auto-generate)",INDIRECT("'"&amp;$A29&amp;"'!$A$12:$Z$12"),0),0)),"ER"))</f>
        <v>?</v>
      </c>
      <c r="V29" s="83" t="str">
        <f aca="true">IF($H29=0,"NA",IF($A29=INDIRECT("'"&amp;$A29&amp;"'!$B$1"),IF(VLOOKUP(V$1,INDIRECT("'"&amp;$A29&amp;"'!$A$12:$Z$41"),MATCH("Points (Auto-generate)",INDIRECT("'"&amp;$A29&amp;"'!$A$12:$Z$12"),0),0)="","?",VLOOKUP(V$1,INDIRECT("'"&amp;$A29&amp;"'!$A$12:$Z$41"),MATCH("Points (Auto-generate)",INDIRECT("'"&amp;$A29&amp;"'!$A$12:$Z$12"),0),0)),"ER"))</f>
        <v>?</v>
      </c>
      <c r="W29" s="83" t="str">
        <f aca="true">IF($H29=0,"NA",IF($A29=INDIRECT("'"&amp;$A29&amp;"'!$B$1"),IF(VLOOKUP(W$1,INDIRECT("'"&amp;$A29&amp;"'!$A$12:$Z$41"),MATCH("Points (Auto-generate)",INDIRECT("'"&amp;$A29&amp;"'!$A$12:$Z$12"),0),0)="","?",VLOOKUP(W$1,INDIRECT("'"&amp;$A29&amp;"'!$A$12:$Z$41"),MATCH("Points (Auto-generate)",INDIRECT("'"&amp;$A29&amp;"'!$A$12:$Z$12"),0),0)),"ER"))</f>
        <v>?</v>
      </c>
      <c r="X29" s="83" t="str">
        <f aca="true">IF($H29=0,"NA",IF($A29=INDIRECT("'"&amp;$A29&amp;"'!$B$1"),IF(VLOOKUP(X$1,INDIRECT("'"&amp;$A29&amp;"'!$A$12:$Z$41"),MATCH("Points (Auto-generate)",INDIRECT("'"&amp;$A29&amp;"'!$A$12:$Z$12"),0),0)="","?",VLOOKUP(X$1,INDIRECT("'"&amp;$A29&amp;"'!$A$12:$Z$41"),MATCH("Points (Auto-generate)",INDIRECT("'"&amp;$A29&amp;"'!$A$12:$Z$12"),0),0)),"ER"))</f>
        <v>?</v>
      </c>
      <c r="Y29" s="83" t="str">
        <f aca="true">IF($H29=0,"NA",IF($A29=INDIRECT("'"&amp;$A29&amp;"'!$B$1"),IF(VLOOKUP(Y$1,INDIRECT("'"&amp;$A29&amp;"'!$A$12:$Z$41"),MATCH("Points (Auto-generate)",INDIRECT("'"&amp;$A29&amp;"'!$A$12:$Z$12"),0),0)="","?",VLOOKUP(Y$1,INDIRECT("'"&amp;$A29&amp;"'!$A$12:$Z$41"),MATCH("Points (Auto-generate)",INDIRECT("'"&amp;$A29&amp;"'!$A$12:$Z$12"),0),0)),"ER"))</f>
        <v>?</v>
      </c>
      <c r="Z29" s="83" t="str">
        <f aca="true">IF($H29=0,"NA",IF($A29=INDIRECT("'"&amp;$A29&amp;"'!$B$1"),IF(VLOOKUP(Z$1,INDIRECT("'"&amp;$A29&amp;"'!$A$12:$Z$41"),MATCH("Points (Auto-generate)",INDIRECT("'"&amp;$A29&amp;"'!$A$12:$Z$12"),0),0)="","?",VLOOKUP(Z$1,INDIRECT("'"&amp;$A29&amp;"'!$A$12:$Z$41"),MATCH("Points (Auto-generate)",INDIRECT("'"&amp;$A29&amp;"'!$A$12:$Z$12"),0),0)),"ER"))</f>
        <v>?</v>
      </c>
      <c r="AA29" s="83" t="str">
        <f aca="true">IF($H29=0,"NA",IF($A29=INDIRECT("'"&amp;$A29&amp;"'!$B$1"),IF(VLOOKUP(AA$1,INDIRECT("'"&amp;$A29&amp;"'!$A$12:$Z$41"),MATCH("Points (Auto-generate)",INDIRECT("'"&amp;$A29&amp;"'!$A$12:$Z$12"),0),0)="","?",VLOOKUP(AA$1,INDIRECT("'"&amp;$A29&amp;"'!$A$12:$Z$41"),MATCH("Points (Auto-generate)",INDIRECT("'"&amp;$A29&amp;"'!$A$12:$Z$12"),0),0)),"ER"))</f>
        <v>?</v>
      </c>
      <c r="AB29" s="83" t="str">
        <f aca="true">IF($H29=0,"NA",IF($A29=INDIRECT("'"&amp;$A29&amp;"'!$B$1"),IF(VLOOKUP(AB$1,INDIRECT("'"&amp;$A29&amp;"'!$A$12:$Z$41"),MATCH("Points (Auto-generate)",INDIRECT("'"&amp;$A29&amp;"'!$A$12:$Z$12"),0),0)="","?",VLOOKUP(AB$1,INDIRECT("'"&amp;$A29&amp;"'!$A$12:$Z$41"),MATCH("Points (Auto-generate)",INDIRECT("'"&amp;$A29&amp;"'!$A$12:$Z$12"),0),0)),"ER"))</f>
        <v>?</v>
      </c>
      <c r="AC29" s="83" t="str">
        <f aca="true">IF($H29=0,"NA",IF($A29=INDIRECT("'"&amp;$A29&amp;"'!$B$1"),IF(VLOOKUP(AC$1,INDIRECT("'"&amp;$A29&amp;"'!$A$12:$Z$41"),MATCH("Points (Auto-generate)",INDIRECT("'"&amp;$A29&amp;"'!$A$12:$Z$12"),0),0)="","?",VLOOKUP(AC$1,INDIRECT("'"&amp;$A29&amp;"'!$A$12:$Z$41"),MATCH("Points (Auto-generate)",INDIRECT("'"&amp;$A29&amp;"'!$A$12:$Z$12"),0),0)),"ER"))</f>
        <v>?</v>
      </c>
      <c r="AD29" s="83" t="str">
        <f aca="true">IF($H29=0,"NA",IF($A29=INDIRECT("'"&amp;$A29&amp;"'!$B$1"),IF(VLOOKUP(AD$1,INDIRECT("'"&amp;$A29&amp;"'!$A$12:$Z$41"),MATCH("Points (Auto-generate)",INDIRECT("'"&amp;$A29&amp;"'!$A$12:$Z$12"),0),0)="","?",VLOOKUP(AD$1,INDIRECT("'"&amp;$A29&amp;"'!$A$12:$Z$41"),MATCH("Points (Auto-generate)",INDIRECT("'"&amp;$A29&amp;"'!$A$12:$Z$12"),0),0)),"ER"))</f>
        <v>?</v>
      </c>
      <c r="AE29" s="83" t="str">
        <f aca="true">IF($H29=0,"NA",IF($A29=INDIRECT("'"&amp;$A29&amp;"'!$B$1"),IF(VLOOKUP(AE$1,INDIRECT("'"&amp;$A29&amp;"'!$A$12:$Z$41"),MATCH("Points (Auto-generate)",INDIRECT("'"&amp;$A29&amp;"'!$A$12:$Z$12"),0),0)="","?",VLOOKUP(AE$1,INDIRECT("'"&amp;$A29&amp;"'!$A$12:$Z$41"),MATCH("Points (Auto-generate)",INDIRECT("'"&amp;$A29&amp;"'!$A$12:$Z$12"),0),0)),"ER"))</f>
        <v>?</v>
      </c>
      <c r="AF29" s="83" t="str">
        <f aca="true">IF($H29=0,"NA",IF($A29=INDIRECT("'"&amp;$A29&amp;"'!$B$1"),IF(VLOOKUP(AF$1,INDIRECT("'"&amp;$A29&amp;"'!$A$12:$Z$41"),MATCH("Points (Auto-generate)",INDIRECT("'"&amp;$A29&amp;"'!$A$12:$Z$12"),0),0)="","?",VLOOKUP(AF$1,INDIRECT("'"&amp;$A29&amp;"'!$A$12:$Z$41"),MATCH("Points (Auto-generate)",INDIRECT("'"&amp;$A29&amp;"'!$A$12:$Z$12"),0),0)),"ER"))</f>
        <v>?</v>
      </c>
      <c r="AG29" s="83" t="str">
        <f aca="true">IF($H29=0,"NA",IF($A29=INDIRECT("'"&amp;$A29&amp;"'!$B$1"),IF(VLOOKUP(AG$1,INDIRECT("'"&amp;$A29&amp;"'!$A$12:$Z$41"),MATCH("Points (Auto-generate)",INDIRECT("'"&amp;$A29&amp;"'!$A$12:$Z$12"),0),0)="","?",VLOOKUP(AG$1,INDIRECT("'"&amp;$A29&amp;"'!$A$12:$Z$41"),MATCH("Points (Auto-generate)",INDIRECT("'"&amp;$A29&amp;"'!$A$12:$Z$12"),0),0)),"ER"))</f>
        <v>?</v>
      </c>
      <c r="AH29" s="83" t="str">
        <f aca="true">IF($H29=0,"NA",IF($A29=INDIRECT("'"&amp;$A29&amp;"'!$B$1"),IF(VLOOKUP(AH$1,INDIRECT("'"&amp;$A29&amp;"'!$A$12:$Z$41"),MATCH("Points (Auto-generate)",INDIRECT("'"&amp;$A29&amp;"'!$A$12:$Z$12"),0),0)="","?",VLOOKUP(AH$1,INDIRECT("'"&amp;$A29&amp;"'!$A$12:$Z$41"),MATCH("Points (Auto-generate)",INDIRECT("'"&amp;$A29&amp;"'!$A$12:$Z$12"),0),0)),"ER"))</f>
        <v>?</v>
      </c>
      <c r="AI29" s="83" t="str">
        <f aca="true">IF($H29=0,"NA",IF($A29=INDIRECT("'"&amp;$A29&amp;"'!$B$1"),IF(VLOOKUP(AI$1,INDIRECT("'"&amp;$A29&amp;"'!$A$12:$Z$41"),MATCH("Points (Auto-generate)",INDIRECT("'"&amp;$A29&amp;"'!$A$12:$Z$12"),0),0)="","?",VLOOKUP(AI$1,INDIRECT("'"&amp;$A29&amp;"'!$A$12:$Z$41"),MATCH("Points (Auto-generate)",INDIRECT("'"&amp;$A29&amp;"'!$A$12:$Z$12"),0),0)),"ER"))</f>
        <v>?</v>
      </c>
      <c r="AJ29" s="83" t="str">
        <f aca="true">IF($H29=0,"NA",IF($A29=INDIRECT("'"&amp;$A29&amp;"'!$B$1"),IF(VLOOKUP(AJ$1,INDIRECT("'"&amp;$A29&amp;"'!$A$12:$Z$41"),MATCH("Points (Auto-generate)",INDIRECT("'"&amp;$A29&amp;"'!$A$12:$Z$12"),0),0)="","?",VLOOKUP(AJ$1,INDIRECT("'"&amp;$A29&amp;"'!$A$12:$Z$41"),MATCH("Points (Auto-generate)",INDIRECT("'"&amp;$A29&amp;"'!$A$12:$Z$12"),0),0)),"ER"))</f>
        <v>?</v>
      </c>
      <c r="AK29" s="83" t="str">
        <f aca="true">IF($H29=0,"NA",IF($A29=INDIRECT("'"&amp;$A29&amp;"'!$B$1"),IF(VLOOKUP(AK$1,INDIRECT("'"&amp;$A29&amp;"'!$A$12:$Z$41"),MATCH("Points (Auto-generate)",INDIRECT("'"&amp;$A29&amp;"'!$A$12:$Z$12"),0),0)="","?",VLOOKUP(AK$1,INDIRECT("'"&amp;$A29&amp;"'!$A$12:$Z$41"),MATCH("Points (Auto-generate)",INDIRECT("'"&amp;$A29&amp;"'!$A$12:$Z$12"),0),0)),"ER"))</f>
        <v>?</v>
      </c>
    </row>
    <row r="30" customFormat="false" ht="14.25" hidden="false" customHeight="false" outlineLevel="0" collapsed="false">
      <c r="A30" s="79" t="s">
        <v>136</v>
      </c>
      <c r="B30" s="80" t="str">
        <f aca="false">IF(ISBLANK($A30),"NO_CODE",VLOOKUP($A30,'UPD Questions_290926 '!$E$1:$N$300,MATCH(B$1,'UPD Questions_290926 '!$E$1:$N$1,0),0)&amp;"")</f>
        <v>Planning </v>
      </c>
      <c r="C30" s="80" t="str">
        <f aca="false">IF(ISBLANK($A30),"NO_CODE",VLOOKUP($A30,'UPD Questions_290926 '!$E$1:$N$300,MATCH(C$1,'UPD Questions_290926 '!$E$1:$N$1,0),0)&amp;"")</f>
        <v>Municipal/City Plan objectives and contents</v>
      </c>
      <c r="D30" s="80" t="str">
        <f aca="false">IF(ISBLANK($A30),"NO_CODE",VLOOKUP($A30,'UPD Questions_290926 '!$E$1:$N$300,MATCH(D$1,'UPD Questions_290926 '!$E$1:$N$1,0),0)&amp;"")</f>
        <v>Statutory requirements for plan content</v>
      </c>
      <c r="E30" s="80" t="str">
        <f aca="false">IF(ISBLANK($A30),"NO_CODE",VLOOKUP($A30,'UPD Questions_290926 '!$E$1:$N$300,MATCH(E$1,'UPD Questions_290926 '!$E$1:$N$1,0),0)&amp;"")</f>
        <v>SQ</v>
      </c>
      <c r="F30" s="80" t="str">
        <f aca="false">IF(ISBLANK($A30),"NO_CODE",VLOOKUP($A30,'UPD Questions_290926 '!$E$1:$N$300,MATCH(F$1,'UPD Questions_290926 '!$E$1:$N$1,0),0)&amp;"")</f>
        <v>e) Heritage conservation</v>
      </c>
      <c r="G30" s="80" t="str">
        <f aca="false">IF(ISBLANK($A30),"NO_CODE",VLOOKUP($A30,'UPD Questions_290926 '!$E$1:$N$300,MATCH(G$1,'UPD Questions_290926 '!$E$1:$N$1,0),0)&amp;"")</f>
        <v>Law/Policy</v>
      </c>
      <c r="H30" s="82" t="n">
        <f aca="false">IF(ISBLANK($A30),"NO_CODE",VLOOKUP($A30,'UPD Questions_290926 '!$E$1:$N$300,MATCH(H$1,'UPD Questions_290926 '!$E$1:$N$1,0),0))</f>
        <v>1.67</v>
      </c>
      <c r="I30" s="83" t="str">
        <f aca="true">IF($H30=0,"NA",IF($A30=INDIRECT("'"&amp;$A30&amp;"'!$B$1"),IF(VLOOKUP(I$1,INDIRECT("'"&amp;$A30&amp;"'!$A$12:$Z$41"),MATCH("Points (Auto-generate)",INDIRECT("'"&amp;$A30&amp;"'!$A$12:$Z$12"),0),0)="","?",VLOOKUP(I$1,INDIRECT("'"&amp;$A30&amp;"'!$A$12:$Z$41"),MATCH("Points (Auto-generate)",INDIRECT("'"&amp;$A30&amp;"'!$A$12:$Z$12"),0),0)),"ER"))</f>
        <v>?</v>
      </c>
      <c r="J30" s="83" t="str">
        <f aca="true">IF($H30=0,"NA",IF($A30=INDIRECT("'"&amp;$A30&amp;"'!$B$1"),IF(VLOOKUP(J$1,INDIRECT("'"&amp;$A30&amp;"'!$A$12:$Z$41"),MATCH("Points (Auto-generate)",INDIRECT("'"&amp;$A30&amp;"'!$A$12:$Z$12"),0),0)="","?",VLOOKUP(J$1,INDIRECT("'"&amp;$A30&amp;"'!$A$12:$Z$41"),MATCH("Points (Auto-generate)",INDIRECT("'"&amp;$A30&amp;"'!$A$12:$Z$12"),0),0)),"ER"))</f>
        <v>?</v>
      </c>
      <c r="K30" s="83" t="str">
        <f aca="true">IF($H30=0,"NA",IF($A30=INDIRECT("'"&amp;$A30&amp;"'!$B$1"),IF(VLOOKUP(K$1,INDIRECT("'"&amp;$A30&amp;"'!$A$12:$Z$41"),MATCH("Points (Auto-generate)",INDIRECT("'"&amp;$A30&amp;"'!$A$12:$Z$12"),0),0)="","?",VLOOKUP(K$1,INDIRECT("'"&amp;$A30&amp;"'!$A$12:$Z$41"),MATCH("Points (Auto-generate)",INDIRECT("'"&amp;$A30&amp;"'!$A$12:$Z$12"),0),0)),"ER"))</f>
        <v>?</v>
      </c>
      <c r="L30" s="83" t="str">
        <f aca="true">IF($H30=0,"NA",IF($A30=INDIRECT("'"&amp;$A30&amp;"'!$B$1"),IF(VLOOKUP(L$1,INDIRECT("'"&amp;$A30&amp;"'!$A$12:$Z$41"),MATCH("Points (Auto-generate)",INDIRECT("'"&amp;$A30&amp;"'!$A$12:$Z$12"),0),0)="","?",VLOOKUP(L$1,INDIRECT("'"&amp;$A30&amp;"'!$A$12:$Z$41"),MATCH("Points (Auto-generate)",INDIRECT("'"&amp;$A30&amp;"'!$A$12:$Z$12"),0),0)),"ER"))</f>
        <v>?</v>
      </c>
      <c r="M30" s="83" t="str">
        <f aca="true">IF($H30=0,"NA",IF($A30=INDIRECT("'"&amp;$A30&amp;"'!$B$1"),IF(VLOOKUP(M$1,INDIRECT("'"&amp;$A30&amp;"'!$A$12:$Z$41"),MATCH("Points (Auto-generate)",INDIRECT("'"&amp;$A30&amp;"'!$A$12:$Z$12"),0),0)="","?",VLOOKUP(M$1,INDIRECT("'"&amp;$A30&amp;"'!$A$12:$Z$41"),MATCH("Points (Auto-generate)",INDIRECT("'"&amp;$A30&amp;"'!$A$12:$Z$12"),0),0)),"ER"))</f>
        <v>?</v>
      </c>
      <c r="N30" s="83" t="str">
        <f aca="true">IF($H30=0,"NA",IF($A30=INDIRECT("'"&amp;$A30&amp;"'!$B$1"),IF(VLOOKUP(N$1,INDIRECT("'"&amp;$A30&amp;"'!$A$12:$Z$41"),MATCH("Points (Auto-generate)",INDIRECT("'"&amp;$A30&amp;"'!$A$12:$Z$12"),0),0)="","?",VLOOKUP(N$1,INDIRECT("'"&amp;$A30&amp;"'!$A$12:$Z$41"),MATCH("Points (Auto-generate)",INDIRECT("'"&amp;$A30&amp;"'!$A$12:$Z$12"),0),0)),"ER"))</f>
        <v>?</v>
      </c>
      <c r="O30" s="83" t="str">
        <f aca="true">IF($H30=0,"NA",IF($A30=INDIRECT("'"&amp;$A30&amp;"'!$B$1"),IF(VLOOKUP(O$1,INDIRECT("'"&amp;$A30&amp;"'!$A$12:$Z$41"),MATCH("Points (Auto-generate)",INDIRECT("'"&amp;$A30&amp;"'!$A$12:$Z$12"),0),0)="","?",VLOOKUP(O$1,INDIRECT("'"&amp;$A30&amp;"'!$A$12:$Z$41"),MATCH("Points (Auto-generate)",INDIRECT("'"&amp;$A30&amp;"'!$A$12:$Z$12"),0),0)),"ER"))</f>
        <v>?</v>
      </c>
      <c r="P30" s="83" t="str">
        <f aca="true">IF($H30=0,"NA",IF($A30=INDIRECT("'"&amp;$A30&amp;"'!$B$1"),IF(VLOOKUP(P$1,INDIRECT("'"&amp;$A30&amp;"'!$A$12:$Z$41"),MATCH("Points (Auto-generate)",INDIRECT("'"&amp;$A30&amp;"'!$A$12:$Z$12"),0),0)="","?",VLOOKUP(P$1,INDIRECT("'"&amp;$A30&amp;"'!$A$12:$Z$41"),MATCH("Points (Auto-generate)",INDIRECT("'"&amp;$A30&amp;"'!$A$12:$Z$12"),0),0)),"ER"))</f>
        <v>?</v>
      </c>
      <c r="Q30" s="83" t="str">
        <f aca="true">IF($H30=0,"NA",IF($A30=INDIRECT("'"&amp;$A30&amp;"'!$B$1"),IF(VLOOKUP(Q$1,INDIRECT("'"&amp;$A30&amp;"'!$A$12:$Z$41"),MATCH("Points (Auto-generate)",INDIRECT("'"&amp;$A30&amp;"'!$A$12:$Z$12"),0),0)="","?",VLOOKUP(Q$1,INDIRECT("'"&amp;$A30&amp;"'!$A$12:$Z$41"),MATCH("Points (Auto-generate)",INDIRECT("'"&amp;$A30&amp;"'!$A$12:$Z$12"),0),0)),"ER"))</f>
        <v>?</v>
      </c>
      <c r="R30" s="83" t="str">
        <f aca="true">IF($H30=0,"NA",IF($A30=INDIRECT("'"&amp;$A30&amp;"'!$B$1"),IF(VLOOKUP(R$1,INDIRECT("'"&amp;$A30&amp;"'!$A$12:$Z$41"),MATCH("Points (Auto-generate)",INDIRECT("'"&amp;$A30&amp;"'!$A$12:$Z$12"),0),0)="","?",VLOOKUP(R$1,INDIRECT("'"&amp;$A30&amp;"'!$A$12:$Z$41"),MATCH("Points (Auto-generate)",INDIRECT("'"&amp;$A30&amp;"'!$A$12:$Z$12"),0),0)),"ER"))</f>
        <v>?</v>
      </c>
      <c r="S30" s="83" t="str">
        <f aca="true">IF($H30=0,"NA",IF($A30=INDIRECT("'"&amp;$A30&amp;"'!$B$1"),IF(VLOOKUP(S$1,INDIRECT("'"&amp;$A30&amp;"'!$A$12:$Z$41"),MATCH("Points (Auto-generate)",INDIRECT("'"&amp;$A30&amp;"'!$A$12:$Z$12"),0),0)="","?",VLOOKUP(S$1,INDIRECT("'"&amp;$A30&amp;"'!$A$12:$Z$41"),MATCH("Points (Auto-generate)",INDIRECT("'"&amp;$A30&amp;"'!$A$12:$Z$12"),0),0)),"ER"))</f>
        <v>?</v>
      </c>
      <c r="T30" s="83" t="str">
        <f aca="true">IF($H30=0,"NA",IF($A30=INDIRECT("'"&amp;$A30&amp;"'!$B$1"),IF(VLOOKUP(T$1,INDIRECT("'"&amp;$A30&amp;"'!$A$12:$Z$41"),MATCH("Points (Auto-generate)",INDIRECT("'"&amp;$A30&amp;"'!$A$12:$Z$12"),0),0)="","?",VLOOKUP(T$1,INDIRECT("'"&amp;$A30&amp;"'!$A$12:$Z$41"),MATCH("Points (Auto-generate)",INDIRECT("'"&amp;$A30&amp;"'!$A$12:$Z$12"),0),0)),"ER"))</f>
        <v>?</v>
      </c>
      <c r="U30" s="83" t="str">
        <f aca="true">IF($H30=0,"NA",IF($A30=INDIRECT("'"&amp;$A30&amp;"'!$B$1"),IF(VLOOKUP(U$1,INDIRECT("'"&amp;$A30&amp;"'!$A$12:$Z$41"),MATCH("Points (Auto-generate)",INDIRECT("'"&amp;$A30&amp;"'!$A$12:$Z$12"),0),0)="","?",VLOOKUP(U$1,INDIRECT("'"&amp;$A30&amp;"'!$A$12:$Z$41"),MATCH("Points (Auto-generate)",INDIRECT("'"&amp;$A30&amp;"'!$A$12:$Z$12"),0),0)),"ER"))</f>
        <v>?</v>
      </c>
      <c r="V30" s="83" t="str">
        <f aca="true">IF($H30=0,"NA",IF($A30=INDIRECT("'"&amp;$A30&amp;"'!$B$1"),IF(VLOOKUP(V$1,INDIRECT("'"&amp;$A30&amp;"'!$A$12:$Z$41"),MATCH("Points (Auto-generate)",INDIRECT("'"&amp;$A30&amp;"'!$A$12:$Z$12"),0),0)="","?",VLOOKUP(V$1,INDIRECT("'"&amp;$A30&amp;"'!$A$12:$Z$41"),MATCH("Points (Auto-generate)",INDIRECT("'"&amp;$A30&amp;"'!$A$12:$Z$12"),0),0)),"ER"))</f>
        <v>?</v>
      </c>
      <c r="W30" s="83" t="str">
        <f aca="true">IF($H30=0,"NA",IF($A30=INDIRECT("'"&amp;$A30&amp;"'!$B$1"),IF(VLOOKUP(W$1,INDIRECT("'"&amp;$A30&amp;"'!$A$12:$Z$41"),MATCH("Points (Auto-generate)",INDIRECT("'"&amp;$A30&amp;"'!$A$12:$Z$12"),0),0)="","?",VLOOKUP(W$1,INDIRECT("'"&amp;$A30&amp;"'!$A$12:$Z$41"),MATCH("Points (Auto-generate)",INDIRECT("'"&amp;$A30&amp;"'!$A$12:$Z$12"),0),0)),"ER"))</f>
        <v>?</v>
      </c>
      <c r="X30" s="83" t="str">
        <f aca="true">IF($H30=0,"NA",IF($A30=INDIRECT("'"&amp;$A30&amp;"'!$B$1"),IF(VLOOKUP(X$1,INDIRECT("'"&amp;$A30&amp;"'!$A$12:$Z$41"),MATCH("Points (Auto-generate)",INDIRECT("'"&amp;$A30&amp;"'!$A$12:$Z$12"),0),0)="","?",VLOOKUP(X$1,INDIRECT("'"&amp;$A30&amp;"'!$A$12:$Z$41"),MATCH("Points (Auto-generate)",INDIRECT("'"&amp;$A30&amp;"'!$A$12:$Z$12"),0),0)),"ER"))</f>
        <v>?</v>
      </c>
      <c r="Y30" s="83" t="str">
        <f aca="true">IF($H30=0,"NA",IF($A30=INDIRECT("'"&amp;$A30&amp;"'!$B$1"),IF(VLOOKUP(Y$1,INDIRECT("'"&amp;$A30&amp;"'!$A$12:$Z$41"),MATCH("Points (Auto-generate)",INDIRECT("'"&amp;$A30&amp;"'!$A$12:$Z$12"),0),0)="","?",VLOOKUP(Y$1,INDIRECT("'"&amp;$A30&amp;"'!$A$12:$Z$41"),MATCH("Points (Auto-generate)",INDIRECT("'"&amp;$A30&amp;"'!$A$12:$Z$12"),0),0)),"ER"))</f>
        <v>?</v>
      </c>
      <c r="Z30" s="83" t="str">
        <f aca="true">IF($H30=0,"NA",IF($A30=INDIRECT("'"&amp;$A30&amp;"'!$B$1"),IF(VLOOKUP(Z$1,INDIRECT("'"&amp;$A30&amp;"'!$A$12:$Z$41"),MATCH("Points (Auto-generate)",INDIRECT("'"&amp;$A30&amp;"'!$A$12:$Z$12"),0),0)="","?",VLOOKUP(Z$1,INDIRECT("'"&amp;$A30&amp;"'!$A$12:$Z$41"),MATCH("Points (Auto-generate)",INDIRECT("'"&amp;$A30&amp;"'!$A$12:$Z$12"),0),0)),"ER"))</f>
        <v>?</v>
      </c>
      <c r="AA30" s="83" t="str">
        <f aca="true">IF($H30=0,"NA",IF($A30=INDIRECT("'"&amp;$A30&amp;"'!$B$1"),IF(VLOOKUP(AA$1,INDIRECT("'"&amp;$A30&amp;"'!$A$12:$Z$41"),MATCH("Points (Auto-generate)",INDIRECT("'"&amp;$A30&amp;"'!$A$12:$Z$12"),0),0)="","?",VLOOKUP(AA$1,INDIRECT("'"&amp;$A30&amp;"'!$A$12:$Z$41"),MATCH("Points (Auto-generate)",INDIRECT("'"&amp;$A30&amp;"'!$A$12:$Z$12"),0),0)),"ER"))</f>
        <v>?</v>
      </c>
      <c r="AB30" s="83" t="str">
        <f aca="true">IF($H30=0,"NA",IF($A30=INDIRECT("'"&amp;$A30&amp;"'!$B$1"),IF(VLOOKUP(AB$1,INDIRECT("'"&amp;$A30&amp;"'!$A$12:$Z$41"),MATCH("Points (Auto-generate)",INDIRECT("'"&amp;$A30&amp;"'!$A$12:$Z$12"),0),0)="","?",VLOOKUP(AB$1,INDIRECT("'"&amp;$A30&amp;"'!$A$12:$Z$41"),MATCH("Points (Auto-generate)",INDIRECT("'"&amp;$A30&amp;"'!$A$12:$Z$12"),0),0)),"ER"))</f>
        <v>?</v>
      </c>
      <c r="AC30" s="83" t="str">
        <f aca="true">IF($H30=0,"NA",IF($A30=INDIRECT("'"&amp;$A30&amp;"'!$B$1"),IF(VLOOKUP(AC$1,INDIRECT("'"&amp;$A30&amp;"'!$A$12:$Z$41"),MATCH("Points (Auto-generate)",INDIRECT("'"&amp;$A30&amp;"'!$A$12:$Z$12"),0),0)="","?",VLOOKUP(AC$1,INDIRECT("'"&amp;$A30&amp;"'!$A$12:$Z$41"),MATCH("Points (Auto-generate)",INDIRECT("'"&amp;$A30&amp;"'!$A$12:$Z$12"),0),0)),"ER"))</f>
        <v>?</v>
      </c>
      <c r="AD30" s="83" t="str">
        <f aca="true">IF($H30=0,"NA",IF($A30=INDIRECT("'"&amp;$A30&amp;"'!$B$1"),IF(VLOOKUP(AD$1,INDIRECT("'"&amp;$A30&amp;"'!$A$12:$Z$41"),MATCH("Points (Auto-generate)",INDIRECT("'"&amp;$A30&amp;"'!$A$12:$Z$12"),0),0)="","?",VLOOKUP(AD$1,INDIRECT("'"&amp;$A30&amp;"'!$A$12:$Z$41"),MATCH("Points (Auto-generate)",INDIRECT("'"&amp;$A30&amp;"'!$A$12:$Z$12"),0),0)),"ER"))</f>
        <v>?</v>
      </c>
      <c r="AE30" s="83" t="str">
        <f aca="true">IF($H30=0,"NA",IF($A30=INDIRECT("'"&amp;$A30&amp;"'!$B$1"),IF(VLOOKUP(AE$1,INDIRECT("'"&amp;$A30&amp;"'!$A$12:$Z$41"),MATCH("Points (Auto-generate)",INDIRECT("'"&amp;$A30&amp;"'!$A$12:$Z$12"),0),0)="","?",VLOOKUP(AE$1,INDIRECT("'"&amp;$A30&amp;"'!$A$12:$Z$41"),MATCH("Points (Auto-generate)",INDIRECT("'"&amp;$A30&amp;"'!$A$12:$Z$12"),0),0)),"ER"))</f>
        <v>?</v>
      </c>
      <c r="AF30" s="83" t="str">
        <f aca="true">IF($H30=0,"NA",IF($A30=INDIRECT("'"&amp;$A30&amp;"'!$B$1"),IF(VLOOKUP(AF$1,INDIRECT("'"&amp;$A30&amp;"'!$A$12:$Z$41"),MATCH("Points (Auto-generate)",INDIRECT("'"&amp;$A30&amp;"'!$A$12:$Z$12"),0),0)="","?",VLOOKUP(AF$1,INDIRECT("'"&amp;$A30&amp;"'!$A$12:$Z$41"),MATCH("Points (Auto-generate)",INDIRECT("'"&amp;$A30&amp;"'!$A$12:$Z$12"),0),0)),"ER"))</f>
        <v>?</v>
      </c>
      <c r="AG30" s="83" t="str">
        <f aca="true">IF($H30=0,"NA",IF($A30=INDIRECT("'"&amp;$A30&amp;"'!$B$1"),IF(VLOOKUP(AG$1,INDIRECT("'"&amp;$A30&amp;"'!$A$12:$Z$41"),MATCH("Points (Auto-generate)",INDIRECT("'"&amp;$A30&amp;"'!$A$12:$Z$12"),0),0)="","?",VLOOKUP(AG$1,INDIRECT("'"&amp;$A30&amp;"'!$A$12:$Z$41"),MATCH("Points (Auto-generate)",INDIRECT("'"&amp;$A30&amp;"'!$A$12:$Z$12"),0),0)),"ER"))</f>
        <v>?</v>
      </c>
      <c r="AH30" s="83" t="str">
        <f aca="true">IF($H30=0,"NA",IF($A30=INDIRECT("'"&amp;$A30&amp;"'!$B$1"),IF(VLOOKUP(AH$1,INDIRECT("'"&amp;$A30&amp;"'!$A$12:$Z$41"),MATCH("Points (Auto-generate)",INDIRECT("'"&amp;$A30&amp;"'!$A$12:$Z$12"),0),0)="","?",VLOOKUP(AH$1,INDIRECT("'"&amp;$A30&amp;"'!$A$12:$Z$41"),MATCH("Points (Auto-generate)",INDIRECT("'"&amp;$A30&amp;"'!$A$12:$Z$12"),0),0)),"ER"))</f>
        <v>?</v>
      </c>
      <c r="AI30" s="83" t="str">
        <f aca="true">IF($H30=0,"NA",IF($A30=INDIRECT("'"&amp;$A30&amp;"'!$B$1"),IF(VLOOKUP(AI$1,INDIRECT("'"&amp;$A30&amp;"'!$A$12:$Z$41"),MATCH("Points (Auto-generate)",INDIRECT("'"&amp;$A30&amp;"'!$A$12:$Z$12"),0),0)="","?",VLOOKUP(AI$1,INDIRECT("'"&amp;$A30&amp;"'!$A$12:$Z$41"),MATCH("Points (Auto-generate)",INDIRECT("'"&amp;$A30&amp;"'!$A$12:$Z$12"),0),0)),"ER"))</f>
        <v>?</v>
      </c>
      <c r="AJ30" s="83" t="str">
        <f aca="true">IF($H30=0,"NA",IF($A30=INDIRECT("'"&amp;$A30&amp;"'!$B$1"),IF(VLOOKUP(AJ$1,INDIRECT("'"&amp;$A30&amp;"'!$A$12:$Z$41"),MATCH("Points (Auto-generate)",INDIRECT("'"&amp;$A30&amp;"'!$A$12:$Z$12"),0),0)="","?",VLOOKUP(AJ$1,INDIRECT("'"&amp;$A30&amp;"'!$A$12:$Z$41"),MATCH("Points (Auto-generate)",INDIRECT("'"&amp;$A30&amp;"'!$A$12:$Z$12"),0),0)),"ER"))</f>
        <v>?</v>
      </c>
      <c r="AK30" s="83" t="str">
        <f aca="true">IF($H30=0,"NA",IF($A30=INDIRECT("'"&amp;$A30&amp;"'!$B$1"),IF(VLOOKUP(AK$1,INDIRECT("'"&amp;$A30&amp;"'!$A$12:$Z$41"),MATCH("Points (Auto-generate)",INDIRECT("'"&amp;$A30&amp;"'!$A$12:$Z$12"),0),0)="","?",VLOOKUP(AK$1,INDIRECT("'"&amp;$A30&amp;"'!$A$12:$Z$41"),MATCH("Points (Auto-generate)",INDIRECT("'"&amp;$A30&amp;"'!$A$12:$Z$12"),0),0)),"ER"))</f>
        <v>?</v>
      </c>
    </row>
    <row r="31" customFormat="false" ht="14.25" hidden="false" customHeight="false" outlineLevel="0" collapsed="false">
      <c r="A31" s="79" t="s">
        <v>139</v>
      </c>
      <c r="B31" s="80" t="str">
        <f aca="false">IF(ISBLANK($A31),"NO_CODE",VLOOKUP($A31,'UPD Questions_290926 '!$E$1:$N$300,MATCH(B$1,'UPD Questions_290926 '!$E$1:$N$1,0),0)&amp;"")</f>
        <v>Planning </v>
      </c>
      <c r="C31" s="80" t="str">
        <f aca="false">IF(ISBLANK($A31),"NO_CODE",VLOOKUP($A31,'UPD Questions_290926 '!$E$1:$N$300,MATCH(C$1,'UPD Questions_290926 '!$E$1:$N$1,0),0)&amp;"")</f>
        <v>Municipal/City Plan objectives and contents</v>
      </c>
      <c r="D31" s="80" t="str">
        <f aca="false">IF(ISBLANK($A31),"NO_CODE",VLOOKUP($A31,'UPD Questions_290926 '!$E$1:$N$300,MATCH(D$1,'UPD Questions_290926 '!$E$1:$N$1,0),0)&amp;"")</f>
        <v>Statutory requirements for plan content</v>
      </c>
      <c r="E31" s="80" t="str">
        <f aca="false">IF(ISBLANK($A31),"NO_CODE",VLOOKUP($A31,'UPD Questions_290926 '!$E$1:$N$300,MATCH(E$1,'UPD Questions_290926 '!$E$1:$N$1,0),0)&amp;"")</f>
        <v>SQ</v>
      </c>
      <c r="F31" s="80" t="str">
        <f aca="false">IF(ISBLANK($A31),"NO_CODE",VLOOKUP($A31,'UPD Questions_290926 '!$E$1:$N$300,MATCH(F$1,'UPD Questions_290926 '!$E$1:$N$1,0),0)&amp;"")</f>
        <v>f) Social Development        </v>
      </c>
      <c r="G31" s="80" t="str">
        <f aca="false">IF(ISBLANK($A31),"NO_CODE",VLOOKUP($A31,'UPD Questions_290926 '!$E$1:$N$300,MATCH(G$1,'UPD Questions_290926 '!$E$1:$N$1,0),0)&amp;"")</f>
        <v>Law/Policy</v>
      </c>
      <c r="H31" s="82" t="n">
        <f aca="false">IF(ISBLANK($A31),"NO_CODE",VLOOKUP($A31,'UPD Questions_290926 '!$E$1:$N$300,MATCH(H$1,'UPD Questions_290926 '!$E$1:$N$1,0),0))</f>
        <v>1.67</v>
      </c>
      <c r="I31" s="83" t="str">
        <f aca="true">IF($H31=0,"NA",IF($A31=INDIRECT("'"&amp;$A31&amp;"'!$B$1"),IF(VLOOKUP(I$1,INDIRECT("'"&amp;$A31&amp;"'!$A$12:$Z$41"),MATCH("Points (Auto-generate)",INDIRECT("'"&amp;$A31&amp;"'!$A$12:$Z$12"),0),0)="","?",VLOOKUP(I$1,INDIRECT("'"&amp;$A31&amp;"'!$A$12:$Z$41"),MATCH("Points (Auto-generate)",INDIRECT("'"&amp;$A31&amp;"'!$A$12:$Z$12"),0),0)),"ER"))</f>
        <v>?</v>
      </c>
      <c r="J31" s="83" t="str">
        <f aca="true">IF($H31=0,"NA",IF($A31=INDIRECT("'"&amp;$A31&amp;"'!$B$1"),IF(VLOOKUP(J$1,INDIRECT("'"&amp;$A31&amp;"'!$A$12:$Z$41"),MATCH("Points (Auto-generate)",INDIRECT("'"&amp;$A31&amp;"'!$A$12:$Z$12"),0),0)="","?",VLOOKUP(J$1,INDIRECT("'"&amp;$A31&amp;"'!$A$12:$Z$41"),MATCH("Points (Auto-generate)",INDIRECT("'"&amp;$A31&amp;"'!$A$12:$Z$12"),0),0)),"ER"))</f>
        <v>?</v>
      </c>
      <c r="K31" s="83" t="str">
        <f aca="true">IF($H31=0,"NA",IF($A31=INDIRECT("'"&amp;$A31&amp;"'!$B$1"),IF(VLOOKUP(K$1,INDIRECT("'"&amp;$A31&amp;"'!$A$12:$Z$41"),MATCH("Points (Auto-generate)",INDIRECT("'"&amp;$A31&amp;"'!$A$12:$Z$12"),0),0)="","?",VLOOKUP(K$1,INDIRECT("'"&amp;$A31&amp;"'!$A$12:$Z$41"),MATCH("Points (Auto-generate)",INDIRECT("'"&amp;$A31&amp;"'!$A$12:$Z$12"),0),0)),"ER"))</f>
        <v>?</v>
      </c>
      <c r="L31" s="83" t="str">
        <f aca="true">IF($H31=0,"NA",IF($A31=INDIRECT("'"&amp;$A31&amp;"'!$B$1"),IF(VLOOKUP(L$1,INDIRECT("'"&amp;$A31&amp;"'!$A$12:$Z$41"),MATCH("Points (Auto-generate)",INDIRECT("'"&amp;$A31&amp;"'!$A$12:$Z$12"),0),0)="","?",VLOOKUP(L$1,INDIRECT("'"&amp;$A31&amp;"'!$A$12:$Z$41"),MATCH("Points (Auto-generate)",INDIRECT("'"&amp;$A31&amp;"'!$A$12:$Z$12"),0),0)),"ER"))</f>
        <v>?</v>
      </c>
      <c r="M31" s="83" t="str">
        <f aca="true">IF($H31=0,"NA",IF($A31=INDIRECT("'"&amp;$A31&amp;"'!$B$1"),IF(VLOOKUP(M$1,INDIRECT("'"&amp;$A31&amp;"'!$A$12:$Z$41"),MATCH("Points (Auto-generate)",INDIRECT("'"&amp;$A31&amp;"'!$A$12:$Z$12"),0),0)="","?",VLOOKUP(M$1,INDIRECT("'"&amp;$A31&amp;"'!$A$12:$Z$41"),MATCH("Points (Auto-generate)",INDIRECT("'"&amp;$A31&amp;"'!$A$12:$Z$12"),0),0)),"ER"))</f>
        <v>?</v>
      </c>
      <c r="N31" s="83" t="str">
        <f aca="true">IF($H31=0,"NA",IF($A31=INDIRECT("'"&amp;$A31&amp;"'!$B$1"),IF(VLOOKUP(N$1,INDIRECT("'"&amp;$A31&amp;"'!$A$12:$Z$41"),MATCH("Points (Auto-generate)",INDIRECT("'"&amp;$A31&amp;"'!$A$12:$Z$12"),0),0)="","?",VLOOKUP(N$1,INDIRECT("'"&amp;$A31&amp;"'!$A$12:$Z$41"),MATCH("Points (Auto-generate)",INDIRECT("'"&amp;$A31&amp;"'!$A$12:$Z$12"),0),0)),"ER"))</f>
        <v>?</v>
      </c>
      <c r="O31" s="83" t="str">
        <f aca="true">IF($H31=0,"NA",IF($A31=INDIRECT("'"&amp;$A31&amp;"'!$B$1"),IF(VLOOKUP(O$1,INDIRECT("'"&amp;$A31&amp;"'!$A$12:$Z$41"),MATCH("Points (Auto-generate)",INDIRECT("'"&amp;$A31&amp;"'!$A$12:$Z$12"),0),0)="","?",VLOOKUP(O$1,INDIRECT("'"&amp;$A31&amp;"'!$A$12:$Z$41"),MATCH("Points (Auto-generate)",INDIRECT("'"&amp;$A31&amp;"'!$A$12:$Z$12"),0),0)),"ER"))</f>
        <v>?</v>
      </c>
      <c r="P31" s="83" t="str">
        <f aca="true">IF($H31=0,"NA",IF($A31=INDIRECT("'"&amp;$A31&amp;"'!$B$1"),IF(VLOOKUP(P$1,INDIRECT("'"&amp;$A31&amp;"'!$A$12:$Z$41"),MATCH("Points (Auto-generate)",INDIRECT("'"&amp;$A31&amp;"'!$A$12:$Z$12"),0),0)="","?",VLOOKUP(P$1,INDIRECT("'"&amp;$A31&amp;"'!$A$12:$Z$41"),MATCH("Points (Auto-generate)",INDIRECT("'"&amp;$A31&amp;"'!$A$12:$Z$12"),0),0)),"ER"))</f>
        <v>?</v>
      </c>
      <c r="Q31" s="83" t="str">
        <f aca="true">IF($H31=0,"NA",IF($A31=INDIRECT("'"&amp;$A31&amp;"'!$B$1"),IF(VLOOKUP(Q$1,INDIRECT("'"&amp;$A31&amp;"'!$A$12:$Z$41"),MATCH("Points (Auto-generate)",INDIRECT("'"&amp;$A31&amp;"'!$A$12:$Z$12"),0),0)="","?",VLOOKUP(Q$1,INDIRECT("'"&amp;$A31&amp;"'!$A$12:$Z$41"),MATCH("Points (Auto-generate)",INDIRECT("'"&amp;$A31&amp;"'!$A$12:$Z$12"),0),0)),"ER"))</f>
        <v>?</v>
      </c>
      <c r="R31" s="83" t="str">
        <f aca="true">IF($H31=0,"NA",IF($A31=INDIRECT("'"&amp;$A31&amp;"'!$B$1"),IF(VLOOKUP(R$1,INDIRECT("'"&amp;$A31&amp;"'!$A$12:$Z$41"),MATCH("Points (Auto-generate)",INDIRECT("'"&amp;$A31&amp;"'!$A$12:$Z$12"),0),0)="","?",VLOOKUP(R$1,INDIRECT("'"&amp;$A31&amp;"'!$A$12:$Z$41"),MATCH("Points (Auto-generate)",INDIRECT("'"&amp;$A31&amp;"'!$A$12:$Z$12"),0),0)),"ER"))</f>
        <v>?</v>
      </c>
      <c r="S31" s="83" t="str">
        <f aca="true">IF($H31=0,"NA",IF($A31=INDIRECT("'"&amp;$A31&amp;"'!$B$1"),IF(VLOOKUP(S$1,INDIRECT("'"&amp;$A31&amp;"'!$A$12:$Z$41"),MATCH("Points (Auto-generate)",INDIRECT("'"&amp;$A31&amp;"'!$A$12:$Z$12"),0),0)="","?",VLOOKUP(S$1,INDIRECT("'"&amp;$A31&amp;"'!$A$12:$Z$41"),MATCH("Points (Auto-generate)",INDIRECT("'"&amp;$A31&amp;"'!$A$12:$Z$12"),0),0)),"ER"))</f>
        <v>?</v>
      </c>
      <c r="T31" s="83" t="str">
        <f aca="true">IF($H31=0,"NA",IF($A31=INDIRECT("'"&amp;$A31&amp;"'!$B$1"),IF(VLOOKUP(T$1,INDIRECT("'"&amp;$A31&amp;"'!$A$12:$Z$41"),MATCH("Points (Auto-generate)",INDIRECT("'"&amp;$A31&amp;"'!$A$12:$Z$12"),0),0)="","?",VLOOKUP(T$1,INDIRECT("'"&amp;$A31&amp;"'!$A$12:$Z$41"),MATCH("Points (Auto-generate)",INDIRECT("'"&amp;$A31&amp;"'!$A$12:$Z$12"),0),0)),"ER"))</f>
        <v>?</v>
      </c>
      <c r="U31" s="83" t="str">
        <f aca="true">IF($H31=0,"NA",IF($A31=INDIRECT("'"&amp;$A31&amp;"'!$B$1"),IF(VLOOKUP(U$1,INDIRECT("'"&amp;$A31&amp;"'!$A$12:$Z$41"),MATCH("Points (Auto-generate)",INDIRECT("'"&amp;$A31&amp;"'!$A$12:$Z$12"),0),0)="","?",VLOOKUP(U$1,INDIRECT("'"&amp;$A31&amp;"'!$A$12:$Z$41"),MATCH("Points (Auto-generate)",INDIRECT("'"&amp;$A31&amp;"'!$A$12:$Z$12"),0),0)),"ER"))</f>
        <v>?</v>
      </c>
      <c r="V31" s="83" t="str">
        <f aca="true">IF($H31=0,"NA",IF($A31=INDIRECT("'"&amp;$A31&amp;"'!$B$1"),IF(VLOOKUP(V$1,INDIRECT("'"&amp;$A31&amp;"'!$A$12:$Z$41"),MATCH("Points (Auto-generate)",INDIRECT("'"&amp;$A31&amp;"'!$A$12:$Z$12"),0),0)="","?",VLOOKUP(V$1,INDIRECT("'"&amp;$A31&amp;"'!$A$12:$Z$41"),MATCH("Points (Auto-generate)",INDIRECT("'"&amp;$A31&amp;"'!$A$12:$Z$12"),0),0)),"ER"))</f>
        <v>?</v>
      </c>
      <c r="W31" s="83" t="str">
        <f aca="true">IF($H31=0,"NA",IF($A31=INDIRECT("'"&amp;$A31&amp;"'!$B$1"),IF(VLOOKUP(W$1,INDIRECT("'"&amp;$A31&amp;"'!$A$12:$Z$41"),MATCH("Points (Auto-generate)",INDIRECT("'"&amp;$A31&amp;"'!$A$12:$Z$12"),0),0)="","?",VLOOKUP(W$1,INDIRECT("'"&amp;$A31&amp;"'!$A$12:$Z$41"),MATCH("Points (Auto-generate)",INDIRECT("'"&amp;$A31&amp;"'!$A$12:$Z$12"),0),0)),"ER"))</f>
        <v>?</v>
      </c>
      <c r="X31" s="83" t="str">
        <f aca="true">IF($H31=0,"NA",IF($A31=INDIRECT("'"&amp;$A31&amp;"'!$B$1"),IF(VLOOKUP(X$1,INDIRECT("'"&amp;$A31&amp;"'!$A$12:$Z$41"),MATCH("Points (Auto-generate)",INDIRECT("'"&amp;$A31&amp;"'!$A$12:$Z$12"),0),0)="","?",VLOOKUP(X$1,INDIRECT("'"&amp;$A31&amp;"'!$A$12:$Z$41"),MATCH("Points (Auto-generate)",INDIRECT("'"&amp;$A31&amp;"'!$A$12:$Z$12"),0),0)),"ER"))</f>
        <v>?</v>
      </c>
      <c r="Y31" s="83" t="str">
        <f aca="true">IF($H31=0,"NA",IF($A31=INDIRECT("'"&amp;$A31&amp;"'!$B$1"),IF(VLOOKUP(Y$1,INDIRECT("'"&amp;$A31&amp;"'!$A$12:$Z$41"),MATCH("Points (Auto-generate)",INDIRECT("'"&amp;$A31&amp;"'!$A$12:$Z$12"),0),0)="","?",VLOOKUP(Y$1,INDIRECT("'"&amp;$A31&amp;"'!$A$12:$Z$41"),MATCH("Points (Auto-generate)",INDIRECT("'"&amp;$A31&amp;"'!$A$12:$Z$12"),0),0)),"ER"))</f>
        <v>?</v>
      </c>
      <c r="Z31" s="83" t="str">
        <f aca="true">IF($H31=0,"NA",IF($A31=INDIRECT("'"&amp;$A31&amp;"'!$B$1"),IF(VLOOKUP(Z$1,INDIRECT("'"&amp;$A31&amp;"'!$A$12:$Z$41"),MATCH("Points (Auto-generate)",INDIRECT("'"&amp;$A31&amp;"'!$A$12:$Z$12"),0),0)="","?",VLOOKUP(Z$1,INDIRECT("'"&amp;$A31&amp;"'!$A$12:$Z$41"),MATCH("Points (Auto-generate)",INDIRECT("'"&amp;$A31&amp;"'!$A$12:$Z$12"),0),0)),"ER"))</f>
        <v>?</v>
      </c>
      <c r="AA31" s="83" t="str">
        <f aca="true">IF($H31=0,"NA",IF($A31=INDIRECT("'"&amp;$A31&amp;"'!$B$1"),IF(VLOOKUP(AA$1,INDIRECT("'"&amp;$A31&amp;"'!$A$12:$Z$41"),MATCH("Points (Auto-generate)",INDIRECT("'"&amp;$A31&amp;"'!$A$12:$Z$12"),0),0)="","?",VLOOKUP(AA$1,INDIRECT("'"&amp;$A31&amp;"'!$A$12:$Z$41"),MATCH("Points (Auto-generate)",INDIRECT("'"&amp;$A31&amp;"'!$A$12:$Z$12"),0),0)),"ER"))</f>
        <v>?</v>
      </c>
      <c r="AB31" s="83" t="str">
        <f aca="true">IF($H31=0,"NA",IF($A31=INDIRECT("'"&amp;$A31&amp;"'!$B$1"),IF(VLOOKUP(AB$1,INDIRECT("'"&amp;$A31&amp;"'!$A$12:$Z$41"),MATCH("Points (Auto-generate)",INDIRECT("'"&amp;$A31&amp;"'!$A$12:$Z$12"),0),0)="","?",VLOOKUP(AB$1,INDIRECT("'"&amp;$A31&amp;"'!$A$12:$Z$41"),MATCH("Points (Auto-generate)",INDIRECT("'"&amp;$A31&amp;"'!$A$12:$Z$12"),0),0)),"ER"))</f>
        <v>?</v>
      </c>
      <c r="AC31" s="83" t="str">
        <f aca="true">IF($H31=0,"NA",IF($A31=INDIRECT("'"&amp;$A31&amp;"'!$B$1"),IF(VLOOKUP(AC$1,INDIRECT("'"&amp;$A31&amp;"'!$A$12:$Z$41"),MATCH("Points (Auto-generate)",INDIRECT("'"&amp;$A31&amp;"'!$A$12:$Z$12"),0),0)="","?",VLOOKUP(AC$1,INDIRECT("'"&amp;$A31&amp;"'!$A$12:$Z$41"),MATCH("Points (Auto-generate)",INDIRECT("'"&amp;$A31&amp;"'!$A$12:$Z$12"),0),0)),"ER"))</f>
        <v>?</v>
      </c>
      <c r="AD31" s="83" t="str">
        <f aca="true">IF($H31=0,"NA",IF($A31=INDIRECT("'"&amp;$A31&amp;"'!$B$1"),IF(VLOOKUP(AD$1,INDIRECT("'"&amp;$A31&amp;"'!$A$12:$Z$41"),MATCH("Points (Auto-generate)",INDIRECT("'"&amp;$A31&amp;"'!$A$12:$Z$12"),0),0)="","?",VLOOKUP(AD$1,INDIRECT("'"&amp;$A31&amp;"'!$A$12:$Z$41"),MATCH("Points (Auto-generate)",INDIRECT("'"&amp;$A31&amp;"'!$A$12:$Z$12"),0),0)),"ER"))</f>
        <v>?</v>
      </c>
      <c r="AE31" s="83" t="str">
        <f aca="true">IF($H31=0,"NA",IF($A31=INDIRECT("'"&amp;$A31&amp;"'!$B$1"),IF(VLOOKUP(AE$1,INDIRECT("'"&amp;$A31&amp;"'!$A$12:$Z$41"),MATCH("Points (Auto-generate)",INDIRECT("'"&amp;$A31&amp;"'!$A$12:$Z$12"),0),0)="","?",VLOOKUP(AE$1,INDIRECT("'"&amp;$A31&amp;"'!$A$12:$Z$41"),MATCH("Points (Auto-generate)",INDIRECT("'"&amp;$A31&amp;"'!$A$12:$Z$12"),0),0)),"ER"))</f>
        <v>?</v>
      </c>
      <c r="AF31" s="83" t="str">
        <f aca="true">IF($H31=0,"NA",IF($A31=INDIRECT("'"&amp;$A31&amp;"'!$B$1"),IF(VLOOKUP(AF$1,INDIRECT("'"&amp;$A31&amp;"'!$A$12:$Z$41"),MATCH("Points (Auto-generate)",INDIRECT("'"&amp;$A31&amp;"'!$A$12:$Z$12"),0),0)="","?",VLOOKUP(AF$1,INDIRECT("'"&amp;$A31&amp;"'!$A$12:$Z$41"),MATCH("Points (Auto-generate)",INDIRECT("'"&amp;$A31&amp;"'!$A$12:$Z$12"),0),0)),"ER"))</f>
        <v>?</v>
      </c>
      <c r="AG31" s="83" t="str">
        <f aca="true">IF($H31=0,"NA",IF($A31=INDIRECT("'"&amp;$A31&amp;"'!$B$1"),IF(VLOOKUP(AG$1,INDIRECT("'"&amp;$A31&amp;"'!$A$12:$Z$41"),MATCH("Points (Auto-generate)",INDIRECT("'"&amp;$A31&amp;"'!$A$12:$Z$12"),0),0)="","?",VLOOKUP(AG$1,INDIRECT("'"&amp;$A31&amp;"'!$A$12:$Z$41"),MATCH("Points (Auto-generate)",INDIRECT("'"&amp;$A31&amp;"'!$A$12:$Z$12"),0),0)),"ER"))</f>
        <v>?</v>
      </c>
      <c r="AH31" s="83" t="str">
        <f aca="true">IF($H31=0,"NA",IF($A31=INDIRECT("'"&amp;$A31&amp;"'!$B$1"),IF(VLOOKUP(AH$1,INDIRECT("'"&amp;$A31&amp;"'!$A$12:$Z$41"),MATCH("Points (Auto-generate)",INDIRECT("'"&amp;$A31&amp;"'!$A$12:$Z$12"),0),0)="","?",VLOOKUP(AH$1,INDIRECT("'"&amp;$A31&amp;"'!$A$12:$Z$41"),MATCH("Points (Auto-generate)",INDIRECT("'"&amp;$A31&amp;"'!$A$12:$Z$12"),0),0)),"ER"))</f>
        <v>?</v>
      </c>
      <c r="AI31" s="83" t="str">
        <f aca="true">IF($H31=0,"NA",IF($A31=INDIRECT("'"&amp;$A31&amp;"'!$B$1"),IF(VLOOKUP(AI$1,INDIRECT("'"&amp;$A31&amp;"'!$A$12:$Z$41"),MATCH("Points (Auto-generate)",INDIRECT("'"&amp;$A31&amp;"'!$A$12:$Z$12"),0),0)="","?",VLOOKUP(AI$1,INDIRECT("'"&amp;$A31&amp;"'!$A$12:$Z$41"),MATCH("Points (Auto-generate)",INDIRECT("'"&amp;$A31&amp;"'!$A$12:$Z$12"),0),0)),"ER"))</f>
        <v>?</v>
      </c>
      <c r="AJ31" s="83" t="str">
        <f aca="true">IF($H31=0,"NA",IF($A31=INDIRECT("'"&amp;$A31&amp;"'!$B$1"),IF(VLOOKUP(AJ$1,INDIRECT("'"&amp;$A31&amp;"'!$A$12:$Z$41"),MATCH("Points (Auto-generate)",INDIRECT("'"&amp;$A31&amp;"'!$A$12:$Z$12"),0),0)="","?",VLOOKUP(AJ$1,INDIRECT("'"&amp;$A31&amp;"'!$A$12:$Z$41"),MATCH("Points (Auto-generate)",INDIRECT("'"&amp;$A31&amp;"'!$A$12:$Z$12"),0),0)),"ER"))</f>
        <v>?</v>
      </c>
      <c r="AK31" s="83" t="str">
        <f aca="true">IF($H31=0,"NA",IF($A31=INDIRECT("'"&amp;$A31&amp;"'!$B$1"),IF(VLOOKUP(AK$1,INDIRECT("'"&amp;$A31&amp;"'!$A$12:$Z$41"),MATCH("Points (Auto-generate)",INDIRECT("'"&amp;$A31&amp;"'!$A$12:$Z$12"),0),0)="","?",VLOOKUP(AK$1,INDIRECT("'"&amp;$A31&amp;"'!$A$12:$Z$41"),MATCH("Points (Auto-generate)",INDIRECT("'"&amp;$A31&amp;"'!$A$12:$Z$12"),0),0)),"ER"))</f>
        <v>?</v>
      </c>
    </row>
    <row r="32" customFormat="false" ht="14.25" hidden="false" customHeight="false" outlineLevel="0" collapsed="false">
      <c r="A32" s="79" t="s">
        <v>540</v>
      </c>
      <c r="B32" s="80" t="str">
        <f aca="false">IF(ISBLANK($A32),"NO_CODE",VLOOKUP($A32,'UPD Questions_290926 '!$E$1:$N$300,MATCH(B$1,'UPD Questions_290926 '!$E$1:$N$1,0),0)&amp;"")</f>
        <v>Implementation</v>
      </c>
      <c r="C32" s="80" t="str">
        <f aca="false">IF(ISBLANK($A32),"NO_CODE",VLOOKUP($A32,'UPD Questions_290926 '!$E$1:$N$300,MATCH(C$1,'UPD Questions_290926 '!$E$1:$N$1,0),0)&amp;"")</f>
        <v>Municipal/City Plan status, hierarchy and coordination</v>
      </c>
      <c r="D32" s="80" t="str">
        <f aca="false">IF(ISBLANK($A32),"NO_CODE",VLOOKUP($A32,'UPD Questions_290926 '!$E$1:$N$300,MATCH(D$1,'UPD Questions_290926 '!$E$1:$N$1,0),0)&amp;"")</f>
        <v>Existence of Municipal/City Plans at each level</v>
      </c>
      <c r="E32" s="80" t="str">
        <f aca="false">IF(ISBLANK($A32),"NO_CODE",VLOOKUP($A32,'UPD Questions_290926 '!$E$1:$N$300,MATCH(E$1,'UPD Questions_290926 '!$E$1:$N$1,0),0)&amp;"")</f>
        <v>MQ</v>
      </c>
      <c r="F32" s="80" t="str">
        <f aca="false">IF(ISBLANK($A32),"NO_CODE",VLOOKUP($A32,'UPD Questions_290926 '!$E$1:$N$300,MATCH(F$1,'UPD Questions_290926 '!$E$1:$N$1,0),0)&amp;"")</f>
        <v>Are the spatial plans at the Metropolitan/Regional, Municipal and Ward(s) /Local level notified?</v>
      </c>
      <c r="G32" s="80" t="str">
        <f aca="false">IF(ISBLANK($A32),"NO_CODE",VLOOKUP($A32,'UPD Questions_290926 '!$E$1:$N$300,MATCH(G$1,'UPD Questions_290926 '!$E$1:$N$1,0),0)&amp;"")</f>
        <v>Implementation</v>
      </c>
      <c r="H32" s="82" t="n">
        <f aca="false">IF(ISBLANK($A32),"NO_CODE",VLOOKUP($A32,'UPD Questions_290926 '!$E$1:$N$300,MATCH(H$1,'UPD Questions_290926 '!$E$1:$N$1,0),0))</f>
        <v>10</v>
      </c>
      <c r="I32" s="83" t="str">
        <f aca="false">IF(OR(I33="ER",I34="ER",I35="ER"),"ER",IF(OR(I33="?",I34="?",I35="?"),"?",IF(AND(I33="NA",I34="NA",I35="NA"),"NA",SUM(I33,I34,I35)/((I33&lt;&gt;"NA")*$H$33+(I34&lt;&gt;"NA")*$H$34+(I35&lt;&gt;"NA")*$H$35)*$H32)))</f>
        <v>?</v>
      </c>
      <c r="J32" s="83" t="str">
        <f aca="false">IF(OR(J33="ER",J34="ER",J35="ER"),"ER",IF(OR(J33="?",J34="?",J35="?"),"?",IF(AND(J33="NA",J34="NA",J35="NA"),"NA",SUM(J33,J34,J35)/((J33&lt;&gt;"NA")*$H$33+(J34&lt;&gt;"NA")*$H$34+(J35&lt;&gt;"NA")*$H$35)*$H32)))</f>
        <v>?</v>
      </c>
      <c r="K32" s="83" t="str">
        <f aca="false">IF(OR(K33="ER",K34="ER",K35="ER"),"ER",IF(OR(K33="?",K34="?",K35="?"),"?",IF(AND(K33="NA",K34="NA",K35="NA"),"NA",SUM(K33,K34,K35)/((K33&lt;&gt;"NA")*$H$33+(K34&lt;&gt;"NA")*$H$34+(K35&lt;&gt;"NA")*$H$35)*$H32)))</f>
        <v>?</v>
      </c>
      <c r="L32" s="83" t="str">
        <f aca="false">IF(OR(L33="ER",L34="ER",L35="ER"),"ER",IF(OR(L33="?",L34="?",L35="?"),"?",IF(AND(L33="NA",L34="NA",L35="NA"),"NA",SUM(L33,L34,L35)/((L33&lt;&gt;"NA")*$H$33+(L34&lt;&gt;"NA")*$H$34+(L35&lt;&gt;"NA")*$H$35)*$H32)))</f>
        <v>?</v>
      </c>
      <c r="M32" s="83" t="str">
        <f aca="false">IF(OR(M33="ER",M34="ER",M35="ER"),"ER",IF(OR(M33="?",M34="?",M35="?"),"?",IF(AND(M33="NA",M34="NA",M35="NA"),"NA",SUM(M33,M34,M35)/((M33&lt;&gt;"NA")*$H$33+(M34&lt;&gt;"NA")*$H$34+(M35&lt;&gt;"NA")*$H$35)*$H32)))</f>
        <v>?</v>
      </c>
      <c r="N32" s="83" t="str">
        <f aca="false">IF(OR(N33="ER",N34="ER",N35="ER"),"ER",IF(OR(N33="?",N34="?",N35="?"),"?",IF(AND(N33="NA",N34="NA",N35="NA"),"NA",SUM(N33,N34,N35)/((N33&lt;&gt;"NA")*$H$33+(N34&lt;&gt;"NA")*$H$34+(N35&lt;&gt;"NA")*$H$35)*$H32)))</f>
        <v>?</v>
      </c>
      <c r="O32" s="83" t="str">
        <f aca="false">IF(OR(O33="ER",O34="ER",O35="ER"),"ER",IF(OR(O33="?",O34="?",O35="?"),"?",IF(AND(O33="NA",O34="NA",O35="NA"),"NA",SUM(O33,O34,O35)/((O33&lt;&gt;"NA")*$H$33+(O34&lt;&gt;"NA")*$H$34+(O35&lt;&gt;"NA")*$H$35)*$H32)))</f>
        <v>?</v>
      </c>
      <c r="P32" s="83" t="str">
        <f aca="false">IF(OR(P33="ER",P34="ER",P35="ER"),"ER",IF(OR(P33="?",P34="?",P35="?"),"?",IF(AND(P33="NA",P34="NA",P35="NA"),"NA",SUM(P33,P34,P35)/((P33&lt;&gt;"NA")*$H$33+(P34&lt;&gt;"NA")*$H$34+(P35&lt;&gt;"NA")*$H$35)*$H32)))</f>
        <v>?</v>
      </c>
      <c r="Q32" s="83" t="str">
        <f aca="false">IF(OR(Q33="ER",Q34="ER",Q35="ER"),"ER",IF(OR(Q33="?",Q34="?",Q35="?"),"?",IF(AND(Q33="NA",Q34="NA",Q35="NA"),"NA",SUM(Q33,Q34,Q35)/((Q33&lt;&gt;"NA")*$H$33+(Q34&lt;&gt;"NA")*$H$34+(Q35&lt;&gt;"NA")*$H$35)*$H32)))</f>
        <v>?</v>
      </c>
      <c r="R32" s="83" t="str">
        <f aca="false">IF(OR(R33="ER",R34="ER",R35="ER"),"ER",IF(OR(R33="?",R34="?",R35="?"),"?",IF(AND(R33="NA",R34="NA",R35="NA"),"NA",SUM(R33,R34,R35)/((R33&lt;&gt;"NA")*$H$33+(R34&lt;&gt;"NA")*$H$34+(R35&lt;&gt;"NA")*$H$35)*$H32)))</f>
        <v>?</v>
      </c>
      <c r="S32" s="83" t="str">
        <f aca="false">IF(OR(S33="ER",S34="ER",S35="ER"),"ER",IF(OR(S33="?",S34="?",S35="?"),"?",IF(AND(S33="NA",S34="NA",S35="NA"),"NA",SUM(S33,S34,S35)/((S33&lt;&gt;"NA")*$H$33+(S34&lt;&gt;"NA")*$H$34+(S35&lt;&gt;"NA")*$H$35)*$H32)))</f>
        <v>?</v>
      </c>
      <c r="T32" s="83" t="str">
        <f aca="false">IF(OR(T33="ER",T34="ER",T35="ER"),"ER",IF(OR(T33="?",T34="?",T35="?"),"?",IF(AND(T33="NA",T34="NA",T35="NA"),"NA",SUM(T33,T34,T35)/((T33&lt;&gt;"NA")*$H$33+(T34&lt;&gt;"NA")*$H$34+(T35&lt;&gt;"NA")*$H$35)*$H32)))</f>
        <v>?</v>
      </c>
      <c r="U32" s="83" t="str">
        <f aca="false">IF(OR(U33="ER",U34="ER",U35="ER"),"ER",IF(OR(U33="?",U34="?",U35="?"),"?",IF(AND(U33="NA",U34="NA",U35="NA"),"NA",SUM(U33,U34,U35)/((U33&lt;&gt;"NA")*$H$33+(U34&lt;&gt;"NA")*$H$34+(U35&lt;&gt;"NA")*$H$35)*$H32)))</f>
        <v>?</v>
      </c>
      <c r="V32" s="83" t="str">
        <f aca="false">IF(OR(V33="ER",V34="ER",V35="ER"),"ER",IF(OR(V33="?",V34="?",V35="?"),"?",IF(AND(V33="NA",V34="NA",V35="NA"),"NA",SUM(V33,V34,V35)/((V33&lt;&gt;"NA")*$H$33+(V34&lt;&gt;"NA")*$H$34+(V35&lt;&gt;"NA")*$H$35)*$H32)))</f>
        <v>?</v>
      </c>
      <c r="W32" s="83" t="str">
        <f aca="false">IF(OR(W33="ER",W34="ER",W35="ER"),"ER",IF(OR(W33="?",W34="?",W35="?"),"?",IF(AND(W33="NA",W34="NA",W35="NA"),"NA",SUM(W33,W34,W35)/((W33&lt;&gt;"NA")*$H$33+(W34&lt;&gt;"NA")*$H$34+(W35&lt;&gt;"NA")*$H$35)*$H32)))</f>
        <v>?</v>
      </c>
      <c r="X32" s="83" t="str">
        <f aca="false">IF(OR(X33="ER",X34="ER",X35="ER"),"ER",IF(OR(X33="?",X34="?",X35="?"),"?",IF(AND(X33="NA",X34="NA",X35="NA"),"NA",SUM(X33,X34,X35)/((X33&lt;&gt;"NA")*$H$33+(X34&lt;&gt;"NA")*$H$34+(X35&lt;&gt;"NA")*$H$35)*$H32)))</f>
        <v>?</v>
      </c>
      <c r="Y32" s="83" t="str">
        <f aca="false">IF(OR(Y33="ER",Y34="ER",Y35="ER"),"ER",IF(OR(Y33="?",Y34="?",Y35="?"),"?",IF(AND(Y33="NA",Y34="NA",Y35="NA"),"NA",SUM(Y33,Y34,Y35)/((Y33&lt;&gt;"NA")*$H$33+(Y34&lt;&gt;"NA")*$H$34+(Y35&lt;&gt;"NA")*$H$35)*$H32)))</f>
        <v>?</v>
      </c>
      <c r="Z32" s="83" t="str">
        <f aca="false">IF(OR(Z33="ER",Z34="ER",Z35="ER"),"ER",IF(OR(Z33="?",Z34="?",Z35="?"),"?",IF(AND(Z33="NA",Z34="NA",Z35="NA"),"NA",SUM(Z33,Z34,Z35)/((Z33&lt;&gt;"NA")*$H$33+(Z34&lt;&gt;"NA")*$H$34+(Z35&lt;&gt;"NA")*$H$35)*$H32)))</f>
        <v>?</v>
      </c>
      <c r="AA32" s="83" t="str">
        <f aca="false">IF(OR(AA33="ER",AA34="ER",AA35="ER"),"ER",IF(OR(AA33="?",AA34="?",AA35="?"),"?",IF(AND(AA33="NA",AA34="NA",AA35="NA"),"NA",SUM(AA33,AA34,AA35)/((AA33&lt;&gt;"NA")*$H$33+(AA34&lt;&gt;"NA")*$H$34+(AA35&lt;&gt;"NA")*$H$35)*$H32)))</f>
        <v>?</v>
      </c>
      <c r="AB32" s="83" t="str">
        <f aca="false">IF(OR(AB33="ER",AB34="ER",AB35="ER"),"ER",IF(OR(AB33="?",AB34="?",AB35="?"),"?",IF(AND(AB33="NA",AB34="NA",AB35="NA"),"NA",SUM(AB33,AB34,AB35)/((AB33&lt;&gt;"NA")*$H$33+(AB34&lt;&gt;"NA")*$H$34+(AB35&lt;&gt;"NA")*$H$35)*$H32)))</f>
        <v>?</v>
      </c>
      <c r="AC32" s="83" t="str">
        <f aca="false">IF(OR(AC33="ER",AC34="ER",AC35="ER"),"ER",IF(OR(AC33="?",AC34="?",AC35="?"),"?",IF(AND(AC33="NA",AC34="NA",AC35="NA"),"NA",SUM(AC33,AC34,AC35)/((AC33&lt;&gt;"NA")*$H$33+(AC34&lt;&gt;"NA")*$H$34+(AC35&lt;&gt;"NA")*$H$35)*$H32)))</f>
        <v>?</v>
      </c>
      <c r="AD32" s="83" t="str">
        <f aca="false">IF(OR(AD33="ER",AD34="ER",AD35="ER"),"ER",IF(OR(AD33="?",AD34="?",AD35="?"),"?",IF(AND(AD33="NA",AD34="NA",AD35="NA"),"NA",SUM(AD33,AD34,AD35)/((AD33&lt;&gt;"NA")*$H$33+(AD34&lt;&gt;"NA")*$H$34+(AD35&lt;&gt;"NA")*$H$35)*$H32)))</f>
        <v>?</v>
      </c>
      <c r="AE32" s="83" t="str">
        <f aca="false">IF(OR(AE33="ER",AE34="ER",AE35="ER"),"ER",IF(OR(AE33="?",AE34="?",AE35="?"),"?",IF(AND(AE33="NA",AE34="NA",AE35="NA"),"NA",SUM(AE33,AE34,AE35)/((AE33&lt;&gt;"NA")*$H$33+(AE34&lt;&gt;"NA")*$H$34+(AE35&lt;&gt;"NA")*$H$35)*$H32)))</f>
        <v>?</v>
      </c>
      <c r="AF32" s="83" t="str">
        <f aca="false">IF(OR(AF33="ER",AF34="ER",AF35="ER"),"ER",IF(OR(AF33="?",AF34="?",AF35="?"),"?",IF(AND(AF33="NA",AF34="NA",AF35="NA"),"NA",SUM(AF33,AF34,AF35)/((AF33&lt;&gt;"NA")*$H$33+(AF34&lt;&gt;"NA")*$H$34+(AF35&lt;&gt;"NA")*$H$35)*$H32)))</f>
        <v>?</v>
      </c>
      <c r="AG32" s="83" t="str">
        <f aca="false">IF(OR(AG33="ER",AG34="ER",AG35="ER"),"ER",IF(OR(AG33="?",AG34="?",AG35="?"),"?",IF(AND(AG33="NA",AG34="NA",AG35="NA"),"NA",SUM(AG33,AG34,AG35)/((AG33&lt;&gt;"NA")*$H$33+(AG34&lt;&gt;"NA")*$H$34+(AG35&lt;&gt;"NA")*$H$35)*$H32)))</f>
        <v>?</v>
      </c>
      <c r="AH32" s="83" t="str">
        <f aca="false">IF(OR(AH33="ER",AH34="ER",AH35="ER"),"ER",IF(OR(AH33="?",AH34="?",AH35="?"),"?",IF(AND(AH33="NA",AH34="NA",AH35="NA"),"NA",SUM(AH33,AH34,AH35)/((AH33&lt;&gt;"NA")*$H$33+(AH34&lt;&gt;"NA")*$H$34+(AH35&lt;&gt;"NA")*$H$35)*$H32)))</f>
        <v>?</v>
      </c>
      <c r="AI32" s="83" t="str">
        <f aca="false">IF(OR(AI33="ER",AI34="ER",AI35="ER"),"ER",IF(OR(AI33="?",AI34="?",AI35="?"),"?",IF(AND(AI33="NA",AI34="NA",AI35="NA"),"NA",SUM(AI33,AI34,AI35)/((AI33&lt;&gt;"NA")*$H$33+(AI34&lt;&gt;"NA")*$H$34+(AI35&lt;&gt;"NA")*$H$35)*$H32)))</f>
        <v>?</v>
      </c>
      <c r="AJ32" s="83" t="str">
        <f aca="false">IF(OR(AJ33="ER",AJ34="ER",AJ35="ER"),"ER",IF(OR(AJ33="?",AJ34="?",AJ35="?"),"?",IF(AND(AJ33="NA",AJ34="NA",AJ35="NA"),"NA",SUM(AJ33,AJ34,AJ35)/((AJ33&lt;&gt;"NA")*$H$33+(AJ34&lt;&gt;"NA")*$H$34+(AJ35&lt;&gt;"NA")*$H$35)*$H32)))</f>
        <v>?</v>
      </c>
      <c r="AK32" s="83" t="str">
        <f aca="false">IF(OR(AK33="ER",AK34="ER",AK35="ER"),"ER",IF(OR(AK33="?",AK34="?",AK35="?"),"?",IF(AND(AK33="NA",AK34="NA",AK35="NA"),"NA",SUM(AK33,AK34,AK35)/((AK33&lt;&gt;"NA")*$H$33+(AK34&lt;&gt;"NA")*$H$34+(AK35&lt;&gt;"NA")*$H$35)*$H32)))</f>
        <v>?</v>
      </c>
    </row>
    <row r="33" customFormat="false" ht="14.25" hidden="false" customHeight="false" outlineLevel="0" collapsed="false">
      <c r="A33" s="79" t="s">
        <v>144</v>
      </c>
      <c r="B33" s="80" t="str">
        <f aca="false">IF(ISBLANK($A33),"NO_CODE",VLOOKUP($A33,'UPD Questions_290926 '!$E$1:$N$300,MATCH(B$1,'UPD Questions_290926 '!$E$1:$N$1,0),0)&amp;"")</f>
        <v>Implementation</v>
      </c>
      <c r="C33" s="80" t="str">
        <f aca="false">IF(ISBLANK($A33),"NO_CODE",VLOOKUP($A33,'UPD Questions_290926 '!$E$1:$N$300,MATCH(C$1,'UPD Questions_290926 '!$E$1:$N$1,0),0)&amp;"")</f>
        <v>Municipal/City Plan status, hierarchy and coordination</v>
      </c>
      <c r="D33" s="80" t="str">
        <f aca="false">IF(ISBLANK($A33),"NO_CODE",VLOOKUP($A33,'UPD Questions_290926 '!$E$1:$N$300,MATCH(D$1,'UPD Questions_290926 '!$E$1:$N$1,0),0)&amp;"")</f>
        <v>Existence of Municipal/City Plans at each level</v>
      </c>
      <c r="E33" s="80" t="str">
        <f aca="false">IF(ISBLANK($A33),"NO_CODE",VLOOKUP($A33,'UPD Questions_290926 '!$E$1:$N$300,MATCH(E$1,'UPD Questions_290926 '!$E$1:$N$1,0),0)&amp;"")</f>
        <v>SQ</v>
      </c>
      <c r="F33" s="80" t="str">
        <f aca="false">IF(ISBLANK($A33),"NO_CODE",VLOOKUP($A33,'UPD Questions_290926 '!$E$1:$N$300,MATCH(F$1,'UPD Questions_290926 '!$E$1:$N$1,0),0)&amp;"")</f>
        <v>Is there a Metropolitan/Regional Plan?</v>
      </c>
      <c r="G33" s="80" t="str">
        <f aca="false">IF(ISBLANK($A33),"NO_CODE",VLOOKUP($A33,'UPD Questions_290926 '!$E$1:$N$300,MATCH(G$1,'UPD Questions_290926 '!$E$1:$N$1,0),0)&amp;"")</f>
        <v>Implementation</v>
      </c>
      <c r="H33" s="82" t="n">
        <f aca="false">IF(ISBLANK($A33),"NO_CODE",VLOOKUP($A33,'UPD Questions_290926 '!$E$1:$N$300,MATCH(H$1,'UPD Questions_290926 '!$E$1:$N$1,0),0))</f>
        <v>3.33</v>
      </c>
      <c r="I33" s="83" t="str">
        <f aca="true">IF($H33=0,"NA",IF($A33=INDIRECT("'"&amp;$A33&amp;"'!$B$1"),IF(VLOOKUP(I$1,INDIRECT("'"&amp;$A33&amp;"'!$A$12:$Z$41"),MATCH("Points (Auto-generate)",INDIRECT("'"&amp;$A33&amp;"'!$A$12:$Z$12"),0),0)="","?",VLOOKUP(I$1,INDIRECT("'"&amp;$A33&amp;"'!$A$12:$Z$41"),MATCH("Points (Auto-generate)",INDIRECT("'"&amp;$A33&amp;"'!$A$12:$Z$12"),0),0)),"ER"))</f>
        <v>?</v>
      </c>
      <c r="J33" s="83" t="str">
        <f aca="true">IF($H33=0,"NA",IF($A33=INDIRECT("'"&amp;$A33&amp;"'!$B$1"),IF(VLOOKUP(J$1,INDIRECT("'"&amp;$A33&amp;"'!$A$12:$Z$41"),MATCH("Points (Auto-generate)",INDIRECT("'"&amp;$A33&amp;"'!$A$12:$Z$12"),0),0)="","?",VLOOKUP(J$1,INDIRECT("'"&amp;$A33&amp;"'!$A$12:$Z$41"),MATCH("Points (Auto-generate)",INDIRECT("'"&amp;$A33&amp;"'!$A$12:$Z$12"),0),0)),"ER"))</f>
        <v>?</v>
      </c>
      <c r="K33" s="83" t="str">
        <f aca="true">IF($H33=0,"NA",IF($A33=INDIRECT("'"&amp;$A33&amp;"'!$B$1"),IF(VLOOKUP(K$1,INDIRECT("'"&amp;$A33&amp;"'!$A$12:$Z$41"),MATCH("Points (Auto-generate)",INDIRECT("'"&amp;$A33&amp;"'!$A$12:$Z$12"),0),0)="","?",VLOOKUP(K$1,INDIRECT("'"&amp;$A33&amp;"'!$A$12:$Z$41"),MATCH("Points (Auto-generate)",INDIRECT("'"&amp;$A33&amp;"'!$A$12:$Z$12"),0),0)),"ER"))</f>
        <v>?</v>
      </c>
      <c r="L33" s="83" t="str">
        <f aca="true">IF($H33=0,"NA",IF($A33=INDIRECT("'"&amp;$A33&amp;"'!$B$1"),IF(VLOOKUP(L$1,INDIRECT("'"&amp;$A33&amp;"'!$A$12:$Z$41"),MATCH("Points (Auto-generate)",INDIRECT("'"&amp;$A33&amp;"'!$A$12:$Z$12"),0),0)="","?",VLOOKUP(L$1,INDIRECT("'"&amp;$A33&amp;"'!$A$12:$Z$41"),MATCH("Points (Auto-generate)",INDIRECT("'"&amp;$A33&amp;"'!$A$12:$Z$12"),0),0)),"ER"))</f>
        <v>?</v>
      </c>
      <c r="M33" s="83" t="str">
        <f aca="true">IF($H33=0,"NA",IF($A33=INDIRECT("'"&amp;$A33&amp;"'!$B$1"),IF(VLOOKUP(M$1,INDIRECT("'"&amp;$A33&amp;"'!$A$12:$Z$41"),MATCH("Points (Auto-generate)",INDIRECT("'"&amp;$A33&amp;"'!$A$12:$Z$12"),0),0)="","?",VLOOKUP(M$1,INDIRECT("'"&amp;$A33&amp;"'!$A$12:$Z$41"),MATCH("Points (Auto-generate)",INDIRECT("'"&amp;$A33&amp;"'!$A$12:$Z$12"),0),0)),"ER"))</f>
        <v>?</v>
      </c>
      <c r="N33" s="83" t="str">
        <f aca="true">IF($H33=0,"NA",IF($A33=INDIRECT("'"&amp;$A33&amp;"'!$B$1"),IF(VLOOKUP(N$1,INDIRECT("'"&amp;$A33&amp;"'!$A$12:$Z$41"),MATCH("Points (Auto-generate)",INDIRECT("'"&amp;$A33&amp;"'!$A$12:$Z$12"),0),0)="","?",VLOOKUP(N$1,INDIRECT("'"&amp;$A33&amp;"'!$A$12:$Z$41"),MATCH("Points (Auto-generate)",INDIRECT("'"&amp;$A33&amp;"'!$A$12:$Z$12"),0),0)),"ER"))</f>
        <v>?</v>
      </c>
      <c r="O33" s="83" t="str">
        <f aca="true">IF($H33=0,"NA",IF($A33=INDIRECT("'"&amp;$A33&amp;"'!$B$1"),IF(VLOOKUP(O$1,INDIRECT("'"&amp;$A33&amp;"'!$A$12:$Z$41"),MATCH("Points (Auto-generate)",INDIRECT("'"&amp;$A33&amp;"'!$A$12:$Z$12"),0),0)="","?",VLOOKUP(O$1,INDIRECT("'"&amp;$A33&amp;"'!$A$12:$Z$41"),MATCH("Points (Auto-generate)",INDIRECT("'"&amp;$A33&amp;"'!$A$12:$Z$12"),0),0)),"ER"))</f>
        <v>?</v>
      </c>
      <c r="P33" s="83" t="str">
        <f aca="true">IF($H33=0,"NA",IF($A33=INDIRECT("'"&amp;$A33&amp;"'!$B$1"),IF(VLOOKUP(P$1,INDIRECT("'"&amp;$A33&amp;"'!$A$12:$Z$41"),MATCH("Points (Auto-generate)",INDIRECT("'"&amp;$A33&amp;"'!$A$12:$Z$12"),0),0)="","?",VLOOKUP(P$1,INDIRECT("'"&amp;$A33&amp;"'!$A$12:$Z$41"),MATCH("Points (Auto-generate)",INDIRECT("'"&amp;$A33&amp;"'!$A$12:$Z$12"),0),0)),"ER"))</f>
        <v>?</v>
      </c>
      <c r="Q33" s="83" t="str">
        <f aca="true">IF($H33=0,"NA",IF($A33=INDIRECT("'"&amp;$A33&amp;"'!$B$1"),IF(VLOOKUP(Q$1,INDIRECT("'"&amp;$A33&amp;"'!$A$12:$Z$41"),MATCH("Points (Auto-generate)",INDIRECT("'"&amp;$A33&amp;"'!$A$12:$Z$12"),0),0)="","?",VLOOKUP(Q$1,INDIRECT("'"&amp;$A33&amp;"'!$A$12:$Z$41"),MATCH("Points (Auto-generate)",INDIRECT("'"&amp;$A33&amp;"'!$A$12:$Z$12"),0),0)),"ER"))</f>
        <v>?</v>
      </c>
      <c r="R33" s="83" t="str">
        <f aca="true">IF($H33=0,"NA",IF($A33=INDIRECT("'"&amp;$A33&amp;"'!$B$1"),IF(VLOOKUP(R$1,INDIRECT("'"&amp;$A33&amp;"'!$A$12:$Z$41"),MATCH("Points (Auto-generate)",INDIRECT("'"&amp;$A33&amp;"'!$A$12:$Z$12"),0),0)="","?",VLOOKUP(R$1,INDIRECT("'"&amp;$A33&amp;"'!$A$12:$Z$41"),MATCH("Points (Auto-generate)",INDIRECT("'"&amp;$A33&amp;"'!$A$12:$Z$12"),0),0)),"ER"))</f>
        <v>?</v>
      </c>
      <c r="S33" s="83" t="str">
        <f aca="true">IF($H33=0,"NA",IF($A33=INDIRECT("'"&amp;$A33&amp;"'!$B$1"),IF(VLOOKUP(S$1,INDIRECT("'"&amp;$A33&amp;"'!$A$12:$Z$41"),MATCH("Points (Auto-generate)",INDIRECT("'"&amp;$A33&amp;"'!$A$12:$Z$12"),0),0)="","?",VLOOKUP(S$1,INDIRECT("'"&amp;$A33&amp;"'!$A$12:$Z$41"),MATCH("Points (Auto-generate)",INDIRECT("'"&amp;$A33&amp;"'!$A$12:$Z$12"),0),0)),"ER"))</f>
        <v>?</v>
      </c>
      <c r="T33" s="83" t="str">
        <f aca="true">IF($H33=0,"NA",IF($A33=INDIRECT("'"&amp;$A33&amp;"'!$B$1"),IF(VLOOKUP(T$1,INDIRECT("'"&amp;$A33&amp;"'!$A$12:$Z$41"),MATCH("Points (Auto-generate)",INDIRECT("'"&amp;$A33&amp;"'!$A$12:$Z$12"),0),0)="","?",VLOOKUP(T$1,INDIRECT("'"&amp;$A33&amp;"'!$A$12:$Z$41"),MATCH("Points (Auto-generate)",INDIRECT("'"&amp;$A33&amp;"'!$A$12:$Z$12"),0),0)),"ER"))</f>
        <v>?</v>
      </c>
      <c r="U33" s="83" t="str">
        <f aca="true">IF($H33=0,"NA",IF($A33=INDIRECT("'"&amp;$A33&amp;"'!$B$1"),IF(VLOOKUP(U$1,INDIRECT("'"&amp;$A33&amp;"'!$A$12:$Z$41"),MATCH("Points (Auto-generate)",INDIRECT("'"&amp;$A33&amp;"'!$A$12:$Z$12"),0),0)="","?",VLOOKUP(U$1,INDIRECT("'"&amp;$A33&amp;"'!$A$12:$Z$41"),MATCH("Points (Auto-generate)",INDIRECT("'"&amp;$A33&amp;"'!$A$12:$Z$12"),0),0)),"ER"))</f>
        <v>?</v>
      </c>
      <c r="V33" s="83" t="str">
        <f aca="true">IF($H33=0,"NA",IF($A33=INDIRECT("'"&amp;$A33&amp;"'!$B$1"),IF(VLOOKUP(V$1,INDIRECT("'"&amp;$A33&amp;"'!$A$12:$Z$41"),MATCH("Points (Auto-generate)",INDIRECT("'"&amp;$A33&amp;"'!$A$12:$Z$12"),0),0)="","?",VLOOKUP(V$1,INDIRECT("'"&amp;$A33&amp;"'!$A$12:$Z$41"),MATCH("Points (Auto-generate)",INDIRECT("'"&amp;$A33&amp;"'!$A$12:$Z$12"),0),0)),"ER"))</f>
        <v>?</v>
      </c>
      <c r="W33" s="83" t="str">
        <f aca="true">IF($H33=0,"NA",IF($A33=INDIRECT("'"&amp;$A33&amp;"'!$B$1"),IF(VLOOKUP(W$1,INDIRECT("'"&amp;$A33&amp;"'!$A$12:$Z$41"),MATCH("Points (Auto-generate)",INDIRECT("'"&amp;$A33&amp;"'!$A$12:$Z$12"),0),0)="","?",VLOOKUP(W$1,INDIRECT("'"&amp;$A33&amp;"'!$A$12:$Z$41"),MATCH("Points (Auto-generate)",INDIRECT("'"&amp;$A33&amp;"'!$A$12:$Z$12"),0),0)),"ER"))</f>
        <v>?</v>
      </c>
      <c r="X33" s="83" t="str">
        <f aca="true">IF($H33=0,"NA",IF($A33=INDIRECT("'"&amp;$A33&amp;"'!$B$1"),IF(VLOOKUP(X$1,INDIRECT("'"&amp;$A33&amp;"'!$A$12:$Z$41"),MATCH("Points (Auto-generate)",INDIRECT("'"&amp;$A33&amp;"'!$A$12:$Z$12"),0),0)="","?",VLOOKUP(X$1,INDIRECT("'"&amp;$A33&amp;"'!$A$12:$Z$41"),MATCH("Points (Auto-generate)",INDIRECT("'"&amp;$A33&amp;"'!$A$12:$Z$12"),0),0)),"ER"))</f>
        <v>?</v>
      </c>
      <c r="Y33" s="83" t="str">
        <f aca="true">IF($H33=0,"NA",IF($A33=INDIRECT("'"&amp;$A33&amp;"'!$B$1"),IF(VLOOKUP(Y$1,INDIRECT("'"&amp;$A33&amp;"'!$A$12:$Z$41"),MATCH("Points (Auto-generate)",INDIRECT("'"&amp;$A33&amp;"'!$A$12:$Z$12"),0),0)="","?",VLOOKUP(Y$1,INDIRECT("'"&amp;$A33&amp;"'!$A$12:$Z$41"),MATCH("Points (Auto-generate)",INDIRECT("'"&amp;$A33&amp;"'!$A$12:$Z$12"),0),0)),"ER"))</f>
        <v>?</v>
      </c>
      <c r="Z33" s="83" t="str">
        <f aca="true">IF($H33=0,"NA",IF($A33=INDIRECT("'"&amp;$A33&amp;"'!$B$1"),IF(VLOOKUP(Z$1,INDIRECT("'"&amp;$A33&amp;"'!$A$12:$Z$41"),MATCH("Points (Auto-generate)",INDIRECT("'"&amp;$A33&amp;"'!$A$12:$Z$12"),0),0)="","?",VLOOKUP(Z$1,INDIRECT("'"&amp;$A33&amp;"'!$A$12:$Z$41"),MATCH("Points (Auto-generate)",INDIRECT("'"&amp;$A33&amp;"'!$A$12:$Z$12"),0),0)),"ER"))</f>
        <v>?</v>
      </c>
      <c r="AA33" s="83" t="str">
        <f aca="true">IF($H33=0,"NA",IF($A33=INDIRECT("'"&amp;$A33&amp;"'!$B$1"),IF(VLOOKUP(AA$1,INDIRECT("'"&amp;$A33&amp;"'!$A$12:$Z$41"),MATCH("Points (Auto-generate)",INDIRECT("'"&amp;$A33&amp;"'!$A$12:$Z$12"),0),0)="","?",VLOOKUP(AA$1,INDIRECT("'"&amp;$A33&amp;"'!$A$12:$Z$41"),MATCH("Points (Auto-generate)",INDIRECT("'"&amp;$A33&amp;"'!$A$12:$Z$12"),0),0)),"ER"))</f>
        <v>?</v>
      </c>
      <c r="AB33" s="83" t="str">
        <f aca="true">IF($H33=0,"NA",IF($A33=INDIRECT("'"&amp;$A33&amp;"'!$B$1"),IF(VLOOKUP(AB$1,INDIRECT("'"&amp;$A33&amp;"'!$A$12:$Z$41"),MATCH("Points (Auto-generate)",INDIRECT("'"&amp;$A33&amp;"'!$A$12:$Z$12"),0),0)="","?",VLOOKUP(AB$1,INDIRECT("'"&amp;$A33&amp;"'!$A$12:$Z$41"),MATCH("Points (Auto-generate)",INDIRECT("'"&amp;$A33&amp;"'!$A$12:$Z$12"),0),0)),"ER"))</f>
        <v>?</v>
      </c>
      <c r="AC33" s="83" t="str">
        <f aca="true">IF($H33=0,"NA",IF($A33=INDIRECT("'"&amp;$A33&amp;"'!$B$1"),IF(VLOOKUP(AC$1,INDIRECT("'"&amp;$A33&amp;"'!$A$12:$Z$41"),MATCH("Points (Auto-generate)",INDIRECT("'"&amp;$A33&amp;"'!$A$12:$Z$12"),0),0)="","?",VLOOKUP(AC$1,INDIRECT("'"&amp;$A33&amp;"'!$A$12:$Z$41"),MATCH("Points (Auto-generate)",INDIRECT("'"&amp;$A33&amp;"'!$A$12:$Z$12"),0),0)),"ER"))</f>
        <v>?</v>
      </c>
      <c r="AD33" s="83" t="str">
        <f aca="true">IF($H33=0,"NA",IF($A33=INDIRECT("'"&amp;$A33&amp;"'!$B$1"),IF(VLOOKUP(AD$1,INDIRECT("'"&amp;$A33&amp;"'!$A$12:$Z$41"),MATCH("Points (Auto-generate)",INDIRECT("'"&amp;$A33&amp;"'!$A$12:$Z$12"),0),0)="","?",VLOOKUP(AD$1,INDIRECT("'"&amp;$A33&amp;"'!$A$12:$Z$41"),MATCH("Points (Auto-generate)",INDIRECT("'"&amp;$A33&amp;"'!$A$12:$Z$12"),0),0)),"ER"))</f>
        <v>?</v>
      </c>
      <c r="AE33" s="83" t="str">
        <f aca="true">IF($H33=0,"NA",IF($A33=INDIRECT("'"&amp;$A33&amp;"'!$B$1"),IF(VLOOKUP(AE$1,INDIRECT("'"&amp;$A33&amp;"'!$A$12:$Z$41"),MATCH("Points (Auto-generate)",INDIRECT("'"&amp;$A33&amp;"'!$A$12:$Z$12"),0),0)="","?",VLOOKUP(AE$1,INDIRECT("'"&amp;$A33&amp;"'!$A$12:$Z$41"),MATCH("Points (Auto-generate)",INDIRECT("'"&amp;$A33&amp;"'!$A$12:$Z$12"),0),0)),"ER"))</f>
        <v>?</v>
      </c>
      <c r="AF33" s="83" t="str">
        <f aca="true">IF($H33=0,"NA",IF($A33=INDIRECT("'"&amp;$A33&amp;"'!$B$1"),IF(VLOOKUP(AF$1,INDIRECT("'"&amp;$A33&amp;"'!$A$12:$Z$41"),MATCH("Points (Auto-generate)",INDIRECT("'"&amp;$A33&amp;"'!$A$12:$Z$12"),0),0)="","?",VLOOKUP(AF$1,INDIRECT("'"&amp;$A33&amp;"'!$A$12:$Z$41"),MATCH("Points (Auto-generate)",INDIRECT("'"&amp;$A33&amp;"'!$A$12:$Z$12"),0),0)),"ER"))</f>
        <v>?</v>
      </c>
      <c r="AG33" s="83" t="str">
        <f aca="true">IF($H33=0,"NA",IF($A33=INDIRECT("'"&amp;$A33&amp;"'!$B$1"),IF(VLOOKUP(AG$1,INDIRECT("'"&amp;$A33&amp;"'!$A$12:$Z$41"),MATCH("Points (Auto-generate)",INDIRECT("'"&amp;$A33&amp;"'!$A$12:$Z$12"),0),0)="","?",VLOOKUP(AG$1,INDIRECT("'"&amp;$A33&amp;"'!$A$12:$Z$41"),MATCH("Points (Auto-generate)",INDIRECT("'"&amp;$A33&amp;"'!$A$12:$Z$12"),0),0)),"ER"))</f>
        <v>?</v>
      </c>
      <c r="AH33" s="83" t="str">
        <f aca="true">IF($H33=0,"NA",IF($A33=INDIRECT("'"&amp;$A33&amp;"'!$B$1"),IF(VLOOKUP(AH$1,INDIRECT("'"&amp;$A33&amp;"'!$A$12:$Z$41"),MATCH("Points (Auto-generate)",INDIRECT("'"&amp;$A33&amp;"'!$A$12:$Z$12"),0),0)="","?",VLOOKUP(AH$1,INDIRECT("'"&amp;$A33&amp;"'!$A$12:$Z$41"),MATCH("Points (Auto-generate)",INDIRECT("'"&amp;$A33&amp;"'!$A$12:$Z$12"),0),0)),"ER"))</f>
        <v>?</v>
      </c>
      <c r="AI33" s="83" t="str">
        <f aca="true">IF($H33=0,"NA",IF($A33=INDIRECT("'"&amp;$A33&amp;"'!$B$1"),IF(VLOOKUP(AI$1,INDIRECT("'"&amp;$A33&amp;"'!$A$12:$Z$41"),MATCH("Points (Auto-generate)",INDIRECT("'"&amp;$A33&amp;"'!$A$12:$Z$12"),0),0)="","?",VLOOKUP(AI$1,INDIRECT("'"&amp;$A33&amp;"'!$A$12:$Z$41"),MATCH("Points (Auto-generate)",INDIRECT("'"&amp;$A33&amp;"'!$A$12:$Z$12"),0),0)),"ER"))</f>
        <v>?</v>
      </c>
      <c r="AJ33" s="83" t="str">
        <f aca="true">IF($H33=0,"NA",IF($A33=INDIRECT("'"&amp;$A33&amp;"'!$B$1"),IF(VLOOKUP(AJ$1,INDIRECT("'"&amp;$A33&amp;"'!$A$12:$Z$41"),MATCH("Points (Auto-generate)",INDIRECT("'"&amp;$A33&amp;"'!$A$12:$Z$12"),0),0)="","?",VLOOKUP(AJ$1,INDIRECT("'"&amp;$A33&amp;"'!$A$12:$Z$41"),MATCH("Points (Auto-generate)",INDIRECT("'"&amp;$A33&amp;"'!$A$12:$Z$12"),0),0)),"ER"))</f>
        <v>?</v>
      </c>
      <c r="AK33" s="83" t="str">
        <f aca="true">IF($H33=0,"NA",IF($A33=INDIRECT("'"&amp;$A33&amp;"'!$B$1"),IF(VLOOKUP(AK$1,INDIRECT("'"&amp;$A33&amp;"'!$A$12:$Z$41"),MATCH("Points (Auto-generate)",INDIRECT("'"&amp;$A33&amp;"'!$A$12:$Z$12"),0),0)="","?",VLOOKUP(AK$1,INDIRECT("'"&amp;$A33&amp;"'!$A$12:$Z$41"),MATCH("Points (Auto-generate)",INDIRECT("'"&amp;$A33&amp;"'!$A$12:$Z$12"),0),0)),"ER"))</f>
        <v>?</v>
      </c>
    </row>
    <row r="34" customFormat="false" ht="14.25" hidden="false" customHeight="false" outlineLevel="0" collapsed="false">
      <c r="A34" s="79" t="s">
        <v>149</v>
      </c>
      <c r="B34" s="80" t="str">
        <f aca="false">IF(ISBLANK($A34),"NO_CODE",VLOOKUP($A34,'UPD Questions_290926 '!$E$1:$N$300,MATCH(B$1,'UPD Questions_290926 '!$E$1:$N$1,0),0)&amp;"")</f>
        <v>Implementation</v>
      </c>
      <c r="C34" s="80" t="str">
        <f aca="false">IF(ISBLANK($A34),"NO_CODE",VLOOKUP($A34,'UPD Questions_290926 '!$E$1:$N$300,MATCH(C$1,'UPD Questions_290926 '!$E$1:$N$1,0),0)&amp;"")</f>
        <v>Municipal/City Plan status, hierarchy and coordination</v>
      </c>
      <c r="D34" s="80" t="str">
        <f aca="false">IF(ISBLANK($A34),"NO_CODE",VLOOKUP($A34,'UPD Questions_290926 '!$E$1:$N$300,MATCH(D$1,'UPD Questions_290926 '!$E$1:$N$1,0),0)&amp;"")</f>
        <v>Existence of Municipal/City Plans at each level</v>
      </c>
      <c r="E34" s="80" t="str">
        <f aca="false">IF(ISBLANK($A34),"NO_CODE",VLOOKUP($A34,'UPD Questions_290926 '!$E$1:$N$300,MATCH(E$1,'UPD Questions_290926 '!$E$1:$N$1,0),0)&amp;"")</f>
        <v>SQ</v>
      </c>
      <c r="F34" s="80" t="str">
        <f aca="false">IF(ISBLANK($A34),"NO_CODE",VLOOKUP($A34,'UPD Questions_290926 '!$E$1:$N$300,MATCH(F$1,'UPD Questions_290926 '!$E$1:$N$1,0),0)&amp;"")</f>
        <v>Is there Municipal/City Plan?</v>
      </c>
      <c r="G34" s="80" t="str">
        <f aca="false">IF(ISBLANK($A34),"NO_CODE",VLOOKUP($A34,'UPD Questions_290926 '!$E$1:$N$300,MATCH(G$1,'UPD Questions_290926 '!$E$1:$N$1,0),0)&amp;"")</f>
        <v>Implementation</v>
      </c>
      <c r="H34" s="82" t="n">
        <f aca="false">IF(ISBLANK($A34),"NO_CODE",VLOOKUP($A34,'UPD Questions_290926 '!$E$1:$N$300,MATCH(H$1,'UPD Questions_290926 '!$E$1:$N$1,0),0))</f>
        <v>3.33</v>
      </c>
      <c r="I34" s="83" t="str">
        <f aca="true">IF($H34=0,"NA",IF($A34=INDIRECT("'"&amp;$A34&amp;"'!$B$1"),IF(VLOOKUP(I$1,INDIRECT("'"&amp;$A34&amp;"'!$A$12:$Z$41"),MATCH("Points (Auto-generate)",INDIRECT("'"&amp;$A34&amp;"'!$A$12:$Z$12"),0),0)="","?",VLOOKUP(I$1,INDIRECT("'"&amp;$A34&amp;"'!$A$12:$Z$41"),MATCH("Points (Auto-generate)",INDIRECT("'"&amp;$A34&amp;"'!$A$12:$Z$12"),0),0)),"ER"))</f>
        <v>?</v>
      </c>
      <c r="J34" s="83" t="str">
        <f aca="true">IF($H34=0,"NA",IF($A34=INDIRECT("'"&amp;$A34&amp;"'!$B$1"),IF(VLOOKUP(J$1,INDIRECT("'"&amp;$A34&amp;"'!$A$12:$Z$41"),MATCH("Points (Auto-generate)",INDIRECT("'"&amp;$A34&amp;"'!$A$12:$Z$12"),0),0)="","?",VLOOKUP(J$1,INDIRECT("'"&amp;$A34&amp;"'!$A$12:$Z$41"),MATCH("Points (Auto-generate)",INDIRECT("'"&amp;$A34&amp;"'!$A$12:$Z$12"),0),0)),"ER"))</f>
        <v>?</v>
      </c>
      <c r="K34" s="83" t="str">
        <f aca="true">IF($H34=0,"NA",IF($A34=INDIRECT("'"&amp;$A34&amp;"'!$B$1"),IF(VLOOKUP(K$1,INDIRECT("'"&amp;$A34&amp;"'!$A$12:$Z$41"),MATCH("Points (Auto-generate)",INDIRECT("'"&amp;$A34&amp;"'!$A$12:$Z$12"),0),0)="","?",VLOOKUP(K$1,INDIRECT("'"&amp;$A34&amp;"'!$A$12:$Z$41"),MATCH("Points (Auto-generate)",INDIRECT("'"&amp;$A34&amp;"'!$A$12:$Z$12"),0),0)),"ER"))</f>
        <v>?</v>
      </c>
      <c r="L34" s="83" t="str">
        <f aca="true">IF($H34=0,"NA",IF($A34=INDIRECT("'"&amp;$A34&amp;"'!$B$1"),IF(VLOOKUP(L$1,INDIRECT("'"&amp;$A34&amp;"'!$A$12:$Z$41"),MATCH("Points (Auto-generate)",INDIRECT("'"&amp;$A34&amp;"'!$A$12:$Z$12"),0),0)="","?",VLOOKUP(L$1,INDIRECT("'"&amp;$A34&amp;"'!$A$12:$Z$41"),MATCH("Points (Auto-generate)",INDIRECT("'"&amp;$A34&amp;"'!$A$12:$Z$12"),0),0)),"ER"))</f>
        <v>?</v>
      </c>
      <c r="M34" s="83" t="str">
        <f aca="true">IF($H34=0,"NA",IF($A34=INDIRECT("'"&amp;$A34&amp;"'!$B$1"),IF(VLOOKUP(M$1,INDIRECT("'"&amp;$A34&amp;"'!$A$12:$Z$41"),MATCH("Points (Auto-generate)",INDIRECT("'"&amp;$A34&amp;"'!$A$12:$Z$12"),0),0)="","?",VLOOKUP(M$1,INDIRECT("'"&amp;$A34&amp;"'!$A$12:$Z$41"),MATCH("Points (Auto-generate)",INDIRECT("'"&amp;$A34&amp;"'!$A$12:$Z$12"),0),0)),"ER"))</f>
        <v>?</v>
      </c>
      <c r="N34" s="83" t="str">
        <f aca="true">IF($H34=0,"NA",IF($A34=INDIRECT("'"&amp;$A34&amp;"'!$B$1"),IF(VLOOKUP(N$1,INDIRECT("'"&amp;$A34&amp;"'!$A$12:$Z$41"),MATCH("Points (Auto-generate)",INDIRECT("'"&amp;$A34&amp;"'!$A$12:$Z$12"),0),0)="","?",VLOOKUP(N$1,INDIRECT("'"&amp;$A34&amp;"'!$A$12:$Z$41"),MATCH("Points (Auto-generate)",INDIRECT("'"&amp;$A34&amp;"'!$A$12:$Z$12"),0),0)),"ER"))</f>
        <v>?</v>
      </c>
      <c r="O34" s="83" t="str">
        <f aca="true">IF($H34=0,"NA",IF($A34=INDIRECT("'"&amp;$A34&amp;"'!$B$1"),IF(VLOOKUP(O$1,INDIRECT("'"&amp;$A34&amp;"'!$A$12:$Z$41"),MATCH("Points (Auto-generate)",INDIRECT("'"&amp;$A34&amp;"'!$A$12:$Z$12"),0),0)="","?",VLOOKUP(O$1,INDIRECT("'"&amp;$A34&amp;"'!$A$12:$Z$41"),MATCH("Points (Auto-generate)",INDIRECT("'"&amp;$A34&amp;"'!$A$12:$Z$12"),0),0)),"ER"))</f>
        <v>?</v>
      </c>
      <c r="P34" s="83" t="str">
        <f aca="true">IF($H34=0,"NA",IF($A34=INDIRECT("'"&amp;$A34&amp;"'!$B$1"),IF(VLOOKUP(P$1,INDIRECT("'"&amp;$A34&amp;"'!$A$12:$Z$41"),MATCH("Points (Auto-generate)",INDIRECT("'"&amp;$A34&amp;"'!$A$12:$Z$12"),0),0)="","?",VLOOKUP(P$1,INDIRECT("'"&amp;$A34&amp;"'!$A$12:$Z$41"),MATCH("Points (Auto-generate)",INDIRECT("'"&amp;$A34&amp;"'!$A$12:$Z$12"),0),0)),"ER"))</f>
        <v>?</v>
      </c>
      <c r="Q34" s="83" t="str">
        <f aca="true">IF($H34=0,"NA",IF($A34=INDIRECT("'"&amp;$A34&amp;"'!$B$1"),IF(VLOOKUP(Q$1,INDIRECT("'"&amp;$A34&amp;"'!$A$12:$Z$41"),MATCH("Points (Auto-generate)",INDIRECT("'"&amp;$A34&amp;"'!$A$12:$Z$12"),0),0)="","?",VLOOKUP(Q$1,INDIRECT("'"&amp;$A34&amp;"'!$A$12:$Z$41"),MATCH("Points (Auto-generate)",INDIRECT("'"&amp;$A34&amp;"'!$A$12:$Z$12"),0),0)),"ER"))</f>
        <v>?</v>
      </c>
      <c r="R34" s="83" t="str">
        <f aca="true">IF($H34=0,"NA",IF($A34=INDIRECT("'"&amp;$A34&amp;"'!$B$1"),IF(VLOOKUP(R$1,INDIRECT("'"&amp;$A34&amp;"'!$A$12:$Z$41"),MATCH("Points (Auto-generate)",INDIRECT("'"&amp;$A34&amp;"'!$A$12:$Z$12"),0),0)="","?",VLOOKUP(R$1,INDIRECT("'"&amp;$A34&amp;"'!$A$12:$Z$41"),MATCH("Points (Auto-generate)",INDIRECT("'"&amp;$A34&amp;"'!$A$12:$Z$12"),0),0)),"ER"))</f>
        <v>?</v>
      </c>
      <c r="S34" s="83" t="str">
        <f aca="true">IF($H34=0,"NA",IF($A34=INDIRECT("'"&amp;$A34&amp;"'!$B$1"),IF(VLOOKUP(S$1,INDIRECT("'"&amp;$A34&amp;"'!$A$12:$Z$41"),MATCH("Points (Auto-generate)",INDIRECT("'"&amp;$A34&amp;"'!$A$12:$Z$12"),0),0)="","?",VLOOKUP(S$1,INDIRECT("'"&amp;$A34&amp;"'!$A$12:$Z$41"),MATCH("Points (Auto-generate)",INDIRECT("'"&amp;$A34&amp;"'!$A$12:$Z$12"),0),0)),"ER"))</f>
        <v>?</v>
      </c>
      <c r="T34" s="83" t="str">
        <f aca="true">IF($H34=0,"NA",IF($A34=INDIRECT("'"&amp;$A34&amp;"'!$B$1"),IF(VLOOKUP(T$1,INDIRECT("'"&amp;$A34&amp;"'!$A$12:$Z$41"),MATCH("Points (Auto-generate)",INDIRECT("'"&amp;$A34&amp;"'!$A$12:$Z$12"),0),0)="","?",VLOOKUP(T$1,INDIRECT("'"&amp;$A34&amp;"'!$A$12:$Z$41"),MATCH("Points (Auto-generate)",INDIRECT("'"&amp;$A34&amp;"'!$A$12:$Z$12"),0),0)),"ER"))</f>
        <v>?</v>
      </c>
      <c r="U34" s="83" t="str">
        <f aca="true">IF($H34=0,"NA",IF($A34=INDIRECT("'"&amp;$A34&amp;"'!$B$1"),IF(VLOOKUP(U$1,INDIRECT("'"&amp;$A34&amp;"'!$A$12:$Z$41"),MATCH("Points (Auto-generate)",INDIRECT("'"&amp;$A34&amp;"'!$A$12:$Z$12"),0),0)="","?",VLOOKUP(U$1,INDIRECT("'"&amp;$A34&amp;"'!$A$12:$Z$41"),MATCH("Points (Auto-generate)",INDIRECT("'"&amp;$A34&amp;"'!$A$12:$Z$12"),0),0)),"ER"))</f>
        <v>?</v>
      </c>
      <c r="V34" s="83" t="str">
        <f aca="true">IF($H34=0,"NA",IF($A34=INDIRECT("'"&amp;$A34&amp;"'!$B$1"),IF(VLOOKUP(V$1,INDIRECT("'"&amp;$A34&amp;"'!$A$12:$Z$41"),MATCH("Points (Auto-generate)",INDIRECT("'"&amp;$A34&amp;"'!$A$12:$Z$12"),0),0)="","?",VLOOKUP(V$1,INDIRECT("'"&amp;$A34&amp;"'!$A$12:$Z$41"),MATCH("Points (Auto-generate)",INDIRECT("'"&amp;$A34&amp;"'!$A$12:$Z$12"),0),0)),"ER"))</f>
        <v>?</v>
      </c>
      <c r="W34" s="83" t="str">
        <f aca="true">IF($H34=0,"NA",IF($A34=INDIRECT("'"&amp;$A34&amp;"'!$B$1"),IF(VLOOKUP(W$1,INDIRECT("'"&amp;$A34&amp;"'!$A$12:$Z$41"),MATCH("Points (Auto-generate)",INDIRECT("'"&amp;$A34&amp;"'!$A$12:$Z$12"),0),0)="","?",VLOOKUP(W$1,INDIRECT("'"&amp;$A34&amp;"'!$A$12:$Z$41"),MATCH("Points (Auto-generate)",INDIRECT("'"&amp;$A34&amp;"'!$A$12:$Z$12"),0),0)),"ER"))</f>
        <v>?</v>
      </c>
      <c r="X34" s="83" t="str">
        <f aca="true">IF($H34=0,"NA",IF($A34=INDIRECT("'"&amp;$A34&amp;"'!$B$1"),IF(VLOOKUP(X$1,INDIRECT("'"&amp;$A34&amp;"'!$A$12:$Z$41"),MATCH("Points (Auto-generate)",INDIRECT("'"&amp;$A34&amp;"'!$A$12:$Z$12"),0),0)="","?",VLOOKUP(X$1,INDIRECT("'"&amp;$A34&amp;"'!$A$12:$Z$41"),MATCH("Points (Auto-generate)",INDIRECT("'"&amp;$A34&amp;"'!$A$12:$Z$12"),0),0)),"ER"))</f>
        <v>?</v>
      </c>
      <c r="Y34" s="83" t="str">
        <f aca="true">IF($H34=0,"NA",IF($A34=INDIRECT("'"&amp;$A34&amp;"'!$B$1"),IF(VLOOKUP(Y$1,INDIRECT("'"&amp;$A34&amp;"'!$A$12:$Z$41"),MATCH("Points (Auto-generate)",INDIRECT("'"&amp;$A34&amp;"'!$A$12:$Z$12"),0),0)="","?",VLOOKUP(Y$1,INDIRECT("'"&amp;$A34&amp;"'!$A$12:$Z$41"),MATCH("Points (Auto-generate)",INDIRECT("'"&amp;$A34&amp;"'!$A$12:$Z$12"),0),0)),"ER"))</f>
        <v>?</v>
      </c>
      <c r="Z34" s="83" t="str">
        <f aca="true">IF($H34=0,"NA",IF($A34=INDIRECT("'"&amp;$A34&amp;"'!$B$1"),IF(VLOOKUP(Z$1,INDIRECT("'"&amp;$A34&amp;"'!$A$12:$Z$41"),MATCH("Points (Auto-generate)",INDIRECT("'"&amp;$A34&amp;"'!$A$12:$Z$12"),0),0)="","?",VLOOKUP(Z$1,INDIRECT("'"&amp;$A34&amp;"'!$A$12:$Z$41"),MATCH("Points (Auto-generate)",INDIRECT("'"&amp;$A34&amp;"'!$A$12:$Z$12"),0),0)),"ER"))</f>
        <v>?</v>
      </c>
      <c r="AA34" s="83" t="str">
        <f aca="true">IF($H34=0,"NA",IF($A34=INDIRECT("'"&amp;$A34&amp;"'!$B$1"),IF(VLOOKUP(AA$1,INDIRECT("'"&amp;$A34&amp;"'!$A$12:$Z$41"),MATCH("Points (Auto-generate)",INDIRECT("'"&amp;$A34&amp;"'!$A$12:$Z$12"),0),0)="","?",VLOOKUP(AA$1,INDIRECT("'"&amp;$A34&amp;"'!$A$12:$Z$41"),MATCH("Points (Auto-generate)",INDIRECT("'"&amp;$A34&amp;"'!$A$12:$Z$12"),0),0)),"ER"))</f>
        <v>?</v>
      </c>
      <c r="AB34" s="83" t="str">
        <f aca="true">IF($H34=0,"NA",IF($A34=INDIRECT("'"&amp;$A34&amp;"'!$B$1"),IF(VLOOKUP(AB$1,INDIRECT("'"&amp;$A34&amp;"'!$A$12:$Z$41"),MATCH("Points (Auto-generate)",INDIRECT("'"&amp;$A34&amp;"'!$A$12:$Z$12"),0),0)="","?",VLOOKUP(AB$1,INDIRECT("'"&amp;$A34&amp;"'!$A$12:$Z$41"),MATCH("Points (Auto-generate)",INDIRECT("'"&amp;$A34&amp;"'!$A$12:$Z$12"),0),0)),"ER"))</f>
        <v>?</v>
      </c>
      <c r="AC34" s="83" t="n">
        <f aca="true">IF($H34=0,"NA",IF($A34=INDIRECT("'"&amp;$A34&amp;"'!$B$1"),IF(VLOOKUP(AC$1,INDIRECT("'"&amp;$A34&amp;"'!$A$12:$Z$41"),MATCH("Points (Auto-generate)",INDIRECT("'"&amp;$A34&amp;"'!$A$12:$Z$12"),0),0)="","?",VLOOKUP(AC$1,INDIRECT("'"&amp;$A34&amp;"'!$A$12:$Z$41"),MATCH("Points (Auto-generate)",INDIRECT("'"&amp;$A34&amp;"'!$A$12:$Z$12"),0),0)),"ER"))</f>
        <v>3.33</v>
      </c>
      <c r="AD34" s="83" t="str">
        <f aca="true">IF($H34=0,"NA",IF($A34=INDIRECT("'"&amp;$A34&amp;"'!$B$1"),IF(VLOOKUP(AD$1,INDIRECT("'"&amp;$A34&amp;"'!$A$12:$Z$41"),MATCH("Points (Auto-generate)",INDIRECT("'"&amp;$A34&amp;"'!$A$12:$Z$12"),0),0)="","?",VLOOKUP(AD$1,INDIRECT("'"&amp;$A34&amp;"'!$A$12:$Z$41"),MATCH("Points (Auto-generate)",INDIRECT("'"&amp;$A34&amp;"'!$A$12:$Z$12"),0),0)),"ER"))</f>
        <v>?</v>
      </c>
      <c r="AE34" s="83" t="str">
        <f aca="true">IF($H34=0,"NA",IF($A34=INDIRECT("'"&amp;$A34&amp;"'!$B$1"),IF(VLOOKUP(AE$1,INDIRECT("'"&amp;$A34&amp;"'!$A$12:$Z$41"),MATCH("Points (Auto-generate)",INDIRECT("'"&amp;$A34&amp;"'!$A$12:$Z$12"),0),0)="","?",VLOOKUP(AE$1,INDIRECT("'"&amp;$A34&amp;"'!$A$12:$Z$41"),MATCH("Points (Auto-generate)",INDIRECT("'"&amp;$A34&amp;"'!$A$12:$Z$12"),0),0)),"ER"))</f>
        <v>?</v>
      </c>
      <c r="AF34" s="83" t="str">
        <f aca="true">IF($H34=0,"NA",IF($A34=INDIRECT("'"&amp;$A34&amp;"'!$B$1"),IF(VLOOKUP(AF$1,INDIRECT("'"&amp;$A34&amp;"'!$A$12:$Z$41"),MATCH("Points (Auto-generate)",INDIRECT("'"&amp;$A34&amp;"'!$A$12:$Z$12"),0),0)="","?",VLOOKUP(AF$1,INDIRECT("'"&amp;$A34&amp;"'!$A$12:$Z$41"),MATCH("Points (Auto-generate)",INDIRECT("'"&amp;$A34&amp;"'!$A$12:$Z$12"),0),0)),"ER"))</f>
        <v>?</v>
      </c>
      <c r="AG34" s="83" t="str">
        <f aca="true">IF($H34=0,"NA",IF($A34=INDIRECT("'"&amp;$A34&amp;"'!$B$1"),IF(VLOOKUP(AG$1,INDIRECT("'"&amp;$A34&amp;"'!$A$12:$Z$41"),MATCH("Points (Auto-generate)",INDIRECT("'"&amp;$A34&amp;"'!$A$12:$Z$12"),0),0)="","?",VLOOKUP(AG$1,INDIRECT("'"&amp;$A34&amp;"'!$A$12:$Z$41"),MATCH("Points (Auto-generate)",INDIRECT("'"&amp;$A34&amp;"'!$A$12:$Z$12"),0),0)),"ER"))</f>
        <v>?</v>
      </c>
      <c r="AH34" s="83" t="str">
        <f aca="true">IF($H34=0,"NA",IF($A34=INDIRECT("'"&amp;$A34&amp;"'!$B$1"),IF(VLOOKUP(AH$1,INDIRECT("'"&amp;$A34&amp;"'!$A$12:$Z$41"),MATCH("Points (Auto-generate)",INDIRECT("'"&amp;$A34&amp;"'!$A$12:$Z$12"),0),0)="","?",VLOOKUP(AH$1,INDIRECT("'"&amp;$A34&amp;"'!$A$12:$Z$41"),MATCH("Points (Auto-generate)",INDIRECT("'"&amp;$A34&amp;"'!$A$12:$Z$12"),0),0)),"ER"))</f>
        <v>?</v>
      </c>
      <c r="AI34" s="83" t="str">
        <f aca="true">IF($H34=0,"NA",IF($A34=INDIRECT("'"&amp;$A34&amp;"'!$B$1"),IF(VLOOKUP(AI$1,INDIRECT("'"&amp;$A34&amp;"'!$A$12:$Z$41"),MATCH("Points (Auto-generate)",INDIRECT("'"&amp;$A34&amp;"'!$A$12:$Z$12"),0),0)="","?",VLOOKUP(AI$1,INDIRECT("'"&amp;$A34&amp;"'!$A$12:$Z$41"),MATCH("Points (Auto-generate)",INDIRECT("'"&amp;$A34&amp;"'!$A$12:$Z$12"),0),0)),"ER"))</f>
        <v>?</v>
      </c>
      <c r="AJ34" s="83" t="str">
        <f aca="true">IF($H34=0,"NA",IF($A34=INDIRECT("'"&amp;$A34&amp;"'!$B$1"),IF(VLOOKUP(AJ$1,INDIRECT("'"&amp;$A34&amp;"'!$A$12:$Z$41"),MATCH("Points (Auto-generate)",INDIRECT("'"&amp;$A34&amp;"'!$A$12:$Z$12"),0),0)="","?",VLOOKUP(AJ$1,INDIRECT("'"&amp;$A34&amp;"'!$A$12:$Z$41"),MATCH("Points (Auto-generate)",INDIRECT("'"&amp;$A34&amp;"'!$A$12:$Z$12"),0),0)),"ER"))</f>
        <v>?</v>
      </c>
      <c r="AK34" s="83" t="str">
        <f aca="true">IF($H34=0,"NA",IF($A34=INDIRECT("'"&amp;$A34&amp;"'!$B$1"),IF(VLOOKUP(AK$1,INDIRECT("'"&amp;$A34&amp;"'!$A$12:$Z$41"),MATCH("Points (Auto-generate)",INDIRECT("'"&amp;$A34&amp;"'!$A$12:$Z$12"),0),0)="","?",VLOOKUP(AK$1,INDIRECT("'"&amp;$A34&amp;"'!$A$12:$Z$41"),MATCH("Points (Auto-generate)",INDIRECT("'"&amp;$A34&amp;"'!$A$12:$Z$12"),0),0)),"ER"))</f>
        <v>?</v>
      </c>
    </row>
    <row r="35" customFormat="false" ht="14.25" hidden="false" customHeight="false" outlineLevel="0" collapsed="false">
      <c r="A35" s="79" t="s">
        <v>154</v>
      </c>
      <c r="B35" s="80" t="str">
        <f aca="false">IF(ISBLANK($A35),"NO_CODE",VLOOKUP($A35,'UPD Questions_290926 '!$E$1:$N$300,MATCH(B$1,'UPD Questions_290926 '!$E$1:$N$1,0),0)&amp;"")</f>
        <v>Implementation</v>
      </c>
      <c r="C35" s="80" t="str">
        <f aca="false">IF(ISBLANK($A35),"NO_CODE",VLOOKUP($A35,'UPD Questions_290926 '!$E$1:$N$300,MATCH(C$1,'UPD Questions_290926 '!$E$1:$N$1,0),0)&amp;"")</f>
        <v>Municipal/City Plan status, hierarchy and coordination</v>
      </c>
      <c r="D35" s="80" t="str">
        <f aca="false">IF(ISBLANK($A35),"NO_CODE",VLOOKUP($A35,'UPD Questions_290926 '!$E$1:$N$300,MATCH(D$1,'UPD Questions_290926 '!$E$1:$N$1,0),0)&amp;"")</f>
        <v>Existence of Municipal/City Plans at each level</v>
      </c>
      <c r="E35" s="80" t="str">
        <f aca="false">IF(ISBLANK($A35),"NO_CODE",VLOOKUP($A35,'UPD Questions_290926 '!$E$1:$N$300,MATCH(E$1,'UPD Questions_290926 '!$E$1:$N$1,0),0)&amp;"")</f>
        <v>SQ</v>
      </c>
      <c r="F35" s="80" t="str">
        <f aca="false">IF(ISBLANK($A35),"NO_CODE",VLOOKUP($A35,'UPD Questions_290926 '!$E$1:$N$300,MATCH(F$1,'UPD Questions_290926 '!$E$1:$N$1,0),0)&amp;"")</f>
        <v>Is there a Ward(s) /Local area/ neighbourhood Plan?</v>
      </c>
      <c r="G35" s="80" t="str">
        <f aca="false">IF(ISBLANK($A35),"NO_CODE",VLOOKUP($A35,'UPD Questions_290926 '!$E$1:$N$300,MATCH(G$1,'UPD Questions_290926 '!$E$1:$N$1,0),0)&amp;"")</f>
        <v>Implementation</v>
      </c>
      <c r="H35" s="82" t="n">
        <f aca="false">IF(ISBLANK($A35),"NO_CODE",VLOOKUP($A35,'UPD Questions_290926 '!$E$1:$N$300,MATCH(H$1,'UPD Questions_290926 '!$E$1:$N$1,0),0))</f>
        <v>3.33</v>
      </c>
      <c r="I35" s="83" t="str">
        <f aca="true">IF($H35=0,"NA",IF($A35=INDIRECT("'"&amp;$A35&amp;"'!$B$1"),IF(VLOOKUP(I$1,INDIRECT("'"&amp;$A35&amp;"'!$A$12:$Z$41"),MATCH("Points (Auto-generate)",INDIRECT("'"&amp;$A35&amp;"'!$A$12:$Z$12"),0),0)="","?",VLOOKUP(I$1,INDIRECT("'"&amp;$A35&amp;"'!$A$12:$Z$41"),MATCH("Points (Auto-generate)",INDIRECT("'"&amp;$A35&amp;"'!$A$12:$Z$12"),0),0)),"ER"))</f>
        <v>?</v>
      </c>
      <c r="J35" s="83" t="str">
        <f aca="true">IF($H35=0,"NA",IF($A35=INDIRECT("'"&amp;$A35&amp;"'!$B$1"),IF(VLOOKUP(J$1,INDIRECT("'"&amp;$A35&amp;"'!$A$12:$Z$41"),MATCH("Points (Auto-generate)",INDIRECT("'"&amp;$A35&amp;"'!$A$12:$Z$12"),0),0)="","?",VLOOKUP(J$1,INDIRECT("'"&amp;$A35&amp;"'!$A$12:$Z$41"),MATCH("Points (Auto-generate)",INDIRECT("'"&amp;$A35&amp;"'!$A$12:$Z$12"),0),0)),"ER"))</f>
        <v>?</v>
      </c>
      <c r="K35" s="83" t="str">
        <f aca="true">IF($H35=0,"NA",IF($A35=INDIRECT("'"&amp;$A35&amp;"'!$B$1"),IF(VLOOKUP(K$1,INDIRECT("'"&amp;$A35&amp;"'!$A$12:$Z$41"),MATCH("Points (Auto-generate)",INDIRECT("'"&amp;$A35&amp;"'!$A$12:$Z$12"),0),0)="","?",VLOOKUP(K$1,INDIRECT("'"&amp;$A35&amp;"'!$A$12:$Z$41"),MATCH("Points (Auto-generate)",INDIRECT("'"&amp;$A35&amp;"'!$A$12:$Z$12"),0),0)),"ER"))</f>
        <v>?</v>
      </c>
      <c r="L35" s="83" t="str">
        <f aca="true">IF($H35=0,"NA",IF($A35=INDIRECT("'"&amp;$A35&amp;"'!$B$1"),IF(VLOOKUP(L$1,INDIRECT("'"&amp;$A35&amp;"'!$A$12:$Z$41"),MATCH("Points (Auto-generate)",INDIRECT("'"&amp;$A35&amp;"'!$A$12:$Z$12"),0),0)="","?",VLOOKUP(L$1,INDIRECT("'"&amp;$A35&amp;"'!$A$12:$Z$41"),MATCH("Points (Auto-generate)",INDIRECT("'"&amp;$A35&amp;"'!$A$12:$Z$12"),0),0)),"ER"))</f>
        <v>?</v>
      </c>
      <c r="M35" s="83" t="str">
        <f aca="true">IF($H35=0,"NA",IF($A35=INDIRECT("'"&amp;$A35&amp;"'!$B$1"),IF(VLOOKUP(M$1,INDIRECT("'"&amp;$A35&amp;"'!$A$12:$Z$41"),MATCH("Points (Auto-generate)",INDIRECT("'"&amp;$A35&amp;"'!$A$12:$Z$12"),0),0)="","?",VLOOKUP(M$1,INDIRECT("'"&amp;$A35&amp;"'!$A$12:$Z$41"),MATCH("Points (Auto-generate)",INDIRECT("'"&amp;$A35&amp;"'!$A$12:$Z$12"),0),0)),"ER"))</f>
        <v>?</v>
      </c>
      <c r="N35" s="83" t="str">
        <f aca="true">IF($H35=0,"NA",IF($A35=INDIRECT("'"&amp;$A35&amp;"'!$B$1"),IF(VLOOKUP(N$1,INDIRECT("'"&amp;$A35&amp;"'!$A$12:$Z$41"),MATCH("Points (Auto-generate)",INDIRECT("'"&amp;$A35&amp;"'!$A$12:$Z$12"),0),0)="","?",VLOOKUP(N$1,INDIRECT("'"&amp;$A35&amp;"'!$A$12:$Z$41"),MATCH("Points (Auto-generate)",INDIRECT("'"&amp;$A35&amp;"'!$A$12:$Z$12"),0),0)),"ER"))</f>
        <v>?</v>
      </c>
      <c r="O35" s="83" t="str">
        <f aca="true">IF($H35=0,"NA",IF($A35=INDIRECT("'"&amp;$A35&amp;"'!$B$1"),IF(VLOOKUP(O$1,INDIRECT("'"&amp;$A35&amp;"'!$A$12:$Z$41"),MATCH("Points (Auto-generate)",INDIRECT("'"&amp;$A35&amp;"'!$A$12:$Z$12"),0),0)="","?",VLOOKUP(O$1,INDIRECT("'"&amp;$A35&amp;"'!$A$12:$Z$41"),MATCH("Points (Auto-generate)",INDIRECT("'"&amp;$A35&amp;"'!$A$12:$Z$12"),0),0)),"ER"))</f>
        <v>?</v>
      </c>
      <c r="P35" s="83" t="str">
        <f aca="true">IF($H35=0,"NA",IF($A35=INDIRECT("'"&amp;$A35&amp;"'!$B$1"),IF(VLOOKUP(P$1,INDIRECT("'"&amp;$A35&amp;"'!$A$12:$Z$41"),MATCH("Points (Auto-generate)",INDIRECT("'"&amp;$A35&amp;"'!$A$12:$Z$12"),0),0)="","?",VLOOKUP(P$1,INDIRECT("'"&amp;$A35&amp;"'!$A$12:$Z$41"),MATCH("Points (Auto-generate)",INDIRECT("'"&amp;$A35&amp;"'!$A$12:$Z$12"),0),0)),"ER"))</f>
        <v>?</v>
      </c>
      <c r="Q35" s="83" t="str">
        <f aca="true">IF($H35=0,"NA",IF($A35=INDIRECT("'"&amp;$A35&amp;"'!$B$1"),IF(VLOOKUP(Q$1,INDIRECT("'"&amp;$A35&amp;"'!$A$12:$Z$41"),MATCH("Points (Auto-generate)",INDIRECT("'"&amp;$A35&amp;"'!$A$12:$Z$12"),0),0)="","?",VLOOKUP(Q$1,INDIRECT("'"&amp;$A35&amp;"'!$A$12:$Z$41"),MATCH("Points (Auto-generate)",INDIRECT("'"&amp;$A35&amp;"'!$A$12:$Z$12"),0),0)),"ER"))</f>
        <v>?</v>
      </c>
      <c r="R35" s="83" t="str">
        <f aca="true">IF($H35=0,"NA",IF($A35=INDIRECT("'"&amp;$A35&amp;"'!$B$1"),IF(VLOOKUP(R$1,INDIRECT("'"&amp;$A35&amp;"'!$A$12:$Z$41"),MATCH("Points (Auto-generate)",INDIRECT("'"&amp;$A35&amp;"'!$A$12:$Z$12"),0),0)="","?",VLOOKUP(R$1,INDIRECT("'"&amp;$A35&amp;"'!$A$12:$Z$41"),MATCH("Points (Auto-generate)",INDIRECT("'"&amp;$A35&amp;"'!$A$12:$Z$12"),0),0)),"ER"))</f>
        <v>?</v>
      </c>
      <c r="S35" s="83" t="str">
        <f aca="true">IF($H35=0,"NA",IF($A35=INDIRECT("'"&amp;$A35&amp;"'!$B$1"),IF(VLOOKUP(S$1,INDIRECT("'"&amp;$A35&amp;"'!$A$12:$Z$41"),MATCH("Points (Auto-generate)",INDIRECT("'"&amp;$A35&amp;"'!$A$12:$Z$12"),0),0)="","?",VLOOKUP(S$1,INDIRECT("'"&amp;$A35&amp;"'!$A$12:$Z$41"),MATCH("Points (Auto-generate)",INDIRECT("'"&amp;$A35&amp;"'!$A$12:$Z$12"),0),0)),"ER"))</f>
        <v>?</v>
      </c>
      <c r="T35" s="83" t="str">
        <f aca="true">IF($H35=0,"NA",IF($A35=INDIRECT("'"&amp;$A35&amp;"'!$B$1"),IF(VLOOKUP(T$1,INDIRECT("'"&amp;$A35&amp;"'!$A$12:$Z$41"),MATCH("Points (Auto-generate)",INDIRECT("'"&amp;$A35&amp;"'!$A$12:$Z$12"),0),0)="","?",VLOOKUP(T$1,INDIRECT("'"&amp;$A35&amp;"'!$A$12:$Z$41"),MATCH("Points (Auto-generate)",INDIRECT("'"&amp;$A35&amp;"'!$A$12:$Z$12"),0),0)),"ER"))</f>
        <v>?</v>
      </c>
      <c r="U35" s="83" t="str">
        <f aca="true">IF($H35=0,"NA",IF($A35=INDIRECT("'"&amp;$A35&amp;"'!$B$1"),IF(VLOOKUP(U$1,INDIRECT("'"&amp;$A35&amp;"'!$A$12:$Z$41"),MATCH("Points (Auto-generate)",INDIRECT("'"&amp;$A35&amp;"'!$A$12:$Z$12"),0),0)="","?",VLOOKUP(U$1,INDIRECT("'"&amp;$A35&amp;"'!$A$12:$Z$41"),MATCH("Points (Auto-generate)",INDIRECT("'"&amp;$A35&amp;"'!$A$12:$Z$12"),0),0)),"ER"))</f>
        <v>?</v>
      </c>
      <c r="V35" s="83" t="str">
        <f aca="true">IF($H35=0,"NA",IF($A35=INDIRECT("'"&amp;$A35&amp;"'!$B$1"),IF(VLOOKUP(V$1,INDIRECT("'"&amp;$A35&amp;"'!$A$12:$Z$41"),MATCH("Points (Auto-generate)",INDIRECT("'"&amp;$A35&amp;"'!$A$12:$Z$12"),0),0)="","?",VLOOKUP(V$1,INDIRECT("'"&amp;$A35&amp;"'!$A$12:$Z$41"),MATCH("Points (Auto-generate)",INDIRECT("'"&amp;$A35&amp;"'!$A$12:$Z$12"),0),0)),"ER"))</f>
        <v>?</v>
      </c>
      <c r="W35" s="83" t="str">
        <f aca="true">IF($H35=0,"NA",IF($A35=INDIRECT("'"&amp;$A35&amp;"'!$B$1"),IF(VLOOKUP(W$1,INDIRECT("'"&amp;$A35&amp;"'!$A$12:$Z$41"),MATCH("Points (Auto-generate)",INDIRECT("'"&amp;$A35&amp;"'!$A$12:$Z$12"),0),0)="","?",VLOOKUP(W$1,INDIRECT("'"&amp;$A35&amp;"'!$A$12:$Z$41"),MATCH("Points (Auto-generate)",INDIRECT("'"&amp;$A35&amp;"'!$A$12:$Z$12"),0),0)),"ER"))</f>
        <v>?</v>
      </c>
      <c r="X35" s="83" t="str">
        <f aca="true">IF($H35=0,"NA",IF($A35=INDIRECT("'"&amp;$A35&amp;"'!$B$1"),IF(VLOOKUP(X$1,INDIRECT("'"&amp;$A35&amp;"'!$A$12:$Z$41"),MATCH("Points (Auto-generate)",INDIRECT("'"&amp;$A35&amp;"'!$A$12:$Z$12"),0),0)="","?",VLOOKUP(X$1,INDIRECT("'"&amp;$A35&amp;"'!$A$12:$Z$41"),MATCH("Points (Auto-generate)",INDIRECT("'"&amp;$A35&amp;"'!$A$12:$Z$12"),0),0)),"ER"))</f>
        <v>?</v>
      </c>
      <c r="Y35" s="83" t="str">
        <f aca="true">IF($H35=0,"NA",IF($A35=INDIRECT("'"&amp;$A35&amp;"'!$B$1"),IF(VLOOKUP(Y$1,INDIRECT("'"&amp;$A35&amp;"'!$A$12:$Z$41"),MATCH("Points (Auto-generate)",INDIRECT("'"&amp;$A35&amp;"'!$A$12:$Z$12"),0),0)="","?",VLOOKUP(Y$1,INDIRECT("'"&amp;$A35&amp;"'!$A$12:$Z$41"),MATCH("Points (Auto-generate)",INDIRECT("'"&amp;$A35&amp;"'!$A$12:$Z$12"),0),0)),"ER"))</f>
        <v>?</v>
      </c>
      <c r="Z35" s="83" t="str">
        <f aca="true">IF($H35=0,"NA",IF($A35=INDIRECT("'"&amp;$A35&amp;"'!$B$1"),IF(VLOOKUP(Z$1,INDIRECT("'"&amp;$A35&amp;"'!$A$12:$Z$41"),MATCH("Points (Auto-generate)",INDIRECT("'"&amp;$A35&amp;"'!$A$12:$Z$12"),0),0)="","?",VLOOKUP(Z$1,INDIRECT("'"&amp;$A35&amp;"'!$A$12:$Z$41"),MATCH("Points (Auto-generate)",INDIRECT("'"&amp;$A35&amp;"'!$A$12:$Z$12"),0),0)),"ER"))</f>
        <v>?</v>
      </c>
      <c r="AA35" s="83" t="str">
        <f aca="true">IF($H35=0,"NA",IF($A35=INDIRECT("'"&amp;$A35&amp;"'!$B$1"),IF(VLOOKUP(AA$1,INDIRECT("'"&amp;$A35&amp;"'!$A$12:$Z$41"),MATCH("Points (Auto-generate)",INDIRECT("'"&amp;$A35&amp;"'!$A$12:$Z$12"),0),0)="","?",VLOOKUP(AA$1,INDIRECT("'"&amp;$A35&amp;"'!$A$12:$Z$41"),MATCH("Points (Auto-generate)",INDIRECT("'"&amp;$A35&amp;"'!$A$12:$Z$12"),0),0)),"ER"))</f>
        <v>?</v>
      </c>
      <c r="AB35" s="83" t="str">
        <f aca="true">IF($H35=0,"NA",IF($A35=INDIRECT("'"&amp;$A35&amp;"'!$B$1"),IF(VLOOKUP(AB$1,INDIRECT("'"&amp;$A35&amp;"'!$A$12:$Z$41"),MATCH("Points (Auto-generate)",INDIRECT("'"&amp;$A35&amp;"'!$A$12:$Z$12"),0),0)="","?",VLOOKUP(AB$1,INDIRECT("'"&amp;$A35&amp;"'!$A$12:$Z$41"),MATCH("Points (Auto-generate)",INDIRECT("'"&amp;$A35&amp;"'!$A$12:$Z$12"),0),0)),"ER"))</f>
        <v>?</v>
      </c>
      <c r="AC35" s="83" t="str">
        <f aca="true">IF($H35=0,"NA",IF($A35=INDIRECT("'"&amp;$A35&amp;"'!$B$1"),IF(VLOOKUP(AC$1,INDIRECT("'"&amp;$A35&amp;"'!$A$12:$Z$41"),MATCH("Points (Auto-generate)",INDIRECT("'"&amp;$A35&amp;"'!$A$12:$Z$12"),0),0)="","?",VLOOKUP(AC$1,INDIRECT("'"&amp;$A35&amp;"'!$A$12:$Z$41"),MATCH("Points (Auto-generate)",INDIRECT("'"&amp;$A35&amp;"'!$A$12:$Z$12"),0),0)),"ER"))</f>
        <v>?</v>
      </c>
      <c r="AD35" s="83" t="str">
        <f aca="true">IF($H35=0,"NA",IF($A35=INDIRECT("'"&amp;$A35&amp;"'!$B$1"),IF(VLOOKUP(AD$1,INDIRECT("'"&amp;$A35&amp;"'!$A$12:$Z$41"),MATCH("Points (Auto-generate)",INDIRECT("'"&amp;$A35&amp;"'!$A$12:$Z$12"),0),0)="","?",VLOOKUP(AD$1,INDIRECT("'"&amp;$A35&amp;"'!$A$12:$Z$41"),MATCH("Points (Auto-generate)",INDIRECT("'"&amp;$A35&amp;"'!$A$12:$Z$12"),0),0)),"ER"))</f>
        <v>?</v>
      </c>
      <c r="AE35" s="83" t="str">
        <f aca="true">IF($H35=0,"NA",IF($A35=INDIRECT("'"&amp;$A35&amp;"'!$B$1"),IF(VLOOKUP(AE$1,INDIRECT("'"&amp;$A35&amp;"'!$A$12:$Z$41"),MATCH("Points (Auto-generate)",INDIRECT("'"&amp;$A35&amp;"'!$A$12:$Z$12"),0),0)="","?",VLOOKUP(AE$1,INDIRECT("'"&amp;$A35&amp;"'!$A$12:$Z$41"),MATCH("Points (Auto-generate)",INDIRECT("'"&amp;$A35&amp;"'!$A$12:$Z$12"),0),0)),"ER"))</f>
        <v>?</v>
      </c>
      <c r="AF35" s="83" t="str">
        <f aca="true">IF($H35=0,"NA",IF($A35=INDIRECT("'"&amp;$A35&amp;"'!$B$1"),IF(VLOOKUP(AF$1,INDIRECT("'"&amp;$A35&amp;"'!$A$12:$Z$41"),MATCH("Points (Auto-generate)",INDIRECT("'"&amp;$A35&amp;"'!$A$12:$Z$12"),0),0)="","?",VLOOKUP(AF$1,INDIRECT("'"&amp;$A35&amp;"'!$A$12:$Z$41"),MATCH("Points (Auto-generate)",INDIRECT("'"&amp;$A35&amp;"'!$A$12:$Z$12"),0),0)),"ER"))</f>
        <v>?</v>
      </c>
      <c r="AG35" s="83" t="str">
        <f aca="true">IF($H35=0,"NA",IF($A35=INDIRECT("'"&amp;$A35&amp;"'!$B$1"),IF(VLOOKUP(AG$1,INDIRECT("'"&amp;$A35&amp;"'!$A$12:$Z$41"),MATCH("Points (Auto-generate)",INDIRECT("'"&amp;$A35&amp;"'!$A$12:$Z$12"),0),0)="","?",VLOOKUP(AG$1,INDIRECT("'"&amp;$A35&amp;"'!$A$12:$Z$41"),MATCH("Points (Auto-generate)",INDIRECT("'"&amp;$A35&amp;"'!$A$12:$Z$12"),0),0)),"ER"))</f>
        <v>?</v>
      </c>
      <c r="AH35" s="83" t="str">
        <f aca="true">IF($H35=0,"NA",IF($A35=INDIRECT("'"&amp;$A35&amp;"'!$B$1"),IF(VLOOKUP(AH$1,INDIRECT("'"&amp;$A35&amp;"'!$A$12:$Z$41"),MATCH("Points (Auto-generate)",INDIRECT("'"&amp;$A35&amp;"'!$A$12:$Z$12"),0),0)="","?",VLOOKUP(AH$1,INDIRECT("'"&amp;$A35&amp;"'!$A$12:$Z$41"),MATCH("Points (Auto-generate)",INDIRECT("'"&amp;$A35&amp;"'!$A$12:$Z$12"),0),0)),"ER"))</f>
        <v>?</v>
      </c>
      <c r="AI35" s="83" t="str">
        <f aca="true">IF($H35=0,"NA",IF($A35=INDIRECT("'"&amp;$A35&amp;"'!$B$1"),IF(VLOOKUP(AI$1,INDIRECT("'"&amp;$A35&amp;"'!$A$12:$Z$41"),MATCH("Points (Auto-generate)",INDIRECT("'"&amp;$A35&amp;"'!$A$12:$Z$12"),0),0)="","?",VLOOKUP(AI$1,INDIRECT("'"&amp;$A35&amp;"'!$A$12:$Z$41"),MATCH("Points (Auto-generate)",INDIRECT("'"&amp;$A35&amp;"'!$A$12:$Z$12"),0),0)),"ER"))</f>
        <v>?</v>
      </c>
      <c r="AJ35" s="83" t="str">
        <f aca="true">IF($H35=0,"NA",IF($A35=INDIRECT("'"&amp;$A35&amp;"'!$B$1"),IF(VLOOKUP(AJ$1,INDIRECT("'"&amp;$A35&amp;"'!$A$12:$Z$41"),MATCH("Points (Auto-generate)",INDIRECT("'"&amp;$A35&amp;"'!$A$12:$Z$12"),0),0)="","?",VLOOKUP(AJ$1,INDIRECT("'"&amp;$A35&amp;"'!$A$12:$Z$41"),MATCH("Points (Auto-generate)",INDIRECT("'"&amp;$A35&amp;"'!$A$12:$Z$12"),0),0)),"ER"))</f>
        <v>?</v>
      </c>
      <c r="AK35" s="83" t="str">
        <f aca="true">IF($H35=0,"NA",IF($A35=INDIRECT("'"&amp;$A35&amp;"'!$B$1"),IF(VLOOKUP(AK$1,INDIRECT("'"&amp;$A35&amp;"'!$A$12:$Z$41"),MATCH("Points (Auto-generate)",INDIRECT("'"&amp;$A35&amp;"'!$A$12:$Z$12"),0),0)="","?",VLOOKUP(AK$1,INDIRECT("'"&amp;$A35&amp;"'!$A$12:$Z$41"),MATCH("Points (Auto-generate)",INDIRECT("'"&amp;$A35&amp;"'!$A$12:$Z$12"),0),0)),"ER"))</f>
        <v>?</v>
      </c>
    </row>
    <row r="36" customFormat="false" ht="14.25" hidden="false" customHeight="false" outlineLevel="0" collapsed="false">
      <c r="A36" s="79" t="s">
        <v>161</v>
      </c>
      <c r="B36" s="80" t="str">
        <f aca="false">IF(ISBLANK($A36),"NO_CODE",VLOOKUP($A36,'UPD Questions_290926 '!$E$1:$N$300,MATCH(B$1,'UPD Questions_290926 '!$E$1:$N$1,0),0)&amp;"")</f>
        <v>Implementation</v>
      </c>
      <c r="C36" s="80" t="str">
        <f aca="false">IF(ISBLANK($A36),"NO_CODE",VLOOKUP($A36,'UPD Questions_290926 '!$E$1:$N$300,MATCH(C$1,'UPD Questions_290926 '!$E$1:$N$1,0),0)&amp;"")</f>
        <v>Municipal/City Plan status, hierarchy and coordination</v>
      </c>
      <c r="D36" s="80" t="str">
        <f aca="false">IF(ISBLANK($A36),"NO_CODE",VLOOKUP($A36,'UPD Questions_290926 '!$E$1:$N$300,MATCH(D$1,'UPD Questions_290926 '!$E$1:$N$1,0),0)&amp;"")</f>
        <v>Validity of Municipal/City Plans</v>
      </c>
      <c r="E36" s="80" t="str">
        <f aca="false">IF(ISBLANK($A36),"NO_CODE",VLOOKUP($A36,'UPD Questions_290926 '!$E$1:$N$300,MATCH(E$1,'UPD Questions_290926 '!$E$1:$N$1,0),0)&amp;"")</f>
        <v>MQ</v>
      </c>
      <c r="F36" s="80" t="str">
        <f aca="false">IF(ISBLANK($A36),"NO_CODE",VLOOKUP($A36,'UPD Questions_290926 '!$E$1:$N$300,MATCH(F$1,'UPD Questions_290926 '!$E$1:$N$1,0),0)&amp;"")</f>
        <v>Does the city have a municipal/city plan that is currently in force and within its prescribed validity period?</v>
      </c>
      <c r="G36" s="80" t="str">
        <f aca="false">IF(ISBLANK($A36),"NO_CODE",VLOOKUP($A36,'UPD Questions_290926 '!$E$1:$N$300,MATCH(G$1,'UPD Questions_290926 '!$E$1:$N$1,0),0)&amp;"")</f>
        <v>Implementation</v>
      </c>
      <c r="H36" s="82" t="n">
        <f aca="false">IF(ISBLANK($A36),"NO_CODE",VLOOKUP($A36,'UPD Questions_290926 '!$E$1:$N$300,MATCH(H$1,'UPD Questions_290926 '!$E$1:$N$1,0),0))</f>
        <v>10</v>
      </c>
      <c r="I36" s="83" t="str">
        <f aca="true">IF($H36=0,"NA",IF($A36=INDIRECT("'"&amp;$A36&amp;"'!$B$1"),IF(VLOOKUP(I$1,INDIRECT("'"&amp;$A36&amp;"'!$A$12:$Z$41"),MATCH("Points (Auto-generate)",INDIRECT("'"&amp;$A36&amp;"'!$A$12:$Z$12"),0),0)="","?",VLOOKUP(I$1,INDIRECT("'"&amp;$A36&amp;"'!$A$12:$Z$41"),MATCH("Points (Auto-generate)",INDIRECT("'"&amp;$A36&amp;"'!$A$12:$Z$12"),0),0)),"ER"))</f>
        <v>?</v>
      </c>
      <c r="J36" s="83" t="str">
        <f aca="true">IF($H36=0,"NA",IF($A36=INDIRECT("'"&amp;$A36&amp;"'!$B$1"),IF(VLOOKUP(J$1,INDIRECT("'"&amp;$A36&amp;"'!$A$12:$Z$41"),MATCH("Points (Auto-generate)",INDIRECT("'"&amp;$A36&amp;"'!$A$12:$Z$12"),0),0)="","?",VLOOKUP(J$1,INDIRECT("'"&amp;$A36&amp;"'!$A$12:$Z$41"),MATCH("Points (Auto-generate)",INDIRECT("'"&amp;$A36&amp;"'!$A$12:$Z$12"),0),0)),"ER"))</f>
        <v>?</v>
      </c>
      <c r="K36" s="83" t="str">
        <f aca="true">IF($H36=0,"NA",IF($A36=INDIRECT("'"&amp;$A36&amp;"'!$B$1"),IF(VLOOKUP(K$1,INDIRECT("'"&amp;$A36&amp;"'!$A$12:$Z$41"),MATCH("Points (Auto-generate)",INDIRECT("'"&amp;$A36&amp;"'!$A$12:$Z$12"),0),0)="","?",VLOOKUP(K$1,INDIRECT("'"&amp;$A36&amp;"'!$A$12:$Z$41"),MATCH("Points (Auto-generate)",INDIRECT("'"&amp;$A36&amp;"'!$A$12:$Z$12"),0),0)),"ER"))</f>
        <v>?</v>
      </c>
      <c r="L36" s="83" t="str">
        <f aca="true">IF($H36=0,"NA",IF($A36=INDIRECT("'"&amp;$A36&amp;"'!$B$1"),IF(VLOOKUP(L$1,INDIRECT("'"&amp;$A36&amp;"'!$A$12:$Z$41"),MATCH("Points (Auto-generate)",INDIRECT("'"&amp;$A36&amp;"'!$A$12:$Z$12"),0),0)="","?",VLOOKUP(L$1,INDIRECT("'"&amp;$A36&amp;"'!$A$12:$Z$41"),MATCH("Points (Auto-generate)",INDIRECT("'"&amp;$A36&amp;"'!$A$12:$Z$12"),0),0)),"ER"))</f>
        <v>?</v>
      </c>
      <c r="M36" s="83" t="str">
        <f aca="true">IF($H36=0,"NA",IF($A36=INDIRECT("'"&amp;$A36&amp;"'!$B$1"),IF(VLOOKUP(M$1,INDIRECT("'"&amp;$A36&amp;"'!$A$12:$Z$41"),MATCH("Points (Auto-generate)",INDIRECT("'"&amp;$A36&amp;"'!$A$12:$Z$12"),0),0)="","?",VLOOKUP(M$1,INDIRECT("'"&amp;$A36&amp;"'!$A$12:$Z$41"),MATCH("Points (Auto-generate)",INDIRECT("'"&amp;$A36&amp;"'!$A$12:$Z$12"),0),0)),"ER"))</f>
        <v>?</v>
      </c>
      <c r="N36" s="83" t="str">
        <f aca="true">IF($H36=0,"NA",IF($A36=INDIRECT("'"&amp;$A36&amp;"'!$B$1"),IF(VLOOKUP(N$1,INDIRECT("'"&amp;$A36&amp;"'!$A$12:$Z$41"),MATCH("Points (Auto-generate)",INDIRECT("'"&amp;$A36&amp;"'!$A$12:$Z$12"),0),0)="","?",VLOOKUP(N$1,INDIRECT("'"&amp;$A36&amp;"'!$A$12:$Z$41"),MATCH("Points (Auto-generate)",INDIRECT("'"&amp;$A36&amp;"'!$A$12:$Z$12"),0),0)),"ER"))</f>
        <v>?</v>
      </c>
      <c r="O36" s="83" t="str">
        <f aca="true">IF($H36=0,"NA",IF($A36=INDIRECT("'"&amp;$A36&amp;"'!$B$1"),IF(VLOOKUP(O$1,INDIRECT("'"&amp;$A36&amp;"'!$A$12:$Z$41"),MATCH("Points (Auto-generate)",INDIRECT("'"&amp;$A36&amp;"'!$A$12:$Z$12"),0),0)="","?",VLOOKUP(O$1,INDIRECT("'"&amp;$A36&amp;"'!$A$12:$Z$41"),MATCH("Points (Auto-generate)",INDIRECT("'"&amp;$A36&amp;"'!$A$12:$Z$12"),0),0)),"ER"))</f>
        <v>?</v>
      </c>
      <c r="P36" s="83" t="str">
        <f aca="true">IF($H36=0,"NA",IF($A36=INDIRECT("'"&amp;$A36&amp;"'!$B$1"),IF(VLOOKUP(P$1,INDIRECT("'"&amp;$A36&amp;"'!$A$12:$Z$41"),MATCH("Points (Auto-generate)",INDIRECT("'"&amp;$A36&amp;"'!$A$12:$Z$12"),0),0)="","?",VLOOKUP(P$1,INDIRECT("'"&amp;$A36&amp;"'!$A$12:$Z$41"),MATCH("Points (Auto-generate)",INDIRECT("'"&amp;$A36&amp;"'!$A$12:$Z$12"),0),0)),"ER"))</f>
        <v>?</v>
      </c>
      <c r="Q36" s="83" t="str">
        <f aca="true">IF($H36=0,"NA",IF($A36=INDIRECT("'"&amp;$A36&amp;"'!$B$1"),IF(VLOOKUP(Q$1,INDIRECT("'"&amp;$A36&amp;"'!$A$12:$Z$41"),MATCH("Points (Auto-generate)",INDIRECT("'"&amp;$A36&amp;"'!$A$12:$Z$12"),0),0)="","?",VLOOKUP(Q$1,INDIRECT("'"&amp;$A36&amp;"'!$A$12:$Z$41"),MATCH("Points (Auto-generate)",INDIRECT("'"&amp;$A36&amp;"'!$A$12:$Z$12"),0),0)),"ER"))</f>
        <v>?</v>
      </c>
      <c r="R36" s="83" t="str">
        <f aca="true">IF($H36=0,"NA",IF($A36=INDIRECT("'"&amp;$A36&amp;"'!$B$1"),IF(VLOOKUP(R$1,INDIRECT("'"&amp;$A36&amp;"'!$A$12:$Z$41"),MATCH("Points (Auto-generate)",INDIRECT("'"&amp;$A36&amp;"'!$A$12:$Z$12"),0),0)="","?",VLOOKUP(R$1,INDIRECT("'"&amp;$A36&amp;"'!$A$12:$Z$41"),MATCH("Points (Auto-generate)",INDIRECT("'"&amp;$A36&amp;"'!$A$12:$Z$12"),0),0)),"ER"))</f>
        <v>?</v>
      </c>
      <c r="S36" s="83" t="str">
        <f aca="true">IF($H36=0,"NA",IF($A36=INDIRECT("'"&amp;$A36&amp;"'!$B$1"),IF(VLOOKUP(S$1,INDIRECT("'"&amp;$A36&amp;"'!$A$12:$Z$41"),MATCH("Points (Auto-generate)",INDIRECT("'"&amp;$A36&amp;"'!$A$12:$Z$12"),0),0)="","?",VLOOKUP(S$1,INDIRECT("'"&amp;$A36&amp;"'!$A$12:$Z$41"),MATCH("Points (Auto-generate)",INDIRECT("'"&amp;$A36&amp;"'!$A$12:$Z$12"),0),0)),"ER"))</f>
        <v>?</v>
      </c>
      <c r="T36" s="83" t="str">
        <f aca="true">IF($H36=0,"NA",IF($A36=INDIRECT("'"&amp;$A36&amp;"'!$B$1"),IF(VLOOKUP(T$1,INDIRECT("'"&amp;$A36&amp;"'!$A$12:$Z$41"),MATCH("Points (Auto-generate)",INDIRECT("'"&amp;$A36&amp;"'!$A$12:$Z$12"),0),0)="","?",VLOOKUP(T$1,INDIRECT("'"&amp;$A36&amp;"'!$A$12:$Z$41"),MATCH("Points (Auto-generate)",INDIRECT("'"&amp;$A36&amp;"'!$A$12:$Z$12"),0),0)),"ER"))</f>
        <v>?</v>
      </c>
      <c r="U36" s="83" t="str">
        <f aca="true">IF($H36=0,"NA",IF($A36=INDIRECT("'"&amp;$A36&amp;"'!$B$1"),IF(VLOOKUP(U$1,INDIRECT("'"&amp;$A36&amp;"'!$A$12:$Z$41"),MATCH("Points (Auto-generate)",INDIRECT("'"&amp;$A36&amp;"'!$A$12:$Z$12"),0),0)="","?",VLOOKUP(U$1,INDIRECT("'"&amp;$A36&amp;"'!$A$12:$Z$41"),MATCH("Points (Auto-generate)",INDIRECT("'"&amp;$A36&amp;"'!$A$12:$Z$12"),0),0)),"ER"))</f>
        <v>?</v>
      </c>
      <c r="V36" s="83" t="str">
        <f aca="true">IF($H36=0,"NA",IF($A36=INDIRECT("'"&amp;$A36&amp;"'!$B$1"),IF(VLOOKUP(V$1,INDIRECT("'"&amp;$A36&amp;"'!$A$12:$Z$41"),MATCH("Points (Auto-generate)",INDIRECT("'"&amp;$A36&amp;"'!$A$12:$Z$12"),0),0)="","?",VLOOKUP(V$1,INDIRECT("'"&amp;$A36&amp;"'!$A$12:$Z$41"),MATCH("Points (Auto-generate)",INDIRECT("'"&amp;$A36&amp;"'!$A$12:$Z$12"),0),0)),"ER"))</f>
        <v>?</v>
      </c>
      <c r="W36" s="83" t="str">
        <f aca="true">IF($H36=0,"NA",IF($A36=INDIRECT("'"&amp;$A36&amp;"'!$B$1"),IF(VLOOKUP(W$1,INDIRECT("'"&amp;$A36&amp;"'!$A$12:$Z$41"),MATCH("Points (Auto-generate)",INDIRECT("'"&amp;$A36&amp;"'!$A$12:$Z$12"),0),0)="","?",VLOOKUP(W$1,INDIRECT("'"&amp;$A36&amp;"'!$A$12:$Z$41"),MATCH("Points (Auto-generate)",INDIRECT("'"&amp;$A36&amp;"'!$A$12:$Z$12"),0),0)),"ER"))</f>
        <v>?</v>
      </c>
      <c r="X36" s="83" t="str">
        <f aca="true">IF($H36=0,"NA",IF($A36=INDIRECT("'"&amp;$A36&amp;"'!$B$1"),IF(VLOOKUP(X$1,INDIRECT("'"&amp;$A36&amp;"'!$A$12:$Z$41"),MATCH("Points (Auto-generate)",INDIRECT("'"&amp;$A36&amp;"'!$A$12:$Z$12"),0),0)="","?",VLOOKUP(X$1,INDIRECT("'"&amp;$A36&amp;"'!$A$12:$Z$41"),MATCH("Points (Auto-generate)",INDIRECT("'"&amp;$A36&amp;"'!$A$12:$Z$12"),0),0)),"ER"))</f>
        <v>?</v>
      </c>
      <c r="Y36" s="83" t="str">
        <f aca="true">IF($H36=0,"NA",IF($A36=INDIRECT("'"&amp;$A36&amp;"'!$B$1"),IF(VLOOKUP(Y$1,INDIRECT("'"&amp;$A36&amp;"'!$A$12:$Z$41"),MATCH("Points (Auto-generate)",INDIRECT("'"&amp;$A36&amp;"'!$A$12:$Z$12"),0),0)="","?",VLOOKUP(Y$1,INDIRECT("'"&amp;$A36&amp;"'!$A$12:$Z$41"),MATCH("Points (Auto-generate)",INDIRECT("'"&amp;$A36&amp;"'!$A$12:$Z$12"),0),0)),"ER"))</f>
        <v>?</v>
      </c>
      <c r="Z36" s="83" t="str">
        <f aca="true">IF($H36=0,"NA",IF($A36=INDIRECT("'"&amp;$A36&amp;"'!$B$1"),IF(VLOOKUP(Z$1,INDIRECT("'"&amp;$A36&amp;"'!$A$12:$Z$41"),MATCH("Points (Auto-generate)",INDIRECT("'"&amp;$A36&amp;"'!$A$12:$Z$12"),0),0)="","?",VLOOKUP(Z$1,INDIRECT("'"&amp;$A36&amp;"'!$A$12:$Z$41"),MATCH("Points (Auto-generate)",INDIRECT("'"&amp;$A36&amp;"'!$A$12:$Z$12"),0),0)),"ER"))</f>
        <v>?</v>
      </c>
      <c r="AA36" s="83" t="str">
        <f aca="true">IF($H36=0,"NA",IF($A36=INDIRECT("'"&amp;$A36&amp;"'!$B$1"),IF(VLOOKUP(AA$1,INDIRECT("'"&amp;$A36&amp;"'!$A$12:$Z$41"),MATCH("Points (Auto-generate)",INDIRECT("'"&amp;$A36&amp;"'!$A$12:$Z$12"),0),0)="","?",VLOOKUP(AA$1,INDIRECT("'"&amp;$A36&amp;"'!$A$12:$Z$41"),MATCH("Points (Auto-generate)",INDIRECT("'"&amp;$A36&amp;"'!$A$12:$Z$12"),0),0)),"ER"))</f>
        <v>?</v>
      </c>
      <c r="AB36" s="83" t="str">
        <f aca="true">IF($H36=0,"NA",IF($A36=INDIRECT("'"&amp;$A36&amp;"'!$B$1"),IF(VLOOKUP(AB$1,INDIRECT("'"&amp;$A36&amp;"'!$A$12:$Z$41"),MATCH("Points (Auto-generate)",INDIRECT("'"&amp;$A36&amp;"'!$A$12:$Z$12"),0),0)="","?",VLOOKUP(AB$1,INDIRECT("'"&amp;$A36&amp;"'!$A$12:$Z$41"),MATCH("Points (Auto-generate)",INDIRECT("'"&amp;$A36&amp;"'!$A$12:$Z$12"),0),0)),"ER"))</f>
        <v>?</v>
      </c>
      <c r="AC36" s="83" t="str">
        <f aca="true">IF($H36=0,"NA",IF($A36=INDIRECT("'"&amp;$A36&amp;"'!$B$1"),IF(VLOOKUP(AC$1,INDIRECT("'"&amp;$A36&amp;"'!$A$12:$Z$41"),MATCH("Points (Auto-generate)",INDIRECT("'"&amp;$A36&amp;"'!$A$12:$Z$12"),0),0)="","?",VLOOKUP(AC$1,INDIRECT("'"&amp;$A36&amp;"'!$A$12:$Z$41"),MATCH("Points (Auto-generate)",INDIRECT("'"&amp;$A36&amp;"'!$A$12:$Z$12"),0),0)),"ER"))</f>
        <v>?</v>
      </c>
      <c r="AD36" s="83" t="str">
        <f aca="true">IF($H36=0,"NA",IF($A36=INDIRECT("'"&amp;$A36&amp;"'!$B$1"),IF(VLOOKUP(AD$1,INDIRECT("'"&amp;$A36&amp;"'!$A$12:$Z$41"),MATCH("Points (Auto-generate)",INDIRECT("'"&amp;$A36&amp;"'!$A$12:$Z$12"),0),0)="","?",VLOOKUP(AD$1,INDIRECT("'"&amp;$A36&amp;"'!$A$12:$Z$41"),MATCH("Points (Auto-generate)",INDIRECT("'"&amp;$A36&amp;"'!$A$12:$Z$12"),0),0)),"ER"))</f>
        <v>?</v>
      </c>
      <c r="AE36" s="83" t="str">
        <f aca="true">IF($H36=0,"NA",IF($A36=INDIRECT("'"&amp;$A36&amp;"'!$B$1"),IF(VLOOKUP(AE$1,INDIRECT("'"&amp;$A36&amp;"'!$A$12:$Z$41"),MATCH("Points (Auto-generate)",INDIRECT("'"&amp;$A36&amp;"'!$A$12:$Z$12"),0),0)="","?",VLOOKUP(AE$1,INDIRECT("'"&amp;$A36&amp;"'!$A$12:$Z$41"),MATCH("Points (Auto-generate)",INDIRECT("'"&amp;$A36&amp;"'!$A$12:$Z$12"),0),0)),"ER"))</f>
        <v>?</v>
      </c>
      <c r="AF36" s="83" t="str">
        <f aca="true">IF($H36=0,"NA",IF($A36=INDIRECT("'"&amp;$A36&amp;"'!$B$1"),IF(VLOOKUP(AF$1,INDIRECT("'"&amp;$A36&amp;"'!$A$12:$Z$41"),MATCH("Points (Auto-generate)",INDIRECT("'"&amp;$A36&amp;"'!$A$12:$Z$12"),0),0)="","?",VLOOKUP(AF$1,INDIRECT("'"&amp;$A36&amp;"'!$A$12:$Z$41"),MATCH("Points (Auto-generate)",INDIRECT("'"&amp;$A36&amp;"'!$A$12:$Z$12"),0),0)),"ER"))</f>
        <v>?</v>
      </c>
      <c r="AG36" s="83" t="str">
        <f aca="true">IF($H36=0,"NA",IF($A36=INDIRECT("'"&amp;$A36&amp;"'!$B$1"),IF(VLOOKUP(AG$1,INDIRECT("'"&amp;$A36&amp;"'!$A$12:$Z$41"),MATCH("Points (Auto-generate)",INDIRECT("'"&amp;$A36&amp;"'!$A$12:$Z$12"),0),0)="","?",VLOOKUP(AG$1,INDIRECT("'"&amp;$A36&amp;"'!$A$12:$Z$41"),MATCH("Points (Auto-generate)",INDIRECT("'"&amp;$A36&amp;"'!$A$12:$Z$12"),0),0)),"ER"))</f>
        <v>?</v>
      </c>
      <c r="AH36" s="83" t="str">
        <f aca="true">IF($H36=0,"NA",IF($A36=INDIRECT("'"&amp;$A36&amp;"'!$B$1"),IF(VLOOKUP(AH$1,INDIRECT("'"&amp;$A36&amp;"'!$A$12:$Z$41"),MATCH("Points (Auto-generate)",INDIRECT("'"&amp;$A36&amp;"'!$A$12:$Z$12"),0),0)="","?",VLOOKUP(AH$1,INDIRECT("'"&amp;$A36&amp;"'!$A$12:$Z$41"),MATCH("Points (Auto-generate)",INDIRECT("'"&amp;$A36&amp;"'!$A$12:$Z$12"),0),0)),"ER"))</f>
        <v>?</v>
      </c>
      <c r="AI36" s="83" t="str">
        <f aca="true">IF($H36=0,"NA",IF($A36=INDIRECT("'"&amp;$A36&amp;"'!$B$1"),IF(VLOOKUP(AI$1,INDIRECT("'"&amp;$A36&amp;"'!$A$12:$Z$41"),MATCH("Points (Auto-generate)",INDIRECT("'"&amp;$A36&amp;"'!$A$12:$Z$12"),0),0)="","?",VLOOKUP(AI$1,INDIRECT("'"&amp;$A36&amp;"'!$A$12:$Z$41"),MATCH("Points (Auto-generate)",INDIRECT("'"&amp;$A36&amp;"'!$A$12:$Z$12"),0),0)),"ER"))</f>
        <v>?</v>
      </c>
      <c r="AJ36" s="83" t="str">
        <f aca="true">IF($H36=0,"NA",IF($A36=INDIRECT("'"&amp;$A36&amp;"'!$B$1"),IF(VLOOKUP(AJ$1,INDIRECT("'"&amp;$A36&amp;"'!$A$12:$Z$41"),MATCH("Points (Auto-generate)",INDIRECT("'"&amp;$A36&amp;"'!$A$12:$Z$12"),0),0)="","?",VLOOKUP(AJ$1,INDIRECT("'"&amp;$A36&amp;"'!$A$12:$Z$41"),MATCH("Points (Auto-generate)",INDIRECT("'"&amp;$A36&amp;"'!$A$12:$Z$12"),0),0)),"ER"))</f>
        <v>?</v>
      </c>
      <c r="AK36" s="83" t="str">
        <f aca="true">IF($H36=0,"NA",IF($A36=INDIRECT("'"&amp;$A36&amp;"'!$B$1"),IF(VLOOKUP(AK$1,INDIRECT("'"&amp;$A36&amp;"'!$A$12:$Z$41"),MATCH("Points (Auto-generate)",INDIRECT("'"&amp;$A36&amp;"'!$A$12:$Z$12"),0),0)="","?",VLOOKUP(AK$1,INDIRECT("'"&amp;$A36&amp;"'!$A$12:$Z$41"),MATCH("Points (Auto-generate)",INDIRECT("'"&amp;$A36&amp;"'!$A$12:$Z$12"),0),0)),"ER"))</f>
        <v>?</v>
      </c>
    </row>
    <row r="37" customFormat="false" ht="14.25" hidden="false" customHeight="false" outlineLevel="0" collapsed="false">
      <c r="A37" s="79" t="s">
        <v>473</v>
      </c>
      <c r="B37" s="80" t="str">
        <f aca="false">IF(ISBLANK($A37),"NO_CODE",VLOOKUP($A37,'UPD Questions_290926 '!$E$1:$N$300,MATCH(B$1,'UPD Questions_290926 '!$E$1:$N$1,0),0)&amp;"")</f>
        <v>Implementation</v>
      </c>
      <c r="C37" s="80" t="str">
        <f aca="false">IF(ISBLANK($A37),"NO_CODE",VLOOKUP($A37,'UPD Questions_290926 '!$E$1:$N$300,MATCH(C$1,'UPD Questions_290926 '!$E$1:$N$1,0),0)&amp;"")</f>
        <v>Municipal/City Plan status, hierarchy and coordination</v>
      </c>
      <c r="D37" s="80" t="str">
        <f aca="false">IF(ISBLANK($A37),"NO_CODE",VLOOKUP($A37,'UPD Questions_290926 '!$E$1:$N$300,MATCH(D$1,'UPD Questions_290926 '!$E$1:$N$1,0),0)&amp;"")</f>
        <v>Alignment across planning levels</v>
      </c>
      <c r="E37" s="80" t="str">
        <f aca="false">IF(ISBLANK($A37),"NO_CODE",VLOOKUP($A37,'UPD Questions_290926 '!$E$1:$N$300,MATCH(E$1,'UPD Questions_290926 '!$E$1:$N$1,0),0)&amp;"")</f>
        <v>MQ</v>
      </c>
      <c r="F37" s="80" t="str">
        <f aca="false">IF(ISBLANK($A37),"NO_CODE",VLOOKUP($A37,'UPD Questions_290926 '!$E$1:$N$300,MATCH(F$1,'UPD Questions_290926 '!$E$1:$N$1,0),0)&amp;"")</f>
        <v> Are the spatial plans at the Metropolitan/Regional, Municipal and Ward(s) /Local level in a concurrent or nested timeline of validity?</v>
      </c>
      <c r="G37" s="80" t="str">
        <f aca="false">IF(ISBLANK($A37),"NO_CODE",VLOOKUP($A37,'UPD Questions_290926 '!$E$1:$N$300,MATCH(G$1,'UPD Questions_290926 '!$E$1:$N$1,0),0)&amp;"")</f>
        <v>Implementation</v>
      </c>
      <c r="H37" s="82" t="n">
        <f aca="false">IF(ISBLANK($A37),"NO_CODE",VLOOKUP($A37,'UPD Questions_290926 '!$E$1:$N$300,MATCH(H$1,'UPD Questions_290926 '!$E$1:$N$1,0),0))</f>
        <v>10</v>
      </c>
      <c r="I37" s="83" t="str">
        <f aca="false">IF(OR(I38="ER",I39="ER"),"ER",IF(OR(I38="?",I39="?"),"?",IF(AND(I38="NA",I39="NA"),"NA",SUM(I38,I39)/((I38&lt;&gt;"NA")*$H$38+(I39&lt;&gt;"NA")*$H$39)*$H37)))</f>
        <v>?</v>
      </c>
      <c r="J37" s="83" t="str">
        <f aca="false">IF(OR(J38="ER",J39="ER"),"ER",IF(OR(J38="?",J39="?"),"?",IF(AND(J38="NA",J39="NA"),"NA",SUM(J38,J39)/((J38&lt;&gt;"NA")*$H$38+(J39&lt;&gt;"NA")*$H$39)*$H37)))</f>
        <v>?</v>
      </c>
      <c r="K37" s="83" t="str">
        <f aca="false">IF(OR(K38="ER",K39="ER"),"ER",IF(OR(K38="?",K39="?"),"?",IF(AND(K38="NA",K39="NA"),"NA",SUM(K38,K39)/((K38&lt;&gt;"NA")*$H$38+(K39&lt;&gt;"NA")*$H$39)*$H37)))</f>
        <v>?</v>
      </c>
      <c r="L37" s="83" t="str">
        <f aca="false">IF(OR(L38="ER",L39="ER"),"ER",IF(OR(L38="?",L39="?"),"?",IF(AND(L38="NA",L39="NA"),"NA",SUM(L38,L39)/((L38&lt;&gt;"NA")*$H$38+(L39&lt;&gt;"NA")*$H$39)*$H37)))</f>
        <v>?</v>
      </c>
      <c r="M37" s="83" t="str">
        <f aca="false">IF(OR(M38="ER",M39="ER"),"ER",IF(OR(M38="?",M39="?"),"?",IF(AND(M38="NA",M39="NA"),"NA",SUM(M38,M39)/((M38&lt;&gt;"NA")*$H$38+(M39&lt;&gt;"NA")*$H$39)*$H37)))</f>
        <v>?</v>
      </c>
      <c r="N37" s="83" t="str">
        <f aca="false">IF(OR(N38="ER",N39="ER"),"ER",IF(OR(N38="?",N39="?"),"?",IF(AND(N38="NA",N39="NA"),"NA",SUM(N38,N39)/((N38&lt;&gt;"NA")*$H$38+(N39&lt;&gt;"NA")*$H$39)*$H37)))</f>
        <v>?</v>
      </c>
      <c r="O37" s="83" t="str">
        <f aca="false">IF(OR(O38="ER",O39="ER"),"ER",IF(OR(O38="?",O39="?"),"?",IF(AND(O38="NA",O39="NA"),"NA",SUM(O38,O39)/((O38&lt;&gt;"NA")*$H$38+(O39&lt;&gt;"NA")*$H$39)*$H37)))</f>
        <v>?</v>
      </c>
      <c r="P37" s="83" t="str">
        <f aca="false">IF(OR(P38="ER",P39="ER"),"ER",IF(OR(P38="?",P39="?"),"?",IF(AND(P38="NA",P39="NA"),"NA",SUM(P38,P39)/((P38&lt;&gt;"NA")*$H$38+(P39&lt;&gt;"NA")*$H$39)*$H37)))</f>
        <v>?</v>
      </c>
      <c r="Q37" s="83" t="str">
        <f aca="false">IF(OR(Q38="ER",Q39="ER"),"ER",IF(OR(Q38="?",Q39="?"),"?",IF(AND(Q38="NA",Q39="NA"),"NA",SUM(Q38,Q39)/((Q38&lt;&gt;"NA")*$H$38+(Q39&lt;&gt;"NA")*$H$39)*$H37)))</f>
        <v>?</v>
      </c>
      <c r="R37" s="83" t="str">
        <f aca="false">IF(OR(R38="ER",R39="ER"),"ER",IF(OR(R38="?",R39="?"),"?",IF(AND(R38="NA",R39="NA"),"NA",SUM(R38,R39)/((R38&lt;&gt;"NA")*$H$38+(R39&lt;&gt;"NA")*$H$39)*$H37)))</f>
        <v>?</v>
      </c>
      <c r="S37" s="83" t="str">
        <f aca="false">IF(OR(S38="ER",S39="ER"),"ER",IF(OR(S38="?",S39="?"),"?",IF(AND(S38="NA",S39="NA"),"NA",SUM(S38,S39)/((S38&lt;&gt;"NA")*$H$38+(S39&lt;&gt;"NA")*$H$39)*$H37)))</f>
        <v>?</v>
      </c>
      <c r="T37" s="83" t="str">
        <f aca="false">IF(OR(T38="ER",T39="ER"),"ER",IF(OR(T38="?",T39="?"),"?",IF(AND(T38="NA",T39="NA"),"NA",SUM(T38,T39)/((T38&lt;&gt;"NA")*$H$38+(T39&lt;&gt;"NA")*$H$39)*$H37)))</f>
        <v>?</v>
      </c>
      <c r="U37" s="83" t="str">
        <f aca="false">IF(OR(U38="ER",U39="ER"),"ER",IF(OR(U38="?",U39="?"),"?",IF(AND(U38="NA",U39="NA"),"NA",SUM(U38,U39)/((U38&lt;&gt;"NA")*$H$38+(U39&lt;&gt;"NA")*$H$39)*$H37)))</f>
        <v>?</v>
      </c>
      <c r="V37" s="83" t="str">
        <f aca="false">IF(OR(V38="ER",V39="ER"),"ER",IF(OR(V38="?",V39="?"),"?",IF(AND(V38="NA",V39="NA"),"NA",SUM(V38,V39)/((V38&lt;&gt;"NA")*$H$38+(V39&lt;&gt;"NA")*$H$39)*$H37)))</f>
        <v>?</v>
      </c>
      <c r="W37" s="83" t="str">
        <f aca="false">IF(OR(W38="ER",W39="ER"),"ER",IF(OR(W38="?",W39="?"),"?",IF(AND(W38="NA",W39="NA"),"NA",SUM(W38,W39)/((W38&lt;&gt;"NA")*$H$38+(W39&lt;&gt;"NA")*$H$39)*$H37)))</f>
        <v>?</v>
      </c>
      <c r="X37" s="83" t="str">
        <f aca="false">IF(OR(X38="ER",X39="ER"),"ER",IF(OR(X38="?",X39="?"),"?",IF(AND(X38="NA",X39="NA"),"NA",SUM(X38,X39)/((X38&lt;&gt;"NA")*$H$38+(X39&lt;&gt;"NA")*$H$39)*$H37)))</f>
        <v>?</v>
      </c>
      <c r="Y37" s="83" t="str">
        <f aca="false">IF(OR(Y38="ER",Y39="ER"),"ER",IF(OR(Y38="?",Y39="?"),"?",IF(AND(Y38="NA",Y39="NA"),"NA",SUM(Y38,Y39)/((Y38&lt;&gt;"NA")*$H$38+(Y39&lt;&gt;"NA")*$H$39)*$H37)))</f>
        <v>?</v>
      </c>
      <c r="Z37" s="83" t="str">
        <f aca="false">IF(OR(Z38="ER",Z39="ER"),"ER",IF(OR(Z38="?",Z39="?"),"?",IF(AND(Z38="NA",Z39="NA"),"NA",SUM(Z38,Z39)/((Z38&lt;&gt;"NA")*$H$38+(Z39&lt;&gt;"NA")*$H$39)*$H37)))</f>
        <v>?</v>
      </c>
      <c r="AA37" s="83" t="str">
        <f aca="false">IF(OR(AA38="ER",AA39="ER"),"ER",IF(OR(AA38="?",AA39="?"),"?",IF(AND(AA38="NA",AA39="NA"),"NA",SUM(AA38,AA39)/((AA38&lt;&gt;"NA")*$H$38+(AA39&lt;&gt;"NA")*$H$39)*$H37)))</f>
        <v>?</v>
      </c>
      <c r="AB37" s="83" t="str">
        <f aca="false">IF(OR(AB38="ER",AB39="ER"),"ER",IF(OR(AB38="?",AB39="?"),"?",IF(AND(AB38="NA",AB39="NA"),"NA",SUM(AB38,AB39)/((AB38&lt;&gt;"NA")*$H$38+(AB39&lt;&gt;"NA")*$H$39)*$H37)))</f>
        <v>?</v>
      </c>
      <c r="AC37" s="83" t="str">
        <f aca="false">IF(OR(AC38="ER",AC39="ER"),"ER",IF(OR(AC38="?",AC39="?"),"?",IF(AND(AC38="NA",AC39="NA"),"NA",SUM(AC38,AC39)/((AC38&lt;&gt;"NA")*$H$38+(AC39&lt;&gt;"NA")*$H$39)*$H37)))</f>
        <v>?</v>
      </c>
      <c r="AD37" s="83" t="str">
        <f aca="false">IF(OR(AD38="ER",AD39="ER"),"ER",IF(OR(AD38="?",AD39="?"),"?",IF(AND(AD38="NA",AD39="NA"),"NA",SUM(AD38,AD39)/((AD38&lt;&gt;"NA")*$H$38+(AD39&lt;&gt;"NA")*$H$39)*$H37)))</f>
        <v>?</v>
      </c>
      <c r="AE37" s="83" t="str">
        <f aca="false">IF(OR(AE38="ER",AE39="ER"),"ER",IF(OR(AE38="?",AE39="?"),"?",IF(AND(AE38="NA",AE39="NA"),"NA",SUM(AE38,AE39)/((AE38&lt;&gt;"NA")*$H$38+(AE39&lt;&gt;"NA")*$H$39)*$H37)))</f>
        <v>?</v>
      </c>
      <c r="AF37" s="83" t="str">
        <f aca="false">IF(OR(AF38="ER",AF39="ER"),"ER",IF(OR(AF38="?",AF39="?"),"?",IF(AND(AF38="NA",AF39="NA"),"NA",SUM(AF38,AF39)/((AF38&lt;&gt;"NA")*$H$38+(AF39&lt;&gt;"NA")*$H$39)*$H37)))</f>
        <v>?</v>
      </c>
      <c r="AG37" s="83" t="str">
        <f aca="false">IF(OR(AG38="ER",AG39="ER"),"ER",IF(OR(AG38="?",AG39="?"),"?",IF(AND(AG38="NA",AG39="NA"),"NA",SUM(AG38,AG39)/((AG38&lt;&gt;"NA")*$H$38+(AG39&lt;&gt;"NA")*$H$39)*$H37)))</f>
        <v>?</v>
      </c>
      <c r="AH37" s="83" t="str">
        <f aca="false">IF(OR(AH38="ER",AH39="ER"),"ER",IF(OR(AH38="?",AH39="?"),"?",IF(AND(AH38="NA",AH39="NA"),"NA",SUM(AH38,AH39)/((AH38&lt;&gt;"NA")*$H$38+(AH39&lt;&gt;"NA")*$H$39)*$H37)))</f>
        <v>?</v>
      </c>
      <c r="AI37" s="83" t="str">
        <f aca="false">IF(OR(AI38="ER",AI39="ER"),"ER",IF(OR(AI38="?",AI39="?"),"?",IF(AND(AI38="NA",AI39="NA"),"NA",SUM(AI38,AI39)/((AI38&lt;&gt;"NA")*$H$38+(AI39&lt;&gt;"NA")*$H$39)*$H37)))</f>
        <v>?</v>
      </c>
      <c r="AJ37" s="83" t="str">
        <f aca="false">IF(OR(AJ38="ER",AJ39="ER"),"ER",IF(OR(AJ38="?",AJ39="?"),"?",IF(AND(AJ38="NA",AJ39="NA"),"NA",SUM(AJ38,AJ39)/((AJ38&lt;&gt;"NA")*$H$38+(AJ39&lt;&gt;"NA")*$H$39)*$H37)))</f>
        <v>?</v>
      </c>
      <c r="AK37" s="83" t="str">
        <f aca="false">IF(OR(AK38="ER",AK39="ER"),"ER",IF(OR(AK38="?",AK39="?"),"?",IF(AND(AK38="NA",AK39="NA"),"NA",SUM(AK38,AK39)/((AK38&lt;&gt;"NA")*$H$38+(AK39&lt;&gt;"NA")*$H$39)*$H37)))</f>
        <v>?</v>
      </c>
    </row>
    <row r="38" customFormat="false" ht="14.25" hidden="false" customHeight="false" outlineLevel="0" collapsed="false">
      <c r="A38" s="79" t="s">
        <v>165</v>
      </c>
      <c r="B38" s="80" t="str">
        <f aca="false">IF(ISBLANK($A38),"NO_CODE",VLOOKUP($A38,'UPD Questions_290926 '!$E$1:$N$300,MATCH(B$1,'UPD Questions_290926 '!$E$1:$N$1,0),0)&amp;"")</f>
        <v>Implementation</v>
      </c>
      <c r="C38" s="80" t="str">
        <f aca="false">IF(ISBLANK($A38),"NO_CODE",VLOOKUP($A38,'UPD Questions_290926 '!$E$1:$N$300,MATCH(C$1,'UPD Questions_290926 '!$E$1:$N$1,0),0)&amp;"")</f>
        <v>Municipal/City Plan status, hierarchy and coordination</v>
      </c>
      <c r="D38" s="80" t="str">
        <f aca="false">IF(ISBLANK($A38),"NO_CODE",VLOOKUP($A38,'UPD Questions_290926 '!$E$1:$N$300,MATCH(D$1,'UPD Questions_290926 '!$E$1:$N$1,0),0)&amp;"")</f>
        <v>Alignment across planning levels</v>
      </c>
      <c r="E38" s="80" t="str">
        <f aca="false">IF(ISBLANK($A38),"NO_CODE",VLOOKUP($A38,'UPD Questions_290926 '!$E$1:$N$300,MATCH(E$1,'UPD Questions_290926 '!$E$1:$N$1,0),0)&amp;"")</f>
        <v>SQ</v>
      </c>
      <c r="F38" s="80" t="str">
        <f aca="false">IF(ISBLANK($A38),"NO_CODE",VLOOKUP($A38,'UPD Questions_290926 '!$E$1:$N$300,MATCH(F$1,'UPD Questions_290926 '!$E$1:$N$1,0),0)&amp;"")</f>
        <v>Is the Metropolitan/Regional plan in a concurrent or nested timeline of validity with municipal plan?</v>
      </c>
      <c r="G38" s="80" t="str">
        <f aca="false">IF(ISBLANK($A38),"NO_CODE",VLOOKUP($A38,'UPD Questions_290926 '!$E$1:$N$300,MATCH(G$1,'UPD Questions_290926 '!$E$1:$N$1,0),0)&amp;"")</f>
        <v>Implementation</v>
      </c>
      <c r="H38" s="82" t="n">
        <f aca="false">IF(ISBLANK($A38),"NO_CODE",VLOOKUP($A38,'UPD Questions_290926 '!$E$1:$N$300,MATCH(H$1,'UPD Questions_290926 '!$E$1:$N$1,0),0))</f>
        <v>5</v>
      </c>
      <c r="I38" s="83" t="str">
        <f aca="true">IF($H38=0,"NA",IF($A38=INDIRECT("'"&amp;$A38&amp;"'!$B$1"),IF(VLOOKUP(I$1,INDIRECT("'"&amp;$A38&amp;"'!$A$12:$Z$41"),MATCH("Points (Auto-generate)",INDIRECT("'"&amp;$A38&amp;"'!$A$12:$Z$12"),0),0)="","?",VLOOKUP(I$1,INDIRECT("'"&amp;$A38&amp;"'!$A$12:$Z$41"),MATCH("Points (Auto-generate)",INDIRECT("'"&amp;$A38&amp;"'!$A$12:$Z$12"),0),0)),"ER"))</f>
        <v>?</v>
      </c>
      <c r="J38" s="83" t="str">
        <f aca="true">IF($H38=0,"NA",IF($A38=INDIRECT("'"&amp;$A38&amp;"'!$B$1"),IF(VLOOKUP(J$1,INDIRECT("'"&amp;$A38&amp;"'!$A$12:$Z$41"),MATCH("Points (Auto-generate)",INDIRECT("'"&amp;$A38&amp;"'!$A$12:$Z$12"),0),0)="","?",VLOOKUP(J$1,INDIRECT("'"&amp;$A38&amp;"'!$A$12:$Z$41"),MATCH("Points (Auto-generate)",INDIRECT("'"&amp;$A38&amp;"'!$A$12:$Z$12"),0),0)),"ER"))</f>
        <v>?</v>
      </c>
      <c r="K38" s="83" t="str">
        <f aca="true">IF($H38=0,"NA",IF($A38=INDIRECT("'"&amp;$A38&amp;"'!$B$1"),IF(VLOOKUP(K$1,INDIRECT("'"&amp;$A38&amp;"'!$A$12:$Z$41"),MATCH("Points (Auto-generate)",INDIRECT("'"&amp;$A38&amp;"'!$A$12:$Z$12"),0),0)="","?",VLOOKUP(K$1,INDIRECT("'"&amp;$A38&amp;"'!$A$12:$Z$41"),MATCH("Points (Auto-generate)",INDIRECT("'"&amp;$A38&amp;"'!$A$12:$Z$12"),0),0)),"ER"))</f>
        <v>?</v>
      </c>
      <c r="L38" s="83" t="str">
        <f aca="true">IF($H38=0,"NA",IF($A38=INDIRECT("'"&amp;$A38&amp;"'!$B$1"),IF(VLOOKUP(L$1,INDIRECT("'"&amp;$A38&amp;"'!$A$12:$Z$41"),MATCH("Points (Auto-generate)",INDIRECT("'"&amp;$A38&amp;"'!$A$12:$Z$12"),0),0)="","?",VLOOKUP(L$1,INDIRECT("'"&amp;$A38&amp;"'!$A$12:$Z$41"),MATCH("Points (Auto-generate)",INDIRECT("'"&amp;$A38&amp;"'!$A$12:$Z$12"),0),0)),"ER"))</f>
        <v>?</v>
      </c>
      <c r="M38" s="83" t="str">
        <f aca="true">IF($H38=0,"NA",IF($A38=INDIRECT("'"&amp;$A38&amp;"'!$B$1"),IF(VLOOKUP(M$1,INDIRECT("'"&amp;$A38&amp;"'!$A$12:$Z$41"),MATCH("Points (Auto-generate)",INDIRECT("'"&amp;$A38&amp;"'!$A$12:$Z$12"),0),0)="","?",VLOOKUP(M$1,INDIRECT("'"&amp;$A38&amp;"'!$A$12:$Z$41"),MATCH("Points (Auto-generate)",INDIRECT("'"&amp;$A38&amp;"'!$A$12:$Z$12"),0),0)),"ER"))</f>
        <v>?</v>
      </c>
      <c r="N38" s="83" t="str">
        <f aca="true">IF($H38=0,"NA",IF($A38=INDIRECT("'"&amp;$A38&amp;"'!$B$1"),IF(VLOOKUP(N$1,INDIRECT("'"&amp;$A38&amp;"'!$A$12:$Z$41"),MATCH("Points (Auto-generate)",INDIRECT("'"&amp;$A38&amp;"'!$A$12:$Z$12"),0),0)="","?",VLOOKUP(N$1,INDIRECT("'"&amp;$A38&amp;"'!$A$12:$Z$41"),MATCH("Points (Auto-generate)",INDIRECT("'"&amp;$A38&amp;"'!$A$12:$Z$12"),0),0)),"ER"))</f>
        <v>?</v>
      </c>
      <c r="O38" s="83" t="str">
        <f aca="true">IF($H38=0,"NA",IF($A38=INDIRECT("'"&amp;$A38&amp;"'!$B$1"),IF(VLOOKUP(O$1,INDIRECT("'"&amp;$A38&amp;"'!$A$12:$Z$41"),MATCH("Points (Auto-generate)",INDIRECT("'"&amp;$A38&amp;"'!$A$12:$Z$12"),0),0)="","?",VLOOKUP(O$1,INDIRECT("'"&amp;$A38&amp;"'!$A$12:$Z$41"),MATCH("Points (Auto-generate)",INDIRECT("'"&amp;$A38&amp;"'!$A$12:$Z$12"),0),0)),"ER"))</f>
        <v>?</v>
      </c>
      <c r="P38" s="83" t="str">
        <f aca="true">IF($H38=0,"NA",IF($A38=INDIRECT("'"&amp;$A38&amp;"'!$B$1"),IF(VLOOKUP(P$1,INDIRECT("'"&amp;$A38&amp;"'!$A$12:$Z$41"),MATCH("Points (Auto-generate)",INDIRECT("'"&amp;$A38&amp;"'!$A$12:$Z$12"),0),0)="","?",VLOOKUP(P$1,INDIRECT("'"&amp;$A38&amp;"'!$A$12:$Z$41"),MATCH("Points (Auto-generate)",INDIRECT("'"&amp;$A38&amp;"'!$A$12:$Z$12"),0),0)),"ER"))</f>
        <v>?</v>
      </c>
      <c r="Q38" s="83" t="str">
        <f aca="true">IF($H38=0,"NA",IF($A38=INDIRECT("'"&amp;$A38&amp;"'!$B$1"),IF(VLOOKUP(Q$1,INDIRECT("'"&amp;$A38&amp;"'!$A$12:$Z$41"),MATCH("Points (Auto-generate)",INDIRECT("'"&amp;$A38&amp;"'!$A$12:$Z$12"),0),0)="","?",VLOOKUP(Q$1,INDIRECT("'"&amp;$A38&amp;"'!$A$12:$Z$41"),MATCH("Points (Auto-generate)",INDIRECT("'"&amp;$A38&amp;"'!$A$12:$Z$12"),0),0)),"ER"))</f>
        <v>?</v>
      </c>
      <c r="R38" s="83" t="str">
        <f aca="true">IF($H38=0,"NA",IF($A38=INDIRECT("'"&amp;$A38&amp;"'!$B$1"),IF(VLOOKUP(R$1,INDIRECT("'"&amp;$A38&amp;"'!$A$12:$Z$41"),MATCH("Points (Auto-generate)",INDIRECT("'"&amp;$A38&amp;"'!$A$12:$Z$12"),0),0)="","?",VLOOKUP(R$1,INDIRECT("'"&amp;$A38&amp;"'!$A$12:$Z$41"),MATCH("Points (Auto-generate)",INDIRECT("'"&amp;$A38&amp;"'!$A$12:$Z$12"),0),0)),"ER"))</f>
        <v>?</v>
      </c>
      <c r="S38" s="83" t="str">
        <f aca="true">IF($H38=0,"NA",IF($A38=INDIRECT("'"&amp;$A38&amp;"'!$B$1"),IF(VLOOKUP(S$1,INDIRECT("'"&amp;$A38&amp;"'!$A$12:$Z$41"),MATCH("Points (Auto-generate)",INDIRECT("'"&amp;$A38&amp;"'!$A$12:$Z$12"),0),0)="","?",VLOOKUP(S$1,INDIRECT("'"&amp;$A38&amp;"'!$A$12:$Z$41"),MATCH("Points (Auto-generate)",INDIRECT("'"&amp;$A38&amp;"'!$A$12:$Z$12"),0),0)),"ER"))</f>
        <v>?</v>
      </c>
      <c r="T38" s="83" t="str">
        <f aca="true">IF($H38=0,"NA",IF($A38=INDIRECT("'"&amp;$A38&amp;"'!$B$1"),IF(VLOOKUP(T$1,INDIRECT("'"&amp;$A38&amp;"'!$A$12:$Z$41"),MATCH("Points (Auto-generate)",INDIRECT("'"&amp;$A38&amp;"'!$A$12:$Z$12"),0),0)="","?",VLOOKUP(T$1,INDIRECT("'"&amp;$A38&amp;"'!$A$12:$Z$41"),MATCH("Points (Auto-generate)",INDIRECT("'"&amp;$A38&amp;"'!$A$12:$Z$12"),0),0)),"ER"))</f>
        <v>?</v>
      </c>
      <c r="U38" s="83" t="str">
        <f aca="true">IF($H38=0,"NA",IF($A38=INDIRECT("'"&amp;$A38&amp;"'!$B$1"),IF(VLOOKUP(U$1,INDIRECT("'"&amp;$A38&amp;"'!$A$12:$Z$41"),MATCH("Points (Auto-generate)",INDIRECT("'"&amp;$A38&amp;"'!$A$12:$Z$12"),0),0)="","?",VLOOKUP(U$1,INDIRECT("'"&amp;$A38&amp;"'!$A$12:$Z$41"),MATCH("Points (Auto-generate)",INDIRECT("'"&amp;$A38&amp;"'!$A$12:$Z$12"),0),0)),"ER"))</f>
        <v>?</v>
      </c>
      <c r="V38" s="83" t="str">
        <f aca="true">IF($H38=0,"NA",IF($A38=INDIRECT("'"&amp;$A38&amp;"'!$B$1"),IF(VLOOKUP(V$1,INDIRECT("'"&amp;$A38&amp;"'!$A$12:$Z$41"),MATCH("Points (Auto-generate)",INDIRECT("'"&amp;$A38&amp;"'!$A$12:$Z$12"),0),0)="","?",VLOOKUP(V$1,INDIRECT("'"&amp;$A38&amp;"'!$A$12:$Z$41"),MATCH("Points (Auto-generate)",INDIRECT("'"&amp;$A38&amp;"'!$A$12:$Z$12"),0),0)),"ER"))</f>
        <v>?</v>
      </c>
      <c r="W38" s="83" t="str">
        <f aca="true">IF($H38=0,"NA",IF($A38=INDIRECT("'"&amp;$A38&amp;"'!$B$1"),IF(VLOOKUP(W$1,INDIRECT("'"&amp;$A38&amp;"'!$A$12:$Z$41"),MATCH("Points (Auto-generate)",INDIRECT("'"&amp;$A38&amp;"'!$A$12:$Z$12"),0),0)="","?",VLOOKUP(W$1,INDIRECT("'"&amp;$A38&amp;"'!$A$12:$Z$41"),MATCH("Points (Auto-generate)",INDIRECT("'"&amp;$A38&amp;"'!$A$12:$Z$12"),0),0)),"ER"))</f>
        <v>?</v>
      </c>
      <c r="X38" s="83" t="str">
        <f aca="true">IF($H38=0,"NA",IF($A38=INDIRECT("'"&amp;$A38&amp;"'!$B$1"),IF(VLOOKUP(X$1,INDIRECT("'"&amp;$A38&amp;"'!$A$12:$Z$41"),MATCH("Points (Auto-generate)",INDIRECT("'"&amp;$A38&amp;"'!$A$12:$Z$12"),0),0)="","?",VLOOKUP(X$1,INDIRECT("'"&amp;$A38&amp;"'!$A$12:$Z$41"),MATCH("Points (Auto-generate)",INDIRECT("'"&amp;$A38&amp;"'!$A$12:$Z$12"),0),0)),"ER"))</f>
        <v>?</v>
      </c>
      <c r="Y38" s="83" t="str">
        <f aca="true">IF($H38=0,"NA",IF($A38=INDIRECT("'"&amp;$A38&amp;"'!$B$1"),IF(VLOOKUP(Y$1,INDIRECT("'"&amp;$A38&amp;"'!$A$12:$Z$41"),MATCH("Points (Auto-generate)",INDIRECT("'"&amp;$A38&amp;"'!$A$12:$Z$12"),0),0)="","?",VLOOKUP(Y$1,INDIRECT("'"&amp;$A38&amp;"'!$A$12:$Z$41"),MATCH("Points (Auto-generate)",INDIRECT("'"&amp;$A38&amp;"'!$A$12:$Z$12"),0),0)),"ER"))</f>
        <v>?</v>
      </c>
      <c r="Z38" s="83" t="str">
        <f aca="true">IF($H38=0,"NA",IF($A38=INDIRECT("'"&amp;$A38&amp;"'!$B$1"),IF(VLOOKUP(Z$1,INDIRECT("'"&amp;$A38&amp;"'!$A$12:$Z$41"),MATCH("Points (Auto-generate)",INDIRECT("'"&amp;$A38&amp;"'!$A$12:$Z$12"),0),0)="","?",VLOOKUP(Z$1,INDIRECT("'"&amp;$A38&amp;"'!$A$12:$Z$41"),MATCH("Points (Auto-generate)",INDIRECT("'"&amp;$A38&amp;"'!$A$12:$Z$12"),0),0)),"ER"))</f>
        <v>?</v>
      </c>
      <c r="AA38" s="83" t="str">
        <f aca="true">IF($H38=0,"NA",IF($A38=INDIRECT("'"&amp;$A38&amp;"'!$B$1"),IF(VLOOKUP(AA$1,INDIRECT("'"&amp;$A38&amp;"'!$A$12:$Z$41"),MATCH("Points (Auto-generate)",INDIRECT("'"&amp;$A38&amp;"'!$A$12:$Z$12"),0),0)="","?",VLOOKUP(AA$1,INDIRECT("'"&amp;$A38&amp;"'!$A$12:$Z$41"),MATCH("Points (Auto-generate)",INDIRECT("'"&amp;$A38&amp;"'!$A$12:$Z$12"),0),0)),"ER"))</f>
        <v>?</v>
      </c>
      <c r="AB38" s="83" t="str">
        <f aca="true">IF($H38=0,"NA",IF($A38=INDIRECT("'"&amp;$A38&amp;"'!$B$1"),IF(VLOOKUP(AB$1,INDIRECT("'"&amp;$A38&amp;"'!$A$12:$Z$41"),MATCH("Points (Auto-generate)",INDIRECT("'"&amp;$A38&amp;"'!$A$12:$Z$12"),0),0)="","?",VLOOKUP(AB$1,INDIRECT("'"&amp;$A38&amp;"'!$A$12:$Z$41"),MATCH("Points (Auto-generate)",INDIRECT("'"&amp;$A38&amp;"'!$A$12:$Z$12"),0),0)),"ER"))</f>
        <v>?</v>
      </c>
      <c r="AC38" s="83" t="str">
        <f aca="true">IF($H38=0,"NA",IF($A38=INDIRECT("'"&amp;$A38&amp;"'!$B$1"),IF(VLOOKUP(AC$1,INDIRECT("'"&amp;$A38&amp;"'!$A$12:$Z$41"),MATCH("Points (Auto-generate)",INDIRECT("'"&amp;$A38&amp;"'!$A$12:$Z$12"),0),0)="","?",VLOOKUP(AC$1,INDIRECT("'"&amp;$A38&amp;"'!$A$12:$Z$41"),MATCH("Points (Auto-generate)",INDIRECT("'"&amp;$A38&amp;"'!$A$12:$Z$12"),0),0)),"ER"))</f>
        <v>?</v>
      </c>
      <c r="AD38" s="83" t="str">
        <f aca="true">IF($H38=0,"NA",IF($A38=INDIRECT("'"&amp;$A38&amp;"'!$B$1"),IF(VLOOKUP(AD$1,INDIRECT("'"&amp;$A38&amp;"'!$A$12:$Z$41"),MATCH("Points (Auto-generate)",INDIRECT("'"&amp;$A38&amp;"'!$A$12:$Z$12"),0),0)="","?",VLOOKUP(AD$1,INDIRECT("'"&amp;$A38&amp;"'!$A$12:$Z$41"),MATCH("Points (Auto-generate)",INDIRECT("'"&amp;$A38&amp;"'!$A$12:$Z$12"),0),0)),"ER"))</f>
        <v>?</v>
      </c>
      <c r="AE38" s="83" t="str">
        <f aca="true">IF($H38=0,"NA",IF($A38=INDIRECT("'"&amp;$A38&amp;"'!$B$1"),IF(VLOOKUP(AE$1,INDIRECT("'"&amp;$A38&amp;"'!$A$12:$Z$41"),MATCH("Points (Auto-generate)",INDIRECT("'"&amp;$A38&amp;"'!$A$12:$Z$12"),0),0)="","?",VLOOKUP(AE$1,INDIRECT("'"&amp;$A38&amp;"'!$A$12:$Z$41"),MATCH("Points (Auto-generate)",INDIRECT("'"&amp;$A38&amp;"'!$A$12:$Z$12"),0),0)),"ER"))</f>
        <v>?</v>
      </c>
      <c r="AF38" s="83" t="str">
        <f aca="true">IF($H38=0,"NA",IF($A38=INDIRECT("'"&amp;$A38&amp;"'!$B$1"),IF(VLOOKUP(AF$1,INDIRECT("'"&amp;$A38&amp;"'!$A$12:$Z$41"),MATCH("Points (Auto-generate)",INDIRECT("'"&amp;$A38&amp;"'!$A$12:$Z$12"),0),0)="","?",VLOOKUP(AF$1,INDIRECT("'"&amp;$A38&amp;"'!$A$12:$Z$41"),MATCH("Points (Auto-generate)",INDIRECT("'"&amp;$A38&amp;"'!$A$12:$Z$12"),0),0)),"ER"))</f>
        <v>?</v>
      </c>
      <c r="AG38" s="83" t="str">
        <f aca="true">IF($H38=0,"NA",IF($A38=INDIRECT("'"&amp;$A38&amp;"'!$B$1"),IF(VLOOKUP(AG$1,INDIRECT("'"&amp;$A38&amp;"'!$A$12:$Z$41"),MATCH("Points (Auto-generate)",INDIRECT("'"&amp;$A38&amp;"'!$A$12:$Z$12"),0),0)="","?",VLOOKUP(AG$1,INDIRECT("'"&amp;$A38&amp;"'!$A$12:$Z$41"),MATCH("Points (Auto-generate)",INDIRECT("'"&amp;$A38&amp;"'!$A$12:$Z$12"),0),0)),"ER"))</f>
        <v>?</v>
      </c>
      <c r="AH38" s="83" t="str">
        <f aca="true">IF($H38=0,"NA",IF($A38=INDIRECT("'"&amp;$A38&amp;"'!$B$1"),IF(VLOOKUP(AH$1,INDIRECT("'"&amp;$A38&amp;"'!$A$12:$Z$41"),MATCH("Points (Auto-generate)",INDIRECT("'"&amp;$A38&amp;"'!$A$12:$Z$12"),0),0)="","?",VLOOKUP(AH$1,INDIRECT("'"&amp;$A38&amp;"'!$A$12:$Z$41"),MATCH("Points (Auto-generate)",INDIRECT("'"&amp;$A38&amp;"'!$A$12:$Z$12"),0),0)),"ER"))</f>
        <v>?</v>
      </c>
      <c r="AI38" s="83" t="str">
        <f aca="true">IF($H38=0,"NA",IF($A38=INDIRECT("'"&amp;$A38&amp;"'!$B$1"),IF(VLOOKUP(AI$1,INDIRECT("'"&amp;$A38&amp;"'!$A$12:$Z$41"),MATCH("Points (Auto-generate)",INDIRECT("'"&amp;$A38&amp;"'!$A$12:$Z$12"),0),0)="","?",VLOOKUP(AI$1,INDIRECT("'"&amp;$A38&amp;"'!$A$12:$Z$41"),MATCH("Points (Auto-generate)",INDIRECT("'"&amp;$A38&amp;"'!$A$12:$Z$12"),0),0)),"ER"))</f>
        <v>?</v>
      </c>
      <c r="AJ38" s="83" t="str">
        <f aca="true">IF($H38=0,"NA",IF($A38=INDIRECT("'"&amp;$A38&amp;"'!$B$1"),IF(VLOOKUP(AJ$1,INDIRECT("'"&amp;$A38&amp;"'!$A$12:$Z$41"),MATCH("Points (Auto-generate)",INDIRECT("'"&amp;$A38&amp;"'!$A$12:$Z$12"),0),0)="","?",VLOOKUP(AJ$1,INDIRECT("'"&amp;$A38&amp;"'!$A$12:$Z$41"),MATCH("Points (Auto-generate)",INDIRECT("'"&amp;$A38&amp;"'!$A$12:$Z$12"),0),0)),"ER"))</f>
        <v>?</v>
      </c>
      <c r="AK38" s="83" t="str">
        <f aca="true">IF($H38=0,"NA",IF($A38=INDIRECT("'"&amp;$A38&amp;"'!$B$1"),IF(VLOOKUP(AK$1,INDIRECT("'"&amp;$A38&amp;"'!$A$12:$Z$41"),MATCH("Points (Auto-generate)",INDIRECT("'"&amp;$A38&amp;"'!$A$12:$Z$12"),0),0)="","?",VLOOKUP(AK$1,INDIRECT("'"&amp;$A38&amp;"'!$A$12:$Z$41"),MATCH("Points (Auto-generate)",INDIRECT("'"&amp;$A38&amp;"'!$A$12:$Z$12"),0),0)),"ER"))</f>
        <v>?</v>
      </c>
    </row>
    <row r="39" customFormat="false" ht="14.25" hidden="false" customHeight="false" outlineLevel="0" collapsed="false">
      <c r="A39" s="79" t="s">
        <v>169</v>
      </c>
      <c r="B39" s="80" t="str">
        <f aca="false">IF(ISBLANK($A39),"NO_CODE",VLOOKUP($A39,'UPD Questions_290926 '!$E$1:$N$300,MATCH(B$1,'UPD Questions_290926 '!$E$1:$N$1,0),0)&amp;"")</f>
        <v>Implementation</v>
      </c>
      <c r="C39" s="80" t="str">
        <f aca="false">IF(ISBLANK($A39),"NO_CODE",VLOOKUP($A39,'UPD Questions_290926 '!$E$1:$N$300,MATCH(C$1,'UPD Questions_290926 '!$E$1:$N$1,0),0)&amp;"")</f>
        <v>Municipal/City Plan status, hierarchy and coordination</v>
      </c>
      <c r="D39" s="80" t="str">
        <f aca="false">IF(ISBLANK($A39),"NO_CODE",VLOOKUP($A39,'UPD Questions_290926 '!$E$1:$N$300,MATCH(D$1,'UPD Questions_290926 '!$E$1:$N$1,0),0)&amp;"")</f>
        <v>Alignment across planning levels</v>
      </c>
      <c r="E39" s="80" t="str">
        <f aca="false">IF(ISBLANK($A39),"NO_CODE",VLOOKUP($A39,'UPD Questions_290926 '!$E$1:$N$300,MATCH(E$1,'UPD Questions_290926 '!$E$1:$N$1,0),0)&amp;"")</f>
        <v>SQ</v>
      </c>
      <c r="F39" s="80" t="str">
        <f aca="false">IF(ISBLANK($A39),"NO_CODE",VLOOKUP($A39,'UPD Questions_290926 '!$E$1:$N$300,MATCH(F$1,'UPD Questions_290926 '!$E$1:$N$1,0),0)&amp;"")</f>
        <v>Is the Municipal municipal/city plan in a concurrent or nested timeline of validity with Ward municipal/city plan?</v>
      </c>
      <c r="G39" s="80" t="str">
        <f aca="false">IF(ISBLANK($A39),"NO_CODE",VLOOKUP($A39,'UPD Questions_290926 '!$E$1:$N$300,MATCH(G$1,'UPD Questions_290926 '!$E$1:$N$1,0),0)&amp;"")</f>
        <v>Implementation</v>
      </c>
      <c r="H39" s="82" t="n">
        <f aca="false">IF(ISBLANK($A39),"NO_CODE",VLOOKUP($A39,'UPD Questions_290926 '!$E$1:$N$300,MATCH(H$1,'UPD Questions_290926 '!$E$1:$N$1,0),0))</f>
        <v>5</v>
      </c>
      <c r="I39" s="83" t="str">
        <f aca="true">IF($H39=0,"NA",IF($A39=INDIRECT("'"&amp;$A39&amp;"'!$B$1"),IF(VLOOKUP(I$1,INDIRECT("'"&amp;$A39&amp;"'!$A$12:$Z$41"),MATCH("Points (Auto-generate)",INDIRECT("'"&amp;$A39&amp;"'!$A$12:$Z$12"),0),0)="","?",VLOOKUP(I$1,INDIRECT("'"&amp;$A39&amp;"'!$A$12:$Z$41"),MATCH("Points (Auto-generate)",INDIRECT("'"&amp;$A39&amp;"'!$A$12:$Z$12"),0),0)),"ER"))</f>
        <v>?</v>
      </c>
      <c r="J39" s="83" t="str">
        <f aca="true">IF($H39=0,"NA",IF($A39=INDIRECT("'"&amp;$A39&amp;"'!$B$1"),IF(VLOOKUP(J$1,INDIRECT("'"&amp;$A39&amp;"'!$A$12:$Z$41"),MATCH("Points (Auto-generate)",INDIRECT("'"&amp;$A39&amp;"'!$A$12:$Z$12"),0),0)="","?",VLOOKUP(J$1,INDIRECT("'"&amp;$A39&amp;"'!$A$12:$Z$41"),MATCH("Points (Auto-generate)",INDIRECT("'"&amp;$A39&amp;"'!$A$12:$Z$12"),0),0)),"ER"))</f>
        <v>?</v>
      </c>
      <c r="K39" s="83" t="str">
        <f aca="true">IF($H39=0,"NA",IF($A39=INDIRECT("'"&amp;$A39&amp;"'!$B$1"),IF(VLOOKUP(K$1,INDIRECT("'"&amp;$A39&amp;"'!$A$12:$Z$41"),MATCH("Points (Auto-generate)",INDIRECT("'"&amp;$A39&amp;"'!$A$12:$Z$12"),0),0)="","?",VLOOKUP(K$1,INDIRECT("'"&amp;$A39&amp;"'!$A$12:$Z$41"),MATCH("Points (Auto-generate)",INDIRECT("'"&amp;$A39&amp;"'!$A$12:$Z$12"),0),0)),"ER"))</f>
        <v>?</v>
      </c>
      <c r="L39" s="83" t="str">
        <f aca="true">IF($H39=0,"NA",IF($A39=INDIRECT("'"&amp;$A39&amp;"'!$B$1"),IF(VLOOKUP(L$1,INDIRECT("'"&amp;$A39&amp;"'!$A$12:$Z$41"),MATCH("Points (Auto-generate)",INDIRECT("'"&amp;$A39&amp;"'!$A$12:$Z$12"),0),0)="","?",VLOOKUP(L$1,INDIRECT("'"&amp;$A39&amp;"'!$A$12:$Z$41"),MATCH("Points (Auto-generate)",INDIRECT("'"&amp;$A39&amp;"'!$A$12:$Z$12"),0),0)),"ER"))</f>
        <v>?</v>
      </c>
      <c r="M39" s="83" t="str">
        <f aca="true">IF($H39=0,"NA",IF($A39=INDIRECT("'"&amp;$A39&amp;"'!$B$1"),IF(VLOOKUP(M$1,INDIRECT("'"&amp;$A39&amp;"'!$A$12:$Z$41"),MATCH("Points (Auto-generate)",INDIRECT("'"&amp;$A39&amp;"'!$A$12:$Z$12"),0),0)="","?",VLOOKUP(M$1,INDIRECT("'"&amp;$A39&amp;"'!$A$12:$Z$41"),MATCH("Points (Auto-generate)",INDIRECT("'"&amp;$A39&amp;"'!$A$12:$Z$12"),0),0)),"ER"))</f>
        <v>?</v>
      </c>
      <c r="N39" s="83" t="str">
        <f aca="true">IF($H39=0,"NA",IF($A39=INDIRECT("'"&amp;$A39&amp;"'!$B$1"),IF(VLOOKUP(N$1,INDIRECT("'"&amp;$A39&amp;"'!$A$12:$Z$41"),MATCH("Points (Auto-generate)",INDIRECT("'"&amp;$A39&amp;"'!$A$12:$Z$12"),0),0)="","?",VLOOKUP(N$1,INDIRECT("'"&amp;$A39&amp;"'!$A$12:$Z$41"),MATCH("Points (Auto-generate)",INDIRECT("'"&amp;$A39&amp;"'!$A$12:$Z$12"),0),0)),"ER"))</f>
        <v>?</v>
      </c>
      <c r="O39" s="83" t="str">
        <f aca="true">IF($H39=0,"NA",IF($A39=INDIRECT("'"&amp;$A39&amp;"'!$B$1"),IF(VLOOKUP(O$1,INDIRECT("'"&amp;$A39&amp;"'!$A$12:$Z$41"),MATCH("Points (Auto-generate)",INDIRECT("'"&amp;$A39&amp;"'!$A$12:$Z$12"),0),0)="","?",VLOOKUP(O$1,INDIRECT("'"&amp;$A39&amp;"'!$A$12:$Z$41"),MATCH("Points (Auto-generate)",INDIRECT("'"&amp;$A39&amp;"'!$A$12:$Z$12"),0),0)),"ER"))</f>
        <v>?</v>
      </c>
      <c r="P39" s="83" t="str">
        <f aca="true">IF($H39=0,"NA",IF($A39=INDIRECT("'"&amp;$A39&amp;"'!$B$1"),IF(VLOOKUP(P$1,INDIRECT("'"&amp;$A39&amp;"'!$A$12:$Z$41"),MATCH("Points (Auto-generate)",INDIRECT("'"&amp;$A39&amp;"'!$A$12:$Z$12"),0),0)="","?",VLOOKUP(P$1,INDIRECT("'"&amp;$A39&amp;"'!$A$12:$Z$41"),MATCH("Points (Auto-generate)",INDIRECT("'"&amp;$A39&amp;"'!$A$12:$Z$12"),0),0)),"ER"))</f>
        <v>?</v>
      </c>
      <c r="Q39" s="83" t="str">
        <f aca="true">IF($H39=0,"NA",IF($A39=INDIRECT("'"&amp;$A39&amp;"'!$B$1"),IF(VLOOKUP(Q$1,INDIRECT("'"&amp;$A39&amp;"'!$A$12:$Z$41"),MATCH("Points (Auto-generate)",INDIRECT("'"&amp;$A39&amp;"'!$A$12:$Z$12"),0),0)="","?",VLOOKUP(Q$1,INDIRECT("'"&amp;$A39&amp;"'!$A$12:$Z$41"),MATCH("Points (Auto-generate)",INDIRECT("'"&amp;$A39&amp;"'!$A$12:$Z$12"),0),0)),"ER"))</f>
        <v>?</v>
      </c>
      <c r="R39" s="83" t="str">
        <f aca="true">IF($H39=0,"NA",IF($A39=INDIRECT("'"&amp;$A39&amp;"'!$B$1"),IF(VLOOKUP(R$1,INDIRECT("'"&amp;$A39&amp;"'!$A$12:$Z$41"),MATCH("Points (Auto-generate)",INDIRECT("'"&amp;$A39&amp;"'!$A$12:$Z$12"),0),0)="","?",VLOOKUP(R$1,INDIRECT("'"&amp;$A39&amp;"'!$A$12:$Z$41"),MATCH("Points (Auto-generate)",INDIRECT("'"&amp;$A39&amp;"'!$A$12:$Z$12"),0),0)),"ER"))</f>
        <v>?</v>
      </c>
      <c r="S39" s="83" t="str">
        <f aca="true">IF($H39=0,"NA",IF($A39=INDIRECT("'"&amp;$A39&amp;"'!$B$1"),IF(VLOOKUP(S$1,INDIRECT("'"&amp;$A39&amp;"'!$A$12:$Z$41"),MATCH("Points (Auto-generate)",INDIRECT("'"&amp;$A39&amp;"'!$A$12:$Z$12"),0),0)="","?",VLOOKUP(S$1,INDIRECT("'"&amp;$A39&amp;"'!$A$12:$Z$41"),MATCH("Points (Auto-generate)",INDIRECT("'"&amp;$A39&amp;"'!$A$12:$Z$12"),0),0)),"ER"))</f>
        <v>?</v>
      </c>
      <c r="T39" s="83" t="str">
        <f aca="true">IF($H39=0,"NA",IF($A39=INDIRECT("'"&amp;$A39&amp;"'!$B$1"),IF(VLOOKUP(T$1,INDIRECT("'"&amp;$A39&amp;"'!$A$12:$Z$41"),MATCH("Points (Auto-generate)",INDIRECT("'"&amp;$A39&amp;"'!$A$12:$Z$12"),0),0)="","?",VLOOKUP(T$1,INDIRECT("'"&amp;$A39&amp;"'!$A$12:$Z$41"),MATCH("Points (Auto-generate)",INDIRECT("'"&amp;$A39&amp;"'!$A$12:$Z$12"),0),0)),"ER"))</f>
        <v>?</v>
      </c>
      <c r="U39" s="83" t="str">
        <f aca="true">IF($H39=0,"NA",IF($A39=INDIRECT("'"&amp;$A39&amp;"'!$B$1"),IF(VLOOKUP(U$1,INDIRECT("'"&amp;$A39&amp;"'!$A$12:$Z$41"),MATCH("Points (Auto-generate)",INDIRECT("'"&amp;$A39&amp;"'!$A$12:$Z$12"),0),0)="","?",VLOOKUP(U$1,INDIRECT("'"&amp;$A39&amp;"'!$A$12:$Z$41"),MATCH("Points (Auto-generate)",INDIRECT("'"&amp;$A39&amp;"'!$A$12:$Z$12"),0),0)),"ER"))</f>
        <v>?</v>
      </c>
      <c r="V39" s="83" t="str">
        <f aca="true">IF($H39=0,"NA",IF($A39=INDIRECT("'"&amp;$A39&amp;"'!$B$1"),IF(VLOOKUP(V$1,INDIRECT("'"&amp;$A39&amp;"'!$A$12:$Z$41"),MATCH("Points (Auto-generate)",INDIRECT("'"&amp;$A39&amp;"'!$A$12:$Z$12"),0),0)="","?",VLOOKUP(V$1,INDIRECT("'"&amp;$A39&amp;"'!$A$12:$Z$41"),MATCH("Points (Auto-generate)",INDIRECT("'"&amp;$A39&amp;"'!$A$12:$Z$12"),0),0)),"ER"))</f>
        <v>?</v>
      </c>
      <c r="W39" s="83" t="str">
        <f aca="true">IF($H39=0,"NA",IF($A39=INDIRECT("'"&amp;$A39&amp;"'!$B$1"),IF(VLOOKUP(W$1,INDIRECT("'"&amp;$A39&amp;"'!$A$12:$Z$41"),MATCH("Points (Auto-generate)",INDIRECT("'"&amp;$A39&amp;"'!$A$12:$Z$12"),0),0)="","?",VLOOKUP(W$1,INDIRECT("'"&amp;$A39&amp;"'!$A$12:$Z$41"),MATCH("Points (Auto-generate)",INDIRECT("'"&amp;$A39&amp;"'!$A$12:$Z$12"),0),0)),"ER"))</f>
        <v>?</v>
      </c>
      <c r="X39" s="83" t="str">
        <f aca="true">IF($H39=0,"NA",IF($A39=INDIRECT("'"&amp;$A39&amp;"'!$B$1"),IF(VLOOKUP(X$1,INDIRECT("'"&amp;$A39&amp;"'!$A$12:$Z$41"),MATCH("Points (Auto-generate)",INDIRECT("'"&amp;$A39&amp;"'!$A$12:$Z$12"),0),0)="","?",VLOOKUP(X$1,INDIRECT("'"&amp;$A39&amp;"'!$A$12:$Z$41"),MATCH("Points (Auto-generate)",INDIRECT("'"&amp;$A39&amp;"'!$A$12:$Z$12"),0),0)),"ER"))</f>
        <v>?</v>
      </c>
      <c r="Y39" s="83" t="str">
        <f aca="true">IF($H39=0,"NA",IF($A39=INDIRECT("'"&amp;$A39&amp;"'!$B$1"),IF(VLOOKUP(Y$1,INDIRECT("'"&amp;$A39&amp;"'!$A$12:$Z$41"),MATCH("Points (Auto-generate)",INDIRECT("'"&amp;$A39&amp;"'!$A$12:$Z$12"),0),0)="","?",VLOOKUP(Y$1,INDIRECT("'"&amp;$A39&amp;"'!$A$12:$Z$41"),MATCH("Points (Auto-generate)",INDIRECT("'"&amp;$A39&amp;"'!$A$12:$Z$12"),0),0)),"ER"))</f>
        <v>?</v>
      </c>
      <c r="Z39" s="83" t="str">
        <f aca="true">IF($H39=0,"NA",IF($A39=INDIRECT("'"&amp;$A39&amp;"'!$B$1"),IF(VLOOKUP(Z$1,INDIRECT("'"&amp;$A39&amp;"'!$A$12:$Z$41"),MATCH("Points (Auto-generate)",INDIRECT("'"&amp;$A39&amp;"'!$A$12:$Z$12"),0),0)="","?",VLOOKUP(Z$1,INDIRECT("'"&amp;$A39&amp;"'!$A$12:$Z$41"),MATCH("Points (Auto-generate)",INDIRECT("'"&amp;$A39&amp;"'!$A$12:$Z$12"),0),0)),"ER"))</f>
        <v>?</v>
      </c>
      <c r="AA39" s="83" t="str">
        <f aca="true">IF($H39=0,"NA",IF($A39=INDIRECT("'"&amp;$A39&amp;"'!$B$1"),IF(VLOOKUP(AA$1,INDIRECT("'"&amp;$A39&amp;"'!$A$12:$Z$41"),MATCH("Points (Auto-generate)",INDIRECT("'"&amp;$A39&amp;"'!$A$12:$Z$12"),0),0)="","?",VLOOKUP(AA$1,INDIRECT("'"&amp;$A39&amp;"'!$A$12:$Z$41"),MATCH("Points (Auto-generate)",INDIRECT("'"&amp;$A39&amp;"'!$A$12:$Z$12"),0),0)),"ER"))</f>
        <v>?</v>
      </c>
      <c r="AB39" s="83" t="str">
        <f aca="true">IF($H39=0,"NA",IF($A39=INDIRECT("'"&amp;$A39&amp;"'!$B$1"),IF(VLOOKUP(AB$1,INDIRECT("'"&amp;$A39&amp;"'!$A$12:$Z$41"),MATCH("Points (Auto-generate)",INDIRECT("'"&amp;$A39&amp;"'!$A$12:$Z$12"),0),0)="","?",VLOOKUP(AB$1,INDIRECT("'"&amp;$A39&amp;"'!$A$12:$Z$41"),MATCH("Points (Auto-generate)",INDIRECT("'"&amp;$A39&amp;"'!$A$12:$Z$12"),0),0)),"ER"))</f>
        <v>?</v>
      </c>
      <c r="AC39" s="83" t="str">
        <f aca="true">IF($H39=0,"NA",IF($A39=INDIRECT("'"&amp;$A39&amp;"'!$B$1"),IF(VLOOKUP(AC$1,INDIRECT("'"&amp;$A39&amp;"'!$A$12:$Z$41"),MATCH("Points (Auto-generate)",INDIRECT("'"&amp;$A39&amp;"'!$A$12:$Z$12"),0),0)="","?",VLOOKUP(AC$1,INDIRECT("'"&amp;$A39&amp;"'!$A$12:$Z$41"),MATCH("Points (Auto-generate)",INDIRECT("'"&amp;$A39&amp;"'!$A$12:$Z$12"),0),0)),"ER"))</f>
        <v>?</v>
      </c>
      <c r="AD39" s="83" t="str">
        <f aca="true">IF($H39=0,"NA",IF($A39=INDIRECT("'"&amp;$A39&amp;"'!$B$1"),IF(VLOOKUP(AD$1,INDIRECT("'"&amp;$A39&amp;"'!$A$12:$Z$41"),MATCH("Points (Auto-generate)",INDIRECT("'"&amp;$A39&amp;"'!$A$12:$Z$12"),0),0)="","?",VLOOKUP(AD$1,INDIRECT("'"&amp;$A39&amp;"'!$A$12:$Z$41"),MATCH("Points (Auto-generate)",INDIRECT("'"&amp;$A39&amp;"'!$A$12:$Z$12"),0),0)),"ER"))</f>
        <v>?</v>
      </c>
      <c r="AE39" s="83" t="str">
        <f aca="true">IF($H39=0,"NA",IF($A39=INDIRECT("'"&amp;$A39&amp;"'!$B$1"),IF(VLOOKUP(AE$1,INDIRECT("'"&amp;$A39&amp;"'!$A$12:$Z$41"),MATCH("Points (Auto-generate)",INDIRECT("'"&amp;$A39&amp;"'!$A$12:$Z$12"),0),0)="","?",VLOOKUP(AE$1,INDIRECT("'"&amp;$A39&amp;"'!$A$12:$Z$41"),MATCH("Points (Auto-generate)",INDIRECT("'"&amp;$A39&amp;"'!$A$12:$Z$12"),0),0)),"ER"))</f>
        <v>?</v>
      </c>
      <c r="AF39" s="83" t="str">
        <f aca="true">IF($H39=0,"NA",IF($A39=INDIRECT("'"&amp;$A39&amp;"'!$B$1"),IF(VLOOKUP(AF$1,INDIRECT("'"&amp;$A39&amp;"'!$A$12:$Z$41"),MATCH("Points (Auto-generate)",INDIRECT("'"&amp;$A39&amp;"'!$A$12:$Z$12"),0),0)="","?",VLOOKUP(AF$1,INDIRECT("'"&amp;$A39&amp;"'!$A$12:$Z$41"),MATCH("Points (Auto-generate)",INDIRECT("'"&amp;$A39&amp;"'!$A$12:$Z$12"),0),0)),"ER"))</f>
        <v>?</v>
      </c>
      <c r="AG39" s="83" t="str">
        <f aca="true">IF($H39=0,"NA",IF($A39=INDIRECT("'"&amp;$A39&amp;"'!$B$1"),IF(VLOOKUP(AG$1,INDIRECT("'"&amp;$A39&amp;"'!$A$12:$Z$41"),MATCH("Points (Auto-generate)",INDIRECT("'"&amp;$A39&amp;"'!$A$12:$Z$12"),0),0)="","?",VLOOKUP(AG$1,INDIRECT("'"&amp;$A39&amp;"'!$A$12:$Z$41"),MATCH("Points (Auto-generate)",INDIRECT("'"&amp;$A39&amp;"'!$A$12:$Z$12"),0),0)),"ER"))</f>
        <v>?</v>
      </c>
      <c r="AH39" s="83" t="str">
        <f aca="true">IF($H39=0,"NA",IF($A39=INDIRECT("'"&amp;$A39&amp;"'!$B$1"),IF(VLOOKUP(AH$1,INDIRECT("'"&amp;$A39&amp;"'!$A$12:$Z$41"),MATCH("Points (Auto-generate)",INDIRECT("'"&amp;$A39&amp;"'!$A$12:$Z$12"),0),0)="","?",VLOOKUP(AH$1,INDIRECT("'"&amp;$A39&amp;"'!$A$12:$Z$41"),MATCH("Points (Auto-generate)",INDIRECT("'"&amp;$A39&amp;"'!$A$12:$Z$12"),0),0)),"ER"))</f>
        <v>?</v>
      </c>
      <c r="AI39" s="83" t="str">
        <f aca="true">IF($H39=0,"NA",IF($A39=INDIRECT("'"&amp;$A39&amp;"'!$B$1"),IF(VLOOKUP(AI$1,INDIRECT("'"&amp;$A39&amp;"'!$A$12:$Z$41"),MATCH("Points (Auto-generate)",INDIRECT("'"&amp;$A39&amp;"'!$A$12:$Z$12"),0),0)="","?",VLOOKUP(AI$1,INDIRECT("'"&amp;$A39&amp;"'!$A$12:$Z$41"),MATCH("Points (Auto-generate)",INDIRECT("'"&amp;$A39&amp;"'!$A$12:$Z$12"),0),0)),"ER"))</f>
        <v>?</v>
      </c>
      <c r="AJ39" s="83" t="str">
        <f aca="true">IF($H39=0,"NA",IF($A39=INDIRECT("'"&amp;$A39&amp;"'!$B$1"),IF(VLOOKUP(AJ$1,INDIRECT("'"&amp;$A39&amp;"'!$A$12:$Z$41"),MATCH("Points (Auto-generate)",INDIRECT("'"&amp;$A39&amp;"'!$A$12:$Z$12"),0),0)="","?",VLOOKUP(AJ$1,INDIRECT("'"&amp;$A39&amp;"'!$A$12:$Z$41"),MATCH("Points (Auto-generate)",INDIRECT("'"&amp;$A39&amp;"'!$A$12:$Z$12"),0),0)),"ER"))</f>
        <v>?</v>
      </c>
      <c r="AK39" s="83" t="str">
        <f aca="true">IF($H39=0,"NA",IF($A39=INDIRECT("'"&amp;$A39&amp;"'!$B$1"),IF(VLOOKUP(AK$1,INDIRECT("'"&amp;$A39&amp;"'!$A$12:$Z$41"),MATCH("Points (Auto-generate)",INDIRECT("'"&amp;$A39&amp;"'!$A$12:$Z$12"),0),0)="","?",VLOOKUP(AK$1,INDIRECT("'"&amp;$A39&amp;"'!$A$12:$Z$41"),MATCH("Points (Auto-generate)",INDIRECT("'"&amp;$A39&amp;"'!$A$12:$Z$12"),0),0)),"ER"))</f>
        <v>?</v>
      </c>
    </row>
    <row r="40" customFormat="false" ht="14.25" hidden="false" customHeight="false" outlineLevel="0" collapsed="false">
      <c r="A40" s="79" t="s">
        <v>172</v>
      </c>
      <c r="B40" s="80" t="str">
        <f aca="false">IF(ISBLANK($A40),"NO_CODE",VLOOKUP($A40,'UPD Questions_290926 '!$E$1:$N$300,MATCH(B$1,'UPD Questions_290926 '!$E$1:$N$1,0),0)&amp;"")</f>
        <v>Implementation</v>
      </c>
      <c r="C40" s="80" t="str">
        <f aca="false">IF(ISBLANK($A40),"NO_CODE",VLOOKUP($A40,'UPD Questions_290926 '!$E$1:$N$300,MATCH(C$1,'UPD Questions_290926 '!$E$1:$N$1,0),0)&amp;"")</f>
        <v>Municipal/City Plan status, hierarchy and coordination</v>
      </c>
      <c r="D40" s="80" t="str">
        <f aca="false">IF(ISBLANK($A40),"NO_CODE",VLOOKUP($A40,'UPD Questions_290926 '!$E$1:$N$300,MATCH(D$1,'UPD Questions_290926 '!$E$1:$N$1,0),0)&amp;"")</f>
        <v>Inter-agency coordination and integration</v>
      </c>
      <c r="E40" s="80" t="str">
        <f aca="false">IF(ISBLANK($A40),"NO_CODE",VLOOKUP($A40,'UPD Questions_290926 '!$E$1:$N$300,MATCH(E$1,'UPD Questions_290926 '!$E$1:$N$1,0),0)&amp;"")</f>
        <v>MQ</v>
      </c>
      <c r="F40" s="80" t="str">
        <f aca="false">IF(ISBLANK($A40),"NO_CODE",VLOOKUP($A40,'UPD Questions_290926 '!$E$1:$N$300,MATCH(F$1,'UPD Questions_290926 '!$E$1:$N$1,0),0)&amp;"")</f>
        <v>Do the municipal/city plans at each level, integrate the plans and priorities of various sectoral public departments and agencies? </v>
      </c>
      <c r="G40" s="80" t="str">
        <f aca="false">IF(ISBLANK($A40),"NO_CODE",VLOOKUP($A40,'UPD Questions_290926 '!$E$1:$N$300,MATCH(G$1,'UPD Questions_290926 '!$E$1:$N$1,0),0)&amp;"")</f>
        <v>Implementation</v>
      </c>
      <c r="H40" s="82" t="n">
        <f aca="false">IF(ISBLANK($A40),"NO_CODE",VLOOKUP($A40,'UPD Questions_290926 '!$E$1:$N$300,MATCH(H$1,'UPD Questions_290926 '!$E$1:$N$1,0),0))</f>
        <v>10</v>
      </c>
      <c r="I40" s="83" t="str">
        <f aca="true">IF($H40=0,"NA",IF($A40=INDIRECT("'"&amp;$A40&amp;"'!$B$1"),IF(VLOOKUP(I$1,INDIRECT("'"&amp;$A40&amp;"'!$A$12:$Z$41"),MATCH("Points (Auto-generate)",INDIRECT("'"&amp;$A40&amp;"'!$A$12:$Z$12"),0),0)="","?",VLOOKUP(I$1,INDIRECT("'"&amp;$A40&amp;"'!$A$12:$Z$41"),MATCH("Points (Auto-generate)",INDIRECT("'"&amp;$A40&amp;"'!$A$12:$Z$12"),0),0)),"ER"))</f>
        <v>?</v>
      </c>
      <c r="J40" s="83" t="n">
        <f aca="true">IF($H40=0,"NA",IF($A40=INDIRECT("'"&amp;$A40&amp;"'!$B$1"),IF(VLOOKUP(J$1,INDIRECT("'"&amp;$A40&amp;"'!$A$12:$Z$41"),MATCH("Points (Auto-generate)",INDIRECT("'"&amp;$A40&amp;"'!$A$12:$Z$12"),0),0)="","?",VLOOKUP(J$1,INDIRECT("'"&amp;$A40&amp;"'!$A$12:$Z$41"),MATCH("Points (Auto-generate)",INDIRECT("'"&amp;$A40&amp;"'!$A$12:$Z$12"),0),0)),"ER"))</f>
        <v>0</v>
      </c>
      <c r="K40" s="83" t="str">
        <f aca="true">IF($H40=0,"NA",IF($A40=INDIRECT("'"&amp;$A40&amp;"'!$B$1"),IF(VLOOKUP(K$1,INDIRECT("'"&amp;$A40&amp;"'!$A$12:$Z$41"),MATCH("Points (Auto-generate)",INDIRECT("'"&amp;$A40&amp;"'!$A$12:$Z$12"),0),0)="","?",VLOOKUP(K$1,INDIRECT("'"&amp;$A40&amp;"'!$A$12:$Z$41"),MATCH("Points (Auto-generate)",INDIRECT("'"&amp;$A40&amp;"'!$A$12:$Z$12"),0),0)),"ER"))</f>
        <v>?</v>
      </c>
      <c r="L40" s="83" t="str">
        <f aca="true">IF($H40=0,"NA",IF($A40=INDIRECT("'"&amp;$A40&amp;"'!$B$1"),IF(VLOOKUP(L$1,INDIRECT("'"&amp;$A40&amp;"'!$A$12:$Z$41"),MATCH("Points (Auto-generate)",INDIRECT("'"&amp;$A40&amp;"'!$A$12:$Z$12"),0),0)="","?",VLOOKUP(L$1,INDIRECT("'"&amp;$A40&amp;"'!$A$12:$Z$41"),MATCH("Points (Auto-generate)",INDIRECT("'"&amp;$A40&amp;"'!$A$12:$Z$12"),0),0)),"ER"))</f>
        <v>?</v>
      </c>
      <c r="M40" s="83" t="str">
        <f aca="true">IF($H40=0,"NA",IF($A40=INDIRECT("'"&amp;$A40&amp;"'!$B$1"),IF(VLOOKUP(M$1,INDIRECT("'"&amp;$A40&amp;"'!$A$12:$Z$41"),MATCH("Points (Auto-generate)",INDIRECT("'"&amp;$A40&amp;"'!$A$12:$Z$12"),0),0)="","?",VLOOKUP(M$1,INDIRECT("'"&amp;$A40&amp;"'!$A$12:$Z$41"),MATCH("Points (Auto-generate)",INDIRECT("'"&amp;$A40&amp;"'!$A$12:$Z$12"),0),0)),"ER"))</f>
        <v>?</v>
      </c>
      <c r="N40" s="83" t="str">
        <f aca="true">IF($H40=0,"NA",IF($A40=INDIRECT("'"&amp;$A40&amp;"'!$B$1"),IF(VLOOKUP(N$1,INDIRECT("'"&amp;$A40&amp;"'!$A$12:$Z$41"),MATCH("Points (Auto-generate)",INDIRECT("'"&amp;$A40&amp;"'!$A$12:$Z$12"),0),0)="","?",VLOOKUP(N$1,INDIRECT("'"&amp;$A40&amp;"'!$A$12:$Z$41"),MATCH("Points (Auto-generate)",INDIRECT("'"&amp;$A40&amp;"'!$A$12:$Z$12"),0),0)),"ER"))</f>
        <v>?</v>
      </c>
      <c r="O40" s="83" t="str">
        <f aca="true">IF($H40=0,"NA",IF($A40=INDIRECT("'"&amp;$A40&amp;"'!$B$1"),IF(VLOOKUP(O$1,INDIRECT("'"&amp;$A40&amp;"'!$A$12:$Z$41"),MATCH("Points (Auto-generate)",INDIRECT("'"&amp;$A40&amp;"'!$A$12:$Z$12"),0),0)="","?",VLOOKUP(O$1,INDIRECT("'"&amp;$A40&amp;"'!$A$12:$Z$41"),MATCH("Points (Auto-generate)",INDIRECT("'"&amp;$A40&amp;"'!$A$12:$Z$12"),0),0)),"ER"))</f>
        <v>?</v>
      </c>
      <c r="P40" s="83" t="str">
        <f aca="true">IF($H40=0,"NA",IF($A40=INDIRECT("'"&amp;$A40&amp;"'!$B$1"),IF(VLOOKUP(P$1,INDIRECT("'"&amp;$A40&amp;"'!$A$12:$Z$41"),MATCH("Points (Auto-generate)",INDIRECT("'"&amp;$A40&amp;"'!$A$12:$Z$12"),0),0)="","?",VLOOKUP(P$1,INDIRECT("'"&amp;$A40&amp;"'!$A$12:$Z$41"),MATCH("Points (Auto-generate)",INDIRECT("'"&amp;$A40&amp;"'!$A$12:$Z$12"),0),0)),"ER"))</f>
        <v>?</v>
      </c>
      <c r="Q40" s="83" t="str">
        <f aca="true">IF($H40=0,"NA",IF($A40=INDIRECT("'"&amp;$A40&amp;"'!$B$1"),IF(VLOOKUP(Q$1,INDIRECT("'"&amp;$A40&amp;"'!$A$12:$Z$41"),MATCH("Points (Auto-generate)",INDIRECT("'"&amp;$A40&amp;"'!$A$12:$Z$12"),0),0)="","?",VLOOKUP(Q$1,INDIRECT("'"&amp;$A40&amp;"'!$A$12:$Z$41"),MATCH("Points (Auto-generate)",INDIRECT("'"&amp;$A40&amp;"'!$A$12:$Z$12"),0),0)),"ER"))</f>
        <v>?</v>
      </c>
      <c r="R40" s="83" t="str">
        <f aca="true">IF($H40=0,"NA",IF($A40=INDIRECT("'"&amp;$A40&amp;"'!$B$1"),IF(VLOOKUP(R$1,INDIRECT("'"&amp;$A40&amp;"'!$A$12:$Z$41"),MATCH("Points (Auto-generate)",INDIRECT("'"&amp;$A40&amp;"'!$A$12:$Z$12"),0),0)="","?",VLOOKUP(R$1,INDIRECT("'"&amp;$A40&amp;"'!$A$12:$Z$41"),MATCH("Points (Auto-generate)",INDIRECT("'"&amp;$A40&amp;"'!$A$12:$Z$12"),0),0)),"ER"))</f>
        <v>?</v>
      </c>
      <c r="S40" s="83" t="str">
        <f aca="true">IF($H40=0,"NA",IF($A40=INDIRECT("'"&amp;$A40&amp;"'!$B$1"),IF(VLOOKUP(S$1,INDIRECT("'"&amp;$A40&amp;"'!$A$12:$Z$41"),MATCH("Points (Auto-generate)",INDIRECT("'"&amp;$A40&amp;"'!$A$12:$Z$12"),0),0)="","?",VLOOKUP(S$1,INDIRECT("'"&amp;$A40&amp;"'!$A$12:$Z$41"),MATCH("Points (Auto-generate)",INDIRECT("'"&amp;$A40&amp;"'!$A$12:$Z$12"),0),0)),"ER"))</f>
        <v>?</v>
      </c>
      <c r="T40" s="83" t="str">
        <f aca="true">IF($H40=0,"NA",IF($A40=INDIRECT("'"&amp;$A40&amp;"'!$B$1"),IF(VLOOKUP(T$1,INDIRECT("'"&amp;$A40&amp;"'!$A$12:$Z$41"),MATCH("Points (Auto-generate)",INDIRECT("'"&amp;$A40&amp;"'!$A$12:$Z$12"),0),0)="","?",VLOOKUP(T$1,INDIRECT("'"&amp;$A40&amp;"'!$A$12:$Z$41"),MATCH("Points (Auto-generate)",INDIRECT("'"&amp;$A40&amp;"'!$A$12:$Z$12"),0),0)),"ER"))</f>
        <v>?</v>
      </c>
      <c r="U40" s="83" t="str">
        <f aca="true">IF($H40=0,"NA",IF($A40=INDIRECT("'"&amp;$A40&amp;"'!$B$1"),IF(VLOOKUP(U$1,INDIRECT("'"&amp;$A40&amp;"'!$A$12:$Z$41"),MATCH("Points (Auto-generate)",INDIRECT("'"&amp;$A40&amp;"'!$A$12:$Z$12"),0),0)="","?",VLOOKUP(U$1,INDIRECT("'"&amp;$A40&amp;"'!$A$12:$Z$41"),MATCH("Points (Auto-generate)",INDIRECT("'"&amp;$A40&amp;"'!$A$12:$Z$12"),0),0)),"ER"))</f>
        <v>?</v>
      </c>
      <c r="V40" s="83" t="str">
        <f aca="true">IF($H40=0,"NA",IF($A40=INDIRECT("'"&amp;$A40&amp;"'!$B$1"),IF(VLOOKUP(V$1,INDIRECT("'"&amp;$A40&amp;"'!$A$12:$Z$41"),MATCH("Points (Auto-generate)",INDIRECT("'"&amp;$A40&amp;"'!$A$12:$Z$12"),0),0)="","?",VLOOKUP(V$1,INDIRECT("'"&amp;$A40&amp;"'!$A$12:$Z$41"),MATCH("Points (Auto-generate)",INDIRECT("'"&amp;$A40&amp;"'!$A$12:$Z$12"),0),0)),"ER"))</f>
        <v>?</v>
      </c>
      <c r="W40" s="83" t="str">
        <f aca="true">IF($H40=0,"NA",IF($A40=INDIRECT("'"&amp;$A40&amp;"'!$B$1"),IF(VLOOKUP(W$1,INDIRECT("'"&amp;$A40&amp;"'!$A$12:$Z$41"),MATCH("Points (Auto-generate)",INDIRECT("'"&amp;$A40&amp;"'!$A$12:$Z$12"),0),0)="","?",VLOOKUP(W$1,INDIRECT("'"&amp;$A40&amp;"'!$A$12:$Z$41"),MATCH("Points (Auto-generate)",INDIRECT("'"&amp;$A40&amp;"'!$A$12:$Z$12"),0),0)),"ER"))</f>
        <v>?</v>
      </c>
      <c r="X40" s="83" t="str">
        <f aca="true">IF($H40=0,"NA",IF($A40=INDIRECT("'"&amp;$A40&amp;"'!$B$1"),IF(VLOOKUP(X$1,INDIRECT("'"&amp;$A40&amp;"'!$A$12:$Z$41"),MATCH("Points (Auto-generate)",INDIRECT("'"&amp;$A40&amp;"'!$A$12:$Z$12"),0),0)="","?",VLOOKUP(X$1,INDIRECT("'"&amp;$A40&amp;"'!$A$12:$Z$41"),MATCH("Points (Auto-generate)",INDIRECT("'"&amp;$A40&amp;"'!$A$12:$Z$12"),0),0)),"ER"))</f>
        <v>?</v>
      </c>
      <c r="Y40" s="83" t="str">
        <f aca="true">IF($H40=0,"NA",IF($A40=INDIRECT("'"&amp;$A40&amp;"'!$B$1"),IF(VLOOKUP(Y$1,INDIRECT("'"&amp;$A40&amp;"'!$A$12:$Z$41"),MATCH("Points (Auto-generate)",INDIRECT("'"&amp;$A40&amp;"'!$A$12:$Z$12"),0),0)="","?",VLOOKUP(Y$1,INDIRECT("'"&amp;$A40&amp;"'!$A$12:$Z$41"),MATCH("Points (Auto-generate)",INDIRECT("'"&amp;$A40&amp;"'!$A$12:$Z$12"),0),0)),"ER"))</f>
        <v>?</v>
      </c>
      <c r="Z40" s="83" t="str">
        <f aca="true">IF($H40=0,"NA",IF($A40=INDIRECT("'"&amp;$A40&amp;"'!$B$1"),IF(VLOOKUP(Z$1,INDIRECT("'"&amp;$A40&amp;"'!$A$12:$Z$41"),MATCH("Points (Auto-generate)",INDIRECT("'"&amp;$A40&amp;"'!$A$12:$Z$12"),0),0)="","?",VLOOKUP(Z$1,INDIRECT("'"&amp;$A40&amp;"'!$A$12:$Z$41"),MATCH("Points (Auto-generate)",INDIRECT("'"&amp;$A40&amp;"'!$A$12:$Z$12"),0),0)),"ER"))</f>
        <v>?</v>
      </c>
      <c r="AA40" s="83" t="str">
        <f aca="true">IF($H40=0,"NA",IF($A40=INDIRECT("'"&amp;$A40&amp;"'!$B$1"),IF(VLOOKUP(AA$1,INDIRECT("'"&amp;$A40&amp;"'!$A$12:$Z$41"),MATCH("Points (Auto-generate)",INDIRECT("'"&amp;$A40&amp;"'!$A$12:$Z$12"),0),0)="","?",VLOOKUP(AA$1,INDIRECT("'"&amp;$A40&amp;"'!$A$12:$Z$41"),MATCH("Points (Auto-generate)",INDIRECT("'"&amp;$A40&amp;"'!$A$12:$Z$12"),0),0)),"ER"))</f>
        <v>?</v>
      </c>
      <c r="AB40" s="83" t="str">
        <f aca="true">IF($H40=0,"NA",IF($A40=INDIRECT("'"&amp;$A40&amp;"'!$B$1"),IF(VLOOKUP(AB$1,INDIRECT("'"&amp;$A40&amp;"'!$A$12:$Z$41"),MATCH("Points (Auto-generate)",INDIRECT("'"&amp;$A40&amp;"'!$A$12:$Z$12"),0),0)="","?",VLOOKUP(AB$1,INDIRECT("'"&amp;$A40&amp;"'!$A$12:$Z$41"),MATCH("Points (Auto-generate)",INDIRECT("'"&amp;$A40&amp;"'!$A$12:$Z$12"),0),0)),"ER"))</f>
        <v>?</v>
      </c>
      <c r="AC40" s="83" t="str">
        <f aca="true">IF($H40=0,"NA",IF($A40=INDIRECT("'"&amp;$A40&amp;"'!$B$1"),IF(VLOOKUP(AC$1,INDIRECT("'"&amp;$A40&amp;"'!$A$12:$Z$41"),MATCH("Points (Auto-generate)",INDIRECT("'"&amp;$A40&amp;"'!$A$12:$Z$12"),0),0)="","?",VLOOKUP(AC$1,INDIRECT("'"&amp;$A40&amp;"'!$A$12:$Z$41"),MATCH("Points (Auto-generate)",INDIRECT("'"&amp;$A40&amp;"'!$A$12:$Z$12"),0),0)),"ER"))</f>
        <v>?</v>
      </c>
      <c r="AD40" s="83" t="str">
        <f aca="true">IF($H40=0,"NA",IF($A40=INDIRECT("'"&amp;$A40&amp;"'!$B$1"),IF(VLOOKUP(AD$1,INDIRECT("'"&amp;$A40&amp;"'!$A$12:$Z$41"),MATCH("Points (Auto-generate)",INDIRECT("'"&amp;$A40&amp;"'!$A$12:$Z$12"),0),0)="","?",VLOOKUP(AD$1,INDIRECT("'"&amp;$A40&amp;"'!$A$12:$Z$41"),MATCH("Points (Auto-generate)",INDIRECT("'"&amp;$A40&amp;"'!$A$12:$Z$12"),0),0)),"ER"))</f>
        <v>?</v>
      </c>
      <c r="AE40" s="83" t="str">
        <f aca="true">IF($H40=0,"NA",IF($A40=INDIRECT("'"&amp;$A40&amp;"'!$B$1"),IF(VLOOKUP(AE$1,INDIRECT("'"&amp;$A40&amp;"'!$A$12:$Z$41"),MATCH("Points (Auto-generate)",INDIRECT("'"&amp;$A40&amp;"'!$A$12:$Z$12"),0),0)="","?",VLOOKUP(AE$1,INDIRECT("'"&amp;$A40&amp;"'!$A$12:$Z$41"),MATCH("Points (Auto-generate)",INDIRECT("'"&amp;$A40&amp;"'!$A$12:$Z$12"),0),0)),"ER"))</f>
        <v>?</v>
      </c>
      <c r="AF40" s="83" t="str">
        <f aca="true">IF($H40=0,"NA",IF($A40=INDIRECT("'"&amp;$A40&amp;"'!$B$1"),IF(VLOOKUP(AF$1,INDIRECT("'"&amp;$A40&amp;"'!$A$12:$Z$41"),MATCH("Points (Auto-generate)",INDIRECT("'"&amp;$A40&amp;"'!$A$12:$Z$12"),0),0)="","?",VLOOKUP(AF$1,INDIRECT("'"&amp;$A40&amp;"'!$A$12:$Z$41"),MATCH("Points (Auto-generate)",INDIRECT("'"&amp;$A40&amp;"'!$A$12:$Z$12"),0),0)),"ER"))</f>
        <v>?</v>
      </c>
      <c r="AG40" s="83" t="str">
        <f aca="true">IF($H40=0,"NA",IF($A40=INDIRECT("'"&amp;$A40&amp;"'!$B$1"),IF(VLOOKUP(AG$1,INDIRECT("'"&amp;$A40&amp;"'!$A$12:$Z$41"),MATCH("Points (Auto-generate)",INDIRECT("'"&amp;$A40&amp;"'!$A$12:$Z$12"),0),0)="","?",VLOOKUP(AG$1,INDIRECT("'"&amp;$A40&amp;"'!$A$12:$Z$41"),MATCH("Points (Auto-generate)",INDIRECT("'"&amp;$A40&amp;"'!$A$12:$Z$12"),0),0)),"ER"))</f>
        <v>?</v>
      </c>
      <c r="AH40" s="83" t="str">
        <f aca="true">IF($H40=0,"NA",IF($A40=INDIRECT("'"&amp;$A40&amp;"'!$B$1"),IF(VLOOKUP(AH$1,INDIRECT("'"&amp;$A40&amp;"'!$A$12:$Z$41"),MATCH("Points (Auto-generate)",INDIRECT("'"&amp;$A40&amp;"'!$A$12:$Z$12"),0),0)="","?",VLOOKUP(AH$1,INDIRECT("'"&amp;$A40&amp;"'!$A$12:$Z$41"),MATCH("Points (Auto-generate)",INDIRECT("'"&amp;$A40&amp;"'!$A$12:$Z$12"),0),0)),"ER"))</f>
        <v>?</v>
      </c>
      <c r="AI40" s="83" t="str">
        <f aca="true">IF($H40=0,"NA",IF($A40=INDIRECT("'"&amp;$A40&amp;"'!$B$1"),IF(VLOOKUP(AI$1,INDIRECT("'"&amp;$A40&amp;"'!$A$12:$Z$41"),MATCH("Points (Auto-generate)",INDIRECT("'"&amp;$A40&amp;"'!$A$12:$Z$12"),0),0)="","?",VLOOKUP(AI$1,INDIRECT("'"&amp;$A40&amp;"'!$A$12:$Z$41"),MATCH("Points (Auto-generate)",INDIRECT("'"&amp;$A40&amp;"'!$A$12:$Z$12"),0),0)),"ER"))</f>
        <v>?</v>
      </c>
      <c r="AJ40" s="83" t="str">
        <f aca="true">IF($H40=0,"NA",IF($A40=INDIRECT("'"&amp;$A40&amp;"'!$B$1"),IF(VLOOKUP(AJ$1,INDIRECT("'"&amp;$A40&amp;"'!$A$12:$Z$41"),MATCH("Points (Auto-generate)",INDIRECT("'"&amp;$A40&amp;"'!$A$12:$Z$12"),0),0)="","?",VLOOKUP(AJ$1,INDIRECT("'"&amp;$A40&amp;"'!$A$12:$Z$41"),MATCH("Points (Auto-generate)",INDIRECT("'"&amp;$A40&amp;"'!$A$12:$Z$12"),0),0)),"ER"))</f>
        <v>?</v>
      </c>
      <c r="AK40" s="83" t="str">
        <f aca="true">IF($H40=0,"NA",IF($A40=INDIRECT("'"&amp;$A40&amp;"'!$B$1"),IF(VLOOKUP(AK$1,INDIRECT("'"&amp;$A40&amp;"'!$A$12:$Z$41"),MATCH("Points (Auto-generate)",INDIRECT("'"&amp;$A40&amp;"'!$A$12:$Z$12"),0),0)="","?",VLOOKUP(AK$1,INDIRECT("'"&amp;$A40&amp;"'!$A$12:$Z$41"),MATCH("Points (Auto-generate)",INDIRECT("'"&amp;$A40&amp;"'!$A$12:$Z$12"),0),0)),"ER"))</f>
        <v>?</v>
      </c>
    </row>
    <row r="41" customFormat="false" ht="14.25" hidden="false" customHeight="false" outlineLevel="0" collapsed="false">
      <c r="A41" s="79" t="s">
        <v>177</v>
      </c>
      <c r="B41" s="80" t="str">
        <f aca="false">IF(ISBLANK($A41),"NO_CODE",VLOOKUP($A41,'UPD Questions_290926 '!$E$1:$N$300,MATCH(B$1,'UPD Questions_290926 '!$E$1:$N$1,0),0)&amp;"")</f>
        <v>Implementation</v>
      </c>
      <c r="C41" s="80" t="str">
        <f aca="false">IF(ISBLANK($A41),"NO_CODE",VLOOKUP($A41,'UPD Questions_290926 '!$E$1:$N$300,MATCH(C$1,'UPD Questions_290926 '!$E$1:$N$1,0),0)&amp;"")</f>
        <v>Municipal/City Plan status, hierarchy and coordination</v>
      </c>
      <c r="D41" s="80" t="str">
        <f aca="false">IF(ISBLANK($A41),"NO_CODE",VLOOKUP($A41,'UPD Questions_290926 '!$E$1:$N$300,MATCH(D$1,'UPD Questions_290926 '!$E$1:$N$1,0),0)&amp;"")</f>
        <v>Objectives of the Municipal/City Plan</v>
      </c>
      <c r="E41" s="80" t="str">
        <f aca="false">IF(ISBLANK($A41),"NO_CODE",VLOOKUP($A41,'UPD Questions_290926 '!$E$1:$N$300,MATCH(E$1,'UPD Questions_290926 '!$E$1:$N$1,0),0)&amp;"")</f>
        <v>MQ</v>
      </c>
      <c r="F41" s="80" t="str">
        <f aca="false">IF(ISBLANK($A41),"NO_CODE",VLOOKUP($A41,'UPD Questions_290926 '!$E$1:$N$300,MATCH(F$1,'UPD Questions_290926 '!$E$1:$N$1,0),0)&amp;"")</f>
        <v>Does the municipal/city plan include objectives on jobs and economy?</v>
      </c>
      <c r="G41" s="80" t="str">
        <f aca="false">IF(ISBLANK($A41),"NO_CODE",VLOOKUP($A41,'UPD Questions_290926 '!$E$1:$N$300,MATCH(G$1,'UPD Questions_290926 '!$E$1:$N$1,0),0)&amp;"")</f>
        <v>Implementation</v>
      </c>
      <c r="H41" s="82" t="n">
        <f aca="false">IF(ISBLANK($A41),"NO_CODE",VLOOKUP($A41,'UPD Questions_290926 '!$E$1:$N$300,MATCH(H$1,'UPD Questions_290926 '!$E$1:$N$1,0),0))</f>
        <v>10</v>
      </c>
      <c r="I41" s="83" t="str">
        <f aca="true">IF($H41=0,"NA",IF($A41=INDIRECT("'"&amp;$A41&amp;"'!$B$1"),IF(VLOOKUP(I$1,INDIRECT("'"&amp;$A41&amp;"'!$A$12:$Z$41"),MATCH("Points (Auto-generate)",INDIRECT("'"&amp;$A41&amp;"'!$A$12:$Z$12"),0),0)="","?",VLOOKUP(I$1,INDIRECT("'"&amp;$A41&amp;"'!$A$12:$Z$41"),MATCH("Points (Auto-generate)",INDIRECT("'"&amp;$A41&amp;"'!$A$12:$Z$12"),0),0)),"ER"))</f>
        <v>?</v>
      </c>
      <c r="J41" s="83" t="n">
        <f aca="true">IF($H41=0,"NA",IF($A41=INDIRECT("'"&amp;$A41&amp;"'!$B$1"),IF(VLOOKUP(J$1,INDIRECT("'"&amp;$A41&amp;"'!$A$12:$Z$41"),MATCH("Points (Auto-generate)",INDIRECT("'"&amp;$A41&amp;"'!$A$12:$Z$12"),0),0)="","?",VLOOKUP(J$1,INDIRECT("'"&amp;$A41&amp;"'!$A$12:$Z$41"),MATCH("Points (Auto-generate)",INDIRECT("'"&amp;$A41&amp;"'!$A$12:$Z$12"),0),0)),"ER"))</f>
        <v>0</v>
      </c>
      <c r="K41" s="83" t="str">
        <f aca="true">IF($H41=0,"NA",IF($A41=INDIRECT("'"&amp;$A41&amp;"'!$B$1"),IF(VLOOKUP(K$1,INDIRECT("'"&amp;$A41&amp;"'!$A$12:$Z$41"),MATCH("Points (Auto-generate)",INDIRECT("'"&amp;$A41&amp;"'!$A$12:$Z$12"),0),0)="","?",VLOOKUP(K$1,INDIRECT("'"&amp;$A41&amp;"'!$A$12:$Z$41"),MATCH("Points (Auto-generate)",INDIRECT("'"&amp;$A41&amp;"'!$A$12:$Z$12"),0),0)),"ER"))</f>
        <v>?</v>
      </c>
      <c r="L41" s="83" t="str">
        <f aca="true">IF($H41=0,"NA",IF($A41=INDIRECT("'"&amp;$A41&amp;"'!$B$1"),IF(VLOOKUP(L$1,INDIRECT("'"&amp;$A41&amp;"'!$A$12:$Z$41"),MATCH("Points (Auto-generate)",INDIRECT("'"&amp;$A41&amp;"'!$A$12:$Z$12"),0),0)="","?",VLOOKUP(L$1,INDIRECT("'"&amp;$A41&amp;"'!$A$12:$Z$41"),MATCH("Points (Auto-generate)",INDIRECT("'"&amp;$A41&amp;"'!$A$12:$Z$12"),0),0)),"ER"))</f>
        <v>?</v>
      </c>
      <c r="M41" s="83" t="str">
        <f aca="true">IF($H41=0,"NA",IF($A41=INDIRECT("'"&amp;$A41&amp;"'!$B$1"),IF(VLOOKUP(M$1,INDIRECT("'"&amp;$A41&amp;"'!$A$12:$Z$41"),MATCH("Points (Auto-generate)",INDIRECT("'"&amp;$A41&amp;"'!$A$12:$Z$12"),0),0)="","?",VLOOKUP(M$1,INDIRECT("'"&amp;$A41&amp;"'!$A$12:$Z$41"),MATCH("Points (Auto-generate)",INDIRECT("'"&amp;$A41&amp;"'!$A$12:$Z$12"),0),0)),"ER"))</f>
        <v>?</v>
      </c>
      <c r="N41" s="83" t="str">
        <f aca="true">IF($H41=0,"NA",IF($A41=INDIRECT("'"&amp;$A41&amp;"'!$B$1"),IF(VLOOKUP(N$1,INDIRECT("'"&amp;$A41&amp;"'!$A$12:$Z$41"),MATCH("Points (Auto-generate)",INDIRECT("'"&amp;$A41&amp;"'!$A$12:$Z$12"),0),0)="","?",VLOOKUP(N$1,INDIRECT("'"&amp;$A41&amp;"'!$A$12:$Z$41"),MATCH("Points (Auto-generate)",INDIRECT("'"&amp;$A41&amp;"'!$A$12:$Z$12"),0),0)),"ER"))</f>
        <v>?</v>
      </c>
      <c r="O41" s="83" t="str">
        <f aca="true">IF($H41=0,"NA",IF($A41=INDIRECT("'"&amp;$A41&amp;"'!$B$1"),IF(VLOOKUP(O$1,INDIRECT("'"&amp;$A41&amp;"'!$A$12:$Z$41"),MATCH("Points (Auto-generate)",INDIRECT("'"&amp;$A41&amp;"'!$A$12:$Z$12"),0),0)="","?",VLOOKUP(O$1,INDIRECT("'"&amp;$A41&amp;"'!$A$12:$Z$41"),MATCH("Points (Auto-generate)",INDIRECT("'"&amp;$A41&amp;"'!$A$12:$Z$12"),0),0)),"ER"))</f>
        <v>?</v>
      </c>
      <c r="P41" s="83" t="str">
        <f aca="true">IF($H41=0,"NA",IF($A41=INDIRECT("'"&amp;$A41&amp;"'!$B$1"),IF(VLOOKUP(P$1,INDIRECT("'"&amp;$A41&amp;"'!$A$12:$Z$41"),MATCH("Points (Auto-generate)",INDIRECT("'"&amp;$A41&amp;"'!$A$12:$Z$12"),0),0)="","?",VLOOKUP(P$1,INDIRECT("'"&amp;$A41&amp;"'!$A$12:$Z$41"),MATCH("Points (Auto-generate)",INDIRECT("'"&amp;$A41&amp;"'!$A$12:$Z$12"),0),0)),"ER"))</f>
        <v>?</v>
      </c>
      <c r="Q41" s="83" t="str">
        <f aca="true">IF($H41=0,"NA",IF($A41=INDIRECT("'"&amp;$A41&amp;"'!$B$1"),IF(VLOOKUP(Q$1,INDIRECT("'"&amp;$A41&amp;"'!$A$12:$Z$41"),MATCH("Points (Auto-generate)",INDIRECT("'"&amp;$A41&amp;"'!$A$12:$Z$12"),0),0)="","?",VLOOKUP(Q$1,INDIRECT("'"&amp;$A41&amp;"'!$A$12:$Z$41"),MATCH("Points (Auto-generate)",INDIRECT("'"&amp;$A41&amp;"'!$A$12:$Z$12"),0),0)),"ER"))</f>
        <v>?</v>
      </c>
      <c r="R41" s="83" t="str">
        <f aca="true">IF($H41=0,"NA",IF($A41=INDIRECT("'"&amp;$A41&amp;"'!$B$1"),IF(VLOOKUP(R$1,INDIRECT("'"&amp;$A41&amp;"'!$A$12:$Z$41"),MATCH("Points (Auto-generate)",INDIRECT("'"&amp;$A41&amp;"'!$A$12:$Z$12"),0),0)="","?",VLOOKUP(R$1,INDIRECT("'"&amp;$A41&amp;"'!$A$12:$Z$41"),MATCH("Points (Auto-generate)",INDIRECT("'"&amp;$A41&amp;"'!$A$12:$Z$12"),0),0)),"ER"))</f>
        <v>?</v>
      </c>
      <c r="S41" s="83" t="str">
        <f aca="true">IF($H41=0,"NA",IF($A41=INDIRECT("'"&amp;$A41&amp;"'!$B$1"),IF(VLOOKUP(S$1,INDIRECT("'"&amp;$A41&amp;"'!$A$12:$Z$41"),MATCH("Points (Auto-generate)",INDIRECT("'"&amp;$A41&amp;"'!$A$12:$Z$12"),0),0)="","?",VLOOKUP(S$1,INDIRECT("'"&amp;$A41&amp;"'!$A$12:$Z$41"),MATCH("Points (Auto-generate)",INDIRECT("'"&amp;$A41&amp;"'!$A$12:$Z$12"),0),0)),"ER"))</f>
        <v>?</v>
      </c>
      <c r="T41" s="83" t="str">
        <f aca="true">IF($H41=0,"NA",IF($A41=INDIRECT("'"&amp;$A41&amp;"'!$B$1"),IF(VLOOKUP(T$1,INDIRECT("'"&amp;$A41&amp;"'!$A$12:$Z$41"),MATCH("Points (Auto-generate)",INDIRECT("'"&amp;$A41&amp;"'!$A$12:$Z$12"),0),0)="","?",VLOOKUP(T$1,INDIRECT("'"&amp;$A41&amp;"'!$A$12:$Z$41"),MATCH("Points (Auto-generate)",INDIRECT("'"&amp;$A41&amp;"'!$A$12:$Z$12"),0),0)),"ER"))</f>
        <v>?</v>
      </c>
      <c r="U41" s="83" t="str">
        <f aca="true">IF($H41=0,"NA",IF($A41=INDIRECT("'"&amp;$A41&amp;"'!$B$1"),IF(VLOOKUP(U$1,INDIRECT("'"&amp;$A41&amp;"'!$A$12:$Z$41"),MATCH("Points (Auto-generate)",INDIRECT("'"&amp;$A41&amp;"'!$A$12:$Z$12"),0),0)="","?",VLOOKUP(U$1,INDIRECT("'"&amp;$A41&amp;"'!$A$12:$Z$41"),MATCH("Points (Auto-generate)",INDIRECT("'"&amp;$A41&amp;"'!$A$12:$Z$12"),0),0)),"ER"))</f>
        <v>?</v>
      </c>
      <c r="V41" s="83" t="str">
        <f aca="true">IF($H41=0,"NA",IF($A41=INDIRECT("'"&amp;$A41&amp;"'!$B$1"),IF(VLOOKUP(V$1,INDIRECT("'"&amp;$A41&amp;"'!$A$12:$Z$41"),MATCH("Points (Auto-generate)",INDIRECT("'"&amp;$A41&amp;"'!$A$12:$Z$12"),0),0)="","?",VLOOKUP(V$1,INDIRECT("'"&amp;$A41&amp;"'!$A$12:$Z$41"),MATCH("Points (Auto-generate)",INDIRECT("'"&amp;$A41&amp;"'!$A$12:$Z$12"),0),0)),"ER"))</f>
        <v>?</v>
      </c>
      <c r="W41" s="83" t="str">
        <f aca="true">IF($H41=0,"NA",IF($A41=INDIRECT("'"&amp;$A41&amp;"'!$B$1"),IF(VLOOKUP(W$1,INDIRECT("'"&amp;$A41&amp;"'!$A$12:$Z$41"),MATCH("Points (Auto-generate)",INDIRECT("'"&amp;$A41&amp;"'!$A$12:$Z$12"),0),0)="","?",VLOOKUP(W$1,INDIRECT("'"&amp;$A41&amp;"'!$A$12:$Z$41"),MATCH("Points (Auto-generate)",INDIRECT("'"&amp;$A41&amp;"'!$A$12:$Z$12"),0),0)),"ER"))</f>
        <v>?</v>
      </c>
      <c r="X41" s="83" t="str">
        <f aca="true">IF($H41=0,"NA",IF($A41=INDIRECT("'"&amp;$A41&amp;"'!$B$1"),IF(VLOOKUP(X$1,INDIRECT("'"&amp;$A41&amp;"'!$A$12:$Z$41"),MATCH("Points (Auto-generate)",INDIRECT("'"&amp;$A41&amp;"'!$A$12:$Z$12"),0),0)="","?",VLOOKUP(X$1,INDIRECT("'"&amp;$A41&amp;"'!$A$12:$Z$41"),MATCH("Points (Auto-generate)",INDIRECT("'"&amp;$A41&amp;"'!$A$12:$Z$12"),0),0)),"ER"))</f>
        <v>?</v>
      </c>
      <c r="Y41" s="83" t="str">
        <f aca="true">IF($H41=0,"NA",IF($A41=INDIRECT("'"&amp;$A41&amp;"'!$B$1"),IF(VLOOKUP(Y$1,INDIRECT("'"&amp;$A41&amp;"'!$A$12:$Z$41"),MATCH("Points (Auto-generate)",INDIRECT("'"&amp;$A41&amp;"'!$A$12:$Z$12"),0),0)="","?",VLOOKUP(Y$1,INDIRECT("'"&amp;$A41&amp;"'!$A$12:$Z$41"),MATCH("Points (Auto-generate)",INDIRECT("'"&amp;$A41&amp;"'!$A$12:$Z$12"),0),0)),"ER"))</f>
        <v>?</v>
      </c>
      <c r="Z41" s="83" t="str">
        <f aca="true">IF($H41=0,"NA",IF($A41=INDIRECT("'"&amp;$A41&amp;"'!$B$1"),IF(VLOOKUP(Z$1,INDIRECT("'"&amp;$A41&amp;"'!$A$12:$Z$41"),MATCH("Points (Auto-generate)",INDIRECT("'"&amp;$A41&amp;"'!$A$12:$Z$12"),0),0)="","?",VLOOKUP(Z$1,INDIRECT("'"&amp;$A41&amp;"'!$A$12:$Z$41"),MATCH("Points (Auto-generate)",INDIRECT("'"&amp;$A41&amp;"'!$A$12:$Z$12"),0),0)),"ER"))</f>
        <v>?</v>
      </c>
      <c r="AA41" s="83" t="str">
        <f aca="true">IF($H41=0,"NA",IF($A41=INDIRECT("'"&amp;$A41&amp;"'!$B$1"),IF(VLOOKUP(AA$1,INDIRECT("'"&amp;$A41&amp;"'!$A$12:$Z$41"),MATCH("Points (Auto-generate)",INDIRECT("'"&amp;$A41&amp;"'!$A$12:$Z$12"),0),0)="","?",VLOOKUP(AA$1,INDIRECT("'"&amp;$A41&amp;"'!$A$12:$Z$41"),MATCH("Points (Auto-generate)",INDIRECT("'"&amp;$A41&amp;"'!$A$12:$Z$12"),0),0)),"ER"))</f>
        <v>?</v>
      </c>
      <c r="AB41" s="83" t="str">
        <f aca="true">IF($H41=0,"NA",IF($A41=INDIRECT("'"&amp;$A41&amp;"'!$B$1"),IF(VLOOKUP(AB$1,INDIRECT("'"&amp;$A41&amp;"'!$A$12:$Z$41"),MATCH("Points (Auto-generate)",INDIRECT("'"&amp;$A41&amp;"'!$A$12:$Z$12"),0),0)="","?",VLOOKUP(AB$1,INDIRECT("'"&amp;$A41&amp;"'!$A$12:$Z$41"),MATCH("Points (Auto-generate)",INDIRECT("'"&amp;$A41&amp;"'!$A$12:$Z$12"),0),0)),"ER"))</f>
        <v>?</v>
      </c>
      <c r="AC41" s="83" t="n">
        <f aca="true">IF($H41=0,"NA",IF($A41=INDIRECT("'"&amp;$A41&amp;"'!$B$1"),IF(VLOOKUP(AC$1,INDIRECT("'"&amp;$A41&amp;"'!$A$12:$Z$41"),MATCH("Points (Auto-generate)",INDIRECT("'"&amp;$A41&amp;"'!$A$12:$Z$12"),0),0)="","?",VLOOKUP(AC$1,INDIRECT("'"&amp;$A41&amp;"'!$A$12:$Z$41"),MATCH("Points (Auto-generate)",INDIRECT("'"&amp;$A41&amp;"'!$A$12:$Z$12"),0),0)),"ER"))</f>
        <v>10</v>
      </c>
      <c r="AD41" s="83" t="str">
        <f aca="true">IF($H41=0,"NA",IF($A41=INDIRECT("'"&amp;$A41&amp;"'!$B$1"),IF(VLOOKUP(AD$1,INDIRECT("'"&amp;$A41&amp;"'!$A$12:$Z$41"),MATCH("Points (Auto-generate)",INDIRECT("'"&amp;$A41&amp;"'!$A$12:$Z$12"),0),0)="","?",VLOOKUP(AD$1,INDIRECT("'"&amp;$A41&amp;"'!$A$12:$Z$41"),MATCH("Points (Auto-generate)",INDIRECT("'"&amp;$A41&amp;"'!$A$12:$Z$12"),0),0)),"ER"))</f>
        <v>?</v>
      </c>
      <c r="AE41" s="83" t="str">
        <f aca="true">IF($H41=0,"NA",IF($A41=INDIRECT("'"&amp;$A41&amp;"'!$B$1"),IF(VLOOKUP(AE$1,INDIRECT("'"&amp;$A41&amp;"'!$A$12:$Z$41"),MATCH("Points (Auto-generate)",INDIRECT("'"&amp;$A41&amp;"'!$A$12:$Z$12"),0),0)="","?",VLOOKUP(AE$1,INDIRECT("'"&amp;$A41&amp;"'!$A$12:$Z$41"),MATCH("Points (Auto-generate)",INDIRECT("'"&amp;$A41&amp;"'!$A$12:$Z$12"),0),0)),"ER"))</f>
        <v>?</v>
      </c>
      <c r="AF41" s="83" t="str">
        <f aca="true">IF($H41=0,"NA",IF($A41=INDIRECT("'"&amp;$A41&amp;"'!$B$1"),IF(VLOOKUP(AF$1,INDIRECT("'"&amp;$A41&amp;"'!$A$12:$Z$41"),MATCH("Points (Auto-generate)",INDIRECT("'"&amp;$A41&amp;"'!$A$12:$Z$12"),0),0)="","?",VLOOKUP(AF$1,INDIRECT("'"&amp;$A41&amp;"'!$A$12:$Z$41"),MATCH("Points (Auto-generate)",INDIRECT("'"&amp;$A41&amp;"'!$A$12:$Z$12"),0),0)),"ER"))</f>
        <v>?</v>
      </c>
      <c r="AG41" s="83" t="str">
        <f aca="true">IF($H41=0,"NA",IF($A41=INDIRECT("'"&amp;$A41&amp;"'!$B$1"),IF(VLOOKUP(AG$1,INDIRECT("'"&amp;$A41&amp;"'!$A$12:$Z$41"),MATCH("Points (Auto-generate)",INDIRECT("'"&amp;$A41&amp;"'!$A$12:$Z$12"),0),0)="","?",VLOOKUP(AG$1,INDIRECT("'"&amp;$A41&amp;"'!$A$12:$Z$41"),MATCH("Points (Auto-generate)",INDIRECT("'"&amp;$A41&amp;"'!$A$12:$Z$12"),0),0)),"ER"))</f>
        <v>?</v>
      </c>
      <c r="AH41" s="83" t="str">
        <f aca="true">IF($H41=0,"NA",IF($A41=INDIRECT("'"&amp;$A41&amp;"'!$B$1"),IF(VLOOKUP(AH$1,INDIRECT("'"&amp;$A41&amp;"'!$A$12:$Z$41"),MATCH("Points (Auto-generate)",INDIRECT("'"&amp;$A41&amp;"'!$A$12:$Z$12"),0),0)="","?",VLOOKUP(AH$1,INDIRECT("'"&amp;$A41&amp;"'!$A$12:$Z$41"),MATCH("Points (Auto-generate)",INDIRECT("'"&amp;$A41&amp;"'!$A$12:$Z$12"),0),0)),"ER"))</f>
        <v>?</v>
      </c>
      <c r="AI41" s="83" t="str">
        <f aca="true">IF($H41=0,"NA",IF($A41=INDIRECT("'"&amp;$A41&amp;"'!$B$1"),IF(VLOOKUP(AI$1,INDIRECT("'"&amp;$A41&amp;"'!$A$12:$Z$41"),MATCH("Points (Auto-generate)",INDIRECT("'"&amp;$A41&amp;"'!$A$12:$Z$12"),0),0)="","?",VLOOKUP(AI$1,INDIRECT("'"&amp;$A41&amp;"'!$A$12:$Z$41"),MATCH("Points (Auto-generate)",INDIRECT("'"&amp;$A41&amp;"'!$A$12:$Z$12"),0),0)),"ER"))</f>
        <v>?</v>
      </c>
      <c r="AJ41" s="83" t="str">
        <f aca="true">IF($H41=0,"NA",IF($A41=INDIRECT("'"&amp;$A41&amp;"'!$B$1"),IF(VLOOKUP(AJ$1,INDIRECT("'"&amp;$A41&amp;"'!$A$12:$Z$41"),MATCH("Points (Auto-generate)",INDIRECT("'"&amp;$A41&amp;"'!$A$12:$Z$12"),0),0)="","?",VLOOKUP(AJ$1,INDIRECT("'"&amp;$A41&amp;"'!$A$12:$Z$41"),MATCH("Points (Auto-generate)",INDIRECT("'"&amp;$A41&amp;"'!$A$12:$Z$12"),0),0)),"ER"))</f>
        <v>?</v>
      </c>
      <c r="AK41" s="83" t="str">
        <f aca="true">IF($H41=0,"NA",IF($A41=INDIRECT("'"&amp;$A41&amp;"'!$B$1"),IF(VLOOKUP(AK$1,INDIRECT("'"&amp;$A41&amp;"'!$A$12:$Z$41"),MATCH("Points (Auto-generate)",INDIRECT("'"&amp;$A41&amp;"'!$A$12:$Z$12"),0),0)="","?",VLOOKUP(AK$1,INDIRECT("'"&amp;$A41&amp;"'!$A$12:$Z$41"),MATCH("Points (Auto-generate)",INDIRECT("'"&amp;$A41&amp;"'!$A$12:$Z$12"),0),0)),"ER"))</f>
        <v>?</v>
      </c>
    </row>
    <row r="42" customFormat="false" ht="14.25" hidden="false" customHeight="false" outlineLevel="0" collapsed="false">
      <c r="A42" s="79" t="s">
        <v>500</v>
      </c>
      <c r="B42" s="80" t="str">
        <f aca="false">IF(ISBLANK($A42),"NO_CODE",VLOOKUP($A42,'UPD Questions_290926 '!$E$1:$N$300,MATCH(B$1,'UPD Questions_290926 '!$E$1:$N$1,0),0)&amp;"")</f>
        <v>Implementation</v>
      </c>
      <c r="C42" s="80" t="str">
        <f aca="false">IF(ISBLANK($A42),"NO_CODE",VLOOKUP($A42,'UPD Questions_290926 '!$E$1:$N$300,MATCH(C$1,'UPD Questions_290926 '!$E$1:$N$1,0),0)&amp;"")</f>
        <v>Municipal/City Plan status, hierarchy and coordination</v>
      </c>
      <c r="D42" s="80" t="str">
        <f aca="false">IF(ISBLANK($A42),"NO_CODE",VLOOKUP($A42,'UPD Questions_290926 '!$E$1:$N$300,MATCH(D$1,'UPD Questions_290926 '!$E$1:$N$1,0),0)&amp;"")</f>
        <v>Objectives of the Municipal/City Plan</v>
      </c>
      <c r="E42" s="80" t="str">
        <f aca="false">IF(ISBLANK($A42),"NO_CODE",VLOOKUP($A42,'UPD Questions_290926 '!$E$1:$N$300,MATCH(E$1,'UPD Questions_290926 '!$E$1:$N$1,0),0)&amp;"")</f>
        <v>MQ</v>
      </c>
      <c r="F42" s="80" t="str">
        <f aca="false">IF(ISBLANK($A42),"NO_CODE",VLOOKUP($A42,'UPD Questions_290926 '!$E$1:$N$300,MATCH(F$1,'UPD Questions_290926 '!$E$1:$N$1,0),0)&amp;"")</f>
        <v>Does the municipal/city plan include objectives on environment and heritage conservation?</v>
      </c>
      <c r="G42" s="80" t="str">
        <f aca="false">IF(ISBLANK($A42),"NO_CODE",VLOOKUP($A42,'UPD Questions_290926 '!$E$1:$N$300,MATCH(G$1,'UPD Questions_290926 '!$E$1:$N$1,0),0)&amp;"")</f>
        <v>Implementation</v>
      </c>
      <c r="H42" s="82" t="n">
        <f aca="false">IF(ISBLANK($A42),"NO_CODE",VLOOKUP($A42,'UPD Questions_290926 '!$E$1:$N$300,MATCH(H$1,'UPD Questions_290926 '!$E$1:$N$1,0),0))</f>
        <v>10</v>
      </c>
      <c r="I42" s="83" t="str">
        <f aca="false">IF(OR(I43="ER",I44="ER"),"ER",IF(OR(I43="?",I44="?"),"?",IF(AND(I43="NA",I44="NA"),"NA",SUM(I43,I44)/((I43&lt;&gt;"NA")*$H$43+(I44&lt;&gt;"NA")*$H$44)*$H42)))</f>
        <v>?</v>
      </c>
      <c r="J42" s="83" t="n">
        <f aca="false">IF(OR(J43="ER",J44="ER"),"ER",IF(OR(J43="?",J44="?"),"?",IF(AND(J43="NA",J44="NA"),"NA",SUM(J43,J44)/((J43&lt;&gt;"NA")*$H$43+(J44&lt;&gt;"NA")*$H$44)*$H42)))</f>
        <v>0</v>
      </c>
      <c r="K42" s="83" t="str">
        <f aca="false">IF(OR(K43="ER",K44="ER"),"ER",IF(OR(K43="?",K44="?"),"?",IF(AND(K43="NA",K44="NA"),"NA",SUM(K43,K44)/((K43&lt;&gt;"NA")*$H$43+(K44&lt;&gt;"NA")*$H$44)*$H42)))</f>
        <v>?</v>
      </c>
      <c r="L42" s="83" t="str">
        <f aca="false">IF(OR(L43="ER",L44="ER"),"ER",IF(OR(L43="?",L44="?"),"?",IF(AND(L43="NA",L44="NA"),"NA",SUM(L43,L44)/((L43&lt;&gt;"NA")*$H$43+(L44&lt;&gt;"NA")*$H$44)*$H42)))</f>
        <v>?</v>
      </c>
      <c r="M42" s="83" t="str">
        <f aca="false">IF(OR(M43="ER",M44="ER"),"ER",IF(OR(M43="?",M44="?"),"?",IF(AND(M43="NA",M44="NA"),"NA",SUM(M43,M44)/((M43&lt;&gt;"NA")*$H$43+(M44&lt;&gt;"NA")*$H$44)*$H42)))</f>
        <v>?</v>
      </c>
      <c r="N42" s="83" t="str">
        <f aca="false">IF(OR(N43="ER",N44="ER"),"ER",IF(OR(N43="?",N44="?"),"?",IF(AND(N43="NA",N44="NA"),"NA",SUM(N43,N44)/((N43&lt;&gt;"NA")*$H$43+(N44&lt;&gt;"NA")*$H$44)*$H42)))</f>
        <v>?</v>
      </c>
      <c r="O42" s="83" t="str">
        <f aca="false">IF(OR(O43="ER",O44="ER"),"ER",IF(OR(O43="?",O44="?"),"?",IF(AND(O43="NA",O44="NA"),"NA",SUM(O43,O44)/((O43&lt;&gt;"NA")*$H$43+(O44&lt;&gt;"NA")*$H$44)*$H42)))</f>
        <v>?</v>
      </c>
      <c r="P42" s="83" t="str">
        <f aca="false">IF(OR(P43="ER",P44="ER"),"ER",IF(OR(P43="?",P44="?"),"?",IF(AND(P43="NA",P44="NA"),"NA",SUM(P43,P44)/((P43&lt;&gt;"NA")*$H$43+(P44&lt;&gt;"NA")*$H$44)*$H42)))</f>
        <v>?</v>
      </c>
      <c r="Q42" s="83" t="str">
        <f aca="false">IF(OR(Q43="ER",Q44="ER"),"ER",IF(OR(Q43="?",Q44="?"),"?",IF(AND(Q43="NA",Q44="NA"),"NA",SUM(Q43,Q44)/((Q43&lt;&gt;"NA")*$H$43+(Q44&lt;&gt;"NA")*$H$44)*$H42)))</f>
        <v>?</v>
      </c>
      <c r="R42" s="83" t="str">
        <f aca="false">IF(OR(R43="ER",R44="ER"),"ER",IF(OR(R43="?",R44="?"),"?",IF(AND(R43="NA",R44="NA"),"NA",SUM(R43,R44)/((R43&lt;&gt;"NA")*$H$43+(R44&lt;&gt;"NA")*$H$44)*$H42)))</f>
        <v>?</v>
      </c>
      <c r="S42" s="83" t="str">
        <f aca="false">IF(OR(S43="ER",S44="ER"),"ER",IF(OR(S43="?",S44="?"),"?",IF(AND(S43="NA",S44="NA"),"NA",SUM(S43,S44)/((S43&lt;&gt;"NA")*$H$43+(S44&lt;&gt;"NA")*$H$44)*$H42)))</f>
        <v>?</v>
      </c>
      <c r="T42" s="83" t="str">
        <f aca="false">IF(OR(T43="ER",T44="ER"),"ER",IF(OR(T43="?",T44="?"),"?",IF(AND(T43="NA",T44="NA"),"NA",SUM(T43,T44)/((T43&lt;&gt;"NA")*$H$43+(T44&lt;&gt;"NA")*$H$44)*$H42)))</f>
        <v>?</v>
      </c>
      <c r="U42" s="83" t="str">
        <f aca="false">IF(OR(U43="ER",U44="ER"),"ER",IF(OR(U43="?",U44="?"),"?",IF(AND(U43="NA",U44="NA"),"NA",SUM(U43,U44)/((U43&lt;&gt;"NA")*$H$43+(U44&lt;&gt;"NA")*$H$44)*$H42)))</f>
        <v>?</v>
      </c>
      <c r="V42" s="83" t="str">
        <f aca="false">IF(OR(V43="ER",V44="ER"),"ER",IF(OR(V43="?",V44="?"),"?",IF(AND(V43="NA",V44="NA"),"NA",SUM(V43,V44)/((V43&lt;&gt;"NA")*$H$43+(V44&lt;&gt;"NA")*$H$44)*$H42)))</f>
        <v>?</v>
      </c>
      <c r="W42" s="83" t="str">
        <f aca="false">IF(OR(W43="ER",W44="ER"),"ER",IF(OR(W43="?",W44="?"),"?",IF(AND(W43="NA",W44="NA"),"NA",SUM(W43,W44)/((W43&lt;&gt;"NA")*$H$43+(W44&lt;&gt;"NA")*$H$44)*$H42)))</f>
        <v>?</v>
      </c>
      <c r="X42" s="83" t="str">
        <f aca="false">IF(OR(X43="ER",X44="ER"),"ER",IF(OR(X43="?",X44="?"),"?",IF(AND(X43="NA",X44="NA"),"NA",SUM(X43,X44)/((X43&lt;&gt;"NA")*$H$43+(X44&lt;&gt;"NA")*$H$44)*$H42)))</f>
        <v>?</v>
      </c>
      <c r="Y42" s="83" t="str">
        <f aca="false">IF(OR(Y43="ER",Y44="ER"),"ER",IF(OR(Y43="?",Y44="?"),"?",IF(AND(Y43="NA",Y44="NA"),"NA",SUM(Y43,Y44)/((Y43&lt;&gt;"NA")*$H$43+(Y44&lt;&gt;"NA")*$H$44)*$H42)))</f>
        <v>?</v>
      </c>
      <c r="Z42" s="83" t="str">
        <f aca="false">IF(OR(Z43="ER",Z44="ER"),"ER",IF(OR(Z43="?",Z44="?"),"?",IF(AND(Z43="NA",Z44="NA"),"NA",SUM(Z43,Z44)/((Z43&lt;&gt;"NA")*$H$43+(Z44&lt;&gt;"NA")*$H$44)*$H42)))</f>
        <v>?</v>
      </c>
      <c r="AA42" s="83" t="str">
        <f aca="false">IF(OR(AA43="ER",AA44="ER"),"ER",IF(OR(AA43="?",AA44="?"),"?",IF(AND(AA43="NA",AA44="NA"),"NA",SUM(AA43,AA44)/((AA43&lt;&gt;"NA")*$H$43+(AA44&lt;&gt;"NA")*$H$44)*$H42)))</f>
        <v>?</v>
      </c>
      <c r="AB42" s="83" t="str">
        <f aca="false">IF(OR(AB43="ER",AB44="ER"),"ER",IF(OR(AB43="?",AB44="?"),"?",IF(AND(AB43="NA",AB44="NA"),"NA",SUM(AB43,AB44)/((AB43&lt;&gt;"NA")*$H$43+(AB44&lt;&gt;"NA")*$H$44)*$H42)))</f>
        <v>?</v>
      </c>
      <c r="AC42" s="83" t="str">
        <f aca="false">IF(OR(AC43="ER",AC44="ER"),"ER",IF(OR(AC43="?",AC44="?"),"?",IF(AND(AC43="NA",AC44="NA"),"NA",SUM(AC43,AC44)/((AC43&lt;&gt;"NA")*$H$43+(AC44&lt;&gt;"NA")*$H$44)*$H42)))</f>
        <v>?</v>
      </c>
      <c r="AD42" s="83" t="str">
        <f aca="false">IF(OR(AD43="ER",AD44="ER"),"ER",IF(OR(AD43="?",AD44="?"),"?",IF(AND(AD43="NA",AD44="NA"),"NA",SUM(AD43,AD44)/((AD43&lt;&gt;"NA")*$H$43+(AD44&lt;&gt;"NA")*$H$44)*$H42)))</f>
        <v>?</v>
      </c>
      <c r="AE42" s="83" t="str">
        <f aca="false">IF(OR(AE43="ER",AE44="ER"),"ER",IF(OR(AE43="?",AE44="?"),"?",IF(AND(AE43="NA",AE44="NA"),"NA",SUM(AE43,AE44)/((AE43&lt;&gt;"NA")*$H$43+(AE44&lt;&gt;"NA")*$H$44)*$H42)))</f>
        <v>?</v>
      </c>
      <c r="AF42" s="83" t="str">
        <f aca="false">IF(OR(AF43="ER",AF44="ER"),"ER",IF(OR(AF43="?",AF44="?"),"?",IF(AND(AF43="NA",AF44="NA"),"NA",SUM(AF43,AF44)/((AF43&lt;&gt;"NA")*$H$43+(AF44&lt;&gt;"NA")*$H$44)*$H42)))</f>
        <v>?</v>
      </c>
      <c r="AG42" s="83" t="str">
        <f aca="false">IF(OR(AG43="ER",AG44="ER"),"ER",IF(OR(AG43="?",AG44="?"),"?",IF(AND(AG43="NA",AG44="NA"),"NA",SUM(AG43,AG44)/((AG43&lt;&gt;"NA")*$H$43+(AG44&lt;&gt;"NA")*$H$44)*$H42)))</f>
        <v>?</v>
      </c>
      <c r="AH42" s="83" t="str">
        <f aca="false">IF(OR(AH43="ER",AH44="ER"),"ER",IF(OR(AH43="?",AH44="?"),"?",IF(AND(AH43="NA",AH44="NA"),"NA",SUM(AH43,AH44)/((AH43&lt;&gt;"NA")*$H$43+(AH44&lt;&gt;"NA")*$H$44)*$H42)))</f>
        <v>?</v>
      </c>
      <c r="AI42" s="83" t="str">
        <f aca="false">IF(OR(AI43="ER",AI44="ER"),"ER",IF(OR(AI43="?",AI44="?"),"?",IF(AND(AI43="NA",AI44="NA"),"NA",SUM(AI43,AI44)/((AI43&lt;&gt;"NA")*$H$43+(AI44&lt;&gt;"NA")*$H$44)*$H42)))</f>
        <v>?</v>
      </c>
      <c r="AJ42" s="83" t="str">
        <f aca="false">IF(OR(AJ43="ER",AJ44="ER"),"ER",IF(OR(AJ43="?",AJ44="?"),"?",IF(AND(AJ43="NA",AJ44="NA"),"NA",SUM(AJ43,AJ44)/((AJ43&lt;&gt;"NA")*$H$43+(AJ44&lt;&gt;"NA")*$H$44)*$H42)))</f>
        <v>?</v>
      </c>
      <c r="AK42" s="83" t="str">
        <f aca="false">IF(OR(AK43="ER",AK44="ER"),"ER",IF(OR(AK43="?",AK44="?"),"?",IF(AND(AK43="NA",AK44="NA"),"NA",SUM(AK43,AK44)/((AK43&lt;&gt;"NA")*$H$43+(AK44&lt;&gt;"NA")*$H$44)*$H42)))</f>
        <v>?</v>
      </c>
    </row>
    <row r="43" customFormat="false" ht="14.25" hidden="false" customHeight="false" outlineLevel="0" collapsed="false">
      <c r="A43" s="79" t="s">
        <v>182</v>
      </c>
      <c r="B43" s="80" t="str">
        <f aca="false">IF(ISBLANK($A43),"NO_CODE",VLOOKUP($A43,'UPD Questions_290926 '!$E$1:$N$300,MATCH(B$1,'UPD Questions_290926 '!$E$1:$N$1,0),0)&amp;"")</f>
        <v>Implementation</v>
      </c>
      <c r="C43" s="80" t="str">
        <f aca="false">IF(ISBLANK($A43),"NO_CODE",VLOOKUP($A43,'UPD Questions_290926 '!$E$1:$N$300,MATCH(C$1,'UPD Questions_290926 '!$E$1:$N$1,0),0)&amp;"")</f>
        <v>Municipal/City Plan status, hierarchy and coordination</v>
      </c>
      <c r="D43" s="80" t="str">
        <f aca="false">IF(ISBLANK($A43),"NO_CODE",VLOOKUP($A43,'UPD Questions_290926 '!$E$1:$N$300,MATCH(D$1,'UPD Questions_290926 '!$E$1:$N$1,0),0)&amp;"")</f>
        <v>Objectives of the Municipal/City Plan</v>
      </c>
      <c r="E43" s="80" t="str">
        <f aca="false">IF(ISBLANK($A43),"NO_CODE",VLOOKUP($A43,'UPD Questions_290926 '!$E$1:$N$300,MATCH(E$1,'UPD Questions_290926 '!$E$1:$N$1,0),0)&amp;"")</f>
        <v>SQ</v>
      </c>
      <c r="F43" s="80" t="str">
        <f aca="false">IF(ISBLANK($A43),"NO_CODE",VLOOKUP($A43,'UPD Questions_290926 '!$E$1:$N$300,MATCH(F$1,'UPD Questions_290926 '!$E$1:$N$1,0),0)&amp;"")</f>
        <v>a) Environmental Conservation </v>
      </c>
      <c r="G43" s="80" t="str">
        <f aca="false">IF(ISBLANK($A43),"NO_CODE",VLOOKUP($A43,'UPD Questions_290926 '!$E$1:$N$300,MATCH(G$1,'UPD Questions_290926 '!$E$1:$N$1,0),0)&amp;"")</f>
        <v>Implementation</v>
      </c>
      <c r="H43" s="82" t="n">
        <f aca="false">IF(ISBLANK($A43),"NO_CODE",VLOOKUP($A43,'UPD Questions_290926 '!$E$1:$N$300,MATCH(H$1,'UPD Questions_290926 '!$E$1:$N$1,0),0))</f>
        <v>5</v>
      </c>
      <c r="I43" s="83" t="str">
        <f aca="true">IF($H43=0,"NA",IF($A43=INDIRECT("'"&amp;$A43&amp;"'!$B$1"),IF(VLOOKUP(I$1,INDIRECT("'"&amp;$A43&amp;"'!$A$12:$Z$41"),MATCH("Points (Auto-generate)",INDIRECT("'"&amp;$A43&amp;"'!$A$12:$Z$12"),0),0)="","?",VLOOKUP(I$1,INDIRECT("'"&amp;$A43&amp;"'!$A$12:$Z$41"),MATCH("Points (Auto-generate)",INDIRECT("'"&amp;$A43&amp;"'!$A$12:$Z$12"),0),0)),"ER"))</f>
        <v>?</v>
      </c>
      <c r="J43" s="83" t="n">
        <f aca="true">IF($H43=0,"NA",IF($A43=INDIRECT("'"&amp;$A43&amp;"'!$B$1"),IF(VLOOKUP(J$1,INDIRECT("'"&amp;$A43&amp;"'!$A$12:$Z$41"),MATCH("Points (Auto-generate)",INDIRECT("'"&amp;$A43&amp;"'!$A$12:$Z$12"),0),0)="","?",VLOOKUP(J$1,INDIRECT("'"&amp;$A43&amp;"'!$A$12:$Z$41"),MATCH("Points (Auto-generate)",INDIRECT("'"&amp;$A43&amp;"'!$A$12:$Z$12"),0),0)),"ER"))</f>
        <v>0</v>
      </c>
      <c r="K43" s="83" t="str">
        <f aca="true">IF($H43=0,"NA",IF($A43=INDIRECT("'"&amp;$A43&amp;"'!$B$1"),IF(VLOOKUP(K$1,INDIRECT("'"&amp;$A43&amp;"'!$A$12:$Z$41"),MATCH("Points (Auto-generate)",INDIRECT("'"&amp;$A43&amp;"'!$A$12:$Z$12"),0),0)="","?",VLOOKUP(K$1,INDIRECT("'"&amp;$A43&amp;"'!$A$12:$Z$41"),MATCH("Points (Auto-generate)",INDIRECT("'"&amp;$A43&amp;"'!$A$12:$Z$12"),0),0)),"ER"))</f>
        <v>?</v>
      </c>
      <c r="L43" s="83" t="str">
        <f aca="true">IF($H43=0,"NA",IF($A43=INDIRECT("'"&amp;$A43&amp;"'!$B$1"),IF(VLOOKUP(L$1,INDIRECT("'"&amp;$A43&amp;"'!$A$12:$Z$41"),MATCH("Points (Auto-generate)",INDIRECT("'"&amp;$A43&amp;"'!$A$12:$Z$12"),0),0)="","?",VLOOKUP(L$1,INDIRECT("'"&amp;$A43&amp;"'!$A$12:$Z$41"),MATCH("Points (Auto-generate)",INDIRECT("'"&amp;$A43&amp;"'!$A$12:$Z$12"),0),0)),"ER"))</f>
        <v>?</v>
      </c>
      <c r="M43" s="83" t="str">
        <f aca="true">IF($H43=0,"NA",IF($A43=INDIRECT("'"&amp;$A43&amp;"'!$B$1"),IF(VLOOKUP(M$1,INDIRECT("'"&amp;$A43&amp;"'!$A$12:$Z$41"),MATCH("Points (Auto-generate)",INDIRECT("'"&amp;$A43&amp;"'!$A$12:$Z$12"),0),0)="","?",VLOOKUP(M$1,INDIRECT("'"&amp;$A43&amp;"'!$A$12:$Z$41"),MATCH("Points (Auto-generate)",INDIRECT("'"&amp;$A43&amp;"'!$A$12:$Z$12"),0),0)),"ER"))</f>
        <v>?</v>
      </c>
      <c r="N43" s="83" t="str">
        <f aca="true">IF($H43=0,"NA",IF($A43=INDIRECT("'"&amp;$A43&amp;"'!$B$1"),IF(VLOOKUP(N$1,INDIRECT("'"&amp;$A43&amp;"'!$A$12:$Z$41"),MATCH("Points (Auto-generate)",INDIRECT("'"&amp;$A43&amp;"'!$A$12:$Z$12"),0),0)="","?",VLOOKUP(N$1,INDIRECT("'"&amp;$A43&amp;"'!$A$12:$Z$41"),MATCH("Points (Auto-generate)",INDIRECT("'"&amp;$A43&amp;"'!$A$12:$Z$12"),0),0)),"ER"))</f>
        <v>?</v>
      </c>
      <c r="O43" s="83" t="str">
        <f aca="true">IF($H43=0,"NA",IF($A43=INDIRECT("'"&amp;$A43&amp;"'!$B$1"),IF(VLOOKUP(O$1,INDIRECT("'"&amp;$A43&amp;"'!$A$12:$Z$41"),MATCH("Points (Auto-generate)",INDIRECT("'"&amp;$A43&amp;"'!$A$12:$Z$12"),0),0)="","?",VLOOKUP(O$1,INDIRECT("'"&amp;$A43&amp;"'!$A$12:$Z$41"),MATCH("Points (Auto-generate)",INDIRECT("'"&amp;$A43&amp;"'!$A$12:$Z$12"),0),0)),"ER"))</f>
        <v>?</v>
      </c>
      <c r="P43" s="83" t="str">
        <f aca="true">IF($H43=0,"NA",IF($A43=INDIRECT("'"&amp;$A43&amp;"'!$B$1"),IF(VLOOKUP(P$1,INDIRECT("'"&amp;$A43&amp;"'!$A$12:$Z$41"),MATCH("Points (Auto-generate)",INDIRECT("'"&amp;$A43&amp;"'!$A$12:$Z$12"),0),0)="","?",VLOOKUP(P$1,INDIRECT("'"&amp;$A43&amp;"'!$A$12:$Z$41"),MATCH("Points (Auto-generate)",INDIRECT("'"&amp;$A43&amp;"'!$A$12:$Z$12"),0),0)),"ER"))</f>
        <v>?</v>
      </c>
      <c r="Q43" s="83" t="str">
        <f aca="true">IF($H43=0,"NA",IF($A43=INDIRECT("'"&amp;$A43&amp;"'!$B$1"),IF(VLOOKUP(Q$1,INDIRECT("'"&amp;$A43&amp;"'!$A$12:$Z$41"),MATCH("Points (Auto-generate)",INDIRECT("'"&amp;$A43&amp;"'!$A$12:$Z$12"),0),0)="","?",VLOOKUP(Q$1,INDIRECT("'"&amp;$A43&amp;"'!$A$12:$Z$41"),MATCH("Points (Auto-generate)",INDIRECT("'"&amp;$A43&amp;"'!$A$12:$Z$12"),0),0)),"ER"))</f>
        <v>?</v>
      </c>
      <c r="R43" s="83" t="str">
        <f aca="true">IF($H43=0,"NA",IF($A43=INDIRECT("'"&amp;$A43&amp;"'!$B$1"),IF(VLOOKUP(R$1,INDIRECT("'"&amp;$A43&amp;"'!$A$12:$Z$41"),MATCH("Points (Auto-generate)",INDIRECT("'"&amp;$A43&amp;"'!$A$12:$Z$12"),0),0)="","?",VLOOKUP(R$1,INDIRECT("'"&amp;$A43&amp;"'!$A$12:$Z$41"),MATCH("Points (Auto-generate)",INDIRECT("'"&amp;$A43&amp;"'!$A$12:$Z$12"),0),0)),"ER"))</f>
        <v>?</v>
      </c>
      <c r="S43" s="83" t="str">
        <f aca="true">IF($H43=0,"NA",IF($A43=INDIRECT("'"&amp;$A43&amp;"'!$B$1"),IF(VLOOKUP(S$1,INDIRECT("'"&amp;$A43&amp;"'!$A$12:$Z$41"),MATCH("Points (Auto-generate)",INDIRECT("'"&amp;$A43&amp;"'!$A$12:$Z$12"),0),0)="","?",VLOOKUP(S$1,INDIRECT("'"&amp;$A43&amp;"'!$A$12:$Z$41"),MATCH("Points (Auto-generate)",INDIRECT("'"&amp;$A43&amp;"'!$A$12:$Z$12"),0),0)),"ER"))</f>
        <v>?</v>
      </c>
      <c r="T43" s="83" t="str">
        <f aca="true">IF($H43=0,"NA",IF($A43=INDIRECT("'"&amp;$A43&amp;"'!$B$1"),IF(VLOOKUP(T$1,INDIRECT("'"&amp;$A43&amp;"'!$A$12:$Z$41"),MATCH("Points (Auto-generate)",INDIRECT("'"&amp;$A43&amp;"'!$A$12:$Z$12"),0),0)="","?",VLOOKUP(T$1,INDIRECT("'"&amp;$A43&amp;"'!$A$12:$Z$41"),MATCH("Points (Auto-generate)",INDIRECT("'"&amp;$A43&amp;"'!$A$12:$Z$12"),0),0)),"ER"))</f>
        <v>?</v>
      </c>
      <c r="U43" s="83" t="str">
        <f aca="true">IF($H43=0,"NA",IF($A43=INDIRECT("'"&amp;$A43&amp;"'!$B$1"),IF(VLOOKUP(U$1,INDIRECT("'"&amp;$A43&amp;"'!$A$12:$Z$41"),MATCH("Points (Auto-generate)",INDIRECT("'"&amp;$A43&amp;"'!$A$12:$Z$12"),0),0)="","?",VLOOKUP(U$1,INDIRECT("'"&amp;$A43&amp;"'!$A$12:$Z$41"),MATCH("Points (Auto-generate)",INDIRECT("'"&amp;$A43&amp;"'!$A$12:$Z$12"),0),0)),"ER"))</f>
        <v>?</v>
      </c>
      <c r="V43" s="83" t="str">
        <f aca="true">IF($H43=0,"NA",IF($A43=INDIRECT("'"&amp;$A43&amp;"'!$B$1"),IF(VLOOKUP(V$1,INDIRECT("'"&amp;$A43&amp;"'!$A$12:$Z$41"),MATCH("Points (Auto-generate)",INDIRECT("'"&amp;$A43&amp;"'!$A$12:$Z$12"),0),0)="","?",VLOOKUP(V$1,INDIRECT("'"&amp;$A43&amp;"'!$A$12:$Z$41"),MATCH("Points (Auto-generate)",INDIRECT("'"&amp;$A43&amp;"'!$A$12:$Z$12"),0),0)),"ER"))</f>
        <v>?</v>
      </c>
      <c r="W43" s="83" t="str">
        <f aca="true">IF($H43=0,"NA",IF($A43=INDIRECT("'"&amp;$A43&amp;"'!$B$1"),IF(VLOOKUP(W$1,INDIRECT("'"&amp;$A43&amp;"'!$A$12:$Z$41"),MATCH("Points (Auto-generate)",INDIRECT("'"&amp;$A43&amp;"'!$A$12:$Z$12"),0),0)="","?",VLOOKUP(W$1,INDIRECT("'"&amp;$A43&amp;"'!$A$12:$Z$41"),MATCH("Points (Auto-generate)",INDIRECT("'"&amp;$A43&amp;"'!$A$12:$Z$12"),0),0)),"ER"))</f>
        <v>?</v>
      </c>
      <c r="X43" s="83" t="str">
        <f aca="true">IF($H43=0,"NA",IF($A43=INDIRECT("'"&amp;$A43&amp;"'!$B$1"),IF(VLOOKUP(X$1,INDIRECT("'"&amp;$A43&amp;"'!$A$12:$Z$41"),MATCH("Points (Auto-generate)",INDIRECT("'"&amp;$A43&amp;"'!$A$12:$Z$12"),0),0)="","?",VLOOKUP(X$1,INDIRECT("'"&amp;$A43&amp;"'!$A$12:$Z$41"),MATCH("Points (Auto-generate)",INDIRECT("'"&amp;$A43&amp;"'!$A$12:$Z$12"),0),0)),"ER"))</f>
        <v>?</v>
      </c>
      <c r="Y43" s="83" t="str">
        <f aca="true">IF($H43=0,"NA",IF($A43=INDIRECT("'"&amp;$A43&amp;"'!$B$1"),IF(VLOOKUP(Y$1,INDIRECT("'"&amp;$A43&amp;"'!$A$12:$Z$41"),MATCH("Points (Auto-generate)",INDIRECT("'"&amp;$A43&amp;"'!$A$12:$Z$12"),0),0)="","?",VLOOKUP(Y$1,INDIRECT("'"&amp;$A43&amp;"'!$A$12:$Z$41"),MATCH("Points (Auto-generate)",INDIRECT("'"&amp;$A43&amp;"'!$A$12:$Z$12"),0),0)),"ER"))</f>
        <v>?</v>
      </c>
      <c r="Z43" s="83" t="str">
        <f aca="true">IF($H43=0,"NA",IF($A43=INDIRECT("'"&amp;$A43&amp;"'!$B$1"),IF(VLOOKUP(Z$1,INDIRECT("'"&amp;$A43&amp;"'!$A$12:$Z$41"),MATCH("Points (Auto-generate)",INDIRECT("'"&amp;$A43&amp;"'!$A$12:$Z$12"),0),0)="","?",VLOOKUP(Z$1,INDIRECT("'"&amp;$A43&amp;"'!$A$12:$Z$41"),MATCH("Points (Auto-generate)",INDIRECT("'"&amp;$A43&amp;"'!$A$12:$Z$12"),0),0)),"ER"))</f>
        <v>?</v>
      </c>
      <c r="AA43" s="83" t="str">
        <f aca="true">IF($H43=0,"NA",IF($A43=INDIRECT("'"&amp;$A43&amp;"'!$B$1"),IF(VLOOKUP(AA$1,INDIRECT("'"&amp;$A43&amp;"'!$A$12:$Z$41"),MATCH("Points (Auto-generate)",INDIRECT("'"&amp;$A43&amp;"'!$A$12:$Z$12"),0),0)="","?",VLOOKUP(AA$1,INDIRECT("'"&amp;$A43&amp;"'!$A$12:$Z$41"),MATCH("Points (Auto-generate)",INDIRECT("'"&amp;$A43&amp;"'!$A$12:$Z$12"),0),0)),"ER"))</f>
        <v>?</v>
      </c>
      <c r="AB43" s="83" t="str">
        <f aca="true">IF($H43=0,"NA",IF($A43=INDIRECT("'"&amp;$A43&amp;"'!$B$1"),IF(VLOOKUP(AB$1,INDIRECT("'"&amp;$A43&amp;"'!$A$12:$Z$41"),MATCH("Points (Auto-generate)",INDIRECT("'"&amp;$A43&amp;"'!$A$12:$Z$12"),0),0)="","?",VLOOKUP(AB$1,INDIRECT("'"&amp;$A43&amp;"'!$A$12:$Z$41"),MATCH("Points (Auto-generate)",INDIRECT("'"&amp;$A43&amp;"'!$A$12:$Z$12"),0),0)),"ER"))</f>
        <v>?</v>
      </c>
      <c r="AC43" s="83" t="n">
        <f aca="true">IF($H43=0,"NA",IF($A43=INDIRECT("'"&amp;$A43&amp;"'!$B$1"),IF(VLOOKUP(AC$1,INDIRECT("'"&amp;$A43&amp;"'!$A$12:$Z$41"),MATCH("Points (Auto-generate)",INDIRECT("'"&amp;$A43&amp;"'!$A$12:$Z$12"),0),0)="","?",VLOOKUP(AC$1,INDIRECT("'"&amp;$A43&amp;"'!$A$12:$Z$41"),MATCH("Points (Auto-generate)",INDIRECT("'"&amp;$A43&amp;"'!$A$12:$Z$12"),0),0)),"ER"))</f>
        <v>5</v>
      </c>
      <c r="AD43" s="83" t="str">
        <f aca="true">IF($H43=0,"NA",IF($A43=INDIRECT("'"&amp;$A43&amp;"'!$B$1"),IF(VLOOKUP(AD$1,INDIRECT("'"&amp;$A43&amp;"'!$A$12:$Z$41"),MATCH("Points (Auto-generate)",INDIRECT("'"&amp;$A43&amp;"'!$A$12:$Z$12"),0),0)="","?",VLOOKUP(AD$1,INDIRECT("'"&amp;$A43&amp;"'!$A$12:$Z$41"),MATCH("Points (Auto-generate)",INDIRECT("'"&amp;$A43&amp;"'!$A$12:$Z$12"),0),0)),"ER"))</f>
        <v>?</v>
      </c>
      <c r="AE43" s="83" t="str">
        <f aca="true">IF($H43=0,"NA",IF($A43=INDIRECT("'"&amp;$A43&amp;"'!$B$1"),IF(VLOOKUP(AE$1,INDIRECT("'"&amp;$A43&amp;"'!$A$12:$Z$41"),MATCH("Points (Auto-generate)",INDIRECT("'"&amp;$A43&amp;"'!$A$12:$Z$12"),0),0)="","?",VLOOKUP(AE$1,INDIRECT("'"&amp;$A43&amp;"'!$A$12:$Z$41"),MATCH("Points (Auto-generate)",INDIRECT("'"&amp;$A43&amp;"'!$A$12:$Z$12"),0),0)),"ER"))</f>
        <v>?</v>
      </c>
      <c r="AF43" s="83" t="str">
        <f aca="true">IF($H43=0,"NA",IF($A43=INDIRECT("'"&amp;$A43&amp;"'!$B$1"),IF(VLOOKUP(AF$1,INDIRECT("'"&amp;$A43&amp;"'!$A$12:$Z$41"),MATCH("Points (Auto-generate)",INDIRECT("'"&amp;$A43&amp;"'!$A$12:$Z$12"),0),0)="","?",VLOOKUP(AF$1,INDIRECT("'"&amp;$A43&amp;"'!$A$12:$Z$41"),MATCH("Points (Auto-generate)",INDIRECT("'"&amp;$A43&amp;"'!$A$12:$Z$12"),0),0)),"ER"))</f>
        <v>?</v>
      </c>
      <c r="AG43" s="83" t="str">
        <f aca="true">IF($H43=0,"NA",IF($A43=INDIRECT("'"&amp;$A43&amp;"'!$B$1"),IF(VLOOKUP(AG$1,INDIRECT("'"&amp;$A43&amp;"'!$A$12:$Z$41"),MATCH("Points (Auto-generate)",INDIRECT("'"&amp;$A43&amp;"'!$A$12:$Z$12"),0),0)="","?",VLOOKUP(AG$1,INDIRECT("'"&amp;$A43&amp;"'!$A$12:$Z$41"),MATCH("Points (Auto-generate)",INDIRECT("'"&amp;$A43&amp;"'!$A$12:$Z$12"),0),0)),"ER"))</f>
        <v>?</v>
      </c>
      <c r="AH43" s="83" t="str">
        <f aca="true">IF($H43=0,"NA",IF($A43=INDIRECT("'"&amp;$A43&amp;"'!$B$1"),IF(VLOOKUP(AH$1,INDIRECT("'"&amp;$A43&amp;"'!$A$12:$Z$41"),MATCH("Points (Auto-generate)",INDIRECT("'"&amp;$A43&amp;"'!$A$12:$Z$12"),0),0)="","?",VLOOKUP(AH$1,INDIRECT("'"&amp;$A43&amp;"'!$A$12:$Z$41"),MATCH("Points (Auto-generate)",INDIRECT("'"&amp;$A43&amp;"'!$A$12:$Z$12"),0),0)),"ER"))</f>
        <v>?</v>
      </c>
      <c r="AI43" s="83" t="str">
        <f aca="true">IF($H43=0,"NA",IF($A43=INDIRECT("'"&amp;$A43&amp;"'!$B$1"),IF(VLOOKUP(AI$1,INDIRECT("'"&amp;$A43&amp;"'!$A$12:$Z$41"),MATCH("Points (Auto-generate)",INDIRECT("'"&amp;$A43&amp;"'!$A$12:$Z$12"),0),0)="","?",VLOOKUP(AI$1,INDIRECT("'"&amp;$A43&amp;"'!$A$12:$Z$41"),MATCH("Points (Auto-generate)",INDIRECT("'"&amp;$A43&amp;"'!$A$12:$Z$12"),0),0)),"ER"))</f>
        <v>?</v>
      </c>
      <c r="AJ43" s="83" t="str">
        <f aca="true">IF($H43=0,"NA",IF($A43=INDIRECT("'"&amp;$A43&amp;"'!$B$1"),IF(VLOOKUP(AJ$1,INDIRECT("'"&amp;$A43&amp;"'!$A$12:$Z$41"),MATCH("Points (Auto-generate)",INDIRECT("'"&amp;$A43&amp;"'!$A$12:$Z$12"),0),0)="","?",VLOOKUP(AJ$1,INDIRECT("'"&amp;$A43&amp;"'!$A$12:$Z$41"),MATCH("Points (Auto-generate)",INDIRECT("'"&amp;$A43&amp;"'!$A$12:$Z$12"),0),0)),"ER"))</f>
        <v>?</v>
      </c>
      <c r="AK43" s="83" t="str">
        <f aca="true">IF($H43=0,"NA",IF($A43=INDIRECT("'"&amp;$A43&amp;"'!$B$1"),IF(VLOOKUP(AK$1,INDIRECT("'"&amp;$A43&amp;"'!$A$12:$Z$41"),MATCH("Points (Auto-generate)",INDIRECT("'"&amp;$A43&amp;"'!$A$12:$Z$12"),0),0)="","?",VLOOKUP(AK$1,INDIRECT("'"&amp;$A43&amp;"'!$A$12:$Z$41"),MATCH("Points (Auto-generate)",INDIRECT("'"&amp;$A43&amp;"'!$A$12:$Z$12"),0),0)),"ER"))</f>
        <v>?</v>
      </c>
    </row>
    <row r="44" customFormat="false" ht="14.25" hidden="false" customHeight="false" outlineLevel="0" collapsed="false">
      <c r="A44" s="79" t="s">
        <v>187</v>
      </c>
      <c r="B44" s="80" t="str">
        <f aca="false">IF(ISBLANK($A44),"NO_CODE",VLOOKUP($A44,'UPD Questions_290926 '!$E$1:$N$300,MATCH(B$1,'UPD Questions_290926 '!$E$1:$N$1,0),0)&amp;"")</f>
        <v>Implementation</v>
      </c>
      <c r="C44" s="80" t="str">
        <f aca="false">IF(ISBLANK($A44),"NO_CODE",VLOOKUP($A44,'UPD Questions_290926 '!$E$1:$N$300,MATCH(C$1,'UPD Questions_290926 '!$E$1:$N$1,0),0)&amp;"")</f>
        <v>Municipal/City Plan status, hierarchy and coordination</v>
      </c>
      <c r="D44" s="80" t="str">
        <f aca="false">IF(ISBLANK($A44),"NO_CODE",VLOOKUP($A44,'UPD Questions_290926 '!$E$1:$N$300,MATCH(D$1,'UPD Questions_290926 '!$E$1:$N$1,0),0)&amp;"")</f>
        <v>Objectives of the Municipal/City Plan</v>
      </c>
      <c r="E44" s="80" t="str">
        <f aca="false">IF(ISBLANK($A44),"NO_CODE",VLOOKUP($A44,'UPD Questions_290926 '!$E$1:$N$300,MATCH(E$1,'UPD Questions_290926 '!$E$1:$N$1,0),0)&amp;"")</f>
        <v>SQ</v>
      </c>
      <c r="F44" s="80" t="str">
        <f aca="false">IF(ISBLANK($A44),"NO_CODE",VLOOKUP($A44,'UPD Questions_290926 '!$E$1:$N$300,MATCH(F$1,'UPD Questions_290926 '!$E$1:$N$1,0),0)&amp;"")</f>
        <v>b) Heritage Conservation </v>
      </c>
      <c r="G44" s="80" t="str">
        <f aca="false">IF(ISBLANK($A44),"NO_CODE",VLOOKUP($A44,'UPD Questions_290926 '!$E$1:$N$300,MATCH(G$1,'UPD Questions_290926 '!$E$1:$N$1,0),0)&amp;"")</f>
        <v>Implementation</v>
      </c>
      <c r="H44" s="82" t="n">
        <f aca="false">IF(ISBLANK($A44),"NO_CODE",VLOOKUP($A44,'UPD Questions_290926 '!$E$1:$N$300,MATCH(H$1,'UPD Questions_290926 '!$E$1:$N$1,0),0))</f>
        <v>5</v>
      </c>
      <c r="I44" s="83" t="str">
        <f aca="true">IF($H44=0,"NA",IF($A44=INDIRECT("'"&amp;$A44&amp;"'!$B$1"),IF(VLOOKUP(I$1,INDIRECT("'"&amp;$A44&amp;"'!$A$12:$Z$41"),MATCH("Points (Auto-generate)",INDIRECT("'"&amp;$A44&amp;"'!$A$12:$Z$12"),0),0)="","?",VLOOKUP(I$1,INDIRECT("'"&amp;$A44&amp;"'!$A$12:$Z$41"),MATCH("Points (Auto-generate)",INDIRECT("'"&amp;$A44&amp;"'!$A$12:$Z$12"),0),0)),"ER"))</f>
        <v>?</v>
      </c>
      <c r="J44" s="83" t="n">
        <f aca="true">IF($H44=0,"NA",IF($A44=INDIRECT("'"&amp;$A44&amp;"'!$B$1"),IF(VLOOKUP(J$1,INDIRECT("'"&amp;$A44&amp;"'!$A$12:$Z$41"),MATCH("Points (Auto-generate)",INDIRECT("'"&amp;$A44&amp;"'!$A$12:$Z$12"),0),0)="","?",VLOOKUP(J$1,INDIRECT("'"&amp;$A44&amp;"'!$A$12:$Z$41"),MATCH("Points (Auto-generate)",INDIRECT("'"&amp;$A44&amp;"'!$A$12:$Z$12"),0),0)),"ER"))</f>
        <v>0</v>
      </c>
      <c r="K44" s="83" t="str">
        <f aca="true">IF($H44=0,"NA",IF($A44=INDIRECT("'"&amp;$A44&amp;"'!$B$1"),IF(VLOOKUP(K$1,INDIRECT("'"&amp;$A44&amp;"'!$A$12:$Z$41"),MATCH("Points (Auto-generate)",INDIRECT("'"&amp;$A44&amp;"'!$A$12:$Z$12"),0),0)="","?",VLOOKUP(K$1,INDIRECT("'"&amp;$A44&amp;"'!$A$12:$Z$41"),MATCH("Points (Auto-generate)",INDIRECT("'"&amp;$A44&amp;"'!$A$12:$Z$12"),0),0)),"ER"))</f>
        <v>?</v>
      </c>
      <c r="L44" s="83" t="str">
        <f aca="true">IF($H44=0,"NA",IF($A44=INDIRECT("'"&amp;$A44&amp;"'!$B$1"),IF(VLOOKUP(L$1,INDIRECT("'"&amp;$A44&amp;"'!$A$12:$Z$41"),MATCH("Points (Auto-generate)",INDIRECT("'"&amp;$A44&amp;"'!$A$12:$Z$12"),0),0)="","?",VLOOKUP(L$1,INDIRECT("'"&amp;$A44&amp;"'!$A$12:$Z$41"),MATCH("Points (Auto-generate)",INDIRECT("'"&amp;$A44&amp;"'!$A$12:$Z$12"),0),0)),"ER"))</f>
        <v>?</v>
      </c>
      <c r="M44" s="83" t="str">
        <f aca="true">IF($H44=0,"NA",IF($A44=INDIRECT("'"&amp;$A44&amp;"'!$B$1"),IF(VLOOKUP(M$1,INDIRECT("'"&amp;$A44&amp;"'!$A$12:$Z$41"),MATCH("Points (Auto-generate)",INDIRECT("'"&amp;$A44&amp;"'!$A$12:$Z$12"),0),0)="","?",VLOOKUP(M$1,INDIRECT("'"&amp;$A44&amp;"'!$A$12:$Z$41"),MATCH("Points (Auto-generate)",INDIRECT("'"&amp;$A44&amp;"'!$A$12:$Z$12"),0),0)),"ER"))</f>
        <v>?</v>
      </c>
      <c r="N44" s="83" t="str">
        <f aca="true">IF($H44=0,"NA",IF($A44=INDIRECT("'"&amp;$A44&amp;"'!$B$1"),IF(VLOOKUP(N$1,INDIRECT("'"&amp;$A44&amp;"'!$A$12:$Z$41"),MATCH("Points (Auto-generate)",INDIRECT("'"&amp;$A44&amp;"'!$A$12:$Z$12"),0),0)="","?",VLOOKUP(N$1,INDIRECT("'"&amp;$A44&amp;"'!$A$12:$Z$41"),MATCH("Points (Auto-generate)",INDIRECT("'"&amp;$A44&amp;"'!$A$12:$Z$12"),0),0)),"ER"))</f>
        <v>?</v>
      </c>
      <c r="O44" s="83" t="str">
        <f aca="true">IF($H44=0,"NA",IF($A44=INDIRECT("'"&amp;$A44&amp;"'!$B$1"),IF(VLOOKUP(O$1,INDIRECT("'"&amp;$A44&amp;"'!$A$12:$Z$41"),MATCH("Points (Auto-generate)",INDIRECT("'"&amp;$A44&amp;"'!$A$12:$Z$12"),0),0)="","?",VLOOKUP(O$1,INDIRECT("'"&amp;$A44&amp;"'!$A$12:$Z$41"),MATCH("Points (Auto-generate)",INDIRECT("'"&amp;$A44&amp;"'!$A$12:$Z$12"),0),0)),"ER"))</f>
        <v>?</v>
      </c>
      <c r="P44" s="83" t="str">
        <f aca="true">IF($H44=0,"NA",IF($A44=INDIRECT("'"&amp;$A44&amp;"'!$B$1"),IF(VLOOKUP(P$1,INDIRECT("'"&amp;$A44&amp;"'!$A$12:$Z$41"),MATCH("Points (Auto-generate)",INDIRECT("'"&amp;$A44&amp;"'!$A$12:$Z$12"),0),0)="","?",VLOOKUP(P$1,INDIRECT("'"&amp;$A44&amp;"'!$A$12:$Z$41"),MATCH("Points (Auto-generate)",INDIRECT("'"&amp;$A44&amp;"'!$A$12:$Z$12"),0),0)),"ER"))</f>
        <v>?</v>
      </c>
      <c r="Q44" s="83" t="str">
        <f aca="true">IF($H44=0,"NA",IF($A44=INDIRECT("'"&amp;$A44&amp;"'!$B$1"),IF(VLOOKUP(Q$1,INDIRECT("'"&amp;$A44&amp;"'!$A$12:$Z$41"),MATCH("Points (Auto-generate)",INDIRECT("'"&amp;$A44&amp;"'!$A$12:$Z$12"),0),0)="","?",VLOOKUP(Q$1,INDIRECT("'"&amp;$A44&amp;"'!$A$12:$Z$41"),MATCH("Points (Auto-generate)",INDIRECT("'"&amp;$A44&amp;"'!$A$12:$Z$12"),0),0)),"ER"))</f>
        <v>?</v>
      </c>
      <c r="R44" s="83" t="str">
        <f aca="true">IF($H44=0,"NA",IF($A44=INDIRECT("'"&amp;$A44&amp;"'!$B$1"),IF(VLOOKUP(R$1,INDIRECT("'"&amp;$A44&amp;"'!$A$12:$Z$41"),MATCH("Points (Auto-generate)",INDIRECT("'"&amp;$A44&amp;"'!$A$12:$Z$12"),0),0)="","?",VLOOKUP(R$1,INDIRECT("'"&amp;$A44&amp;"'!$A$12:$Z$41"),MATCH("Points (Auto-generate)",INDIRECT("'"&amp;$A44&amp;"'!$A$12:$Z$12"),0),0)),"ER"))</f>
        <v>?</v>
      </c>
      <c r="S44" s="83" t="str">
        <f aca="true">IF($H44=0,"NA",IF($A44=INDIRECT("'"&amp;$A44&amp;"'!$B$1"),IF(VLOOKUP(S$1,INDIRECT("'"&amp;$A44&amp;"'!$A$12:$Z$41"),MATCH("Points (Auto-generate)",INDIRECT("'"&amp;$A44&amp;"'!$A$12:$Z$12"),0),0)="","?",VLOOKUP(S$1,INDIRECT("'"&amp;$A44&amp;"'!$A$12:$Z$41"),MATCH("Points (Auto-generate)",INDIRECT("'"&amp;$A44&amp;"'!$A$12:$Z$12"),0),0)),"ER"))</f>
        <v>?</v>
      </c>
      <c r="T44" s="83" t="str">
        <f aca="true">IF($H44=0,"NA",IF($A44=INDIRECT("'"&amp;$A44&amp;"'!$B$1"),IF(VLOOKUP(T$1,INDIRECT("'"&amp;$A44&amp;"'!$A$12:$Z$41"),MATCH("Points (Auto-generate)",INDIRECT("'"&amp;$A44&amp;"'!$A$12:$Z$12"),0),0)="","?",VLOOKUP(T$1,INDIRECT("'"&amp;$A44&amp;"'!$A$12:$Z$41"),MATCH("Points (Auto-generate)",INDIRECT("'"&amp;$A44&amp;"'!$A$12:$Z$12"),0),0)),"ER"))</f>
        <v>?</v>
      </c>
      <c r="U44" s="83" t="str">
        <f aca="true">IF($H44=0,"NA",IF($A44=INDIRECT("'"&amp;$A44&amp;"'!$B$1"),IF(VLOOKUP(U$1,INDIRECT("'"&amp;$A44&amp;"'!$A$12:$Z$41"),MATCH("Points (Auto-generate)",INDIRECT("'"&amp;$A44&amp;"'!$A$12:$Z$12"),0),0)="","?",VLOOKUP(U$1,INDIRECT("'"&amp;$A44&amp;"'!$A$12:$Z$41"),MATCH("Points (Auto-generate)",INDIRECT("'"&amp;$A44&amp;"'!$A$12:$Z$12"),0),0)),"ER"))</f>
        <v>?</v>
      </c>
      <c r="V44" s="83" t="str">
        <f aca="true">IF($H44=0,"NA",IF($A44=INDIRECT("'"&amp;$A44&amp;"'!$B$1"),IF(VLOOKUP(V$1,INDIRECT("'"&amp;$A44&amp;"'!$A$12:$Z$41"),MATCH("Points (Auto-generate)",INDIRECT("'"&amp;$A44&amp;"'!$A$12:$Z$12"),0),0)="","?",VLOOKUP(V$1,INDIRECT("'"&amp;$A44&amp;"'!$A$12:$Z$41"),MATCH("Points (Auto-generate)",INDIRECT("'"&amp;$A44&amp;"'!$A$12:$Z$12"),0),0)),"ER"))</f>
        <v>?</v>
      </c>
      <c r="W44" s="83" t="str">
        <f aca="true">IF($H44=0,"NA",IF($A44=INDIRECT("'"&amp;$A44&amp;"'!$B$1"),IF(VLOOKUP(W$1,INDIRECT("'"&amp;$A44&amp;"'!$A$12:$Z$41"),MATCH("Points (Auto-generate)",INDIRECT("'"&amp;$A44&amp;"'!$A$12:$Z$12"),0),0)="","?",VLOOKUP(W$1,INDIRECT("'"&amp;$A44&amp;"'!$A$12:$Z$41"),MATCH("Points (Auto-generate)",INDIRECT("'"&amp;$A44&amp;"'!$A$12:$Z$12"),0),0)),"ER"))</f>
        <v>?</v>
      </c>
      <c r="X44" s="83" t="str">
        <f aca="true">IF($H44=0,"NA",IF($A44=INDIRECT("'"&amp;$A44&amp;"'!$B$1"),IF(VLOOKUP(X$1,INDIRECT("'"&amp;$A44&amp;"'!$A$12:$Z$41"),MATCH("Points (Auto-generate)",INDIRECT("'"&amp;$A44&amp;"'!$A$12:$Z$12"),0),0)="","?",VLOOKUP(X$1,INDIRECT("'"&amp;$A44&amp;"'!$A$12:$Z$41"),MATCH("Points (Auto-generate)",INDIRECT("'"&amp;$A44&amp;"'!$A$12:$Z$12"),0),0)),"ER"))</f>
        <v>?</v>
      </c>
      <c r="Y44" s="83" t="str">
        <f aca="true">IF($H44=0,"NA",IF($A44=INDIRECT("'"&amp;$A44&amp;"'!$B$1"),IF(VLOOKUP(Y$1,INDIRECT("'"&amp;$A44&amp;"'!$A$12:$Z$41"),MATCH("Points (Auto-generate)",INDIRECT("'"&amp;$A44&amp;"'!$A$12:$Z$12"),0),0)="","?",VLOOKUP(Y$1,INDIRECT("'"&amp;$A44&amp;"'!$A$12:$Z$41"),MATCH("Points (Auto-generate)",INDIRECT("'"&amp;$A44&amp;"'!$A$12:$Z$12"),0),0)),"ER"))</f>
        <v>?</v>
      </c>
      <c r="Z44" s="83" t="str">
        <f aca="true">IF($H44=0,"NA",IF($A44=INDIRECT("'"&amp;$A44&amp;"'!$B$1"),IF(VLOOKUP(Z$1,INDIRECT("'"&amp;$A44&amp;"'!$A$12:$Z$41"),MATCH("Points (Auto-generate)",INDIRECT("'"&amp;$A44&amp;"'!$A$12:$Z$12"),0),0)="","?",VLOOKUP(Z$1,INDIRECT("'"&amp;$A44&amp;"'!$A$12:$Z$41"),MATCH("Points (Auto-generate)",INDIRECT("'"&amp;$A44&amp;"'!$A$12:$Z$12"),0),0)),"ER"))</f>
        <v>?</v>
      </c>
      <c r="AA44" s="83" t="str">
        <f aca="true">IF($H44=0,"NA",IF($A44=INDIRECT("'"&amp;$A44&amp;"'!$B$1"),IF(VLOOKUP(AA$1,INDIRECT("'"&amp;$A44&amp;"'!$A$12:$Z$41"),MATCH("Points (Auto-generate)",INDIRECT("'"&amp;$A44&amp;"'!$A$12:$Z$12"),0),0)="","?",VLOOKUP(AA$1,INDIRECT("'"&amp;$A44&amp;"'!$A$12:$Z$41"),MATCH("Points (Auto-generate)",INDIRECT("'"&amp;$A44&amp;"'!$A$12:$Z$12"),0),0)),"ER"))</f>
        <v>?</v>
      </c>
      <c r="AB44" s="83" t="str">
        <f aca="true">IF($H44=0,"NA",IF($A44=INDIRECT("'"&amp;$A44&amp;"'!$B$1"),IF(VLOOKUP(AB$1,INDIRECT("'"&amp;$A44&amp;"'!$A$12:$Z$41"),MATCH("Points (Auto-generate)",INDIRECT("'"&amp;$A44&amp;"'!$A$12:$Z$12"),0),0)="","?",VLOOKUP(AB$1,INDIRECT("'"&amp;$A44&amp;"'!$A$12:$Z$41"),MATCH("Points (Auto-generate)",INDIRECT("'"&amp;$A44&amp;"'!$A$12:$Z$12"),0),0)),"ER"))</f>
        <v>?</v>
      </c>
      <c r="AC44" s="83" t="str">
        <f aca="true">IF($H44=0,"NA",IF($A44=INDIRECT("'"&amp;$A44&amp;"'!$B$1"),IF(VLOOKUP(AC$1,INDIRECT("'"&amp;$A44&amp;"'!$A$12:$Z$41"),MATCH("Points (Auto-generate)",INDIRECT("'"&amp;$A44&amp;"'!$A$12:$Z$12"),0),0)="","?",VLOOKUP(AC$1,INDIRECT("'"&amp;$A44&amp;"'!$A$12:$Z$41"),MATCH("Points (Auto-generate)",INDIRECT("'"&amp;$A44&amp;"'!$A$12:$Z$12"),0),0)),"ER"))</f>
        <v>?</v>
      </c>
      <c r="AD44" s="83" t="str">
        <f aca="true">IF($H44=0,"NA",IF($A44=INDIRECT("'"&amp;$A44&amp;"'!$B$1"),IF(VLOOKUP(AD$1,INDIRECT("'"&amp;$A44&amp;"'!$A$12:$Z$41"),MATCH("Points (Auto-generate)",INDIRECT("'"&amp;$A44&amp;"'!$A$12:$Z$12"),0),0)="","?",VLOOKUP(AD$1,INDIRECT("'"&amp;$A44&amp;"'!$A$12:$Z$41"),MATCH("Points (Auto-generate)",INDIRECT("'"&amp;$A44&amp;"'!$A$12:$Z$12"),0),0)),"ER"))</f>
        <v>?</v>
      </c>
      <c r="AE44" s="83" t="str">
        <f aca="true">IF($H44=0,"NA",IF($A44=INDIRECT("'"&amp;$A44&amp;"'!$B$1"),IF(VLOOKUP(AE$1,INDIRECT("'"&amp;$A44&amp;"'!$A$12:$Z$41"),MATCH("Points (Auto-generate)",INDIRECT("'"&amp;$A44&amp;"'!$A$12:$Z$12"),0),0)="","?",VLOOKUP(AE$1,INDIRECT("'"&amp;$A44&amp;"'!$A$12:$Z$41"),MATCH("Points (Auto-generate)",INDIRECT("'"&amp;$A44&amp;"'!$A$12:$Z$12"),0),0)),"ER"))</f>
        <v>?</v>
      </c>
      <c r="AF44" s="83" t="str">
        <f aca="true">IF($H44=0,"NA",IF($A44=INDIRECT("'"&amp;$A44&amp;"'!$B$1"),IF(VLOOKUP(AF$1,INDIRECT("'"&amp;$A44&amp;"'!$A$12:$Z$41"),MATCH("Points (Auto-generate)",INDIRECT("'"&amp;$A44&amp;"'!$A$12:$Z$12"),0),0)="","?",VLOOKUP(AF$1,INDIRECT("'"&amp;$A44&amp;"'!$A$12:$Z$41"),MATCH("Points (Auto-generate)",INDIRECT("'"&amp;$A44&amp;"'!$A$12:$Z$12"),0),0)),"ER"))</f>
        <v>?</v>
      </c>
      <c r="AG44" s="83" t="str">
        <f aca="true">IF($H44=0,"NA",IF($A44=INDIRECT("'"&amp;$A44&amp;"'!$B$1"),IF(VLOOKUP(AG$1,INDIRECT("'"&amp;$A44&amp;"'!$A$12:$Z$41"),MATCH("Points (Auto-generate)",INDIRECT("'"&amp;$A44&amp;"'!$A$12:$Z$12"),0),0)="","?",VLOOKUP(AG$1,INDIRECT("'"&amp;$A44&amp;"'!$A$12:$Z$41"),MATCH("Points (Auto-generate)",INDIRECT("'"&amp;$A44&amp;"'!$A$12:$Z$12"),0),0)),"ER"))</f>
        <v>?</v>
      </c>
      <c r="AH44" s="83" t="str">
        <f aca="true">IF($H44=0,"NA",IF($A44=INDIRECT("'"&amp;$A44&amp;"'!$B$1"),IF(VLOOKUP(AH$1,INDIRECT("'"&amp;$A44&amp;"'!$A$12:$Z$41"),MATCH("Points (Auto-generate)",INDIRECT("'"&amp;$A44&amp;"'!$A$12:$Z$12"),0),0)="","?",VLOOKUP(AH$1,INDIRECT("'"&amp;$A44&amp;"'!$A$12:$Z$41"),MATCH("Points (Auto-generate)",INDIRECT("'"&amp;$A44&amp;"'!$A$12:$Z$12"),0),0)),"ER"))</f>
        <v>?</v>
      </c>
      <c r="AI44" s="83" t="str">
        <f aca="true">IF($H44=0,"NA",IF($A44=INDIRECT("'"&amp;$A44&amp;"'!$B$1"),IF(VLOOKUP(AI$1,INDIRECT("'"&amp;$A44&amp;"'!$A$12:$Z$41"),MATCH("Points (Auto-generate)",INDIRECT("'"&amp;$A44&amp;"'!$A$12:$Z$12"),0),0)="","?",VLOOKUP(AI$1,INDIRECT("'"&amp;$A44&amp;"'!$A$12:$Z$41"),MATCH("Points (Auto-generate)",INDIRECT("'"&amp;$A44&amp;"'!$A$12:$Z$12"),0),0)),"ER"))</f>
        <v>?</v>
      </c>
      <c r="AJ44" s="83" t="str">
        <f aca="true">IF($H44=0,"NA",IF($A44=INDIRECT("'"&amp;$A44&amp;"'!$B$1"),IF(VLOOKUP(AJ$1,INDIRECT("'"&amp;$A44&amp;"'!$A$12:$Z$41"),MATCH("Points (Auto-generate)",INDIRECT("'"&amp;$A44&amp;"'!$A$12:$Z$12"),0),0)="","?",VLOOKUP(AJ$1,INDIRECT("'"&amp;$A44&amp;"'!$A$12:$Z$41"),MATCH("Points (Auto-generate)",INDIRECT("'"&amp;$A44&amp;"'!$A$12:$Z$12"),0),0)),"ER"))</f>
        <v>?</v>
      </c>
      <c r="AK44" s="83" t="str">
        <f aca="true">IF($H44=0,"NA",IF($A44=INDIRECT("'"&amp;$A44&amp;"'!$B$1"),IF(VLOOKUP(AK$1,INDIRECT("'"&amp;$A44&amp;"'!$A$12:$Z$41"),MATCH("Points (Auto-generate)",INDIRECT("'"&amp;$A44&amp;"'!$A$12:$Z$12"),0),0)="","?",VLOOKUP(AK$1,INDIRECT("'"&amp;$A44&amp;"'!$A$12:$Z$41"),MATCH("Points (Auto-generate)",INDIRECT("'"&amp;$A44&amp;"'!$A$12:$Z$12"),0),0)),"ER"))</f>
        <v>?</v>
      </c>
    </row>
    <row r="45" customFormat="false" ht="14.25" hidden="false" customHeight="false" outlineLevel="0" collapsed="false">
      <c r="A45" s="79" t="s">
        <v>589</v>
      </c>
      <c r="B45" s="80" t="str">
        <f aca="false">IF(ISBLANK($A45),"NO_CODE",VLOOKUP($A45,'UPD Questions_290926 '!$E$1:$N$300,MATCH(B$1,'UPD Questions_290926 '!$E$1:$N$1,0),0)&amp;"")</f>
        <v>Implementation</v>
      </c>
      <c r="C45" s="80" t="str">
        <f aca="false">IF(ISBLANK($A45),"NO_CODE",VLOOKUP($A45,'UPD Questions_290926 '!$E$1:$N$300,MATCH(C$1,'UPD Questions_290926 '!$E$1:$N$1,0),0)&amp;"")</f>
        <v>Municipal/City Plan status, hierarchy and coordination</v>
      </c>
      <c r="D45" s="80" t="str">
        <f aca="false">IF(ISBLANK($A45),"NO_CODE",VLOOKUP($A45,'UPD Questions_290926 '!$E$1:$N$300,MATCH(D$1,'UPD Questions_290926 '!$E$1:$N$1,0),0)&amp;"")</f>
        <v>Objectives of the Municipal/City Plan</v>
      </c>
      <c r="E45" s="80" t="str">
        <f aca="false">IF(ISBLANK($A45),"NO_CODE",VLOOKUP($A45,'UPD Questions_290926 '!$E$1:$N$300,MATCH(E$1,'UPD Questions_290926 '!$E$1:$N$1,0),0)&amp;"")</f>
        <v>MQ</v>
      </c>
      <c r="F45" s="80" t="str">
        <f aca="false">IF(ISBLANK($A45),"NO_CODE",VLOOKUP($A45,'UPD Questions_290926 '!$E$1:$N$300,MATCH(F$1,'UPD Questions_290926 '!$E$1:$N$1,0),0)&amp;"")</f>
        <v>Does the municipal/city plan include objectives on social development (health care, education)?</v>
      </c>
      <c r="G45" s="80" t="str">
        <f aca="false">IF(ISBLANK($A45),"NO_CODE",VLOOKUP($A45,'UPD Questions_290926 '!$E$1:$N$300,MATCH(G$1,'UPD Questions_290926 '!$E$1:$N$1,0),0)&amp;"")</f>
        <v>Implementation</v>
      </c>
      <c r="H45" s="82" t="n">
        <f aca="false">IF(ISBLANK($A45),"NO_CODE",VLOOKUP($A45,'UPD Questions_290926 '!$E$1:$N$300,MATCH(H$1,'UPD Questions_290926 '!$E$1:$N$1,0),0))</f>
        <v>10</v>
      </c>
      <c r="I45" s="83" t="str">
        <f aca="false">IF(OR(I46="ER",I47="ER",I48="ER"),"ER",IF(OR(I46="?",I47="?",I48="?"),"?",IF(AND(I46="NA",I47="NA",I48="NA"),"NA",SUM(I46,I47,I48)/((I46&lt;&gt;"NA")*$H$46+(I47&lt;&gt;"NA")*$H$47+(I48&lt;&gt;"NA")*$H$48)*$H45)))</f>
        <v>?</v>
      </c>
      <c r="J45" s="83" t="n">
        <f aca="false">IF(OR(J46="ER",J47="ER",J48="ER"),"ER",IF(OR(J46="?",J47="?",J48="?"),"?",IF(AND(J46="NA",J47="NA",J48="NA"),"NA",SUM(J46,J47,J48)/((J46&lt;&gt;"NA")*$H$46+(J47&lt;&gt;"NA")*$H$47+(J48&lt;&gt;"NA")*$H$48)*$H45)))</f>
        <v>0</v>
      </c>
      <c r="K45" s="83" t="str">
        <f aca="false">IF(OR(K46="ER",K47="ER",K48="ER"),"ER",IF(OR(K46="?",K47="?",K48="?"),"?",IF(AND(K46="NA",K47="NA",K48="NA"),"NA",SUM(K46,K47,K48)/((K46&lt;&gt;"NA")*$H$46+(K47&lt;&gt;"NA")*$H$47+(K48&lt;&gt;"NA")*$H$48)*$H45)))</f>
        <v>?</v>
      </c>
      <c r="L45" s="83" t="str">
        <f aca="false">IF(OR(L46="ER",L47="ER",L48="ER"),"ER",IF(OR(L46="?",L47="?",L48="?"),"?",IF(AND(L46="NA",L47="NA",L48="NA"),"NA",SUM(L46,L47,L48)/((L46&lt;&gt;"NA")*$H$46+(L47&lt;&gt;"NA")*$H$47+(L48&lt;&gt;"NA")*$H$48)*$H45)))</f>
        <v>?</v>
      </c>
      <c r="M45" s="83" t="str">
        <f aca="false">IF(OR(M46="ER",M47="ER",M48="ER"),"ER",IF(OR(M46="?",M47="?",M48="?"),"?",IF(AND(M46="NA",M47="NA",M48="NA"),"NA",SUM(M46,M47,M48)/((M46&lt;&gt;"NA")*$H$46+(M47&lt;&gt;"NA")*$H$47+(M48&lt;&gt;"NA")*$H$48)*$H45)))</f>
        <v>?</v>
      </c>
      <c r="N45" s="83" t="str">
        <f aca="false">IF(OR(N46="ER",N47="ER",N48="ER"),"ER",IF(OR(N46="?",N47="?",N48="?"),"?",IF(AND(N46="NA",N47="NA",N48="NA"),"NA",SUM(N46,N47,N48)/((N46&lt;&gt;"NA")*$H$46+(N47&lt;&gt;"NA")*$H$47+(N48&lt;&gt;"NA")*$H$48)*$H45)))</f>
        <v>?</v>
      </c>
      <c r="O45" s="83" t="str">
        <f aca="false">IF(OR(O46="ER",O47="ER",O48="ER"),"ER",IF(OR(O46="?",O47="?",O48="?"),"?",IF(AND(O46="NA",O47="NA",O48="NA"),"NA",SUM(O46,O47,O48)/((O46&lt;&gt;"NA")*$H$46+(O47&lt;&gt;"NA")*$H$47+(O48&lt;&gt;"NA")*$H$48)*$H45)))</f>
        <v>?</v>
      </c>
      <c r="P45" s="83" t="str">
        <f aca="false">IF(OR(P46="ER",P47="ER",P48="ER"),"ER",IF(OR(P46="?",P47="?",P48="?"),"?",IF(AND(P46="NA",P47="NA",P48="NA"),"NA",SUM(P46,P47,P48)/((P46&lt;&gt;"NA")*$H$46+(P47&lt;&gt;"NA")*$H$47+(P48&lt;&gt;"NA")*$H$48)*$H45)))</f>
        <v>?</v>
      </c>
      <c r="Q45" s="83" t="str">
        <f aca="false">IF(OR(Q46="ER",Q47="ER",Q48="ER"),"ER",IF(OR(Q46="?",Q47="?",Q48="?"),"?",IF(AND(Q46="NA",Q47="NA",Q48="NA"),"NA",SUM(Q46,Q47,Q48)/((Q46&lt;&gt;"NA")*$H$46+(Q47&lt;&gt;"NA")*$H$47+(Q48&lt;&gt;"NA")*$H$48)*$H45)))</f>
        <v>?</v>
      </c>
      <c r="R45" s="83" t="str">
        <f aca="false">IF(OR(R46="ER",R47="ER",R48="ER"),"ER",IF(OR(R46="?",R47="?",R48="?"),"?",IF(AND(R46="NA",R47="NA",R48="NA"),"NA",SUM(R46,R47,R48)/((R46&lt;&gt;"NA")*$H$46+(R47&lt;&gt;"NA")*$H$47+(R48&lt;&gt;"NA")*$H$48)*$H45)))</f>
        <v>?</v>
      </c>
      <c r="S45" s="83" t="str">
        <f aca="false">IF(OR(S46="ER",S47="ER",S48="ER"),"ER",IF(OR(S46="?",S47="?",S48="?"),"?",IF(AND(S46="NA",S47="NA",S48="NA"),"NA",SUM(S46,S47,S48)/((S46&lt;&gt;"NA")*$H$46+(S47&lt;&gt;"NA")*$H$47+(S48&lt;&gt;"NA")*$H$48)*$H45)))</f>
        <v>?</v>
      </c>
      <c r="T45" s="83" t="str">
        <f aca="false">IF(OR(T46="ER",T47="ER",T48="ER"),"ER",IF(OR(T46="?",T47="?",T48="?"),"?",IF(AND(T46="NA",T47="NA",T48="NA"),"NA",SUM(T46,T47,T48)/((T46&lt;&gt;"NA")*$H$46+(T47&lt;&gt;"NA")*$H$47+(T48&lt;&gt;"NA")*$H$48)*$H45)))</f>
        <v>?</v>
      </c>
      <c r="U45" s="83" t="str">
        <f aca="false">IF(OR(U46="ER",U47="ER",U48="ER"),"ER",IF(OR(U46="?",U47="?",U48="?"),"?",IF(AND(U46="NA",U47="NA",U48="NA"),"NA",SUM(U46,U47,U48)/((U46&lt;&gt;"NA")*$H$46+(U47&lt;&gt;"NA")*$H$47+(U48&lt;&gt;"NA")*$H$48)*$H45)))</f>
        <v>?</v>
      </c>
      <c r="V45" s="83" t="str">
        <f aca="false">IF(OR(V46="ER",V47="ER",V48="ER"),"ER",IF(OR(V46="?",V47="?",V48="?"),"?",IF(AND(V46="NA",V47="NA",V48="NA"),"NA",SUM(V46,V47,V48)/((V46&lt;&gt;"NA")*$H$46+(V47&lt;&gt;"NA")*$H$47+(V48&lt;&gt;"NA")*$H$48)*$H45)))</f>
        <v>?</v>
      </c>
      <c r="W45" s="83" t="str">
        <f aca="false">IF(OR(W46="ER",W47="ER",W48="ER"),"ER",IF(OR(W46="?",W47="?",W48="?"),"?",IF(AND(W46="NA",W47="NA",W48="NA"),"NA",SUM(W46,W47,W48)/((W46&lt;&gt;"NA")*$H$46+(W47&lt;&gt;"NA")*$H$47+(W48&lt;&gt;"NA")*$H$48)*$H45)))</f>
        <v>?</v>
      </c>
      <c r="X45" s="83" t="str">
        <f aca="false">IF(OR(X46="ER",X47="ER",X48="ER"),"ER",IF(OR(X46="?",X47="?",X48="?"),"?",IF(AND(X46="NA",X47="NA",X48="NA"),"NA",SUM(X46,X47,X48)/((X46&lt;&gt;"NA")*$H$46+(X47&lt;&gt;"NA")*$H$47+(X48&lt;&gt;"NA")*$H$48)*$H45)))</f>
        <v>?</v>
      </c>
      <c r="Y45" s="83" t="str">
        <f aca="false">IF(OR(Y46="ER",Y47="ER",Y48="ER"),"ER",IF(OR(Y46="?",Y47="?",Y48="?"),"?",IF(AND(Y46="NA",Y47="NA",Y48="NA"),"NA",SUM(Y46,Y47,Y48)/((Y46&lt;&gt;"NA")*$H$46+(Y47&lt;&gt;"NA")*$H$47+(Y48&lt;&gt;"NA")*$H$48)*$H45)))</f>
        <v>?</v>
      </c>
      <c r="Z45" s="83" t="str">
        <f aca="false">IF(OR(Z46="ER",Z47="ER",Z48="ER"),"ER",IF(OR(Z46="?",Z47="?",Z48="?"),"?",IF(AND(Z46="NA",Z47="NA",Z48="NA"),"NA",SUM(Z46,Z47,Z48)/((Z46&lt;&gt;"NA")*$H$46+(Z47&lt;&gt;"NA")*$H$47+(Z48&lt;&gt;"NA")*$H$48)*$H45)))</f>
        <v>?</v>
      </c>
      <c r="AA45" s="83" t="str">
        <f aca="false">IF(OR(AA46="ER",AA47="ER",AA48="ER"),"ER",IF(OR(AA46="?",AA47="?",AA48="?"),"?",IF(AND(AA46="NA",AA47="NA",AA48="NA"),"NA",SUM(AA46,AA47,AA48)/((AA46&lt;&gt;"NA")*$H$46+(AA47&lt;&gt;"NA")*$H$47+(AA48&lt;&gt;"NA")*$H$48)*$H45)))</f>
        <v>?</v>
      </c>
      <c r="AB45" s="83" t="str">
        <f aca="false">IF(OR(AB46="ER",AB47="ER",AB48="ER"),"ER",IF(OR(AB46="?",AB47="?",AB48="?"),"?",IF(AND(AB46="NA",AB47="NA",AB48="NA"),"NA",SUM(AB46,AB47,AB48)/((AB46&lt;&gt;"NA")*$H$46+(AB47&lt;&gt;"NA")*$H$47+(AB48&lt;&gt;"NA")*$H$48)*$H45)))</f>
        <v>?</v>
      </c>
      <c r="AC45" s="83" t="str">
        <f aca="false">IF(OR(AC46="ER",AC47="ER",AC48="ER"),"ER",IF(OR(AC46="?",AC47="?",AC48="?"),"?",IF(AND(AC46="NA",AC47="NA",AC48="NA"),"NA",SUM(AC46,AC47,AC48)/((AC46&lt;&gt;"NA")*$H$46+(AC47&lt;&gt;"NA")*$H$47+(AC48&lt;&gt;"NA")*$H$48)*$H45)))</f>
        <v>?</v>
      </c>
      <c r="AD45" s="83" t="str">
        <f aca="false">IF(OR(AD46="ER",AD47="ER",AD48="ER"),"ER",IF(OR(AD46="?",AD47="?",AD48="?"),"?",IF(AND(AD46="NA",AD47="NA",AD48="NA"),"NA",SUM(AD46,AD47,AD48)/((AD46&lt;&gt;"NA")*$H$46+(AD47&lt;&gt;"NA")*$H$47+(AD48&lt;&gt;"NA")*$H$48)*$H45)))</f>
        <v>?</v>
      </c>
      <c r="AE45" s="83" t="str">
        <f aca="false">IF(OR(AE46="ER",AE47="ER",AE48="ER"),"ER",IF(OR(AE46="?",AE47="?",AE48="?"),"?",IF(AND(AE46="NA",AE47="NA",AE48="NA"),"NA",SUM(AE46,AE47,AE48)/((AE46&lt;&gt;"NA")*$H$46+(AE47&lt;&gt;"NA")*$H$47+(AE48&lt;&gt;"NA")*$H$48)*$H45)))</f>
        <v>?</v>
      </c>
      <c r="AF45" s="83" t="str">
        <f aca="false">IF(OR(AF46="ER",AF47="ER",AF48="ER"),"ER",IF(OR(AF46="?",AF47="?",AF48="?"),"?",IF(AND(AF46="NA",AF47="NA",AF48="NA"),"NA",SUM(AF46,AF47,AF48)/((AF46&lt;&gt;"NA")*$H$46+(AF47&lt;&gt;"NA")*$H$47+(AF48&lt;&gt;"NA")*$H$48)*$H45)))</f>
        <v>?</v>
      </c>
      <c r="AG45" s="83" t="str">
        <f aca="false">IF(OR(AG46="ER",AG47="ER",AG48="ER"),"ER",IF(OR(AG46="?",AG47="?",AG48="?"),"?",IF(AND(AG46="NA",AG47="NA",AG48="NA"),"NA",SUM(AG46,AG47,AG48)/((AG46&lt;&gt;"NA")*$H$46+(AG47&lt;&gt;"NA")*$H$47+(AG48&lt;&gt;"NA")*$H$48)*$H45)))</f>
        <v>?</v>
      </c>
      <c r="AH45" s="83" t="str">
        <f aca="false">IF(OR(AH46="ER",AH47="ER",AH48="ER"),"ER",IF(OR(AH46="?",AH47="?",AH48="?"),"?",IF(AND(AH46="NA",AH47="NA",AH48="NA"),"NA",SUM(AH46,AH47,AH48)/((AH46&lt;&gt;"NA")*$H$46+(AH47&lt;&gt;"NA")*$H$47+(AH48&lt;&gt;"NA")*$H$48)*$H45)))</f>
        <v>?</v>
      </c>
      <c r="AI45" s="83" t="str">
        <f aca="false">IF(OR(AI46="ER",AI47="ER",AI48="ER"),"ER",IF(OR(AI46="?",AI47="?",AI48="?"),"?",IF(AND(AI46="NA",AI47="NA",AI48="NA"),"NA",SUM(AI46,AI47,AI48)/((AI46&lt;&gt;"NA")*$H$46+(AI47&lt;&gt;"NA")*$H$47+(AI48&lt;&gt;"NA")*$H$48)*$H45)))</f>
        <v>?</v>
      </c>
      <c r="AJ45" s="83" t="str">
        <f aca="false">IF(OR(AJ46="ER",AJ47="ER",AJ48="ER"),"ER",IF(OR(AJ46="?",AJ47="?",AJ48="?"),"?",IF(AND(AJ46="NA",AJ47="NA",AJ48="NA"),"NA",SUM(AJ46,AJ47,AJ48)/((AJ46&lt;&gt;"NA")*$H$46+(AJ47&lt;&gt;"NA")*$H$47+(AJ48&lt;&gt;"NA")*$H$48)*$H45)))</f>
        <v>?</v>
      </c>
      <c r="AK45" s="83" t="str">
        <f aca="false">IF(OR(AK46="ER",AK47="ER",AK48="ER"),"ER",IF(OR(AK46="?",AK47="?",AK48="?"),"?",IF(AND(AK46="NA",AK47="NA",AK48="NA"),"NA",SUM(AK46,AK47,AK48)/((AK46&lt;&gt;"NA")*$H$46+(AK47&lt;&gt;"NA")*$H$47+(AK48&lt;&gt;"NA")*$H$48)*$H45)))</f>
        <v>?</v>
      </c>
    </row>
    <row r="46" customFormat="false" ht="14.25" hidden="false" customHeight="false" outlineLevel="0" collapsed="false">
      <c r="A46" s="79" t="s">
        <v>193</v>
      </c>
      <c r="B46" s="80" t="str">
        <f aca="false">IF(ISBLANK($A46),"NO_CODE",VLOOKUP($A46,'UPD Questions_290926 '!$E$1:$N$300,MATCH(B$1,'UPD Questions_290926 '!$E$1:$N$1,0),0)&amp;"")</f>
        <v>Implementation</v>
      </c>
      <c r="C46" s="80" t="str">
        <f aca="false">IF(ISBLANK($A46),"NO_CODE",VLOOKUP($A46,'UPD Questions_290926 '!$E$1:$N$300,MATCH(C$1,'UPD Questions_290926 '!$E$1:$N$1,0),0)&amp;"")</f>
        <v>Municipal/City Plan status, hierarchy and coordination</v>
      </c>
      <c r="D46" s="80" t="str">
        <f aca="false">IF(ISBLANK($A46),"NO_CODE",VLOOKUP($A46,'UPD Questions_290926 '!$E$1:$N$300,MATCH(D$1,'UPD Questions_290926 '!$E$1:$N$1,0),0)&amp;"")</f>
        <v>Objectives of the Municipal/City Plan</v>
      </c>
      <c r="E46" s="80" t="str">
        <f aca="false">IF(ISBLANK($A46),"NO_CODE",VLOOKUP($A46,'UPD Questions_290926 '!$E$1:$N$300,MATCH(E$1,'UPD Questions_290926 '!$E$1:$N$1,0),0)&amp;"")</f>
        <v>SQ</v>
      </c>
      <c r="F46" s="80" t="str">
        <f aca="false">IF(ISBLANK($A46),"NO_CODE",VLOOKUP($A46,'UPD Questions_290926 '!$E$1:$N$300,MATCH(F$1,'UPD Questions_290926 '!$E$1:$N$1,0),0)&amp;"")</f>
        <v>a) Education </v>
      </c>
      <c r="G46" s="80" t="str">
        <f aca="false">IF(ISBLANK($A46),"NO_CODE",VLOOKUP($A46,'UPD Questions_290926 '!$E$1:$N$300,MATCH(G$1,'UPD Questions_290926 '!$E$1:$N$1,0),0)&amp;"")</f>
        <v>Implementation</v>
      </c>
      <c r="H46" s="82" t="n">
        <f aca="false">IF(ISBLANK($A46),"NO_CODE",VLOOKUP($A46,'UPD Questions_290926 '!$E$1:$N$300,MATCH(H$1,'UPD Questions_290926 '!$E$1:$N$1,0),0))</f>
        <v>3.33</v>
      </c>
      <c r="I46" s="83" t="str">
        <f aca="true">IF($H46=0,"NA",IF($A46=INDIRECT("'"&amp;$A46&amp;"'!$B$1"),IF(VLOOKUP(I$1,INDIRECT("'"&amp;$A46&amp;"'!$A$12:$Z$41"),MATCH("Points (Auto-generate)",INDIRECT("'"&amp;$A46&amp;"'!$A$12:$Z$12"),0),0)="","?",VLOOKUP(I$1,INDIRECT("'"&amp;$A46&amp;"'!$A$12:$Z$41"),MATCH("Points (Auto-generate)",INDIRECT("'"&amp;$A46&amp;"'!$A$12:$Z$12"),0),0)),"ER"))</f>
        <v>?</v>
      </c>
      <c r="J46" s="83" t="n">
        <f aca="true">IF($H46=0,"NA",IF($A46=INDIRECT("'"&amp;$A46&amp;"'!$B$1"),IF(VLOOKUP(J$1,INDIRECT("'"&amp;$A46&amp;"'!$A$12:$Z$41"),MATCH("Points (Auto-generate)",INDIRECT("'"&amp;$A46&amp;"'!$A$12:$Z$12"),0),0)="","?",VLOOKUP(J$1,INDIRECT("'"&amp;$A46&amp;"'!$A$12:$Z$41"),MATCH("Points (Auto-generate)",INDIRECT("'"&amp;$A46&amp;"'!$A$12:$Z$12"),0),0)),"ER"))</f>
        <v>0</v>
      </c>
      <c r="K46" s="83" t="str">
        <f aca="true">IF($H46=0,"NA",IF($A46=INDIRECT("'"&amp;$A46&amp;"'!$B$1"),IF(VLOOKUP(K$1,INDIRECT("'"&amp;$A46&amp;"'!$A$12:$Z$41"),MATCH("Points (Auto-generate)",INDIRECT("'"&amp;$A46&amp;"'!$A$12:$Z$12"),0),0)="","?",VLOOKUP(K$1,INDIRECT("'"&amp;$A46&amp;"'!$A$12:$Z$41"),MATCH("Points (Auto-generate)",INDIRECT("'"&amp;$A46&amp;"'!$A$12:$Z$12"),0),0)),"ER"))</f>
        <v>?</v>
      </c>
      <c r="L46" s="83" t="str">
        <f aca="true">IF($H46=0,"NA",IF($A46=INDIRECT("'"&amp;$A46&amp;"'!$B$1"),IF(VLOOKUP(L$1,INDIRECT("'"&amp;$A46&amp;"'!$A$12:$Z$41"),MATCH("Points (Auto-generate)",INDIRECT("'"&amp;$A46&amp;"'!$A$12:$Z$12"),0),0)="","?",VLOOKUP(L$1,INDIRECT("'"&amp;$A46&amp;"'!$A$12:$Z$41"),MATCH("Points (Auto-generate)",INDIRECT("'"&amp;$A46&amp;"'!$A$12:$Z$12"),0),0)),"ER"))</f>
        <v>?</v>
      </c>
      <c r="M46" s="83" t="str">
        <f aca="true">IF($H46=0,"NA",IF($A46=INDIRECT("'"&amp;$A46&amp;"'!$B$1"),IF(VLOOKUP(M$1,INDIRECT("'"&amp;$A46&amp;"'!$A$12:$Z$41"),MATCH("Points (Auto-generate)",INDIRECT("'"&amp;$A46&amp;"'!$A$12:$Z$12"),0),0)="","?",VLOOKUP(M$1,INDIRECT("'"&amp;$A46&amp;"'!$A$12:$Z$41"),MATCH("Points (Auto-generate)",INDIRECT("'"&amp;$A46&amp;"'!$A$12:$Z$12"),0),0)),"ER"))</f>
        <v>?</v>
      </c>
      <c r="N46" s="83" t="str">
        <f aca="true">IF($H46=0,"NA",IF($A46=INDIRECT("'"&amp;$A46&amp;"'!$B$1"),IF(VLOOKUP(N$1,INDIRECT("'"&amp;$A46&amp;"'!$A$12:$Z$41"),MATCH("Points (Auto-generate)",INDIRECT("'"&amp;$A46&amp;"'!$A$12:$Z$12"),0),0)="","?",VLOOKUP(N$1,INDIRECT("'"&amp;$A46&amp;"'!$A$12:$Z$41"),MATCH("Points (Auto-generate)",INDIRECT("'"&amp;$A46&amp;"'!$A$12:$Z$12"),0),0)),"ER"))</f>
        <v>?</v>
      </c>
      <c r="O46" s="83" t="str">
        <f aca="true">IF($H46=0,"NA",IF($A46=INDIRECT("'"&amp;$A46&amp;"'!$B$1"),IF(VLOOKUP(O$1,INDIRECT("'"&amp;$A46&amp;"'!$A$12:$Z$41"),MATCH("Points (Auto-generate)",INDIRECT("'"&amp;$A46&amp;"'!$A$12:$Z$12"),0),0)="","?",VLOOKUP(O$1,INDIRECT("'"&amp;$A46&amp;"'!$A$12:$Z$41"),MATCH("Points (Auto-generate)",INDIRECT("'"&amp;$A46&amp;"'!$A$12:$Z$12"),0),0)),"ER"))</f>
        <v>?</v>
      </c>
      <c r="P46" s="83" t="str">
        <f aca="true">IF($H46=0,"NA",IF($A46=INDIRECT("'"&amp;$A46&amp;"'!$B$1"),IF(VLOOKUP(P$1,INDIRECT("'"&amp;$A46&amp;"'!$A$12:$Z$41"),MATCH("Points (Auto-generate)",INDIRECT("'"&amp;$A46&amp;"'!$A$12:$Z$12"),0),0)="","?",VLOOKUP(P$1,INDIRECT("'"&amp;$A46&amp;"'!$A$12:$Z$41"),MATCH("Points (Auto-generate)",INDIRECT("'"&amp;$A46&amp;"'!$A$12:$Z$12"),0),0)),"ER"))</f>
        <v>?</v>
      </c>
      <c r="Q46" s="83" t="str">
        <f aca="true">IF($H46=0,"NA",IF($A46=INDIRECT("'"&amp;$A46&amp;"'!$B$1"),IF(VLOOKUP(Q$1,INDIRECT("'"&amp;$A46&amp;"'!$A$12:$Z$41"),MATCH("Points (Auto-generate)",INDIRECT("'"&amp;$A46&amp;"'!$A$12:$Z$12"),0),0)="","?",VLOOKUP(Q$1,INDIRECT("'"&amp;$A46&amp;"'!$A$12:$Z$41"),MATCH("Points (Auto-generate)",INDIRECT("'"&amp;$A46&amp;"'!$A$12:$Z$12"),0),0)),"ER"))</f>
        <v>?</v>
      </c>
      <c r="R46" s="83" t="str">
        <f aca="true">IF($H46=0,"NA",IF($A46=INDIRECT("'"&amp;$A46&amp;"'!$B$1"),IF(VLOOKUP(R$1,INDIRECT("'"&amp;$A46&amp;"'!$A$12:$Z$41"),MATCH("Points (Auto-generate)",INDIRECT("'"&amp;$A46&amp;"'!$A$12:$Z$12"),0),0)="","?",VLOOKUP(R$1,INDIRECT("'"&amp;$A46&amp;"'!$A$12:$Z$41"),MATCH("Points (Auto-generate)",INDIRECT("'"&amp;$A46&amp;"'!$A$12:$Z$12"),0),0)),"ER"))</f>
        <v>?</v>
      </c>
      <c r="S46" s="83" t="str">
        <f aca="true">IF($H46=0,"NA",IF($A46=INDIRECT("'"&amp;$A46&amp;"'!$B$1"),IF(VLOOKUP(S$1,INDIRECT("'"&amp;$A46&amp;"'!$A$12:$Z$41"),MATCH("Points (Auto-generate)",INDIRECT("'"&amp;$A46&amp;"'!$A$12:$Z$12"),0),0)="","?",VLOOKUP(S$1,INDIRECT("'"&amp;$A46&amp;"'!$A$12:$Z$41"),MATCH("Points (Auto-generate)",INDIRECT("'"&amp;$A46&amp;"'!$A$12:$Z$12"),0),0)),"ER"))</f>
        <v>?</v>
      </c>
      <c r="T46" s="83" t="str">
        <f aca="true">IF($H46=0,"NA",IF($A46=INDIRECT("'"&amp;$A46&amp;"'!$B$1"),IF(VLOOKUP(T$1,INDIRECT("'"&amp;$A46&amp;"'!$A$12:$Z$41"),MATCH("Points (Auto-generate)",INDIRECT("'"&amp;$A46&amp;"'!$A$12:$Z$12"),0),0)="","?",VLOOKUP(T$1,INDIRECT("'"&amp;$A46&amp;"'!$A$12:$Z$41"),MATCH("Points (Auto-generate)",INDIRECT("'"&amp;$A46&amp;"'!$A$12:$Z$12"),0),0)),"ER"))</f>
        <v>?</v>
      </c>
      <c r="U46" s="83" t="str">
        <f aca="true">IF($H46=0,"NA",IF($A46=INDIRECT("'"&amp;$A46&amp;"'!$B$1"),IF(VLOOKUP(U$1,INDIRECT("'"&amp;$A46&amp;"'!$A$12:$Z$41"),MATCH("Points (Auto-generate)",INDIRECT("'"&amp;$A46&amp;"'!$A$12:$Z$12"),0),0)="","?",VLOOKUP(U$1,INDIRECT("'"&amp;$A46&amp;"'!$A$12:$Z$41"),MATCH("Points (Auto-generate)",INDIRECT("'"&amp;$A46&amp;"'!$A$12:$Z$12"),0),0)),"ER"))</f>
        <v>?</v>
      </c>
      <c r="V46" s="83" t="str">
        <f aca="true">IF($H46=0,"NA",IF($A46=INDIRECT("'"&amp;$A46&amp;"'!$B$1"),IF(VLOOKUP(V$1,INDIRECT("'"&amp;$A46&amp;"'!$A$12:$Z$41"),MATCH("Points (Auto-generate)",INDIRECT("'"&amp;$A46&amp;"'!$A$12:$Z$12"),0),0)="","?",VLOOKUP(V$1,INDIRECT("'"&amp;$A46&amp;"'!$A$12:$Z$41"),MATCH("Points (Auto-generate)",INDIRECT("'"&amp;$A46&amp;"'!$A$12:$Z$12"),0),0)),"ER"))</f>
        <v>?</v>
      </c>
      <c r="W46" s="83" t="str">
        <f aca="true">IF($H46=0,"NA",IF($A46=INDIRECT("'"&amp;$A46&amp;"'!$B$1"),IF(VLOOKUP(W$1,INDIRECT("'"&amp;$A46&amp;"'!$A$12:$Z$41"),MATCH("Points (Auto-generate)",INDIRECT("'"&amp;$A46&amp;"'!$A$12:$Z$12"),0),0)="","?",VLOOKUP(W$1,INDIRECT("'"&amp;$A46&amp;"'!$A$12:$Z$41"),MATCH("Points (Auto-generate)",INDIRECT("'"&amp;$A46&amp;"'!$A$12:$Z$12"),0),0)),"ER"))</f>
        <v>?</v>
      </c>
      <c r="X46" s="83" t="str">
        <f aca="true">IF($H46=0,"NA",IF($A46=INDIRECT("'"&amp;$A46&amp;"'!$B$1"),IF(VLOOKUP(X$1,INDIRECT("'"&amp;$A46&amp;"'!$A$12:$Z$41"),MATCH("Points (Auto-generate)",INDIRECT("'"&amp;$A46&amp;"'!$A$12:$Z$12"),0),0)="","?",VLOOKUP(X$1,INDIRECT("'"&amp;$A46&amp;"'!$A$12:$Z$41"),MATCH("Points (Auto-generate)",INDIRECT("'"&amp;$A46&amp;"'!$A$12:$Z$12"),0),0)),"ER"))</f>
        <v>?</v>
      </c>
      <c r="Y46" s="83" t="str">
        <f aca="true">IF($H46=0,"NA",IF($A46=INDIRECT("'"&amp;$A46&amp;"'!$B$1"),IF(VLOOKUP(Y$1,INDIRECT("'"&amp;$A46&amp;"'!$A$12:$Z$41"),MATCH("Points (Auto-generate)",INDIRECT("'"&amp;$A46&amp;"'!$A$12:$Z$12"),0),0)="","?",VLOOKUP(Y$1,INDIRECT("'"&amp;$A46&amp;"'!$A$12:$Z$41"),MATCH("Points (Auto-generate)",INDIRECT("'"&amp;$A46&amp;"'!$A$12:$Z$12"),0),0)),"ER"))</f>
        <v>?</v>
      </c>
      <c r="Z46" s="83" t="str">
        <f aca="true">IF($H46=0,"NA",IF($A46=INDIRECT("'"&amp;$A46&amp;"'!$B$1"),IF(VLOOKUP(Z$1,INDIRECT("'"&amp;$A46&amp;"'!$A$12:$Z$41"),MATCH("Points (Auto-generate)",INDIRECT("'"&amp;$A46&amp;"'!$A$12:$Z$12"),0),0)="","?",VLOOKUP(Z$1,INDIRECT("'"&amp;$A46&amp;"'!$A$12:$Z$41"),MATCH("Points (Auto-generate)",INDIRECT("'"&amp;$A46&amp;"'!$A$12:$Z$12"),0),0)),"ER"))</f>
        <v>?</v>
      </c>
      <c r="AA46" s="83" t="str">
        <f aca="true">IF($H46=0,"NA",IF($A46=INDIRECT("'"&amp;$A46&amp;"'!$B$1"),IF(VLOOKUP(AA$1,INDIRECT("'"&amp;$A46&amp;"'!$A$12:$Z$41"),MATCH("Points (Auto-generate)",INDIRECT("'"&amp;$A46&amp;"'!$A$12:$Z$12"),0),0)="","?",VLOOKUP(AA$1,INDIRECT("'"&amp;$A46&amp;"'!$A$12:$Z$41"),MATCH("Points (Auto-generate)",INDIRECT("'"&amp;$A46&amp;"'!$A$12:$Z$12"),0),0)),"ER"))</f>
        <v>?</v>
      </c>
      <c r="AB46" s="83" t="str">
        <f aca="true">IF($H46=0,"NA",IF($A46=INDIRECT("'"&amp;$A46&amp;"'!$B$1"),IF(VLOOKUP(AB$1,INDIRECT("'"&amp;$A46&amp;"'!$A$12:$Z$41"),MATCH("Points (Auto-generate)",INDIRECT("'"&amp;$A46&amp;"'!$A$12:$Z$12"),0),0)="","?",VLOOKUP(AB$1,INDIRECT("'"&amp;$A46&amp;"'!$A$12:$Z$41"),MATCH("Points (Auto-generate)",INDIRECT("'"&amp;$A46&amp;"'!$A$12:$Z$12"),0),0)),"ER"))</f>
        <v>?</v>
      </c>
      <c r="AC46" s="83" t="str">
        <f aca="true">IF($H46=0,"NA",IF($A46=INDIRECT("'"&amp;$A46&amp;"'!$B$1"),IF(VLOOKUP(AC$1,INDIRECT("'"&amp;$A46&amp;"'!$A$12:$Z$41"),MATCH("Points (Auto-generate)",INDIRECT("'"&amp;$A46&amp;"'!$A$12:$Z$12"),0),0)="","?",VLOOKUP(AC$1,INDIRECT("'"&amp;$A46&amp;"'!$A$12:$Z$41"),MATCH("Points (Auto-generate)",INDIRECT("'"&amp;$A46&amp;"'!$A$12:$Z$12"),0),0)),"ER"))</f>
        <v>?</v>
      </c>
      <c r="AD46" s="83" t="str">
        <f aca="true">IF($H46=0,"NA",IF($A46=INDIRECT("'"&amp;$A46&amp;"'!$B$1"),IF(VLOOKUP(AD$1,INDIRECT("'"&amp;$A46&amp;"'!$A$12:$Z$41"),MATCH("Points (Auto-generate)",INDIRECT("'"&amp;$A46&amp;"'!$A$12:$Z$12"),0),0)="","?",VLOOKUP(AD$1,INDIRECT("'"&amp;$A46&amp;"'!$A$12:$Z$41"),MATCH("Points (Auto-generate)",INDIRECT("'"&amp;$A46&amp;"'!$A$12:$Z$12"),0),0)),"ER"))</f>
        <v>?</v>
      </c>
      <c r="AE46" s="83" t="str">
        <f aca="true">IF($H46=0,"NA",IF($A46=INDIRECT("'"&amp;$A46&amp;"'!$B$1"),IF(VLOOKUP(AE$1,INDIRECT("'"&amp;$A46&amp;"'!$A$12:$Z$41"),MATCH("Points (Auto-generate)",INDIRECT("'"&amp;$A46&amp;"'!$A$12:$Z$12"),0),0)="","?",VLOOKUP(AE$1,INDIRECT("'"&amp;$A46&amp;"'!$A$12:$Z$41"),MATCH("Points (Auto-generate)",INDIRECT("'"&amp;$A46&amp;"'!$A$12:$Z$12"),0),0)),"ER"))</f>
        <v>?</v>
      </c>
      <c r="AF46" s="83" t="str">
        <f aca="true">IF($H46=0,"NA",IF($A46=INDIRECT("'"&amp;$A46&amp;"'!$B$1"),IF(VLOOKUP(AF$1,INDIRECT("'"&amp;$A46&amp;"'!$A$12:$Z$41"),MATCH("Points (Auto-generate)",INDIRECT("'"&amp;$A46&amp;"'!$A$12:$Z$12"),0),0)="","?",VLOOKUP(AF$1,INDIRECT("'"&amp;$A46&amp;"'!$A$12:$Z$41"),MATCH("Points (Auto-generate)",INDIRECT("'"&amp;$A46&amp;"'!$A$12:$Z$12"),0),0)),"ER"))</f>
        <v>?</v>
      </c>
      <c r="AG46" s="83" t="str">
        <f aca="true">IF($H46=0,"NA",IF($A46=INDIRECT("'"&amp;$A46&amp;"'!$B$1"),IF(VLOOKUP(AG$1,INDIRECT("'"&amp;$A46&amp;"'!$A$12:$Z$41"),MATCH("Points (Auto-generate)",INDIRECT("'"&amp;$A46&amp;"'!$A$12:$Z$12"),0),0)="","?",VLOOKUP(AG$1,INDIRECT("'"&amp;$A46&amp;"'!$A$12:$Z$41"),MATCH("Points (Auto-generate)",INDIRECT("'"&amp;$A46&amp;"'!$A$12:$Z$12"),0),0)),"ER"))</f>
        <v>?</v>
      </c>
      <c r="AH46" s="83" t="str">
        <f aca="true">IF($H46=0,"NA",IF($A46=INDIRECT("'"&amp;$A46&amp;"'!$B$1"),IF(VLOOKUP(AH$1,INDIRECT("'"&amp;$A46&amp;"'!$A$12:$Z$41"),MATCH("Points (Auto-generate)",INDIRECT("'"&amp;$A46&amp;"'!$A$12:$Z$12"),0),0)="","?",VLOOKUP(AH$1,INDIRECT("'"&amp;$A46&amp;"'!$A$12:$Z$41"),MATCH("Points (Auto-generate)",INDIRECT("'"&amp;$A46&amp;"'!$A$12:$Z$12"),0),0)),"ER"))</f>
        <v>?</v>
      </c>
      <c r="AI46" s="83" t="str">
        <f aca="true">IF($H46=0,"NA",IF($A46=INDIRECT("'"&amp;$A46&amp;"'!$B$1"),IF(VLOOKUP(AI$1,INDIRECT("'"&amp;$A46&amp;"'!$A$12:$Z$41"),MATCH("Points (Auto-generate)",INDIRECT("'"&amp;$A46&amp;"'!$A$12:$Z$12"),0),0)="","?",VLOOKUP(AI$1,INDIRECT("'"&amp;$A46&amp;"'!$A$12:$Z$41"),MATCH("Points (Auto-generate)",INDIRECT("'"&amp;$A46&amp;"'!$A$12:$Z$12"),0),0)),"ER"))</f>
        <v>?</v>
      </c>
      <c r="AJ46" s="83" t="str">
        <f aca="true">IF($H46=0,"NA",IF($A46=INDIRECT("'"&amp;$A46&amp;"'!$B$1"),IF(VLOOKUP(AJ$1,INDIRECT("'"&amp;$A46&amp;"'!$A$12:$Z$41"),MATCH("Points (Auto-generate)",INDIRECT("'"&amp;$A46&amp;"'!$A$12:$Z$12"),0),0)="","?",VLOOKUP(AJ$1,INDIRECT("'"&amp;$A46&amp;"'!$A$12:$Z$41"),MATCH("Points (Auto-generate)",INDIRECT("'"&amp;$A46&amp;"'!$A$12:$Z$12"),0),0)),"ER"))</f>
        <v>?</v>
      </c>
      <c r="AK46" s="83" t="str">
        <f aca="true">IF($H46=0,"NA",IF($A46=INDIRECT("'"&amp;$A46&amp;"'!$B$1"),IF(VLOOKUP(AK$1,INDIRECT("'"&amp;$A46&amp;"'!$A$12:$Z$41"),MATCH("Points (Auto-generate)",INDIRECT("'"&amp;$A46&amp;"'!$A$12:$Z$12"),0),0)="","?",VLOOKUP(AK$1,INDIRECT("'"&amp;$A46&amp;"'!$A$12:$Z$41"),MATCH("Points (Auto-generate)",INDIRECT("'"&amp;$A46&amp;"'!$A$12:$Z$12"),0),0)),"ER"))</f>
        <v>?</v>
      </c>
    </row>
    <row r="47" customFormat="false" ht="14.25" hidden="false" customHeight="false" outlineLevel="0" collapsed="false">
      <c r="A47" s="79" t="s">
        <v>198</v>
      </c>
      <c r="B47" s="80" t="str">
        <f aca="false">IF(ISBLANK($A47),"NO_CODE",VLOOKUP($A47,'UPD Questions_290926 '!$E$1:$N$300,MATCH(B$1,'UPD Questions_290926 '!$E$1:$N$1,0),0)&amp;"")</f>
        <v>Implementation</v>
      </c>
      <c r="C47" s="80" t="str">
        <f aca="false">IF(ISBLANK($A47),"NO_CODE",VLOOKUP($A47,'UPD Questions_290926 '!$E$1:$N$300,MATCH(C$1,'UPD Questions_290926 '!$E$1:$N$1,0),0)&amp;"")</f>
        <v>Municipal/City Plan status, hierarchy and coordination</v>
      </c>
      <c r="D47" s="80" t="str">
        <f aca="false">IF(ISBLANK($A47),"NO_CODE",VLOOKUP($A47,'UPD Questions_290926 '!$E$1:$N$300,MATCH(D$1,'UPD Questions_290926 '!$E$1:$N$1,0),0)&amp;"")</f>
        <v>Objectives of the Municipal/City Plan</v>
      </c>
      <c r="E47" s="80" t="str">
        <f aca="false">IF(ISBLANK($A47),"NO_CODE",VLOOKUP($A47,'UPD Questions_290926 '!$E$1:$N$300,MATCH(E$1,'UPD Questions_290926 '!$E$1:$N$1,0),0)&amp;"")</f>
        <v>SQ</v>
      </c>
      <c r="F47" s="80" t="str">
        <f aca="false">IF(ISBLANK($A47),"NO_CODE",VLOOKUP($A47,'UPD Questions_290926 '!$E$1:$N$300,MATCH(F$1,'UPD Questions_290926 '!$E$1:$N$1,0),0)&amp;"")</f>
        <v>b) Healthcare</v>
      </c>
      <c r="G47" s="80" t="str">
        <f aca="false">IF(ISBLANK($A47),"NO_CODE",VLOOKUP($A47,'UPD Questions_290926 '!$E$1:$N$300,MATCH(G$1,'UPD Questions_290926 '!$E$1:$N$1,0),0)&amp;"")</f>
        <v>Implementation</v>
      </c>
      <c r="H47" s="82" t="n">
        <f aca="false">IF(ISBLANK($A47),"NO_CODE",VLOOKUP($A47,'UPD Questions_290926 '!$E$1:$N$300,MATCH(H$1,'UPD Questions_290926 '!$E$1:$N$1,0),0))</f>
        <v>3.33</v>
      </c>
      <c r="I47" s="83" t="str">
        <f aca="true">IF($H47=0,"NA",IF($A47=INDIRECT("'"&amp;$A47&amp;"'!$B$1"),IF(VLOOKUP(I$1,INDIRECT("'"&amp;$A47&amp;"'!$A$12:$Z$41"),MATCH("Points (Auto-generate)",INDIRECT("'"&amp;$A47&amp;"'!$A$12:$Z$12"),0),0)="","?",VLOOKUP(I$1,INDIRECT("'"&amp;$A47&amp;"'!$A$12:$Z$41"),MATCH("Points (Auto-generate)",INDIRECT("'"&amp;$A47&amp;"'!$A$12:$Z$12"),0),0)),"ER"))</f>
        <v>?</v>
      </c>
      <c r="J47" s="83" t="n">
        <f aca="true">IF($H47=0,"NA",IF($A47=INDIRECT("'"&amp;$A47&amp;"'!$B$1"),IF(VLOOKUP(J$1,INDIRECT("'"&amp;$A47&amp;"'!$A$12:$Z$41"),MATCH("Points (Auto-generate)",INDIRECT("'"&amp;$A47&amp;"'!$A$12:$Z$12"),0),0)="","?",VLOOKUP(J$1,INDIRECT("'"&amp;$A47&amp;"'!$A$12:$Z$41"),MATCH("Points (Auto-generate)",INDIRECT("'"&amp;$A47&amp;"'!$A$12:$Z$12"),0),0)),"ER"))</f>
        <v>0</v>
      </c>
      <c r="K47" s="83" t="str">
        <f aca="true">IF($H47=0,"NA",IF($A47=INDIRECT("'"&amp;$A47&amp;"'!$B$1"),IF(VLOOKUP(K$1,INDIRECT("'"&amp;$A47&amp;"'!$A$12:$Z$41"),MATCH("Points (Auto-generate)",INDIRECT("'"&amp;$A47&amp;"'!$A$12:$Z$12"),0),0)="","?",VLOOKUP(K$1,INDIRECT("'"&amp;$A47&amp;"'!$A$12:$Z$41"),MATCH("Points (Auto-generate)",INDIRECT("'"&amp;$A47&amp;"'!$A$12:$Z$12"),0),0)),"ER"))</f>
        <v>?</v>
      </c>
      <c r="L47" s="83" t="str">
        <f aca="true">IF($H47=0,"NA",IF($A47=INDIRECT("'"&amp;$A47&amp;"'!$B$1"),IF(VLOOKUP(L$1,INDIRECT("'"&amp;$A47&amp;"'!$A$12:$Z$41"),MATCH("Points (Auto-generate)",INDIRECT("'"&amp;$A47&amp;"'!$A$12:$Z$12"),0),0)="","?",VLOOKUP(L$1,INDIRECT("'"&amp;$A47&amp;"'!$A$12:$Z$41"),MATCH("Points (Auto-generate)",INDIRECT("'"&amp;$A47&amp;"'!$A$12:$Z$12"),0),0)),"ER"))</f>
        <v>?</v>
      </c>
      <c r="M47" s="83" t="str">
        <f aca="true">IF($H47=0,"NA",IF($A47=INDIRECT("'"&amp;$A47&amp;"'!$B$1"),IF(VLOOKUP(M$1,INDIRECT("'"&amp;$A47&amp;"'!$A$12:$Z$41"),MATCH("Points (Auto-generate)",INDIRECT("'"&amp;$A47&amp;"'!$A$12:$Z$12"),0),0)="","?",VLOOKUP(M$1,INDIRECT("'"&amp;$A47&amp;"'!$A$12:$Z$41"),MATCH("Points (Auto-generate)",INDIRECT("'"&amp;$A47&amp;"'!$A$12:$Z$12"),0),0)),"ER"))</f>
        <v>?</v>
      </c>
      <c r="N47" s="83" t="str">
        <f aca="true">IF($H47=0,"NA",IF($A47=INDIRECT("'"&amp;$A47&amp;"'!$B$1"),IF(VLOOKUP(N$1,INDIRECT("'"&amp;$A47&amp;"'!$A$12:$Z$41"),MATCH("Points (Auto-generate)",INDIRECT("'"&amp;$A47&amp;"'!$A$12:$Z$12"),0),0)="","?",VLOOKUP(N$1,INDIRECT("'"&amp;$A47&amp;"'!$A$12:$Z$41"),MATCH("Points (Auto-generate)",INDIRECT("'"&amp;$A47&amp;"'!$A$12:$Z$12"),0),0)),"ER"))</f>
        <v>?</v>
      </c>
      <c r="O47" s="83" t="str">
        <f aca="true">IF($H47=0,"NA",IF($A47=INDIRECT("'"&amp;$A47&amp;"'!$B$1"),IF(VLOOKUP(O$1,INDIRECT("'"&amp;$A47&amp;"'!$A$12:$Z$41"),MATCH("Points (Auto-generate)",INDIRECT("'"&amp;$A47&amp;"'!$A$12:$Z$12"),0),0)="","?",VLOOKUP(O$1,INDIRECT("'"&amp;$A47&amp;"'!$A$12:$Z$41"),MATCH("Points (Auto-generate)",INDIRECT("'"&amp;$A47&amp;"'!$A$12:$Z$12"),0),0)),"ER"))</f>
        <v>?</v>
      </c>
      <c r="P47" s="83" t="str">
        <f aca="true">IF($H47=0,"NA",IF($A47=INDIRECT("'"&amp;$A47&amp;"'!$B$1"),IF(VLOOKUP(P$1,INDIRECT("'"&amp;$A47&amp;"'!$A$12:$Z$41"),MATCH("Points (Auto-generate)",INDIRECT("'"&amp;$A47&amp;"'!$A$12:$Z$12"),0),0)="","?",VLOOKUP(P$1,INDIRECT("'"&amp;$A47&amp;"'!$A$12:$Z$41"),MATCH("Points (Auto-generate)",INDIRECT("'"&amp;$A47&amp;"'!$A$12:$Z$12"),0),0)),"ER"))</f>
        <v>?</v>
      </c>
      <c r="Q47" s="83" t="str">
        <f aca="true">IF($H47=0,"NA",IF($A47=INDIRECT("'"&amp;$A47&amp;"'!$B$1"),IF(VLOOKUP(Q$1,INDIRECT("'"&amp;$A47&amp;"'!$A$12:$Z$41"),MATCH("Points (Auto-generate)",INDIRECT("'"&amp;$A47&amp;"'!$A$12:$Z$12"),0),0)="","?",VLOOKUP(Q$1,INDIRECT("'"&amp;$A47&amp;"'!$A$12:$Z$41"),MATCH("Points (Auto-generate)",INDIRECT("'"&amp;$A47&amp;"'!$A$12:$Z$12"),0),0)),"ER"))</f>
        <v>?</v>
      </c>
      <c r="R47" s="83" t="str">
        <f aca="true">IF($H47=0,"NA",IF($A47=INDIRECT("'"&amp;$A47&amp;"'!$B$1"),IF(VLOOKUP(R$1,INDIRECT("'"&amp;$A47&amp;"'!$A$12:$Z$41"),MATCH("Points (Auto-generate)",INDIRECT("'"&amp;$A47&amp;"'!$A$12:$Z$12"),0),0)="","?",VLOOKUP(R$1,INDIRECT("'"&amp;$A47&amp;"'!$A$12:$Z$41"),MATCH("Points (Auto-generate)",INDIRECT("'"&amp;$A47&amp;"'!$A$12:$Z$12"),0),0)),"ER"))</f>
        <v>?</v>
      </c>
      <c r="S47" s="83" t="str">
        <f aca="true">IF($H47=0,"NA",IF($A47=INDIRECT("'"&amp;$A47&amp;"'!$B$1"),IF(VLOOKUP(S$1,INDIRECT("'"&amp;$A47&amp;"'!$A$12:$Z$41"),MATCH("Points (Auto-generate)",INDIRECT("'"&amp;$A47&amp;"'!$A$12:$Z$12"),0),0)="","?",VLOOKUP(S$1,INDIRECT("'"&amp;$A47&amp;"'!$A$12:$Z$41"),MATCH("Points (Auto-generate)",INDIRECT("'"&amp;$A47&amp;"'!$A$12:$Z$12"),0),0)),"ER"))</f>
        <v>?</v>
      </c>
      <c r="T47" s="83" t="str">
        <f aca="true">IF($H47=0,"NA",IF($A47=INDIRECT("'"&amp;$A47&amp;"'!$B$1"),IF(VLOOKUP(T$1,INDIRECT("'"&amp;$A47&amp;"'!$A$12:$Z$41"),MATCH("Points (Auto-generate)",INDIRECT("'"&amp;$A47&amp;"'!$A$12:$Z$12"),0),0)="","?",VLOOKUP(T$1,INDIRECT("'"&amp;$A47&amp;"'!$A$12:$Z$41"),MATCH("Points (Auto-generate)",INDIRECT("'"&amp;$A47&amp;"'!$A$12:$Z$12"),0),0)),"ER"))</f>
        <v>?</v>
      </c>
      <c r="U47" s="83" t="str">
        <f aca="true">IF($H47=0,"NA",IF($A47=INDIRECT("'"&amp;$A47&amp;"'!$B$1"),IF(VLOOKUP(U$1,INDIRECT("'"&amp;$A47&amp;"'!$A$12:$Z$41"),MATCH("Points (Auto-generate)",INDIRECT("'"&amp;$A47&amp;"'!$A$12:$Z$12"),0),0)="","?",VLOOKUP(U$1,INDIRECT("'"&amp;$A47&amp;"'!$A$12:$Z$41"),MATCH("Points (Auto-generate)",INDIRECT("'"&amp;$A47&amp;"'!$A$12:$Z$12"),0),0)),"ER"))</f>
        <v>?</v>
      </c>
      <c r="V47" s="83" t="str">
        <f aca="true">IF($H47=0,"NA",IF($A47=INDIRECT("'"&amp;$A47&amp;"'!$B$1"),IF(VLOOKUP(V$1,INDIRECT("'"&amp;$A47&amp;"'!$A$12:$Z$41"),MATCH("Points (Auto-generate)",INDIRECT("'"&amp;$A47&amp;"'!$A$12:$Z$12"),0),0)="","?",VLOOKUP(V$1,INDIRECT("'"&amp;$A47&amp;"'!$A$12:$Z$41"),MATCH("Points (Auto-generate)",INDIRECT("'"&amp;$A47&amp;"'!$A$12:$Z$12"),0),0)),"ER"))</f>
        <v>?</v>
      </c>
      <c r="W47" s="83" t="str">
        <f aca="true">IF($H47=0,"NA",IF($A47=INDIRECT("'"&amp;$A47&amp;"'!$B$1"),IF(VLOOKUP(W$1,INDIRECT("'"&amp;$A47&amp;"'!$A$12:$Z$41"),MATCH("Points (Auto-generate)",INDIRECT("'"&amp;$A47&amp;"'!$A$12:$Z$12"),0),0)="","?",VLOOKUP(W$1,INDIRECT("'"&amp;$A47&amp;"'!$A$12:$Z$41"),MATCH("Points (Auto-generate)",INDIRECT("'"&amp;$A47&amp;"'!$A$12:$Z$12"),0),0)),"ER"))</f>
        <v>?</v>
      </c>
      <c r="X47" s="83" t="str">
        <f aca="true">IF($H47=0,"NA",IF($A47=INDIRECT("'"&amp;$A47&amp;"'!$B$1"),IF(VLOOKUP(X$1,INDIRECT("'"&amp;$A47&amp;"'!$A$12:$Z$41"),MATCH("Points (Auto-generate)",INDIRECT("'"&amp;$A47&amp;"'!$A$12:$Z$12"),0),0)="","?",VLOOKUP(X$1,INDIRECT("'"&amp;$A47&amp;"'!$A$12:$Z$41"),MATCH("Points (Auto-generate)",INDIRECT("'"&amp;$A47&amp;"'!$A$12:$Z$12"),0),0)),"ER"))</f>
        <v>?</v>
      </c>
      <c r="Y47" s="83" t="str">
        <f aca="true">IF($H47=0,"NA",IF($A47=INDIRECT("'"&amp;$A47&amp;"'!$B$1"),IF(VLOOKUP(Y$1,INDIRECT("'"&amp;$A47&amp;"'!$A$12:$Z$41"),MATCH("Points (Auto-generate)",INDIRECT("'"&amp;$A47&amp;"'!$A$12:$Z$12"),0),0)="","?",VLOOKUP(Y$1,INDIRECT("'"&amp;$A47&amp;"'!$A$12:$Z$41"),MATCH("Points (Auto-generate)",INDIRECT("'"&amp;$A47&amp;"'!$A$12:$Z$12"),0),0)),"ER"))</f>
        <v>?</v>
      </c>
      <c r="Z47" s="83" t="str">
        <f aca="true">IF($H47=0,"NA",IF($A47=INDIRECT("'"&amp;$A47&amp;"'!$B$1"),IF(VLOOKUP(Z$1,INDIRECT("'"&amp;$A47&amp;"'!$A$12:$Z$41"),MATCH("Points (Auto-generate)",INDIRECT("'"&amp;$A47&amp;"'!$A$12:$Z$12"),0),0)="","?",VLOOKUP(Z$1,INDIRECT("'"&amp;$A47&amp;"'!$A$12:$Z$41"),MATCH("Points (Auto-generate)",INDIRECT("'"&amp;$A47&amp;"'!$A$12:$Z$12"),0),0)),"ER"))</f>
        <v>?</v>
      </c>
      <c r="AA47" s="83" t="str">
        <f aca="true">IF($H47=0,"NA",IF($A47=INDIRECT("'"&amp;$A47&amp;"'!$B$1"),IF(VLOOKUP(AA$1,INDIRECT("'"&amp;$A47&amp;"'!$A$12:$Z$41"),MATCH("Points (Auto-generate)",INDIRECT("'"&amp;$A47&amp;"'!$A$12:$Z$12"),0),0)="","?",VLOOKUP(AA$1,INDIRECT("'"&amp;$A47&amp;"'!$A$12:$Z$41"),MATCH("Points (Auto-generate)",INDIRECT("'"&amp;$A47&amp;"'!$A$12:$Z$12"),0),0)),"ER"))</f>
        <v>?</v>
      </c>
      <c r="AB47" s="83" t="str">
        <f aca="true">IF($H47=0,"NA",IF($A47=INDIRECT("'"&amp;$A47&amp;"'!$B$1"),IF(VLOOKUP(AB$1,INDIRECT("'"&amp;$A47&amp;"'!$A$12:$Z$41"),MATCH("Points (Auto-generate)",INDIRECT("'"&amp;$A47&amp;"'!$A$12:$Z$12"),0),0)="","?",VLOOKUP(AB$1,INDIRECT("'"&amp;$A47&amp;"'!$A$12:$Z$41"),MATCH("Points (Auto-generate)",INDIRECT("'"&amp;$A47&amp;"'!$A$12:$Z$12"),0),0)),"ER"))</f>
        <v>?</v>
      </c>
      <c r="AC47" s="83" t="str">
        <f aca="true">IF($H47=0,"NA",IF($A47=INDIRECT("'"&amp;$A47&amp;"'!$B$1"),IF(VLOOKUP(AC$1,INDIRECT("'"&amp;$A47&amp;"'!$A$12:$Z$41"),MATCH("Points (Auto-generate)",INDIRECT("'"&amp;$A47&amp;"'!$A$12:$Z$12"),0),0)="","?",VLOOKUP(AC$1,INDIRECT("'"&amp;$A47&amp;"'!$A$12:$Z$41"),MATCH("Points (Auto-generate)",INDIRECT("'"&amp;$A47&amp;"'!$A$12:$Z$12"),0),0)),"ER"))</f>
        <v>?</v>
      </c>
      <c r="AD47" s="83" t="str">
        <f aca="true">IF($H47=0,"NA",IF($A47=INDIRECT("'"&amp;$A47&amp;"'!$B$1"),IF(VLOOKUP(AD$1,INDIRECT("'"&amp;$A47&amp;"'!$A$12:$Z$41"),MATCH("Points (Auto-generate)",INDIRECT("'"&amp;$A47&amp;"'!$A$12:$Z$12"),0),0)="","?",VLOOKUP(AD$1,INDIRECT("'"&amp;$A47&amp;"'!$A$12:$Z$41"),MATCH("Points (Auto-generate)",INDIRECT("'"&amp;$A47&amp;"'!$A$12:$Z$12"),0),0)),"ER"))</f>
        <v>?</v>
      </c>
      <c r="AE47" s="83" t="str">
        <f aca="true">IF($H47=0,"NA",IF($A47=INDIRECT("'"&amp;$A47&amp;"'!$B$1"),IF(VLOOKUP(AE$1,INDIRECT("'"&amp;$A47&amp;"'!$A$12:$Z$41"),MATCH("Points (Auto-generate)",INDIRECT("'"&amp;$A47&amp;"'!$A$12:$Z$12"),0),0)="","?",VLOOKUP(AE$1,INDIRECT("'"&amp;$A47&amp;"'!$A$12:$Z$41"),MATCH("Points (Auto-generate)",INDIRECT("'"&amp;$A47&amp;"'!$A$12:$Z$12"),0),0)),"ER"))</f>
        <v>?</v>
      </c>
      <c r="AF47" s="83" t="str">
        <f aca="true">IF($H47=0,"NA",IF($A47=INDIRECT("'"&amp;$A47&amp;"'!$B$1"),IF(VLOOKUP(AF$1,INDIRECT("'"&amp;$A47&amp;"'!$A$12:$Z$41"),MATCH("Points (Auto-generate)",INDIRECT("'"&amp;$A47&amp;"'!$A$12:$Z$12"),0),0)="","?",VLOOKUP(AF$1,INDIRECT("'"&amp;$A47&amp;"'!$A$12:$Z$41"),MATCH("Points (Auto-generate)",INDIRECT("'"&amp;$A47&amp;"'!$A$12:$Z$12"),0),0)),"ER"))</f>
        <v>?</v>
      </c>
      <c r="AG47" s="83" t="str">
        <f aca="true">IF($H47=0,"NA",IF($A47=INDIRECT("'"&amp;$A47&amp;"'!$B$1"),IF(VLOOKUP(AG$1,INDIRECT("'"&amp;$A47&amp;"'!$A$12:$Z$41"),MATCH("Points (Auto-generate)",INDIRECT("'"&amp;$A47&amp;"'!$A$12:$Z$12"),0),0)="","?",VLOOKUP(AG$1,INDIRECT("'"&amp;$A47&amp;"'!$A$12:$Z$41"),MATCH("Points (Auto-generate)",INDIRECT("'"&amp;$A47&amp;"'!$A$12:$Z$12"),0),0)),"ER"))</f>
        <v>?</v>
      </c>
      <c r="AH47" s="83" t="str">
        <f aca="true">IF($H47=0,"NA",IF($A47=INDIRECT("'"&amp;$A47&amp;"'!$B$1"),IF(VLOOKUP(AH$1,INDIRECT("'"&amp;$A47&amp;"'!$A$12:$Z$41"),MATCH("Points (Auto-generate)",INDIRECT("'"&amp;$A47&amp;"'!$A$12:$Z$12"),0),0)="","?",VLOOKUP(AH$1,INDIRECT("'"&amp;$A47&amp;"'!$A$12:$Z$41"),MATCH("Points (Auto-generate)",INDIRECT("'"&amp;$A47&amp;"'!$A$12:$Z$12"),0),0)),"ER"))</f>
        <v>?</v>
      </c>
      <c r="AI47" s="83" t="str">
        <f aca="true">IF($H47=0,"NA",IF($A47=INDIRECT("'"&amp;$A47&amp;"'!$B$1"),IF(VLOOKUP(AI$1,INDIRECT("'"&amp;$A47&amp;"'!$A$12:$Z$41"),MATCH("Points (Auto-generate)",INDIRECT("'"&amp;$A47&amp;"'!$A$12:$Z$12"),0),0)="","?",VLOOKUP(AI$1,INDIRECT("'"&amp;$A47&amp;"'!$A$12:$Z$41"),MATCH("Points (Auto-generate)",INDIRECT("'"&amp;$A47&amp;"'!$A$12:$Z$12"),0),0)),"ER"))</f>
        <v>?</v>
      </c>
      <c r="AJ47" s="83" t="str">
        <f aca="true">IF($H47=0,"NA",IF($A47=INDIRECT("'"&amp;$A47&amp;"'!$B$1"),IF(VLOOKUP(AJ$1,INDIRECT("'"&amp;$A47&amp;"'!$A$12:$Z$41"),MATCH("Points (Auto-generate)",INDIRECT("'"&amp;$A47&amp;"'!$A$12:$Z$12"),0),0)="","?",VLOOKUP(AJ$1,INDIRECT("'"&amp;$A47&amp;"'!$A$12:$Z$41"),MATCH("Points (Auto-generate)",INDIRECT("'"&amp;$A47&amp;"'!$A$12:$Z$12"),0),0)),"ER"))</f>
        <v>?</v>
      </c>
      <c r="AK47" s="83" t="str">
        <f aca="true">IF($H47=0,"NA",IF($A47=INDIRECT("'"&amp;$A47&amp;"'!$B$1"),IF(VLOOKUP(AK$1,INDIRECT("'"&amp;$A47&amp;"'!$A$12:$Z$41"),MATCH("Points (Auto-generate)",INDIRECT("'"&amp;$A47&amp;"'!$A$12:$Z$12"),0),0)="","?",VLOOKUP(AK$1,INDIRECT("'"&amp;$A47&amp;"'!$A$12:$Z$41"),MATCH("Points (Auto-generate)",INDIRECT("'"&amp;$A47&amp;"'!$A$12:$Z$12"),0),0)),"ER"))</f>
        <v>?</v>
      </c>
    </row>
    <row r="48" customFormat="false" ht="14.25" hidden="false" customHeight="false" outlineLevel="0" collapsed="false">
      <c r="A48" s="79" t="s">
        <v>203</v>
      </c>
      <c r="B48" s="80" t="str">
        <f aca="false">IF(ISBLANK($A48),"NO_CODE",VLOOKUP($A48,'UPD Questions_290926 '!$E$1:$N$300,MATCH(B$1,'UPD Questions_290926 '!$E$1:$N$1,0),0)&amp;"")</f>
        <v>Implementation</v>
      </c>
      <c r="C48" s="80" t="str">
        <f aca="false">IF(ISBLANK($A48),"NO_CODE",VLOOKUP($A48,'UPD Questions_290926 '!$E$1:$N$300,MATCH(C$1,'UPD Questions_290926 '!$E$1:$N$1,0),0)&amp;"")</f>
        <v>Municipal/City Plan status, hierarchy and coordination</v>
      </c>
      <c r="D48" s="80" t="str">
        <f aca="false">IF(ISBLANK($A48),"NO_CODE",VLOOKUP($A48,'UPD Questions_290926 '!$E$1:$N$300,MATCH(D$1,'UPD Questions_290926 '!$E$1:$N$1,0),0)&amp;"")</f>
        <v>Objectives of the Municipal/City Plan</v>
      </c>
      <c r="E48" s="80" t="str">
        <f aca="false">IF(ISBLANK($A48),"NO_CODE",VLOOKUP($A48,'UPD Questions_290926 '!$E$1:$N$300,MATCH(E$1,'UPD Questions_290926 '!$E$1:$N$1,0),0)&amp;"")</f>
        <v>SQ</v>
      </c>
      <c r="F48" s="80" t="str">
        <f aca="false">IF(ISBLANK($A48),"NO_CODE",VLOOKUP($A48,'UPD Questions_290926 '!$E$1:$N$300,MATCH(F$1,'UPD Questions_290926 '!$E$1:$N$1,0),0)&amp;"")</f>
        <v>c) Affordable housing </v>
      </c>
      <c r="G48" s="80" t="str">
        <f aca="false">IF(ISBLANK($A48),"NO_CODE",VLOOKUP($A48,'UPD Questions_290926 '!$E$1:$N$300,MATCH(G$1,'UPD Questions_290926 '!$E$1:$N$1,0),0)&amp;"")</f>
        <v>Implementation</v>
      </c>
      <c r="H48" s="82" t="n">
        <f aca="false">IF(ISBLANK($A48),"NO_CODE",VLOOKUP($A48,'UPD Questions_290926 '!$E$1:$N$300,MATCH(H$1,'UPD Questions_290926 '!$E$1:$N$1,0),0))</f>
        <v>3.33</v>
      </c>
      <c r="I48" s="83" t="str">
        <f aca="true">IF($H48=0,"NA",IF($A48=INDIRECT("'"&amp;$A48&amp;"'!$B$1"),IF(VLOOKUP(I$1,INDIRECT("'"&amp;$A48&amp;"'!$A$12:$Z$41"),MATCH("Points (Auto-generate)",INDIRECT("'"&amp;$A48&amp;"'!$A$12:$Z$12"),0),0)="","?",VLOOKUP(I$1,INDIRECT("'"&amp;$A48&amp;"'!$A$12:$Z$41"),MATCH("Points (Auto-generate)",INDIRECT("'"&amp;$A48&amp;"'!$A$12:$Z$12"),0),0)),"ER"))</f>
        <v>?</v>
      </c>
      <c r="J48" s="83" t="n">
        <f aca="true">IF($H48=0,"NA",IF($A48=INDIRECT("'"&amp;$A48&amp;"'!$B$1"),IF(VLOOKUP(J$1,INDIRECT("'"&amp;$A48&amp;"'!$A$12:$Z$41"),MATCH("Points (Auto-generate)",INDIRECT("'"&amp;$A48&amp;"'!$A$12:$Z$12"),0),0)="","?",VLOOKUP(J$1,INDIRECT("'"&amp;$A48&amp;"'!$A$12:$Z$41"),MATCH("Points (Auto-generate)",INDIRECT("'"&amp;$A48&amp;"'!$A$12:$Z$12"),0),0)),"ER"))</f>
        <v>0</v>
      </c>
      <c r="K48" s="83" t="str">
        <f aca="true">IF($H48=0,"NA",IF($A48=INDIRECT("'"&amp;$A48&amp;"'!$B$1"),IF(VLOOKUP(K$1,INDIRECT("'"&amp;$A48&amp;"'!$A$12:$Z$41"),MATCH("Points (Auto-generate)",INDIRECT("'"&amp;$A48&amp;"'!$A$12:$Z$12"),0),0)="","?",VLOOKUP(K$1,INDIRECT("'"&amp;$A48&amp;"'!$A$12:$Z$41"),MATCH("Points (Auto-generate)",INDIRECT("'"&amp;$A48&amp;"'!$A$12:$Z$12"),0),0)),"ER"))</f>
        <v>?</v>
      </c>
      <c r="L48" s="83" t="str">
        <f aca="true">IF($H48=0,"NA",IF($A48=INDIRECT("'"&amp;$A48&amp;"'!$B$1"),IF(VLOOKUP(L$1,INDIRECT("'"&amp;$A48&amp;"'!$A$12:$Z$41"),MATCH("Points (Auto-generate)",INDIRECT("'"&amp;$A48&amp;"'!$A$12:$Z$12"),0),0)="","?",VLOOKUP(L$1,INDIRECT("'"&amp;$A48&amp;"'!$A$12:$Z$41"),MATCH("Points (Auto-generate)",INDIRECT("'"&amp;$A48&amp;"'!$A$12:$Z$12"),0),0)),"ER"))</f>
        <v>?</v>
      </c>
      <c r="M48" s="83" t="str">
        <f aca="true">IF($H48=0,"NA",IF($A48=INDIRECT("'"&amp;$A48&amp;"'!$B$1"),IF(VLOOKUP(M$1,INDIRECT("'"&amp;$A48&amp;"'!$A$12:$Z$41"),MATCH("Points (Auto-generate)",INDIRECT("'"&amp;$A48&amp;"'!$A$12:$Z$12"),0),0)="","?",VLOOKUP(M$1,INDIRECT("'"&amp;$A48&amp;"'!$A$12:$Z$41"),MATCH("Points (Auto-generate)",INDIRECT("'"&amp;$A48&amp;"'!$A$12:$Z$12"),0),0)),"ER"))</f>
        <v>?</v>
      </c>
      <c r="N48" s="83" t="str">
        <f aca="true">IF($H48=0,"NA",IF($A48=INDIRECT("'"&amp;$A48&amp;"'!$B$1"),IF(VLOOKUP(N$1,INDIRECT("'"&amp;$A48&amp;"'!$A$12:$Z$41"),MATCH("Points (Auto-generate)",INDIRECT("'"&amp;$A48&amp;"'!$A$12:$Z$12"),0),0)="","?",VLOOKUP(N$1,INDIRECT("'"&amp;$A48&amp;"'!$A$12:$Z$41"),MATCH("Points (Auto-generate)",INDIRECT("'"&amp;$A48&amp;"'!$A$12:$Z$12"),0),0)),"ER"))</f>
        <v>?</v>
      </c>
      <c r="O48" s="83" t="str">
        <f aca="true">IF($H48=0,"NA",IF($A48=INDIRECT("'"&amp;$A48&amp;"'!$B$1"),IF(VLOOKUP(O$1,INDIRECT("'"&amp;$A48&amp;"'!$A$12:$Z$41"),MATCH("Points (Auto-generate)",INDIRECT("'"&amp;$A48&amp;"'!$A$12:$Z$12"),0),0)="","?",VLOOKUP(O$1,INDIRECT("'"&amp;$A48&amp;"'!$A$12:$Z$41"),MATCH("Points (Auto-generate)",INDIRECT("'"&amp;$A48&amp;"'!$A$12:$Z$12"),0),0)),"ER"))</f>
        <v>?</v>
      </c>
      <c r="P48" s="83" t="str">
        <f aca="true">IF($H48=0,"NA",IF($A48=INDIRECT("'"&amp;$A48&amp;"'!$B$1"),IF(VLOOKUP(P$1,INDIRECT("'"&amp;$A48&amp;"'!$A$12:$Z$41"),MATCH("Points (Auto-generate)",INDIRECT("'"&amp;$A48&amp;"'!$A$12:$Z$12"),0),0)="","?",VLOOKUP(P$1,INDIRECT("'"&amp;$A48&amp;"'!$A$12:$Z$41"),MATCH("Points (Auto-generate)",INDIRECT("'"&amp;$A48&amp;"'!$A$12:$Z$12"),0),0)),"ER"))</f>
        <v>?</v>
      </c>
      <c r="Q48" s="83" t="str">
        <f aca="true">IF($H48=0,"NA",IF($A48=INDIRECT("'"&amp;$A48&amp;"'!$B$1"),IF(VLOOKUP(Q$1,INDIRECT("'"&amp;$A48&amp;"'!$A$12:$Z$41"),MATCH("Points (Auto-generate)",INDIRECT("'"&amp;$A48&amp;"'!$A$12:$Z$12"),0),0)="","?",VLOOKUP(Q$1,INDIRECT("'"&amp;$A48&amp;"'!$A$12:$Z$41"),MATCH("Points (Auto-generate)",INDIRECT("'"&amp;$A48&amp;"'!$A$12:$Z$12"),0),0)),"ER"))</f>
        <v>?</v>
      </c>
      <c r="R48" s="83" t="str">
        <f aca="true">IF($H48=0,"NA",IF($A48=INDIRECT("'"&amp;$A48&amp;"'!$B$1"),IF(VLOOKUP(R$1,INDIRECT("'"&amp;$A48&amp;"'!$A$12:$Z$41"),MATCH("Points (Auto-generate)",INDIRECT("'"&amp;$A48&amp;"'!$A$12:$Z$12"),0),0)="","?",VLOOKUP(R$1,INDIRECT("'"&amp;$A48&amp;"'!$A$12:$Z$41"),MATCH("Points (Auto-generate)",INDIRECT("'"&amp;$A48&amp;"'!$A$12:$Z$12"),0),0)),"ER"))</f>
        <v>?</v>
      </c>
      <c r="S48" s="83" t="str">
        <f aca="true">IF($H48=0,"NA",IF($A48=INDIRECT("'"&amp;$A48&amp;"'!$B$1"),IF(VLOOKUP(S$1,INDIRECT("'"&amp;$A48&amp;"'!$A$12:$Z$41"),MATCH("Points (Auto-generate)",INDIRECT("'"&amp;$A48&amp;"'!$A$12:$Z$12"),0),0)="","?",VLOOKUP(S$1,INDIRECT("'"&amp;$A48&amp;"'!$A$12:$Z$41"),MATCH("Points (Auto-generate)",INDIRECT("'"&amp;$A48&amp;"'!$A$12:$Z$12"),0),0)),"ER"))</f>
        <v>?</v>
      </c>
      <c r="T48" s="83" t="str">
        <f aca="true">IF($H48=0,"NA",IF($A48=INDIRECT("'"&amp;$A48&amp;"'!$B$1"),IF(VLOOKUP(T$1,INDIRECT("'"&amp;$A48&amp;"'!$A$12:$Z$41"),MATCH("Points (Auto-generate)",INDIRECT("'"&amp;$A48&amp;"'!$A$12:$Z$12"),0),0)="","?",VLOOKUP(T$1,INDIRECT("'"&amp;$A48&amp;"'!$A$12:$Z$41"),MATCH("Points (Auto-generate)",INDIRECT("'"&amp;$A48&amp;"'!$A$12:$Z$12"),0),0)),"ER"))</f>
        <v>?</v>
      </c>
      <c r="U48" s="83" t="str">
        <f aca="true">IF($H48=0,"NA",IF($A48=INDIRECT("'"&amp;$A48&amp;"'!$B$1"),IF(VLOOKUP(U$1,INDIRECT("'"&amp;$A48&amp;"'!$A$12:$Z$41"),MATCH("Points (Auto-generate)",INDIRECT("'"&amp;$A48&amp;"'!$A$12:$Z$12"),0),0)="","?",VLOOKUP(U$1,INDIRECT("'"&amp;$A48&amp;"'!$A$12:$Z$41"),MATCH("Points (Auto-generate)",INDIRECT("'"&amp;$A48&amp;"'!$A$12:$Z$12"),0),0)),"ER"))</f>
        <v>?</v>
      </c>
      <c r="V48" s="83" t="str">
        <f aca="true">IF($H48=0,"NA",IF($A48=INDIRECT("'"&amp;$A48&amp;"'!$B$1"),IF(VLOOKUP(V$1,INDIRECT("'"&amp;$A48&amp;"'!$A$12:$Z$41"),MATCH("Points (Auto-generate)",INDIRECT("'"&amp;$A48&amp;"'!$A$12:$Z$12"),0),0)="","?",VLOOKUP(V$1,INDIRECT("'"&amp;$A48&amp;"'!$A$12:$Z$41"),MATCH("Points (Auto-generate)",INDIRECT("'"&amp;$A48&amp;"'!$A$12:$Z$12"),0),0)),"ER"))</f>
        <v>?</v>
      </c>
      <c r="W48" s="83" t="str">
        <f aca="true">IF($H48=0,"NA",IF($A48=INDIRECT("'"&amp;$A48&amp;"'!$B$1"),IF(VLOOKUP(W$1,INDIRECT("'"&amp;$A48&amp;"'!$A$12:$Z$41"),MATCH("Points (Auto-generate)",INDIRECT("'"&amp;$A48&amp;"'!$A$12:$Z$12"),0),0)="","?",VLOOKUP(W$1,INDIRECT("'"&amp;$A48&amp;"'!$A$12:$Z$41"),MATCH("Points (Auto-generate)",INDIRECT("'"&amp;$A48&amp;"'!$A$12:$Z$12"),0),0)),"ER"))</f>
        <v>?</v>
      </c>
      <c r="X48" s="83" t="str">
        <f aca="true">IF($H48=0,"NA",IF($A48=INDIRECT("'"&amp;$A48&amp;"'!$B$1"),IF(VLOOKUP(X$1,INDIRECT("'"&amp;$A48&amp;"'!$A$12:$Z$41"),MATCH("Points (Auto-generate)",INDIRECT("'"&amp;$A48&amp;"'!$A$12:$Z$12"),0),0)="","?",VLOOKUP(X$1,INDIRECT("'"&amp;$A48&amp;"'!$A$12:$Z$41"),MATCH("Points (Auto-generate)",INDIRECT("'"&amp;$A48&amp;"'!$A$12:$Z$12"),0),0)),"ER"))</f>
        <v>?</v>
      </c>
      <c r="Y48" s="83" t="str">
        <f aca="true">IF($H48=0,"NA",IF($A48=INDIRECT("'"&amp;$A48&amp;"'!$B$1"),IF(VLOOKUP(Y$1,INDIRECT("'"&amp;$A48&amp;"'!$A$12:$Z$41"),MATCH("Points (Auto-generate)",INDIRECT("'"&amp;$A48&amp;"'!$A$12:$Z$12"),0),0)="","?",VLOOKUP(Y$1,INDIRECT("'"&amp;$A48&amp;"'!$A$12:$Z$41"),MATCH("Points (Auto-generate)",INDIRECT("'"&amp;$A48&amp;"'!$A$12:$Z$12"),0),0)),"ER"))</f>
        <v>?</v>
      </c>
      <c r="Z48" s="83" t="str">
        <f aca="true">IF($H48=0,"NA",IF($A48=INDIRECT("'"&amp;$A48&amp;"'!$B$1"),IF(VLOOKUP(Z$1,INDIRECT("'"&amp;$A48&amp;"'!$A$12:$Z$41"),MATCH("Points (Auto-generate)",INDIRECT("'"&amp;$A48&amp;"'!$A$12:$Z$12"),0),0)="","?",VLOOKUP(Z$1,INDIRECT("'"&amp;$A48&amp;"'!$A$12:$Z$41"),MATCH("Points (Auto-generate)",INDIRECT("'"&amp;$A48&amp;"'!$A$12:$Z$12"),0),0)),"ER"))</f>
        <v>?</v>
      </c>
      <c r="AA48" s="83" t="str">
        <f aca="true">IF($H48=0,"NA",IF($A48=INDIRECT("'"&amp;$A48&amp;"'!$B$1"),IF(VLOOKUP(AA$1,INDIRECT("'"&amp;$A48&amp;"'!$A$12:$Z$41"),MATCH("Points (Auto-generate)",INDIRECT("'"&amp;$A48&amp;"'!$A$12:$Z$12"),0),0)="","?",VLOOKUP(AA$1,INDIRECT("'"&amp;$A48&amp;"'!$A$12:$Z$41"),MATCH("Points (Auto-generate)",INDIRECT("'"&amp;$A48&amp;"'!$A$12:$Z$12"),0),0)),"ER"))</f>
        <v>?</v>
      </c>
      <c r="AB48" s="83" t="str">
        <f aca="true">IF($H48=0,"NA",IF($A48=INDIRECT("'"&amp;$A48&amp;"'!$B$1"),IF(VLOOKUP(AB$1,INDIRECT("'"&amp;$A48&amp;"'!$A$12:$Z$41"),MATCH("Points (Auto-generate)",INDIRECT("'"&amp;$A48&amp;"'!$A$12:$Z$12"),0),0)="","?",VLOOKUP(AB$1,INDIRECT("'"&amp;$A48&amp;"'!$A$12:$Z$41"),MATCH("Points (Auto-generate)",INDIRECT("'"&amp;$A48&amp;"'!$A$12:$Z$12"),0),0)),"ER"))</f>
        <v>?</v>
      </c>
      <c r="AC48" s="83" t="str">
        <f aca="true">IF($H48=0,"NA",IF($A48=INDIRECT("'"&amp;$A48&amp;"'!$B$1"),IF(VLOOKUP(AC$1,INDIRECT("'"&amp;$A48&amp;"'!$A$12:$Z$41"),MATCH("Points (Auto-generate)",INDIRECT("'"&amp;$A48&amp;"'!$A$12:$Z$12"),0),0)="","?",VLOOKUP(AC$1,INDIRECT("'"&amp;$A48&amp;"'!$A$12:$Z$41"),MATCH("Points (Auto-generate)",INDIRECT("'"&amp;$A48&amp;"'!$A$12:$Z$12"),0),0)),"ER"))</f>
        <v>?</v>
      </c>
      <c r="AD48" s="83" t="str">
        <f aca="true">IF($H48=0,"NA",IF($A48=INDIRECT("'"&amp;$A48&amp;"'!$B$1"),IF(VLOOKUP(AD$1,INDIRECT("'"&amp;$A48&amp;"'!$A$12:$Z$41"),MATCH("Points (Auto-generate)",INDIRECT("'"&amp;$A48&amp;"'!$A$12:$Z$12"),0),0)="","?",VLOOKUP(AD$1,INDIRECT("'"&amp;$A48&amp;"'!$A$12:$Z$41"),MATCH("Points (Auto-generate)",INDIRECT("'"&amp;$A48&amp;"'!$A$12:$Z$12"),0),0)),"ER"))</f>
        <v>?</v>
      </c>
      <c r="AE48" s="83" t="str">
        <f aca="true">IF($H48=0,"NA",IF($A48=INDIRECT("'"&amp;$A48&amp;"'!$B$1"),IF(VLOOKUP(AE$1,INDIRECT("'"&amp;$A48&amp;"'!$A$12:$Z$41"),MATCH("Points (Auto-generate)",INDIRECT("'"&amp;$A48&amp;"'!$A$12:$Z$12"),0),0)="","?",VLOOKUP(AE$1,INDIRECT("'"&amp;$A48&amp;"'!$A$12:$Z$41"),MATCH("Points (Auto-generate)",INDIRECT("'"&amp;$A48&amp;"'!$A$12:$Z$12"),0),0)),"ER"))</f>
        <v>?</v>
      </c>
      <c r="AF48" s="83" t="str">
        <f aca="true">IF($H48=0,"NA",IF($A48=INDIRECT("'"&amp;$A48&amp;"'!$B$1"),IF(VLOOKUP(AF$1,INDIRECT("'"&amp;$A48&amp;"'!$A$12:$Z$41"),MATCH("Points (Auto-generate)",INDIRECT("'"&amp;$A48&amp;"'!$A$12:$Z$12"),0),0)="","?",VLOOKUP(AF$1,INDIRECT("'"&amp;$A48&amp;"'!$A$12:$Z$41"),MATCH("Points (Auto-generate)",INDIRECT("'"&amp;$A48&amp;"'!$A$12:$Z$12"),0),0)),"ER"))</f>
        <v>?</v>
      </c>
      <c r="AG48" s="83" t="str">
        <f aca="true">IF($H48=0,"NA",IF($A48=INDIRECT("'"&amp;$A48&amp;"'!$B$1"),IF(VLOOKUP(AG$1,INDIRECT("'"&amp;$A48&amp;"'!$A$12:$Z$41"),MATCH("Points (Auto-generate)",INDIRECT("'"&amp;$A48&amp;"'!$A$12:$Z$12"),0),0)="","?",VLOOKUP(AG$1,INDIRECT("'"&amp;$A48&amp;"'!$A$12:$Z$41"),MATCH("Points (Auto-generate)",INDIRECT("'"&amp;$A48&amp;"'!$A$12:$Z$12"),0),0)),"ER"))</f>
        <v>?</v>
      </c>
      <c r="AH48" s="83" t="str">
        <f aca="true">IF($H48=0,"NA",IF($A48=INDIRECT("'"&amp;$A48&amp;"'!$B$1"),IF(VLOOKUP(AH$1,INDIRECT("'"&amp;$A48&amp;"'!$A$12:$Z$41"),MATCH("Points (Auto-generate)",INDIRECT("'"&amp;$A48&amp;"'!$A$12:$Z$12"),0),0)="","?",VLOOKUP(AH$1,INDIRECT("'"&amp;$A48&amp;"'!$A$12:$Z$41"),MATCH("Points (Auto-generate)",INDIRECT("'"&amp;$A48&amp;"'!$A$12:$Z$12"),0),0)),"ER"))</f>
        <v>?</v>
      </c>
      <c r="AI48" s="83" t="str">
        <f aca="true">IF($H48=0,"NA",IF($A48=INDIRECT("'"&amp;$A48&amp;"'!$B$1"),IF(VLOOKUP(AI$1,INDIRECT("'"&amp;$A48&amp;"'!$A$12:$Z$41"),MATCH("Points (Auto-generate)",INDIRECT("'"&amp;$A48&amp;"'!$A$12:$Z$12"),0),0)="","?",VLOOKUP(AI$1,INDIRECT("'"&amp;$A48&amp;"'!$A$12:$Z$41"),MATCH("Points (Auto-generate)",INDIRECT("'"&amp;$A48&amp;"'!$A$12:$Z$12"),0),0)),"ER"))</f>
        <v>?</v>
      </c>
      <c r="AJ48" s="83" t="str">
        <f aca="true">IF($H48=0,"NA",IF($A48=INDIRECT("'"&amp;$A48&amp;"'!$B$1"),IF(VLOOKUP(AJ$1,INDIRECT("'"&amp;$A48&amp;"'!$A$12:$Z$41"),MATCH("Points (Auto-generate)",INDIRECT("'"&amp;$A48&amp;"'!$A$12:$Z$12"),0),0)="","?",VLOOKUP(AJ$1,INDIRECT("'"&amp;$A48&amp;"'!$A$12:$Z$41"),MATCH("Points (Auto-generate)",INDIRECT("'"&amp;$A48&amp;"'!$A$12:$Z$12"),0),0)),"ER"))</f>
        <v>?</v>
      </c>
      <c r="AK48" s="83" t="str">
        <f aca="true">IF($H48=0,"NA",IF($A48=INDIRECT("'"&amp;$A48&amp;"'!$B$1"),IF(VLOOKUP(AK$1,INDIRECT("'"&amp;$A48&amp;"'!$A$12:$Z$41"),MATCH("Points (Auto-generate)",INDIRECT("'"&amp;$A48&amp;"'!$A$12:$Z$12"),0),0)="","?",VLOOKUP(AK$1,INDIRECT("'"&amp;$A48&amp;"'!$A$12:$Z$41"),MATCH("Points (Auto-generate)",INDIRECT("'"&amp;$A48&amp;"'!$A$12:$Z$12"),0),0)),"ER"))</f>
        <v>?</v>
      </c>
    </row>
    <row r="49" customFormat="false" ht="14.25" hidden="false" customHeight="false" outlineLevel="0" collapsed="false">
      <c r="A49" s="79" t="s">
        <v>208</v>
      </c>
      <c r="B49" s="80" t="str">
        <f aca="false">IF(ISBLANK($A49),"NO_CODE",VLOOKUP($A49,'UPD Questions_290926 '!$E$1:$N$300,MATCH(B$1,'UPD Questions_290926 '!$E$1:$N$1,0),0)&amp;"")</f>
        <v>Implementation</v>
      </c>
      <c r="C49" s="80" t="str">
        <f aca="false">IF(ISBLANK($A49),"NO_CODE",VLOOKUP($A49,'UPD Questions_290926 '!$E$1:$N$300,MATCH(C$1,'UPD Questions_290926 '!$E$1:$N$1,0),0)&amp;"")</f>
        <v>Municipal/City Plan status, hierarchy and coordination</v>
      </c>
      <c r="D49" s="80" t="str">
        <f aca="false">IF(ISBLANK($A49),"NO_CODE",VLOOKUP($A49,'UPD Questions_290926 '!$E$1:$N$300,MATCH(D$1,'UPD Questions_290926 '!$E$1:$N$1,0),0)&amp;"")</f>
        <v>Objectives of the Municipal/City Plan</v>
      </c>
      <c r="E49" s="80" t="str">
        <f aca="false">IF(ISBLANK($A49),"NO_CODE",VLOOKUP($A49,'UPD Questions_290926 '!$E$1:$N$300,MATCH(E$1,'UPD Questions_290926 '!$E$1:$N$1,0),0)&amp;"")</f>
        <v>MQ</v>
      </c>
      <c r="F49" s="80" t="str">
        <f aca="false">IF(ISBLANK($A49),"NO_CODE",VLOOKUP($A49,'UPD Questions_290926 '!$E$1:$N$300,MATCH(F$1,'UPD Questions_290926 '!$E$1:$N$1,0),0)&amp;"")</f>
        <v>Does the municipal/city plan include objectives for women?</v>
      </c>
      <c r="G49" s="80" t="str">
        <f aca="false">IF(ISBLANK($A49),"NO_CODE",VLOOKUP($A49,'UPD Questions_290926 '!$E$1:$N$300,MATCH(G$1,'UPD Questions_290926 '!$E$1:$N$1,0),0)&amp;"")</f>
        <v>Implementation</v>
      </c>
      <c r="H49" s="82" t="n">
        <f aca="false">IF(ISBLANK($A49),"NO_CODE",VLOOKUP($A49,'UPD Questions_290926 '!$E$1:$N$300,MATCH(H$1,'UPD Questions_290926 '!$E$1:$N$1,0),0))</f>
        <v>10</v>
      </c>
      <c r="I49" s="83" t="str">
        <f aca="true">IF($H49=0,"NA",IF($A49=INDIRECT("'"&amp;$A49&amp;"'!$B$1"),IF(VLOOKUP(I$1,INDIRECT("'"&amp;$A49&amp;"'!$A$12:$Z$41"),MATCH("Points (Auto-generate)",INDIRECT("'"&amp;$A49&amp;"'!$A$12:$Z$12"),0),0)="","?",VLOOKUP(I$1,INDIRECT("'"&amp;$A49&amp;"'!$A$12:$Z$41"),MATCH("Points (Auto-generate)",INDIRECT("'"&amp;$A49&amp;"'!$A$12:$Z$12"),0),0)),"ER"))</f>
        <v>?</v>
      </c>
      <c r="J49" s="83" t="n">
        <f aca="true">IF($H49=0,"NA",IF($A49=INDIRECT("'"&amp;$A49&amp;"'!$B$1"),IF(VLOOKUP(J$1,INDIRECT("'"&amp;$A49&amp;"'!$A$12:$Z$41"),MATCH("Points (Auto-generate)",INDIRECT("'"&amp;$A49&amp;"'!$A$12:$Z$12"),0),0)="","?",VLOOKUP(J$1,INDIRECT("'"&amp;$A49&amp;"'!$A$12:$Z$41"),MATCH("Points (Auto-generate)",INDIRECT("'"&amp;$A49&amp;"'!$A$12:$Z$12"),0),0)),"ER"))</f>
        <v>0</v>
      </c>
      <c r="K49" s="83" t="str">
        <f aca="true">IF($H49=0,"NA",IF($A49=INDIRECT("'"&amp;$A49&amp;"'!$B$1"),IF(VLOOKUP(K$1,INDIRECT("'"&amp;$A49&amp;"'!$A$12:$Z$41"),MATCH("Points (Auto-generate)",INDIRECT("'"&amp;$A49&amp;"'!$A$12:$Z$12"),0),0)="","?",VLOOKUP(K$1,INDIRECT("'"&amp;$A49&amp;"'!$A$12:$Z$41"),MATCH("Points (Auto-generate)",INDIRECT("'"&amp;$A49&amp;"'!$A$12:$Z$12"),0),0)),"ER"))</f>
        <v>?</v>
      </c>
      <c r="L49" s="83" t="str">
        <f aca="true">IF($H49=0,"NA",IF($A49=INDIRECT("'"&amp;$A49&amp;"'!$B$1"),IF(VLOOKUP(L$1,INDIRECT("'"&amp;$A49&amp;"'!$A$12:$Z$41"),MATCH("Points (Auto-generate)",INDIRECT("'"&amp;$A49&amp;"'!$A$12:$Z$12"),0),0)="","?",VLOOKUP(L$1,INDIRECT("'"&amp;$A49&amp;"'!$A$12:$Z$41"),MATCH("Points (Auto-generate)",INDIRECT("'"&amp;$A49&amp;"'!$A$12:$Z$12"),0),0)),"ER"))</f>
        <v>?</v>
      </c>
      <c r="M49" s="83" t="str">
        <f aca="true">IF($H49=0,"NA",IF($A49=INDIRECT("'"&amp;$A49&amp;"'!$B$1"),IF(VLOOKUP(M$1,INDIRECT("'"&amp;$A49&amp;"'!$A$12:$Z$41"),MATCH("Points (Auto-generate)",INDIRECT("'"&amp;$A49&amp;"'!$A$12:$Z$12"),0),0)="","?",VLOOKUP(M$1,INDIRECT("'"&amp;$A49&amp;"'!$A$12:$Z$41"),MATCH("Points (Auto-generate)",INDIRECT("'"&amp;$A49&amp;"'!$A$12:$Z$12"),0),0)),"ER"))</f>
        <v>?</v>
      </c>
      <c r="N49" s="83" t="str">
        <f aca="true">IF($H49=0,"NA",IF($A49=INDIRECT("'"&amp;$A49&amp;"'!$B$1"),IF(VLOOKUP(N$1,INDIRECT("'"&amp;$A49&amp;"'!$A$12:$Z$41"),MATCH("Points (Auto-generate)",INDIRECT("'"&amp;$A49&amp;"'!$A$12:$Z$12"),0),0)="","?",VLOOKUP(N$1,INDIRECT("'"&amp;$A49&amp;"'!$A$12:$Z$41"),MATCH("Points (Auto-generate)",INDIRECT("'"&amp;$A49&amp;"'!$A$12:$Z$12"),0),0)),"ER"))</f>
        <v>?</v>
      </c>
      <c r="O49" s="83" t="str">
        <f aca="true">IF($H49=0,"NA",IF($A49=INDIRECT("'"&amp;$A49&amp;"'!$B$1"),IF(VLOOKUP(O$1,INDIRECT("'"&amp;$A49&amp;"'!$A$12:$Z$41"),MATCH("Points (Auto-generate)",INDIRECT("'"&amp;$A49&amp;"'!$A$12:$Z$12"),0),0)="","?",VLOOKUP(O$1,INDIRECT("'"&amp;$A49&amp;"'!$A$12:$Z$41"),MATCH("Points (Auto-generate)",INDIRECT("'"&amp;$A49&amp;"'!$A$12:$Z$12"),0),0)),"ER"))</f>
        <v>?</v>
      </c>
      <c r="P49" s="83" t="str">
        <f aca="true">IF($H49=0,"NA",IF($A49=INDIRECT("'"&amp;$A49&amp;"'!$B$1"),IF(VLOOKUP(P$1,INDIRECT("'"&amp;$A49&amp;"'!$A$12:$Z$41"),MATCH("Points (Auto-generate)",INDIRECT("'"&amp;$A49&amp;"'!$A$12:$Z$12"),0),0)="","?",VLOOKUP(P$1,INDIRECT("'"&amp;$A49&amp;"'!$A$12:$Z$41"),MATCH("Points (Auto-generate)",INDIRECT("'"&amp;$A49&amp;"'!$A$12:$Z$12"),0),0)),"ER"))</f>
        <v>?</v>
      </c>
      <c r="Q49" s="83" t="str">
        <f aca="true">IF($H49=0,"NA",IF($A49=INDIRECT("'"&amp;$A49&amp;"'!$B$1"),IF(VLOOKUP(Q$1,INDIRECT("'"&amp;$A49&amp;"'!$A$12:$Z$41"),MATCH("Points (Auto-generate)",INDIRECT("'"&amp;$A49&amp;"'!$A$12:$Z$12"),0),0)="","?",VLOOKUP(Q$1,INDIRECT("'"&amp;$A49&amp;"'!$A$12:$Z$41"),MATCH("Points (Auto-generate)",INDIRECT("'"&amp;$A49&amp;"'!$A$12:$Z$12"),0),0)),"ER"))</f>
        <v>?</v>
      </c>
      <c r="R49" s="83" t="str">
        <f aca="true">IF($H49=0,"NA",IF($A49=INDIRECT("'"&amp;$A49&amp;"'!$B$1"),IF(VLOOKUP(R$1,INDIRECT("'"&amp;$A49&amp;"'!$A$12:$Z$41"),MATCH("Points (Auto-generate)",INDIRECT("'"&amp;$A49&amp;"'!$A$12:$Z$12"),0),0)="","?",VLOOKUP(R$1,INDIRECT("'"&amp;$A49&amp;"'!$A$12:$Z$41"),MATCH("Points (Auto-generate)",INDIRECT("'"&amp;$A49&amp;"'!$A$12:$Z$12"),0),0)),"ER"))</f>
        <v>?</v>
      </c>
      <c r="S49" s="83" t="str">
        <f aca="true">IF($H49=0,"NA",IF($A49=INDIRECT("'"&amp;$A49&amp;"'!$B$1"),IF(VLOOKUP(S$1,INDIRECT("'"&amp;$A49&amp;"'!$A$12:$Z$41"),MATCH("Points (Auto-generate)",INDIRECT("'"&amp;$A49&amp;"'!$A$12:$Z$12"),0),0)="","?",VLOOKUP(S$1,INDIRECT("'"&amp;$A49&amp;"'!$A$12:$Z$41"),MATCH("Points (Auto-generate)",INDIRECT("'"&amp;$A49&amp;"'!$A$12:$Z$12"),0),0)),"ER"))</f>
        <v>?</v>
      </c>
      <c r="T49" s="83" t="str">
        <f aca="true">IF($H49=0,"NA",IF($A49=INDIRECT("'"&amp;$A49&amp;"'!$B$1"),IF(VLOOKUP(T$1,INDIRECT("'"&amp;$A49&amp;"'!$A$12:$Z$41"),MATCH("Points (Auto-generate)",INDIRECT("'"&amp;$A49&amp;"'!$A$12:$Z$12"),0),0)="","?",VLOOKUP(T$1,INDIRECT("'"&amp;$A49&amp;"'!$A$12:$Z$41"),MATCH("Points (Auto-generate)",INDIRECT("'"&amp;$A49&amp;"'!$A$12:$Z$12"),0),0)),"ER"))</f>
        <v>?</v>
      </c>
      <c r="U49" s="83" t="str">
        <f aca="true">IF($H49=0,"NA",IF($A49=INDIRECT("'"&amp;$A49&amp;"'!$B$1"),IF(VLOOKUP(U$1,INDIRECT("'"&amp;$A49&amp;"'!$A$12:$Z$41"),MATCH("Points (Auto-generate)",INDIRECT("'"&amp;$A49&amp;"'!$A$12:$Z$12"),0),0)="","?",VLOOKUP(U$1,INDIRECT("'"&amp;$A49&amp;"'!$A$12:$Z$41"),MATCH("Points (Auto-generate)",INDIRECT("'"&amp;$A49&amp;"'!$A$12:$Z$12"),0),0)),"ER"))</f>
        <v>?</v>
      </c>
      <c r="V49" s="83" t="str">
        <f aca="true">IF($H49=0,"NA",IF($A49=INDIRECT("'"&amp;$A49&amp;"'!$B$1"),IF(VLOOKUP(V$1,INDIRECT("'"&amp;$A49&amp;"'!$A$12:$Z$41"),MATCH("Points (Auto-generate)",INDIRECT("'"&amp;$A49&amp;"'!$A$12:$Z$12"),0),0)="","?",VLOOKUP(V$1,INDIRECT("'"&amp;$A49&amp;"'!$A$12:$Z$41"),MATCH("Points (Auto-generate)",INDIRECT("'"&amp;$A49&amp;"'!$A$12:$Z$12"),0),0)),"ER"))</f>
        <v>?</v>
      </c>
      <c r="W49" s="83" t="str">
        <f aca="true">IF($H49=0,"NA",IF($A49=INDIRECT("'"&amp;$A49&amp;"'!$B$1"),IF(VLOOKUP(W$1,INDIRECT("'"&amp;$A49&amp;"'!$A$12:$Z$41"),MATCH("Points (Auto-generate)",INDIRECT("'"&amp;$A49&amp;"'!$A$12:$Z$12"),0),0)="","?",VLOOKUP(W$1,INDIRECT("'"&amp;$A49&amp;"'!$A$12:$Z$41"),MATCH("Points (Auto-generate)",INDIRECT("'"&amp;$A49&amp;"'!$A$12:$Z$12"),0),0)),"ER"))</f>
        <v>?</v>
      </c>
      <c r="X49" s="83" t="str">
        <f aca="true">IF($H49=0,"NA",IF($A49=INDIRECT("'"&amp;$A49&amp;"'!$B$1"),IF(VLOOKUP(X$1,INDIRECT("'"&amp;$A49&amp;"'!$A$12:$Z$41"),MATCH("Points (Auto-generate)",INDIRECT("'"&amp;$A49&amp;"'!$A$12:$Z$12"),0),0)="","?",VLOOKUP(X$1,INDIRECT("'"&amp;$A49&amp;"'!$A$12:$Z$41"),MATCH("Points (Auto-generate)",INDIRECT("'"&amp;$A49&amp;"'!$A$12:$Z$12"),0),0)),"ER"))</f>
        <v>?</v>
      </c>
      <c r="Y49" s="83" t="str">
        <f aca="true">IF($H49=0,"NA",IF($A49=INDIRECT("'"&amp;$A49&amp;"'!$B$1"),IF(VLOOKUP(Y$1,INDIRECT("'"&amp;$A49&amp;"'!$A$12:$Z$41"),MATCH("Points (Auto-generate)",INDIRECT("'"&amp;$A49&amp;"'!$A$12:$Z$12"),0),0)="","?",VLOOKUP(Y$1,INDIRECT("'"&amp;$A49&amp;"'!$A$12:$Z$41"),MATCH("Points (Auto-generate)",INDIRECT("'"&amp;$A49&amp;"'!$A$12:$Z$12"),0),0)),"ER"))</f>
        <v>?</v>
      </c>
      <c r="Z49" s="83" t="str">
        <f aca="true">IF($H49=0,"NA",IF($A49=INDIRECT("'"&amp;$A49&amp;"'!$B$1"),IF(VLOOKUP(Z$1,INDIRECT("'"&amp;$A49&amp;"'!$A$12:$Z$41"),MATCH("Points (Auto-generate)",INDIRECT("'"&amp;$A49&amp;"'!$A$12:$Z$12"),0),0)="","?",VLOOKUP(Z$1,INDIRECT("'"&amp;$A49&amp;"'!$A$12:$Z$41"),MATCH("Points (Auto-generate)",INDIRECT("'"&amp;$A49&amp;"'!$A$12:$Z$12"),0),0)),"ER"))</f>
        <v>?</v>
      </c>
      <c r="AA49" s="83" t="str">
        <f aca="true">IF($H49=0,"NA",IF($A49=INDIRECT("'"&amp;$A49&amp;"'!$B$1"),IF(VLOOKUP(AA$1,INDIRECT("'"&amp;$A49&amp;"'!$A$12:$Z$41"),MATCH("Points (Auto-generate)",INDIRECT("'"&amp;$A49&amp;"'!$A$12:$Z$12"),0),0)="","?",VLOOKUP(AA$1,INDIRECT("'"&amp;$A49&amp;"'!$A$12:$Z$41"),MATCH("Points (Auto-generate)",INDIRECT("'"&amp;$A49&amp;"'!$A$12:$Z$12"),0),0)),"ER"))</f>
        <v>?</v>
      </c>
      <c r="AB49" s="83" t="str">
        <f aca="true">IF($H49=0,"NA",IF($A49=INDIRECT("'"&amp;$A49&amp;"'!$B$1"),IF(VLOOKUP(AB$1,INDIRECT("'"&amp;$A49&amp;"'!$A$12:$Z$41"),MATCH("Points (Auto-generate)",INDIRECT("'"&amp;$A49&amp;"'!$A$12:$Z$12"),0),0)="","?",VLOOKUP(AB$1,INDIRECT("'"&amp;$A49&amp;"'!$A$12:$Z$41"),MATCH("Points (Auto-generate)",INDIRECT("'"&amp;$A49&amp;"'!$A$12:$Z$12"),0),0)),"ER"))</f>
        <v>?</v>
      </c>
      <c r="AC49" s="83" t="str">
        <f aca="true">IF($H49=0,"NA",IF($A49=INDIRECT("'"&amp;$A49&amp;"'!$B$1"),IF(VLOOKUP(AC$1,INDIRECT("'"&amp;$A49&amp;"'!$A$12:$Z$41"),MATCH("Points (Auto-generate)",INDIRECT("'"&amp;$A49&amp;"'!$A$12:$Z$12"),0),0)="","?",VLOOKUP(AC$1,INDIRECT("'"&amp;$A49&amp;"'!$A$12:$Z$41"),MATCH("Points (Auto-generate)",INDIRECT("'"&amp;$A49&amp;"'!$A$12:$Z$12"),0),0)),"ER"))</f>
        <v>?</v>
      </c>
      <c r="AD49" s="83" t="str">
        <f aca="true">IF($H49=0,"NA",IF($A49=INDIRECT("'"&amp;$A49&amp;"'!$B$1"),IF(VLOOKUP(AD$1,INDIRECT("'"&amp;$A49&amp;"'!$A$12:$Z$41"),MATCH("Points (Auto-generate)",INDIRECT("'"&amp;$A49&amp;"'!$A$12:$Z$12"),0),0)="","?",VLOOKUP(AD$1,INDIRECT("'"&amp;$A49&amp;"'!$A$12:$Z$41"),MATCH("Points (Auto-generate)",INDIRECT("'"&amp;$A49&amp;"'!$A$12:$Z$12"),0),0)),"ER"))</f>
        <v>?</v>
      </c>
      <c r="AE49" s="83" t="str">
        <f aca="true">IF($H49=0,"NA",IF($A49=INDIRECT("'"&amp;$A49&amp;"'!$B$1"),IF(VLOOKUP(AE$1,INDIRECT("'"&amp;$A49&amp;"'!$A$12:$Z$41"),MATCH("Points (Auto-generate)",INDIRECT("'"&amp;$A49&amp;"'!$A$12:$Z$12"),0),0)="","?",VLOOKUP(AE$1,INDIRECT("'"&amp;$A49&amp;"'!$A$12:$Z$41"),MATCH("Points (Auto-generate)",INDIRECT("'"&amp;$A49&amp;"'!$A$12:$Z$12"),0),0)),"ER"))</f>
        <v>?</v>
      </c>
      <c r="AF49" s="83" t="str">
        <f aca="true">IF($H49=0,"NA",IF($A49=INDIRECT("'"&amp;$A49&amp;"'!$B$1"),IF(VLOOKUP(AF$1,INDIRECT("'"&amp;$A49&amp;"'!$A$12:$Z$41"),MATCH("Points (Auto-generate)",INDIRECT("'"&amp;$A49&amp;"'!$A$12:$Z$12"),0),0)="","?",VLOOKUP(AF$1,INDIRECT("'"&amp;$A49&amp;"'!$A$12:$Z$41"),MATCH("Points (Auto-generate)",INDIRECT("'"&amp;$A49&amp;"'!$A$12:$Z$12"),0),0)),"ER"))</f>
        <v>?</v>
      </c>
      <c r="AG49" s="83" t="str">
        <f aca="true">IF($H49=0,"NA",IF($A49=INDIRECT("'"&amp;$A49&amp;"'!$B$1"),IF(VLOOKUP(AG$1,INDIRECT("'"&amp;$A49&amp;"'!$A$12:$Z$41"),MATCH("Points (Auto-generate)",INDIRECT("'"&amp;$A49&amp;"'!$A$12:$Z$12"),0),0)="","?",VLOOKUP(AG$1,INDIRECT("'"&amp;$A49&amp;"'!$A$12:$Z$41"),MATCH("Points (Auto-generate)",INDIRECT("'"&amp;$A49&amp;"'!$A$12:$Z$12"),0),0)),"ER"))</f>
        <v>?</v>
      </c>
      <c r="AH49" s="83" t="str">
        <f aca="true">IF($H49=0,"NA",IF($A49=INDIRECT("'"&amp;$A49&amp;"'!$B$1"),IF(VLOOKUP(AH$1,INDIRECT("'"&amp;$A49&amp;"'!$A$12:$Z$41"),MATCH("Points (Auto-generate)",INDIRECT("'"&amp;$A49&amp;"'!$A$12:$Z$12"),0),0)="","?",VLOOKUP(AH$1,INDIRECT("'"&amp;$A49&amp;"'!$A$12:$Z$41"),MATCH("Points (Auto-generate)",INDIRECT("'"&amp;$A49&amp;"'!$A$12:$Z$12"),0),0)),"ER"))</f>
        <v>?</v>
      </c>
      <c r="AI49" s="83" t="str">
        <f aca="true">IF($H49=0,"NA",IF($A49=INDIRECT("'"&amp;$A49&amp;"'!$B$1"),IF(VLOOKUP(AI$1,INDIRECT("'"&amp;$A49&amp;"'!$A$12:$Z$41"),MATCH("Points (Auto-generate)",INDIRECT("'"&amp;$A49&amp;"'!$A$12:$Z$12"),0),0)="","?",VLOOKUP(AI$1,INDIRECT("'"&amp;$A49&amp;"'!$A$12:$Z$41"),MATCH("Points (Auto-generate)",INDIRECT("'"&amp;$A49&amp;"'!$A$12:$Z$12"),0),0)),"ER"))</f>
        <v>?</v>
      </c>
      <c r="AJ49" s="83" t="str">
        <f aca="true">IF($H49=0,"NA",IF($A49=INDIRECT("'"&amp;$A49&amp;"'!$B$1"),IF(VLOOKUP(AJ$1,INDIRECT("'"&amp;$A49&amp;"'!$A$12:$Z$41"),MATCH("Points (Auto-generate)",INDIRECT("'"&amp;$A49&amp;"'!$A$12:$Z$12"),0),0)="","?",VLOOKUP(AJ$1,INDIRECT("'"&amp;$A49&amp;"'!$A$12:$Z$41"),MATCH("Points (Auto-generate)",INDIRECT("'"&amp;$A49&amp;"'!$A$12:$Z$12"),0),0)),"ER"))</f>
        <v>?</v>
      </c>
      <c r="AK49" s="83" t="str">
        <f aca="true">IF($H49=0,"NA",IF($A49=INDIRECT("'"&amp;$A49&amp;"'!$B$1"),IF(VLOOKUP(AK$1,INDIRECT("'"&amp;$A49&amp;"'!$A$12:$Z$41"),MATCH("Points (Auto-generate)",INDIRECT("'"&amp;$A49&amp;"'!$A$12:$Z$12"),0),0)="","?",VLOOKUP(AK$1,INDIRECT("'"&amp;$A49&amp;"'!$A$12:$Z$41"),MATCH("Points (Auto-generate)",INDIRECT("'"&amp;$A49&amp;"'!$A$12:$Z$12"),0),0)),"ER"))</f>
        <v>?</v>
      </c>
    </row>
    <row r="50" customFormat="false" ht="14.25" hidden="false" customHeight="false" outlineLevel="0" collapsed="false">
      <c r="A50" s="79" t="s">
        <v>213</v>
      </c>
      <c r="B50" s="80" t="str">
        <f aca="false">IF(ISBLANK($A50),"NO_CODE",VLOOKUP($A50,'UPD Questions_290926 '!$E$1:$N$300,MATCH(B$1,'UPD Questions_290926 '!$E$1:$N$1,0),0)&amp;"")</f>
        <v>Implementation</v>
      </c>
      <c r="C50" s="80" t="str">
        <f aca="false">IF(ISBLANK($A50),"NO_CODE",VLOOKUP($A50,'UPD Questions_290926 '!$E$1:$N$300,MATCH(C$1,'UPD Questions_290926 '!$E$1:$N$1,0),0)&amp;"")</f>
        <v>Municipal/City Plan status, hierarchy and coordination</v>
      </c>
      <c r="D50" s="80" t="str">
        <f aca="false">IF(ISBLANK($A50),"NO_CODE",VLOOKUP($A50,'UPD Questions_290926 '!$E$1:$N$300,MATCH(D$1,'UPD Questions_290926 '!$E$1:$N$1,0),0)&amp;"")</f>
        <v>Shared spatial information and data coordination</v>
      </c>
      <c r="E50" s="80" t="str">
        <f aca="false">IF(ISBLANK($A50),"NO_CODE",VLOOKUP($A50,'UPD Questions_290926 '!$E$1:$N$300,MATCH(E$1,'UPD Questions_290926 '!$E$1:$N$1,0),0)&amp;"")</f>
        <v>MQ</v>
      </c>
      <c r="F50" s="80" t="str">
        <f aca="false">IF(ISBLANK($A50),"NO_CODE",VLOOKUP($A50,'UPD Questions_290926 '!$E$1:$N$300,MATCH(F$1,'UPD Questions_290926 '!$E$1:$N$1,0),0)&amp;"")</f>
        <v>Is there a common digital base municipal/city plan Map shared among Planning Authorities, and data updated through GIS with fixed periodicity by the relevent sectoral agencies (transport, network infrastructure, land use changes)</v>
      </c>
      <c r="G50" s="80" t="str">
        <f aca="false">IF(ISBLANK($A50),"NO_CODE",VLOOKUP($A50,'UPD Questions_290926 '!$E$1:$N$300,MATCH(G$1,'UPD Questions_290926 '!$E$1:$N$1,0),0)&amp;"")</f>
        <v>Implementation</v>
      </c>
      <c r="H50" s="82" t="n">
        <f aca="false">IF(ISBLANK($A50),"NO_CODE",VLOOKUP($A50,'UPD Questions_290926 '!$E$1:$N$300,MATCH(H$1,'UPD Questions_290926 '!$E$1:$N$1,0),0))</f>
        <v>10</v>
      </c>
      <c r="I50" s="83" t="str">
        <f aca="true">IF($H50=0,"NA",IF($A50=INDIRECT("'"&amp;$A50&amp;"'!$B$1"),IF(VLOOKUP(I$1,INDIRECT("'"&amp;$A50&amp;"'!$A$12:$Z$41"),MATCH("Points (Auto-generate)",INDIRECT("'"&amp;$A50&amp;"'!$A$12:$Z$12"),0),0)="","?",VLOOKUP(I$1,INDIRECT("'"&amp;$A50&amp;"'!$A$12:$Z$41"),MATCH("Points (Auto-generate)",INDIRECT("'"&amp;$A50&amp;"'!$A$12:$Z$12"),0),0)),"ER"))</f>
        <v>?</v>
      </c>
      <c r="J50" s="83" t="n">
        <f aca="true">IF($H50=0,"NA",IF($A50=INDIRECT("'"&amp;$A50&amp;"'!$B$1"),IF(VLOOKUP(J$1,INDIRECT("'"&amp;$A50&amp;"'!$A$12:$Z$41"),MATCH("Points (Auto-generate)",INDIRECT("'"&amp;$A50&amp;"'!$A$12:$Z$12"),0),0)="","?",VLOOKUP(J$1,INDIRECT("'"&amp;$A50&amp;"'!$A$12:$Z$41"),MATCH("Points (Auto-generate)",INDIRECT("'"&amp;$A50&amp;"'!$A$12:$Z$12"),0),0)),"ER"))</f>
        <v>10</v>
      </c>
      <c r="K50" s="83" t="str">
        <f aca="true">IF($H50=0,"NA",IF($A50=INDIRECT("'"&amp;$A50&amp;"'!$B$1"),IF(VLOOKUP(K$1,INDIRECT("'"&amp;$A50&amp;"'!$A$12:$Z$41"),MATCH("Points (Auto-generate)",INDIRECT("'"&amp;$A50&amp;"'!$A$12:$Z$12"),0),0)="","?",VLOOKUP(K$1,INDIRECT("'"&amp;$A50&amp;"'!$A$12:$Z$41"),MATCH("Points (Auto-generate)",INDIRECT("'"&amp;$A50&amp;"'!$A$12:$Z$12"),0),0)),"ER"))</f>
        <v>?</v>
      </c>
      <c r="L50" s="83" t="str">
        <f aca="true">IF($H50=0,"NA",IF($A50=INDIRECT("'"&amp;$A50&amp;"'!$B$1"),IF(VLOOKUP(L$1,INDIRECT("'"&amp;$A50&amp;"'!$A$12:$Z$41"),MATCH("Points (Auto-generate)",INDIRECT("'"&amp;$A50&amp;"'!$A$12:$Z$12"),0),0)="","?",VLOOKUP(L$1,INDIRECT("'"&amp;$A50&amp;"'!$A$12:$Z$41"),MATCH("Points (Auto-generate)",INDIRECT("'"&amp;$A50&amp;"'!$A$12:$Z$12"),0),0)),"ER"))</f>
        <v>?</v>
      </c>
      <c r="M50" s="83" t="str">
        <f aca="true">IF($H50=0,"NA",IF($A50=INDIRECT("'"&amp;$A50&amp;"'!$B$1"),IF(VLOOKUP(M$1,INDIRECT("'"&amp;$A50&amp;"'!$A$12:$Z$41"),MATCH("Points (Auto-generate)",INDIRECT("'"&amp;$A50&amp;"'!$A$12:$Z$12"),0),0)="","?",VLOOKUP(M$1,INDIRECT("'"&amp;$A50&amp;"'!$A$12:$Z$41"),MATCH("Points (Auto-generate)",INDIRECT("'"&amp;$A50&amp;"'!$A$12:$Z$12"),0),0)),"ER"))</f>
        <v>?</v>
      </c>
      <c r="N50" s="83" t="str">
        <f aca="true">IF($H50=0,"NA",IF($A50=INDIRECT("'"&amp;$A50&amp;"'!$B$1"),IF(VLOOKUP(N$1,INDIRECT("'"&amp;$A50&amp;"'!$A$12:$Z$41"),MATCH("Points (Auto-generate)",INDIRECT("'"&amp;$A50&amp;"'!$A$12:$Z$12"),0),0)="","?",VLOOKUP(N$1,INDIRECT("'"&amp;$A50&amp;"'!$A$12:$Z$41"),MATCH("Points (Auto-generate)",INDIRECT("'"&amp;$A50&amp;"'!$A$12:$Z$12"),0),0)),"ER"))</f>
        <v>?</v>
      </c>
      <c r="O50" s="83" t="str">
        <f aca="true">IF($H50=0,"NA",IF($A50=INDIRECT("'"&amp;$A50&amp;"'!$B$1"),IF(VLOOKUP(O$1,INDIRECT("'"&amp;$A50&amp;"'!$A$12:$Z$41"),MATCH("Points (Auto-generate)",INDIRECT("'"&amp;$A50&amp;"'!$A$12:$Z$12"),0),0)="","?",VLOOKUP(O$1,INDIRECT("'"&amp;$A50&amp;"'!$A$12:$Z$41"),MATCH("Points (Auto-generate)",INDIRECT("'"&amp;$A50&amp;"'!$A$12:$Z$12"),0),0)),"ER"))</f>
        <v>?</v>
      </c>
      <c r="P50" s="83" t="str">
        <f aca="true">IF($H50=0,"NA",IF($A50=INDIRECT("'"&amp;$A50&amp;"'!$B$1"),IF(VLOOKUP(P$1,INDIRECT("'"&amp;$A50&amp;"'!$A$12:$Z$41"),MATCH("Points (Auto-generate)",INDIRECT("'"&amp;$A50&amp;"'!$A$12:$Z$12"),0),0)="","?",VLOOKUP(P$1,INDIRECT("'"&amp;$A50&amp;"'!$A$12:$Z$41"),MATCH("Points (Auto-generate)",INDIRECT("'"&amp;$A50&amp;"'!$A$12:$Z$12"),0),0)),"ER"))</f>
        <v>?</v>
      </c>
      <c r="Q50" s="83" t="str">
        <f aca="true">IF($H50=0,"NA",IF($A50=INDIRECT("'"&amp;$A50&amp;"'!$B$1"),IF(VLOOKUP(Q$1,INDIRECT("'"&amp;$A50&amp;"'!$A$12:$Z$41"),MATCH("Points (Auto-generate)",INDIRECT("'"&amp;$A50&amp;"'!$A$12:$Z$12"),0),0)="","?",VLOOKUP(Q$1,INDIRECT("'"&amp;$A50&amp;"'!$A$12:$Z$41"),MATCH("Points (Auto-generate)",INDIRECT("'"&amp;$A50&amp;"'!$A$12:$Z$12"),0),0)),"ER"))</f>
        <v>?</v>
      </c>
      <c r="R50" s="83" t="str">
        <f aca="true">IF($H50=0,"NA",IF($A50=INDIRECT("'"&amp;$A50&amp;"'!$B$1"),IF(VLOOKUP(R$1,INDIRECT("'"&amp;$A50&amp;"'!$A$12:$Z$41"),MATCH("Points (Auto-generate)",INDIRECT("'"&amp;$A50&amp;"'!$A$12:$Z$12"),0),0)="","?",VLOOKUP(R$1,INDIRECT("'"&amp;$A50&amp;"'!$A$12:$Z$41"),MATCH("Points (Auto-generate)",INDIRECT("'"&amp;$A50&amp;"'!$A$12:$Z$12"),0),0)),"ER"))</f>
        <v>?</v>
      </c>
      <c r="S50" s="83" t="str">
        <f aca="true">IF($H50=0,"NA",IF($A50=INDIRECT("'"&amp;$A50&amp;"'!$B$1"),IF(VLOOKUP(S$1,INDIRECT("'"&amp;$A50&amp;"'!$A$12:$Z$41"),MATCH("Points (Auto-generate)",INDIRECT("'"&amp;$A50&amp;"'!$A$12:$Z$12"),0),0)="","?",VLOOKUP(S$1,INDIRECT("'"&amp;$A50&amp;"'!$A$12:$Z$41"),MATCH("Points (Auto-generate)",INDIRECT("'"&amp;$A50&amp;"'!$A$12:$Z$12"),0),0)),"ER"))</f>
        <v>?</v>
      </c>
      <c r="T50" s="83" t="str">
        <f aca="true">IF($H50=0,"NA",IF($A50=INDIRECT("'"&amp;$A50&amp;"'!$B$1"),IF(VLOOKUP(T$1,INDIRECT("'"&amp;$A50&amp;"'!$A$12:$Z$41"),MATCH("Points (Auto-generate)",INDIRECT("'"&amp;$A50&amp;"'!$A$12:$Z$12"),0),0)="","?",VLOOKUP(T$1,INDIRECT("'"&amp;$A50&amp;"'!$A$12:$Z$41"),MATCH("Points (Auto-generate)",INDIRECT("'"&amp;$A50&amp;"'!$A$12:$Z$12"),0),0)),"ER"))</f>
        <v>?</v>
      </c>
      <c r="U50" s="83" t="str">
        <f aca="true">IF($H50=0,"NA",IF($A50=INDIRECT("'"&amp;$A50&amp;"'!$B$1"),IF(VLOOKUP(U$1,INDIRECT("'"&amp;$A50&amp;"'!$A$12:$Z$41"),MATCH("Points (Auto-generate)",INDIRECT("'"&amp;$A50&amp;"'!$A$12:$Z$12"),0),0)="","?",VLOOKUP(U$1,INDIRECT("'"&amp;$A50&amp;"'!$A$12:$Z$41"),MATCH("Points (Auto-generate)",INDIRECT("'"&amp;$A50&amp;"'!$A$12:$Z$12"),0),0)),"ER"))</f>
        <v>?</v>
      </c>
      <c r="V50" s="83" t="str">
        <f aca="true">IF($H50=0,"NA",IF($A50=INDIRECT("'"&amp;$A50&amp;"'!$B$1"),IF(VLOOKUP(V$1,INDIRECT("'"&amp;$A50&amp;"'!$A$12:$Z$41"),MATCH("Points (Auto-generate)",INDIRECT("'"&amp;$A50&amp;"'!$A$12:$Z$12"),0),0)="","?",VLOOKUP(V$1,INDIRECT("'"&amp;$A50&amp;"'!$A$12:$Z$41"),MATCH("Points (Auto-generate)",INDIRECT("'"&amp;$A50&amp;"'!$A$12:$Z$12"),0),0)),"ER"))</f>
        <v>?</v>
      </c>
      <c r="W50" s="83" t="str">
        <f aca="true">IF($H50=0,"NA",IF($A50=INDIRECT("'"&amp;$A50&amp;"'!$B$1"),IF(VLOOKUP(W$1,INDIRECT("'"&amp;$A50&amp;"'!$A$12:$Z$41"),MATCH("Points (Auto-generate)",INDIRECT("'"&amp;$A50&amp;"'!$A$12:$Z$12"),0),0)="","?",VLOOKUP(W$1,INDIRECT("'"&amp;$A50&amp;"'!$A$12:$Z$41"),MATCH("Points (Auto-generate)",INDIRECT("'"&amp;$A50&amp;"'!$A$12:$Z$12"),0),0)),"ER"))</f>
        <v>?</v>
      </c>
      <c r="X50" s="83" t="str">
        <f aca="true">IF($H50=0,"NA",IF($A50=INDIRECT("'"&amp;$A50&amp;"'!$B$1"),IF(VLOOKUP(X$1,INDIRECT("'"&amp;$A50&amp;"'!$A$12:$Z$41"),MATCH("Points (Auto-generate)",INDIRECT("'"&amp;$A50&amp;"'!$A$12:$Z$12"),0),0)="","?",VLOOKUP(X$1,INDIRECT("'"&amp;$A50&amp;"'!$A$12:$Z$41"),MATCH("Points (Auto-generate)",INDIRECT("'"&amp;$A50&amp;"'!$A$12:$Z$12"),0),0)),"ER"))</f>
        <v>?</v>
      </c>
      <c r="Y50" s="83" t="str">
        <f aca="true">IF($H50=0,"NA",IF($A50=INDIRECT("'"&amp;$A50&amp;"'!$B$1"),IF(VLOOKUP(Y$1,INDIRECT("'"&amp;$A50&amp;"'!$A$12:$Z$41"),MATCH("Points (Auto-generate)",INDIRECT("'"&amp;$A50&amp;"'!$A$12:$Z$12"),0),0)="","?",VLOOKUP(Y$1,INDIRECT("'"&amp;$A50&amp;"'!$A$12:$Z$41"),MATCH("Points (Auto-generate)",INDIRECT("'"&amp;$A50&amp;"'!$A$12:$Z$12"),0),0)),"ER"))</f>
        <v>?</v>
      </c>
      <c r="Z50" s="83" t="str">
        <f aca="true">IF($H50=0,"NA",IF($A50=INDIRECT("'"&amp;$A50&amp;"'!$B$1"),IF(VLOOKUP(Z$1,INDIRECT("'"&amp;$A50&amp;"'!$A$12:$Z$41"),MATCH("Points (Auto-generate)",INDIRECT("'"&amp;$A50&amp;"'!$A$12:$Z$12"),0),0)="","?",VLOOKUP(Z$1,INDIRECT("'"&amp;$A50&amp;"'!$A$12:$Z$41"),MATCH("Points (Auto-generate)",INDIRECT("'"&amp;$A50&amp;"'!$A$12:$Z$12"),0),0)),"ER"))</f>
        <v>?</v>
      </c>
      <c r="AA50" s="83" t="str">
        <f aca="true">IF($H50=0,"NA",IF($A50=INDIRECT("'"&amp;$A50&amp;"'!$B$1"),IF(VLOOKUP(AA$1,INDIRECT("'"&amp;$A50&amp;"'!$A$12:$Z$41"),MATCH("Points (Auto-generate)",INDIRECT("'"&amp;$A50&amp;"'!$A$12:$Z$12"),0),0)="","?",VLOOKUP(AA$1,INDIRECT("'"&amp;$A50&amp;"'!$A$12:$Z$41"),MATCH("Points (Auto-generate)",INDIRECT("'"&amp;$A50&amp;"'!$A$12:$Z$12"),0),0)),"ER"))</f>
        <v>?</v>
      </c>
      <c r="AB50" s="83" t="str">
        <f aca="true">IF($H50=0,"NA",IF($A50=INDIRECT("'"&amp;$A50&amp;"'!$B$1"),IF(VLOOKUP(AB$1,INDIRECT("'"&amp;$A50&amp;"'!$A$12:$Z$41"),MATCH("Points (Auto-generate)",INDIRECT("'"&amp;$A50&amp;"'!$A$12:$Z$12"),0),0)="","?",VLOOKUP(AB$1,INDIRECT("'"&amp;$A50&amp;"'!$A$12:$Z$41"),MATCH("Points (Auto-generate)",INDIRECT("'"&amp;$A50&amp;"'!$A$12:$Z$12"),0),0)),"ER"))</f>
        <v>?</v>
      </c>
      <c r="AC50" s="83" t="str">
        <f aca="true">IF($H50=0,"NA",IF($A50=INDIRECT("'"&amp;$A50&amp;"'!$B$1"),IF(VLOOKUP(AC$1,INDIRECT("'"&amp;$A50&amp;"'!$A$12:$Z$41"),MATCH("Points (Auto-generate)",INDIRECT("'"&amp;$A50&amp;"'!$A$12:$Z$12"),0),0)="","?",VLOOKUP(AC$1,INDIRECT("'"&amp;$A50&amp;"'!$A$12:$Z$41"),MATCH("Points (Auto-generate)",INDIRECT("'"&amp;$A50&amp;"'!$A$12:$Z$12"),0),0)),"ER"))</f>
        <v>?</v>
      </c>
      <c r="AD50" s="83" t="str">
        <f aca="true">IF($H50=0,"NA",IF($A50=INDIRECT("'"&amp;$A50&amp;"'!$B$1"),IF(VLOOKUP(AD$1,INDIRECT("'"&amp;$A50&amp;"'!$A$12:$Z$41"),MATCH("Points (Auto-generate)",INDIRECT("'"&amp;$A50&amp;"'!$A$12:$Z$12"),0),0)="","?",VLOOKUP(AD$1,INDIRECT("'"&amp;$A50&amp;"'!$A$12:$Z$41"),MATCH("Points (Auto-generate)",INDIRECT("'"&amp;$A50&amp;"'!$A$12:$Z$12"),0),0)),"ER"))</f>
        <v>?</v>
      </c>
      <c r="AE50" s="83" t="str">
        <f aca="true">IF($H50=0,"NA",IF($A50=INDIRECT("'"&amp;$A50&amp;"'!$B$1"),IF(VLOOKUP(AE$1,INDIRECT("'"&amp;$A50&amp;"'!$A$12:$Z$41"),MATCH("Points (Auto-generate)",INDIRECT("'"&amp;$A50&amp;"'!$A$12:$Z$12"),0),0)="","?",VLOOKUP(AE$1,INDIRECT("'"&amp;$A50&amp;"'!$A$12:$Z$41"),MATCH("Points (Auto-generate)",INDIRECT("'"&amp;$A50&amp;"'!$A$12:$Z$12"),0),0)),"ER"))</f>
        <v>?</v>
      </c>
      <c r="AF50" s="83" t="str">
        <f aca="true">IF($H50=0,"NA",IF($A50=INDIRECT("'"&amp;$A50&amp;"'!$B$1"),IF(VLOOKUP(AF$1,INDIRECT("'"&amp;$A50&amp;"'!$A$12:$Z$41"),MATCH("Points (Auto-generate)",INDIRECT("'"&amp;$A50&amp;"'!$A$12:$Z$12"),0),0)="","?",VLOOKUP(AF$1,INDIRECT("'"&amp;$A50&amp;"'!$A$12:$Z$41"),MATCH("Points (Auto-generate)",INDIRECT("'"&amp;$A50&amp;"'!$A$12:$Z$12"),0),0)),"ER"))</f>
        <v>?</v>
      </c>
      <c r="AG50" s="83" t="str">
        <f aca="true">IF($H50=0,"NA",IF($A50=INDIRECT("'"&amp;$A50&amp;"'!$B$1"),IF(VLOOKUP(AG$1,INDIRECT("'"&amp;$A50&amp;"'!$A$12:$Z$41"),MATCH("Points (Auto-generate)",INDIRECT("'"&amp;$A50&amp;"'!$A$12:$Z$12"),0),0)="","?",VLOOKUP(AG$1,INDIRECT("'"&amp;$A50&amp;"'!$A$12:$Z$41"),MATCH("Points (Auto-generate)",INDIRECT("'"&amp;$A50&amp;"'!$A$12:$Z$12"),0),0)),"ER"))</f>
        <v>?</v>
      </c>
      <c r="AH50" s="83" t="str">
        <f aca="true">IF($H50=0,"NA",IF($A50=INDIRECT("'"&amp;$A50&amp;"'!$B$1"),IF(VLOOKUP(AH$1,INDIRECT("'"&amp;$A50&amp;"'!$A$12:$Z$41"),MATCH("Points (Auto-generate)",INDIRECT("'"&amp;$A50&amp;"'!$A$12:$Z$12"),0),0)="","?",VLOOKUP(AH$1,INDIRECT("'"&amp;$A50&amp;"'!$A$12:$Z$41"),MATCH("Points (Auto-generate)",INDIRECT("'"&amp;$A50&amp;"'!$A$12:$Z$12"),0),0)),"ER"))</f>
        <v>?</v>
      </c>
      <c r="AI50" s="83" t="str">
        <f aca="true">IF($H50=0,"NA",IF($A50=INDIRECT("'"&amp;$A50&amp;"'!$B$1"),IF(VLOOKUP(AI$1,INDIRECT("'"&amp;$A50&amp;"'!$A$12:$Z$41"),MATCH("Points (Auto-generate)",INDIRECT("'"&amp;$A50&amp;"'!$A$12:$Z$12"),0),0)="","?",VLOOKUP(AI$1,INDIRECT("'"&amp;$A50&amp;"'!$A$12:$Z$41"),MATCH("Points (Auto-generate)",INDIRECT("'"&amp;$A50&amp;"'!$A$12:$Z$12"),0),0)),"ER"))</f>
        <v>?</v>
      </c>
      <c r="AJ50" s="83" t="str">
        <f aca="true">IF($H50=0,"NA",IF($A50=INDIRECT("'"&amp;$A50&amp;"'!$B$1"),IF(VLOOKUP(AJ$1,INDIRECT("'"&amp;$A50&amp;"'!$A$12:$Z$41"),MATCH("Points (Auto-generate)",INDIRECT("'"&amp;$A50&amp;"'!$A$12:$Z$12"),0),0)="","?",VLOOKUP(AJ$1,INDIRECT("'"&amp;$A50&amp;"'!$A$12:$Z$41"),MATCH("Points (Auto-generate)",INDIRECT("'"&amp;$A50&amp;"'!$A$12:$Z$12"),0),0)),"ER"))</f>
        <v>?</v>
      </c>
      <c r="AK50" s="83" t="str">
        <f aca="true">IF($H50=0,"NA",IF($A50=INDIRECT("'"&amp;$A50&amp;"'!$B$1"),IF(VLOOKUP(AK$1,INDIRECT("'"&amp;$A50&amp;"'!$A$12:$Z$41"),MATCH("Points (Auto-generate)",INDIRECT("'"&amp;$A50&amp;"'!$A$12:$Z$12"),0),0)="","?",VLOOKUP(AK$1,INDIRECT("'"&amp;$A50&amp;"'!$A$12:$Z$41"),MATCH("Points (Auto-generate)",INDIRECT("'"&amp;$A50&amp;"'!$A$12:$Z$12"),0),0)),"ER"))</f>
        <v>?</v>
      </c>
    </row>
    <row r="51" customFormat="false" ht="14.25" hidden="false" customHeight="false" outlineLevel="0" collapsed="false">
      <c r="A51" s="79" t="s">
        <v>608</v>
      </c>
      <c r="B51" s="80" t="str">
        <f aca="false">IF(ISBLANK($A51),"NO_CODE",VLOOKUP($A51,'UPD Questions_290926 '!$E$1:$N$300,MATCH(B$1,'UPD Questions_290926 '!$E$1:$N$1,0),0)&amp;"")</f>
        <v>Implementation</v>
      </c>
      <c r="C51" s="80" t="str">
        <f aca="false">IF(ISBLANK($A51),"NO_CODE",VLOOKUP($A51,'UPD Questions_290926 '!$E$1:$N$300,MATCH(C$1,'UPD Questions_290926 '!$E$1:$N$1,0),0)&amp;"")</f>
        <v>Sectoral planning</v>
      </c>
      <c r="D51" s="80" t="str">
        <f aca="false">IF(ISBLANK($A51),"NO_CODE",VLOOKUP($A51,'UPD Questions_290926 '!$E$1:$N$300,MATCH(D$1,'UPD Questions_290926 '!$E$1:$N$1,0),0)&amp;"")</f>
        <v>Water supply and sewerage, sanitation, solid waste management </v>
      </c>
      <c r="E51" s="80" t="str">
        <f aca="false">IF(ISBLANK($A51),"NO_CODE",VLOOKUP($A51,'UPD Questions_290926 '!$E$1:$N$300,MATCH(E$1,'UPD Questions_290926 '!$E$1:$N$1,0),0)&amp;"")</f>
        <v>MQ</v>
      </c>
      <c r="F51" s="80" t="str">
        <f aca="false">IF(ISBLANK($A51),"NO_CODE",VLOOKUP($A51,'UPD Questions_290926 '!$E$1:$N$300,MATCH(F$1,'UPD Questions_290926 '!$E$1:$N$1,0),0)&amp;"")</f>
        <v>Does the city have a Water Supply and Sewerage Plan, City Sanitation Plan, and Solid Waste Management Plan  that clearly articulates development priorities, measurable objectives, and the roles and responsibilities of the ULG?</v>
      </c>
      <c r="G51" s="80" t="str">
        <f aca="false">IF(ISBLANK($A51),"NO_CODE",VLOOKUP($A51,'UPD Questions_290926 '!$E$1:$N$300,MATCH(G$1,'UPD Questions_290926 '!$E$1:$N$1,0),0)&amp;"")</f>
        <v>Implementation</v>
      </c>
      <c r="H51" s="82" t="n">
        <f aca="false">IF(ISBLANK($A51),"NO_CODE",VLOOKUP($A51,'UPD Questions_290926 '!$E$1:$N$300,MATCH(H$1,'UPD Questions_290926 '!$E$1:$N$1,0),0))</f>
        <v>10</v>
      </c>
      <c r="I51" s="83" t="str">
        <f aca="false">IF(OR(I52="ER",I56="ER",I60="ER"),"ER",IF(OR(I52="?",I56="?",I60="?"),"?",IF(AND(I52="NA",I56="NA",I60="NA"),"NA",SUM(I52,I56,I60)/((I52&lt;&gt;"NA")*$H$52+(I56&lt;&gt;"NA")*$H$56+(I60&lt;&gt;"NA")*$H$60)*$H51)))</f>
        <v>?</v>
      </c>
      <c r="J51" s="83" t="n">
        <f aca="false">IF(OR(J52="ER",J56="ER",J60="ER"),"ER",IF(OR(J52="?",J56="?",J60="?"),"?",IF(AND(J52="NA",J56="NA",J60="NA"),"NA",SUM(J52,J56,J60)/((J52&lt;&gt;"NA")*$H$52+(J56&lt;&gt;"NA")*$H$56+(J60&lt;&gt;"NA")*$H$60)*$H51)))</f>
        <v>2.22222222222222</v>
      </c>
      <c r="K51" s="83" t="str">
        <f aca="false">IF(OR(K52="ER",K56="ER",K60="ER"),"ER",IF(OR(K52="?",K56="?",K60="?"),"?",IF(AND(K52="NA",K56="NA",K60="NA"),"NA",SUM(K52,K56,K60)/((K52&lt;&gt;"NA")*$H$52+(K56&lt;&gt;"NA")*$H$56+(K60&lt;&gt;"NA")*$H$60)*$H51)))</f>
        <v>?</v>
      </c>
      <c r="L51" s="83" t="str">
        <f aca="false">IF(OR(L52="ER",L56="ER",L60="ER"),"ER",IF(OR(L52="?",L56="?",L60="?"),"?",IF(AND(L52="NA",L56="NA",L60="NA"),"NA",SUM(L52,L56,L60)/((L52&lt;&gt;"NA")*$H$52+(L56&lt;&gt;"NA")*$H$56+(L60&lt;&gt;"NA")*$H$60)*$H51)))</f>
        <v>?</v>
      </c>
      <c r="M51" s="83" t="str">
        <f aca="false">IF(OR(M52="ER",M56="ER",M60="ER"),"ER",IF(OR(M52="?",M56="?",M60="?"),"?",IF(AND(M52="NA",M56="NA",M60="NA"),"NA",SUM(M52,M56,M60)/((M52&lt;&gt;"NA")*$H$52+(M56&lt;&gt;"NA")*$H$56+(M60&lt;&gt;"NA")*$H$60)*$H51)))</f>
        <v>?</v>
      </c>
      <c r="N51" s="83" t="str">
        <f aca="false">IF(OR(N52="ER",N56="ER",N60="ER"),"ER",IF(OR(N52="?",N56="?",N60="?"),"?",IF(AND(N52="NA",N56="NA",N60="NA"),"NA",SUM(N52,N56,N60)/((N52&lt;&gt;"NA")*$H$52+(N56&lt;&gt;"NA")*$H$56+(N60&lt;&gt;"NA")*$H$60)*$H51)))</f>
        <v>?</v>
      </c>
      <c r="O51" s="83" t="str">
        <f aca="false">IF(OR(O52="ER",O56="ER",O60="ER"),"ER",IF(OR(O52="?",O56="?",O60="?"),"?",IF(AND(O52="NA",O56="NA",O60="NA"),"NA",SUM(O52,O56,O60)/((O52&lt;&gt;"NA")*$H$52+(O56&lt;&gt;"NA")*$H$56+(O60&lt;&gt;"NA")*$H$60)*$H51)))</f>
        <v>?</v>
      </c>
      <c r="P51" s="83" t="str">
        <f aca="false">IF(OR(P52="ER",P56="ER",P60="ER"),"ER",IF(OR(P52="?",P56="?",P60="?"),"?",IF(AND(P52="NA",P56="NA",P60="NA"),"NA",SUM(P52,P56,P60)/((P52&lt;&gt;"NA")*$H$52+(P56&lt;&gt;"NA")*$H$56+(P60&lt;&gt;"NA")*$H$60)*$H51)))</f>
        <v>?</v>
      </c>
      <c r="Q51" s="83" t="str">
        <f aca="false">IF(OR(Q52="ER",Q56="ER",Q60="ER"),"ER",IF(OR(Q52="?",Q56="?",Q60="?"),"?",IF(AND(Q52="NA",Q56="NA",Q60="NA"),"NA",SUM(Q52,Q56,Q60)/((Q52&lt;&gt;"NA")*$H$52+(Q56&lt;&gt;"NA")*$H$56+(Q60&lt;&gt;"NA")*$H$60)*$H51)))</f>
        <v>?</v>
      </c>
      <c r="R51" s="83" t="str">
        <f aca="false">IF(OR(R52="ER",R56="ER",R60="ER"),"ER",IF(OR(R52="?",R56="?",R60="?"),"?",IF(AND(R52="NA",R56="NA",R60="NA"),"NA",SUM(R52,R56,R60)/((R52&lt;&gt;"NA")*$H$52+(R56&lt;&gt;"NA")*$H$56+(R60&lt;&gt;"NA")*$H$60)*$H51)))</f>
        <v>?</v>
      </c>
      <c r="S51" s="83" t="str">
        <f aca="false">IF(OR(S52="ER",S56="ER",S60="ER"),"ER",IF(OR(S52="?",S56="?",S60="?"),"?",IF(AND(S52="NA",S56="NA",S60="NA"),"NA",SUM(S52,S56,S60)/((S52&lt;&gt;"NA")*$H$52+(S56&lt;&gt;"NA")*$H$56+(S60&lt;&gt;"NA")*$H$60)*$H51)))</f>
        <v>?</v>
      </c>
      <c r="T51" s="83" t="str">
        <f aca="false">IF(OR(T52="ER",T56="ER",T60="ER"),"ER",IF(OR(T52="?",T56="?",T60="?"),"?",IF(AND(T52="NA",T56="NA",T60="NA"),"NA",SUM(T52,T56,T60)/((T52&lt;&gt;"NA")*$H$52+(T56&lt;&gt;"NA")*$H$56+(T60&lt;&gt;"NA")*$H$60)*$H51)))</f>
        <v>?</v>
      </c>
      <c r="U51" s="83" t="str">
        <f aca="false">IF(OR(U52="ER",U56="ER",U60="ER"),"ER",IF(OR(U52="?",U56="?",U60="?"),"?",IF(AND(U52="NA",U56="NA",U60="NA"),"NA",SUM(U52,U56,U60)/((U52&lt;&gt;"NA")*$H$52+(U56&lt;&gt;"NA")*$H$56+(U60&lt;&gt;"NA")*$H$60)*$H51)))</f>
        <v>?</v>
      </c>
      <c r="V51" s="83" t="str">
        <f aca="false">IF(OR(V52="ER",V56="ER",V60="ER"),"ER",IF(OR(V52="?",V56="?",V60="?"),"?",IF(AND(V52="NA",V56="NA",V60="NA"),"NA",SUM(V52,V56,V60)/((V52&lt;&gt;"NA")*$H$52+(V56&lt;&gt;"NA")*$H$56+(V60&lt;&gt;"NA")*$H$60)*$H51)))</f>
        <v>?</v>
      </c>
      <c r="W51" s="83" t="str">
        <f aca="false">IF(OR(W52="ER",W56="ER",W60="ER"),"ER",IF(OR(W52="?",W56="?",W60="?"),"?",IF(AND(W52="NA",W56="NA",W60="NA"),"NA",SUM(W52,W56,W60)/((W52&lt;&gt;"NA")*$H$52+(W56&lt;&gt;"NA")*$H$56+(W60&lt;&gt;"NA")*$H$60)*$H51)))</f>
        <v>?</v>
      </c>
      <c r="X51" s="83" t="str">
        <f aca="false">IF(OR(X52="ER",X56="ER",X60="ER"),"ER",IF(OR(X52="?",X56="?",X60="?"),"?",IF(AND(X52="NA",X56="NA",X60="NA"),"NA",SUM(X52,X56,X60)/((X52&lt;&gt;"NA")*$H$52+(X56&lt;&gt;"NA")*$H$56+(X60&lt;&gt;"NA")*$H$60)*$H51)))</f>
        <v>?</v>
      </c>
      <c r="Y51" s="83" t="str">
        <f aca="false">IF(OR(Y52="ER",Y56="ER",Y60="ER"),"ER",IF(OR(Y52="?",Y56="?",Y60="?"),"?",IF(AND(Y52="NA",Y56="NA",Y60="NA"),"NA",SUM(Y52,Y56,Y60)/((Y52&lt;&gt;"NA")*$H$52+(Y56&lt;&gt;"NA")*$H$56+(Y60&lt;&gt;"NA")*$H$60)*$H51)))</f>
        <v>?</v>
      </c>
      <c r="Z51" s="83" t="str">
        <f aca="false">IF(OR(Z52="ER",Z56="ER",Z60="ER"),"ER",IF(OR(Z52="?",Z56="?",Z60="?"),"?",IF(AND(Z52="NA",Z56="NA",Z60="NA"),"NA",SUM(Z52,Z56,Z60)/((Z52&lt;&gt;"NA")*$H$52+(Z56&lt;&gt;"NA")*$H$56+(Z60&lt;&gt;"NA")*$H$60)*$H51)))</f>
        <v>?</v>
      </c>
      <c r="AA51" s="83" t="str">
        <f aca="false">IF(OR(AA52="ER",AA56="ER",AA60="ER"),"ER",IF(OR(AA52="?",AA56="?",AA60="?"),"?",IF(AND(AA52="NA",AA56="NA",AA60="NA"),"NA",SUM(AA52,AA56,AA60)/((AA52&lt;&gt;"NA")*$H$52+(AA56&lt;&gt;"NA")*$H$56+(AA60&lt;&gt;"NA")*$H$60)*$H51)))</f>
        <v>?</v>
      </c>
      <c r="AB51" s="83" t="str">
        <f aca="false">IF(OR(AB52="ER",AB56="ER",AB60="ER"),"ER",IF(OR(AB52="?",AB56="?",AB60="?"),"?",IF(AND(AB52="NA",AB56="NA",AB60="NA"),"NA",SUM(AB52,AB56,AB60)/((AB52&lt;&gt;"NA")*$H$52+(AB56&lt;&gt;"NA")*$H$56+(AB60&lt;&gt;"NA")*$H$60)*$H51)))</f>
        <v>?</v>
      </c>
      <c r="AC51" s="83" t="str">
        <f aca="false">IF(OR(AC52="ER",AC56="ER",AC60="ER"),"ER",IF(OR(AC52="?",AC56="?",AC60="?"),"?",IF(AND(AC52="NA",AC56="NA",AC60="NA"),"NA",SUM(AC52,AC56,AC60)/((AC52&lt;&gt;"NA")*$H$52+(AC56&lt;&gt;"NA")*$H$56+(AC60&lt;&gt;"NA")*$H$60)*$H51)))</f>
        <v>?</v>
      </c>
      <c r="AD51" s="83" t="str">
        <f aca="false">IF(OR(AD52="ER",AD56="ER",AD60="ER"),"ER",IF(OR(AD52="?",AD56="?",AD60="?"),"?",IF(AND(AD52="NA",AD56="NA",AD60="NA"),"NA",SUM(AD52,AD56,AD60)/((AD52&lt;&gt;"NA")*$H$52+(AD56&lt;&gt;"NA")*$H$56+(AD60&lt;&gt;"NA")*$H$60)*$H51)))</f>
        <v>?</v>
      </c>
      <c r="AE51" s="83" t="str">
        <f aca="false">IF(OR(AE52="ER",AE56="ER",AE60="ER"),"ER",IF(OR(AE52="?",AE56="?",AE60="?"),"?",IF(AND(AE52="NA",AE56="NA",AE60="NA"),"NA",SUM(AE52,AE56,AE60)/((AE52&lt;&gt;"NA")*$H$52+(AE56&lt;&gt;"NA")*$H$56+(AE60&lt;&gt;"NA")*$H$60)*$H51)))</f>
        <v>?</v>
      </c>
      <c r="AF51" s="83" t="str">
        <f aca="false">IF(OR(AF52="ER",AF56="ER",AF60="ER"),"ER",IF(OR(AF52="?",AF56="?",AF60="?"),"?",IF(AND(AF52="NA",AF56="NA",AF60="NA"),"NA",SUM(AF52,AF56,AF60)/((AF52&lt;&gt;"NA")*$H$52+(AF56&lt;&gt;"NA")*$H$56+(AF60&lt;&gt;"NA")*$H$60)*$H51)))</f>
        <v>?</v>
      </c>
      <c r="AG51" s="83" t="str">
        <f aca="false">IF(OR(AG52="ER",AG56="ER",AG60="ER"),"ER",IF(OR(AG52="?",AG56="?",AG60="?"),"?",IF(AND(AG52="NA",AG56="NA",AG60="NA"),"NA",SUM(AG52,AG56,AG60)/((AG52&lt;&gt;"NA")*$H$52+(AG56&lt;&gt;"NA")*$H$56+(AG60&lt;&gt;"NA")*$H$60)*$H51)))</f>
        <v>?</v>
      </c>
      <c r="AH51" s="83" t="str">
        <f aca="false">IF(OR(AH52="ER",AH56="ER",AH60="ER"),"ER",IF(OR(AH52="?",AH56="?",AH60="?"),"?",IF(AND(AH52="NA",AH56="NA",AH60="NA"),"NA",SUM(AH52,AH56,AH60)/((AH52&lt;&gt;"NA")*$H$52+(AH56&lt;&gt;"NA")*$H$56+(AH60&lt;&gt;"NA")*$H$60)*$H51)))</f>
        <v>?</v>
      </c>
      <c r="AI51" s="83" t="str">
        <f aca="false">IF(OR(AI52="ER",AI56="ER",AI60="ER"),"ER",IF(OR(AI52="?",AI56="?",AI60="?"),"?",IF(AND(AI52="NA",AI56="NA",AI60="NA"),"NA",SUM(AI52,AI56,AI60)/((AI52&lt;&gt;"NA")*$H$52+(AI56&lt;&gt;"NA")*$H$56+(AI60&lt;&gt;"NA")*$H$60)*$H51)))</f>
        <v>?</v>
      </c>
      <c r="AJ51" s="83" t="str">
        <f aca="false">IF(OR(AJ52="ER",AJ56="ER",AJ60="ER"),"ER",IF(OR(AJ52="?",AJ56="?",AJ60="?"),"?",IF(AND(AJ52="NA",AJ56="NA",AJ60="NA"),"NA",SUM(AJ52,AJ56,AJ60)/((AJ52&lt;&gt;"NA")*$H$52+(AJ56&lt;&gt;"NA")*$H$56+(AJ60&lt;&gt;"NA")*$H$60)*$H51)))</f>
        <v>?</v>
      </c>
      <c r="AK51" s="83" t="str">
        <f aca="false">IF(OR(AK52="ER",AK56="ER",AK60="ER"),"ER",IF(OR(AK52="?",AK56="?",AK60="?"),"?",IF(AND(AK52="NA",AK56="NA",AK60="NA"),"NA",SUM(AK52,AK56,AK60)/((AK52&lt;&gt;"NA")*$H$52+(AK56&lt;&gt;"NA")*$H$56+(AK60&lt;&gt;"NA")*$H$60)*$H51)))</f>
        <v>?</v>
      </c>
    </row>
    <row r="52" customFormat="false" ht="14.25" hidden="false" customHeight="false" outlineLevel="0" collapsed="false">
      <c r="A52" s="79" t="s">
        <v>216</v>
      </c>
      <c r="B52" s="80" t="str">
        <f aca="false">IF(ISBLANK($A52),"NO_CODE",VLOOKUP($A52,'UPD Questions_290926 '!$E$1:$N$300,MATCH(B$1,'UPD Questions_290926 '!$E$1:$N$1,0),0)&amp;"")</f>
        <v>Implementation</v>
      </c>
      <c r="C52" s="80" t="str">
        <f aca="false">IF(ISBLANK($A52),"NO_CODE",VLOOKUP($A52,'UPD Questions_290926 '!$E$1:$N$300,MATCH(C$1,'UPD Questions_290926 '!$E$1:$N$1,0),0)&amp;"")</f>
        <v>Sectoral planning</v>
      </c>
      <c r="D52" s="80" t="str">
        <f aca="false">IF(ISBLANK($A52),"NO_CODE",VLOOKUP($A52,'UPD Questions_290926 '!$E$1:$N$300,MATCH(D$1,'UPD Questions_290926 '!$E$1:$N$1,0),0)&amp;"")</f>
        <v>Water supply and sewerage, sanitation, solid waste management </v>
      </c>
      <c r="E52" s="80" t="str">
        <f aca="false">IF(ISBLANK($A52),"NO_CODE",VLOOKUP($A52,'UPD Questions_290926 '!$E$1:$N$300,MATCH(E$1,'UPD Questions_290926 '!$E$1:$N$1,0),0)&amp;"")</f>
        <v>SQ</v>
      </c>
      <c r="F52" s="80" t="str">
        <f aca="false">IF(ISBLANK($A52),"NO_CODE",VLOOKUP($A52,'UPD Questions_290926 '!$E$1:$N$300,MATCH(F$1,'UPD Questions_290926 '!$E$1:$N$1,0),0)&amp;"")</f>
        <v>Does the city have a notified and active Plan?</v>
      </c>
      <c r="G52" s="80" t="str">
        <f aca="false">IF(ISBLANK($A52),"NO_CODE",VLOOKUP($A52,'UPD Questions_290926 '!$E$1:$N$300,MATCH(G$1,'UPD Questions_290926 '!$E$1:$N$1,0),0)&amp;"")</f>
        <v>Implementation</v>
      </c>
      <c r="H52" s="82" t="n">
        <f aca="false">IF(ISBLANK($A52),"NO_CODE",VLOOKUP($A52,'UPD Questions_290926 '!$E$1:$N$300,MATCH(H$1,'UPD Questions_290926 '!$E$1:$N$1,0),0))</f>
        <v>3.33</v>
      </c>
      <c r="I52" s="83" t="str">
        <f aca="true">IF($H52=0,"NA",IF($A52=INDIRECT("'"&amp;$A52&amp;"'!$B$1"),IF(VLOOKUP(I$1,INDIRECT("'"&amp;$A52&amp;"'!$A$12:$Z$41"),MATCH("Points (Auto-generate)",INDIRECT("'"&amp;$A52&amp;"'!$A$12:$Z$12"),0),0)="","?",VLOOKUP(I$1,INDIRECT("'"&amp;$A52&amp;"'!$A$12:$Z$41"),MATCH("Points (Auto-generate)",INDIRECT("'"&amp;$A52&amp;"'!$A$12:$Z$12"),0),0)),"ER"))</f>
        <v>?</v>
      </c>
      <c r="J52" s="83" t="n">
        <f aca="true">IF($H52=0,"NA",IF($A52=INDIRECT("'"&amp;$A52&amp;"'!$B$1"),IF(VLOOKUP(J$1,INDIRECT("'"&amp;$A52&amp;"'!$A$12:$Z$41"),MATCH("Points (Auto-generate)",INDIRECT("'"&amp;$A52&amp;"'!$A$12:$Z$12"),0),0)="","?",VLOOKUP(J$1,INDIRECT("'"&amp;$A52&amp;"'!$A$12:$Z$41"),MATCH("Points (Auto-generate)",INDIRECT("'"&amp;$A52&amp;"'!$A$12:$Z$12"),0),0)),"ER"))</f>
        <v>1.11</v>
      </c>
      <c r="K52" s="83" t="str">
        <f aca="true">IF($H52=0,"NA",IF($A52=INDIRECT("'"&amp;$A52&amp;"'!$B$1"),IF(VLOOKUP(K$1,INDIRECT("'"&amp;$A52&amp;"'!$A$12:$Z$41"),MATCH("Points (Auto-generate)",INDIRECT("'"&amp;$A52&amp;"'!$A$12:$Z$12"),0),0)="","?",VLOOKUP(K$1,INDIRECT("'"&amp;$A52&amp;"'!$A$12:$Z$41"),MATCH("Points (Auto-generate)",INDIRECT("'"&amp;$A52&amp;"'!$A$12:$Z$12"),0),0)),"ER"))</f>
        <v>?</v>
      </c>
      <c r="L52" s="83" t="str">
        <f aca="true">IF($H52=0,"NA",IF($A52=INDIRECT("'"&amp;$A52&amp;"'!$B$1"),IF(VLOOKUP(L$1,INDIRECT("'"&amp;$A52&amp;"'!$A$12:$Z$41"),MATCH("Points (Auto-generate)",INDIRECT("'"&amp;$A52&amp;"'!$A$12:$Z$12"),0),0)="","?",VLOOKUP(L$1,INDIRECT("'"&amp;$A52&amp;"'!$A$12:$Z$41"),MATCH("Points (Auto-generate)",INDIRECT("'"&amp;$A52&amp;"'!$A$12:$Z$12"),0),0)),"ER"))</f>
        <v>?</v>
      </c>
      <c r="M52" s="83" t="str">
        <f aca="true">IF($H52=0,"NA",IF($A52=INDIRECT("'"&amp;$A52&amp;"'!$B$1"),IF(VLOOKUP(M$1,INDIRECT("'"&amp;$A52&amp;"'!$A$12:$Z$41"),MATCH("Points (Auto-generate)",INDIRECT("'"&amp;$A52&amp;"'!$A$12:$Z$12"),0),0)="","?",VLOOKUP(M$1,INDIRECT("'"&amp;$A52&amp;"'!$A$12:$Z$41"),MATCH("Points (Auto-generate)",INDIRECT("'"&amp;$A52&amp;"'!$A$12:$Z$12"),0),0)),"ER"))</f>
        <v>?</v>
      </c>
      <c r="N52" s="83" t="str">
        <f aca="true">IF($H52=0,"NA",IF($A52=INDIRECT("'"&amp;$A52&amp;"'!$B$1"),IF(VLOOKUP(N$1,INDIRECT("'"&amp;$A52&amp;"'!$A$12:$Z$41"),MATCH("Points (Auto-generate)",INDIRECT("'"&amp;$A52&amp;"'!$A$12:$Z$12"),0),0)="","?",VLOOKUP(N$1,INDIRECT("'"&amp;$A52&amp;"'!$A$12:$Z$41"),MATCH("Points (Auto-generate)",INDIRECT("'"&amp;$A52&amp;"'!$A$12:$Z$12"),0),0)),"ER"))</f>
        <v>?</v>
      </c>
      <c r="O52" s="83" t="str">
        <f aca="true">IF($H52=0,"NA",IF($A52=INDIRECT("'"&amp;$A52&amp;"'!$B$1"),IF(VLOOKUP(O$1,INDIRECT("'"&amp;$A52&amp;"'!$A$12:$Z$41"),MATCH("Points (Auto-generate)",INDIRECT("'"&amp;$A52&amp;"'!$A$12:$Z$12"),0),0)="","?",VLOOKUP(O$1,INDIRECT("'"&amp;$A52&amp;"'!$A$12:$Z$41"),MATCH("Points (Auto-generate)",INDIRECT("'"&amp;$A52&amp;"'!$A$12:$Z$12"),0),0)),"ER"))</f>
        <v>?</v>
      </c>
      <c r="P52" s="83" t="str">
        <f aca="true">IF($H52=0,"NA",IF($A52=INDIRECT("'"&amp;$A52&amp;"'!$B$1"),IF(VLOOKUP(P$1,INDIRECT("'"&amp;$A52&amp;"'!$A$12:$Z$41"),MATCH("Points (Auto-generate)",INDIRECT("'"&amp;$A52&amp;"'!$A$12:$Z$12"),0),0)="","?",VLOOKUP(P$1,INDIRECT("'"&amp;$A52&amp;"'!$A$12:$Z$41"),MATCH("Points (Auto-generate)",INDIRECT("'"&amp;$A52&amp;"'!$A$12:$Z$12"),0),0)),"ER"))</f>
        <v>?</v>
      </c>
      <c r="Q52" s="83" t="str">
        <f aca="true">IF($H52=0,"NA",IF($A52=INDIRECT("'"&amp;$A52&amp;"'!$B$1"),IF(VLOOKUP(Q$1,INDIRECT("'"&amp;$A52&amp;"'!$A$12:$Z$41"),MATCH("Points (Auto-generate)",INDIRECT("'"&amp;$A52&amp;"'!$A$12:$Z$12"),0),0)="","?",VLOOKUP(Q$1,INDIRECT("'"&amp;$A52&amp;"'!$A$12:$Z$41"),MATCH("Points (Auto-generate)",INDIRECT("'"&amp;$A52&amp;"'!$A$12:$Z$12"),0),0)),"ER"))</f>
        <v>?</v>
      </c>
      <c r="R52" s="83" t="str">
        <f aca="true">IF($H52=0,"NA",IF($A52=INDIRECT("'"&amp;$A52&amp;"'!$B$1"),IF(VLOOKUP(R$1,INDIRECT("'"&amp;$A52&amp;"'!$A$12:$Z$41"),MATCH("Points (Auto-generate)",INDIRECT("'"&amp;$A52&amp;"'!$A$12:$Z$12"),0),0)="","?",VLOOKUP(R$1,INDIRECT("'"&amp;$A52&amp;"'!$A$12:$Z$41"),MATCH("Points (Auto-generate)",INDIRECT("'"&amp;$A52&amp;"'!$A$12:$Z$12"),0),0)),"ER"))</f>
        <v>?</v>
      </c>
      <c r="S52" s="83" t="str">
        <f aca="true">IF($H52=0,"NA",IF($A52=INDIRECT("'"&amp;$A52&amp;"'!$B$1"),IF(VLOOKUP(S$1,INDIRECT("'"&amp;$A52&amp;"'!$A$12:$Z$41"),MATCH("Points (Auto-generate)",INDIRECT("'"&amp;$A52&amp;"'!$A$12:$Z$12"),0),0)="","?",VLOOKUP(S$1,INDIRECT("'"&amp;$A52&amp;"'!$A$12:$Z$41"),MATCH("Points (Auto-generate)",INDIRECT("'"&amp;$A52&amp;"'!$A$12:$Z$12"),0),0)),"ER"))</f>
        <v>?</v>
      </c>
      <c r="T52" s="83" t="str">
        <f aca="true">IF($H52=0,"NA",IF($A52=INDIRECT("'"&amp;$A52&amp;"'!$B$1"),IF(VLOOKUP(T$1,INDIRECT("'"&amp;$A52&amp;"'!$A$12:$Z$41"),MATCH("Points (Auto-generate)",INDIRECT("'"&amp;$A52&amp;"'!$A$12:$Z$12"),0),0)="","?",VLOOKUP(T$1,INDIRECT("'"&amp;$A52&amp;"'!$A$12:$Z$41"),MATCH("Points (Auto-generate)",INDIRECT("'"&amp;$A52&amp;"'!$A$12:$Z$12"),0),0)),"ER"))</f>
        <v>?</v>
      </c>
      <c r="U52" s="83" t="str">
        <f aca="true">IF($H52=0,"NA",IF($A52=INDIRECT("'"&amp;$A52&amp;"'!$B$1"),IF(VLOOKUP(U$1,INDIRECT("'"&amp;$A52&amp;"'!$A$12:$Z$41"),MATCH("Points (Auto-generate)",INDIRECT("'"&amp;$A52&amp;"'!$A$12:$Z$12"),0),0)="","?",VLOOKUP(U$1,INDIRECT("'"&amp;$A52&amp;"'!$A$12:$Z$41"),MATCH("Points (Auto-generate)",INDIRECT("'"&amp;$A52&amp;"'!$A$12:$Z$12"),0),0)),"ER"))</f>
        <v>?</v>
      </c>
      <c r="V52" s="83" t="str">
        <f aca="true">IF($H52=0,"NA",IF($A52=INDIRECT("'"&amp;$A52&amp;"'!$B$1"),IF(VLOOKUP(V$1,INDIRECT("'"&amp;$A52&amp;"'!$A$12:$Z$41"),MATCH("Points (Auto-generate)",INDIRECT("'"&amp;$A52&amp;"'!$A$12:$Z$12"),0),0)="","?",VLOOKUP(V$1,INDIRECT("'"&amp;$A52&amp;"'!$A$12:$Z$41"),MATCH("Points (Auto-generate)",INDIRECT("'"&amp;$A52&amp;"'!$A$12:$Z$12"),0),0)),"ER"))</f>
        <v>?</v>
      </c>
      <c r="W52" s="83" t="str">
        <f aca="true">IF($H52=0,"NA",IF($A52=INDIRECT("'"&amp;$A52&amp;"'!$B$1"),IF(VLOOKUP(W$1,INDIRECT("'"&amp;$A52&amp;"'!$A$12:$Z$41"),MATCH("Points (Auto-generate)",INDIRECT("'"&amp;$A52&amp;"'!$A$12:$Z$12"),0),0)="","?",VLOOKUP(W$1,INDIRECT("'"&amp;$A52&amp;"'!$A$12:$Z$41"),MATCH("Points (Auto-generate)",INDIRECT("'"&amp;$A52&amp;"'!$A$12:$Z$12"),0),0)),"ER"))</f>
        <v>?</v>
      </c>
      <c r="X52" s="83" t="str">
        <f aca="true">IF($H52=0,"NA",IF($A52=INDIRECT("'"&amp;$A52&amp;"'!$B$1"),IF(VLOOKUP(X$1,INDIRECT("'"&amp;$A52&amp;"'!$A$12:$Z$41"),MATCH("Points (Auto-generate)",INDIRECT("'"&amp;$A52&amp;"'!$A$12:$Z$12"),0),0)="","?",VLOOKUP(X$1,INDIRECT("'"&amp;$A52&amp;"'!$A$12:$Z$41"),MATCH("Points (Auto-generate)",INDIRECT("'"&amp;$A52&amp;"'!$A$12:$Z$12"),0),0)),"ER"))</f>
        <v>?</v>
      </c>
      <c r="Y52" s="83" t="str">
        <f aca="true">IF($H52=0,"NA",IF($A52=INDIRECT("'"&amp;$A52&amp;"'!$B$1"),IF(VLOOKUP(Y$1,INDIRECT("'"&amp;$A52&amp;"'!$A$12:$Z$41"),MATCH("Points (Auto-generate)",INDIRECT("'"&amp;$A52&amp;"'!$A$12:$Z$12"),0),0)="","?",VLOOKUP(Y$1,INDIRECT("'"&amp;$A52&amp;"'!$A$12:$Z$41"),MATCH("Points (Auto-generate)",INDIRECT("'"&amp;$A52&amp;"'!$A$12:$Z$12"),0),0)),"ER"))</f>
        <v>?</v>
      </c>
      <c r="Z52" s="83" t="str">
        <f aca="true">IF($H52=0,"NA",IF($A52=INDIRECT("'"&amp;$A52&amp;"'!$B$1"),IF(VLOOKUP(Z$1,INDIRECT("'"&amp;$A52&amp;"'!$A$12:$Z$41"),MATCH("Points (Auto-generate)",INDIRECT("'"&amp;$A52&amp;"'!$A$12:$Z$12"),0),0)="","?",VLOOKUP(Z$1,INDIRECT("'"&amp;$A52&amp;"'!$A$12:$Z$41"),MATCH("Points (Auto-generate)",INDIRECT("'"&amp;$A52&amp;"'!$A$12:$Z$12"),0),0)),"ER"))</f>
        <v>?</v>
      </c>
      <c r="AA52" s="83" t="str">
        <f aca="true">IF($H52=0,"NA",IF($A52=INDIRECT("'"&amp;$A52&amp;"'!$B$1"),IF(VLOOKUP(AA$1,INDIRECT("'"&amp;$A52&amp;"'!$A$12:$Z$41"),MATCH("Points (Auto-generate)",INDIRECT("'"&amp;$A52&amp;"'!$A$12:$Z$12"),0),0)="","?",VLOOKUP(AA$1,INDIRECT("'"&amp;$A52&amp;"'!$A$12:$Z$41"),MATCH("Points (Auto-generate)",INDIRECT("'"&amp;$A52&amp;"'!$A$12:$Z$12"),0),0)),"ER"))</f>
        <v>?</v>
      </c>
      <c r="AB52" s="83" t="str">
        <f aca="true">IF($H52=0,"NA",IF($A52=INDIRECT("'"&amp;$A52&amp;"'!$B$1"),IF(VLOOKUP(AB$1,INDIRECT("'"&amp;$A52&amp;"'!$A$12:$Z$41"),MATCH("Points (Auto-generate)",INDIRECT("'"&amp;$A52&amp;"'!$A$12:$Z$12"),0),0)="","?",VLOOKUP(AB$1,INDIRECT("'"&amp;$A52&amp;"'!$A$12:$Z$41"),MATCH("Points (Auto-generate)",INDIRECT("'"&amp;$A52&amp;"'!$A$12:$Z$12"),0),0)),"ER"))</f>
        <v>?</v>
      </c>
      <c r="AC52" s="83" t="str">
        <f aca="true">IF($H52=0,"NA",IF($A52=INDIRECT("'"&amp;$A52&amp;"'!$B$1"),IF(VLOOKUP(AC$1,INDIRECT("'"&amp;$A52&amp;"'!$A$12:$Z$41"),MATCH("Points (Auto-generate)",INDIRECT("'"&amp;$A52&amp;"'!$A$12:$Z$12"),0),0)="","?",VLOOKUP(AC$1,INDIRECT("'"&amp;$A52&amp;"'!$A$12:$Z$41"),MATCH("Points (Auto-generate)",INDIRECT("'"&amp;$A52&amp;"'!$A$12:$Z$12"),0),0)),"ER"))</f>
        <v>?</v>
      </c>
      <c r="AD52" s="83" t="str">
        <f aca="true">IF($H52=0,"NA",IF($A52=INDIRECT("'"&amp;$A52&amp;"'!$B$1"),IF(VLOOKUP(AD$1,INDIRECT("'"&amp;$A52&amp;"'!$A$12:$Z$41"),MATCH("Points (Auto-generate)",INDIRECT("'"&amp;$A52&amp;"'!$A$12:$Z$12"),0),0)="","?",VLOOKUP(AD$1,INDIRECT("'"&amp;$A52&amp;"'!$A$12:$Z$41"),MATCH("Points (Auto-generate)",INDIRECT("'"&amp;$A52&amp;"'!$A$12:$Z$12"),0),0)),"ER"))</f>
        <v>?</v>
      </c>
      <c r="AE52" s="83" t="str">
        <f aca="true">IF($H52=0,"NA",IF($A52=INDIRECT("'"&amp;$A52&amp;"'!$B$1"),IF(VLOOKUP(AE$1,INDIRECT("'"&amp;$A52&amp;"'!$A$12:$Z$41"),MATCH("Points (Auto-generate)",INDIRECT("'"&amp;$A52&amp;"'!$A$12:$Z$12"),0),0)="","?",VLOOKUP(AE$1,INDIRECT("'"&amp;$A52&amp;"'!$A$12:$Z$41"),MATCH("Points (Auto-generate)",INDIRECT("'"&amp;$A52&amp;"'!$A$12:$Z$12"),0),0)),"ER"))</f>
        <v>?</v>
      </c>
      <c r="AF52" s="83" t="str">
        <f aca="true">IF($H52=0,"NA",IF($A52=INDIRECT("'"&amp;$A52&amp;"'!$B$1"),IF(VLOOKUP(AF$1,INDIRECT("'"&amp;$A52&amp;"'!$A$12:$Z$41"),MATCH("Points (Auto-generate)",INDIRECT("'"&amp;$A52&amp;"'!$A$12:$Z$12"),0),0)="","?",VLOOKUP(AF$1,INDIRECT("'"&amp;$A52&amp;"'!$A$12:$Z$41"),MATCH("Points (Auto-generate)",INDIRECT("'"&amp;$A52&amp;"'!$A$12:$Z$12"),0),0)),"ER"))</f>
        <v>?</v>
      </c>
      <c r="AG52" s="83" t="str">
        <f aca="true">IF($H52=0,"NA",IF($A52=INDIRECT("'"&amp;$A52&amp;"'!$B$1"),IF(VLOOKUP(AG$1,INDIRECT("'"&amp;$A52&amp;"'!$A$12:$Z$41"),MATCH("Points (Auto-generate)",INDIRECT("'"&amp;$A52&amp;"'!$A$12:$Z$12"),0),0)="","?",VLOOKUP(AG$1,INDIRECT("'"&amp;$A52&amp;"'!$A$12:$Z$41"),MATCH("Points (Auto-generate)",INDIRECT("'"&amp;$A52&amp;"'!$A$12:$Z$12"),0),0)),"ER"))</f>
        <v>?</v>
      </c>
      <c r="AH52" s="83" t="str">
        <f aca="true">IF($H52=0,"NA",IF($A52=INDIRECT("'"&amp;$A52&amp;"'!$B$1"),IF(VLOOKUP(AH$1,INDIRECT("'"&amp;$A52&amp;"'!$A$12:$Z$41"),MATCH("Points (Auto-generate)",INDIRECT("'"&amp;$A52&amp;"'!$A$12:$Z$12"),0),0)="","?",VLOOKUP(AH$1,INDIRECT("'"&amp;$A52&amp;"'!$A$12:$Z$41"),MATCH("Points (Auto-generate)",INDIRECT("'"&amp;$A52&amp;"'!$A$12:$Z$12"),0),0)),"ER"))</f>
        <v>?</v>
      </c>
      <c r="AI52" s="83" t="str">
        <f aca="true">IF($H52=0,"NA",IF($A52=INDIRECT("'"&amp;$A52&amp;"'!$B$1"),IF(VLOOKUP(AI$1,INDIRECT("'"&amp;$A52&amp;"'!$A$12:$Z$41"),MATCH("Points (Auto-generate)",INDIRECT("'"&amp;$A52&amp;"'!$A$12:$Z$12"),0),0)="","?",VLOOKUP(AI$1,INDIRECT("'"&amp;$A52&amp;"'!$A$12:$Z$41"),MATCH("Points (Auto-generate)",INDIRECT("'"&amp;$A52&amp;"'!$A$12:$Z$12"),0),0)),"ER"))</f>
        <v>?</v>
      </c>
      <c r="AJ52" s="83" t="str">
        <f aca="true">IF($H52=0,"NA",IF($A52=INDIRECT("'"&amp;$A52&amp;"'!$B$1"),IF(VLOOKUP(AJ$1,INDIRECT("'"&amp;$A52&amp;"'!$A$12:$Z$41"),MATCH("Points (Auto-generate)",INDIRECT("'"&amp;$A52&amp;"'!$A$12:$Z$12"),0),0)="","?",VLOOKUP(AJ$1,INDIRECT("'"&amp;$A52&amp;"'!$A$12:$Z$41"),MATCH("Points (Auto-generate)",INDIRECT("'"&amp;$A52&amp;"'!$A$12:$Z$12"),0),0)),"ER"))</f>
        <v>?</v>
      </c>
      <c r="AK52" s="83" t="str">
        <f aca="true">IF($H52=0,"NA",IF($A52=INDIRECT("'"&amp;$A52&amp;"'!$B$1"),IF(VLOOKUP(AK$1,INDIRECT("'"&amp;$A52&amp;"'!$A$12:$Z$41"),MATCH("Points (Auto-generate)",INDIRECT("'"&amp;$A52&amp;"'!$A$12:$Z$12"),0),0)="","?",VLOOKUP(AK$1,INDIRECT("'"&amp;$A52&amp;"'!$A$12:$Z$41"),MATCH("Points (Auto-generate)",INDIRECT("'"&amp;$A52&amp;"'!$A$12:$Z$12"),0),0)),"ER"))</f>
        <v>?</v>
      </c>
    </row>
    <row r="53" customFormat="false" ht="14.25" hidden="false" customHeight="false" outlineLevel="0" collapsed="false">
      <c r="A53" s="79" t="s">
        <v>617</v>
      </c>
      <c r="B53" s="80" t="str">
        <f aca="false">IF(ISBLANK($A53),"NO_CODE",VLOOKUP($A53,'UPD Questions_290926 '!$E$1:$N$300,MATCH(B$1,'UPD Questions_290926 '!$E$1:$N$1,0),0)&amp;"")</f>
        <v>Implementation</v>
      </c>
      <c r="C53" s="80" t="str">
        <f aca="false">IF(ISBLANK($A53),"NO_CODE",VLOOKUP($A53,'UPD Questions_290926 '!$E$1:$N$300,MATCH(C$1,'UPD Questions_290926 '!$E$1:$N$1,0),0)&amp;"")</f>
        <v>Sectoral planning</v>
      </c>
      <c r="D53" s="80" t="str">
        <f aca="false">IF(ISBLANK($A53),"NO_CODE",VLOOKUP($A53,'UPD Questions_290926 '!$E$1:$N$300,MATCH(D$1,'UPD Questions_290926 '!$E$1:$N$1,0),0)&amp;"")</f>
        <v>Water supply and sewerage, sanitation, solid waste management </v>
      </c>
      <c r="E53" s="80" t="str">
        <f aca="false">IF(ISBLANK($A53),"NO_CODE",VLOOKUP($A53,'UPD Questions_290926 '!$E$1:$N$300,MATCH(E$1,'UPD Questions_290926 '!$E$1:$N$1,0),0)&amp;"")</f>
        <v>SQ1</v>
      </c>
      <c r="F53" s="80" t="str">
        <f aca="false">IF(ISBLANK($A53),"NO_CODE",VLOOKUP($A53,'UPD Questions_290926 '!$E$1:$N$300,MATCH(F$1,'UPD Questions_290926 '!$E$1:$N$1,0),0)&amp;"")</f>
        <v>a) Water Supply and Sewerage Plan</v>
      </c>
      <c r="G53" s="80" t="str">
        <f aca="false">IF(ISBLANK($A53),"NO_CODE",VLOOKUP($A53,'UPD Questions_290926 '!$E$1:$N$300,MATCH(G$1,'UPD Questions_290926 '!$E$1:$N$1,0),0)&amp;"")</f>
        <v>Implementation</v>
      </c>
      <c r="H53" s="82" t="n">
        <f aca="false">IF(ISBLANK($A53),"NO_CODE",VLOOKUP($A53,'UPD Questions_290926 '!$E$1:$N$300,MATCH(H$1,'UPD Questions_290926 '!$E$1:$N$1,0),0))</f>
        <v>1.11</v>
      </c>
      <c r="I53" s="83" t="str">
        <f aca="true">IF(INDEX(INDIRECT("'"&amp;LEFT($A53,LEN($A53)-1)&amp;"'!$H$13:$J$41"),MATCH(I$1,INDIRECT("'"&amp;LEFT($A53,LEN($A53)-1)&amp;"'!$A$13:$A$41"),0),VALUE(RIGHT($A53,1)))="YES",$H53,IF(INDEX(INDIRECT("'"&amp;LEFT($A53,LEN($A53)-1)&amp;"'!$H$13:$J$41"),MATCH(I$1,INDIRECT("'"&amp;LEFT($A53,LEN($A53)-1)&amp;"'!$A$13:$A$41"),0),VALUE(RIGHT($A53,1)))="NO",0,"?"))</f>
        <v>?</v>
      </c>
      <c r="J53" s="83" t="n">
        <f aca="true">IF(INDEX(INDIRECT("'"&amp;LEFT($A53,LEN($A53)-1)&amp;"'!$H$13:$J$41"),MATCH(J$1,INDIRECT("'"&amp;LEFT($A53,LEN($A53)-1)&amp;"'!$A$13:$A$41"),0),VALUE(RIGHT($A53,1)))="YES",$H53,IF(INDEX(INDIRECT("'"&amp;LEFT($A53,LEN($A53)-1)&amp;"'!$H$13:$J$41"),MATCH(J$1,INDIRECT("'"&amp;LEFT($A53,LEN($A53)-1)&amp;"'!$A$13:$A$41"),0),VALUE(RIGHT($A53,1)))="NO",0,"?"))</f>
        <v>1.11</v>
      </c>
      <c r="K53" s="83" t="str">
        <f aca="true">IF(INDEX(INDIRECT("'"&amp;LEFT($A53,LEN($A53)-1)&amp;"'!$H$13:$J$41"),MATCH(K$1,INDIRECT("'"&amp;LEFT($A53,LEN($A53)-1)&amp;"'!$A$13:$A$41"),0),VALUE(RIGHT($A53,1)))="YES",$H53,IF(INDEX(INDIRECT("'"&amp;LEFT($A53,LEN($A53)-1)&amp;"'!$H$13:$J$41"),MATCH(K$1,INDIRECT("'"&amp;LEFT($A53,LEN($A53)-1)&amp;"'!$A$13:$A$41"),0),VALUE(RIGHT($A53,1)))="NO",0,"?"))</f>
        <v>?</v>
      </c>
      <c r="L53" s="83" t="str">
        <f aca="true">IF(INDEX(INDIRECT("'"&amp;LEFT($A53,LEN($A53)-1)&amp;"'!$H$13:$J$41"),MATCH(L$1,INDIRECT("'"&amp;LEFT($A53,LEN($A53)-1)&amp;"'!$A$13:$A$41"),0),VALUE(RIGHT($A53,1)))="YES",$H53,IF(INDEX(INDIRECT("'"&amp;LEFT($A53,LEN($A53)-1)&amp;"'!$H$13:$J$41"),MATCH(L$1,INDIRECT("'"&amp;LEFT($A53,LEN($A53)-1)&amp;"'!$A$13:$A$41"),0),VALUE(RIGHT($A53,1)))="NO",0,"?"))</f>
        <v>?</v>
      </c>
      <c r="M53" s="83" t="str">
        <f aca="true">IF(INDEX(INDIRECT("'"&amp;LEFT($A53,LEN($A53)-1)&amp;"'!$H$13:$J$41"),MATCH(M$1,INDIRECT("'"&amp;LEFT($A53,LEN($A53)-1)&amp;"'!$A$13:$A$41"),0),VALUE(RIGHT($A53,1)))="YES",$H53,IF(INDEX(INDIRECT("'"&amp;LEFT($A53,LEN($A53)-1)&amp;"'!$H$13:$J$41"),MATCH(M$1,INDIRECT("'"&amp;LEFT($A53,LEN($A53)-1)&amp;"'!$A$13:$A$41"),0),VALUE(RIGHT($A53,1)))="NO",0,"?"))</f>
        <v>?</v>
      </c>
      <c r="N53" s="83" t="str">
        <f aca="true">IF(INDEX(INDIRECT("'"&amp;LEFT($A53,LEN($A53)-1)&amp;"'!$H$13:$J$41"),MATCH(N$1,INDIRECT("'"&amp;LEFT($A53,LEN($A53)-1)&amp;"'!$A$13:$A$41"),0),VALUE(RIGHT($A53,1)))="YES",$H53,IF(INDEX(INDIRECT("'"&amp;LEFT($A53,LEN($A53)-1)&amp;"'!$H$13:$J$41"),MATCH(N$1,INDIRECT("'"&amp;LEFT($A53,LEN($A53)-1)&amp;"'!$A$13:$A$41"),0),VALUE(RIGHT($A53,1)))="NO",0,"?"))</f>
        <v>?</v>
      </c>
      <c r="O53" s="83" t="str">
        <f aca="true">IF(INDEX(INDIRECT("'"&amp;LEFT($A53,LEN($A53)-1)&amp;"'!$H$13:$J$41"),MATCH(O$1,INDIRECT("'"&amp;LEFT($A53,LEN($A53)-1)&amp;"'!$A$13:$A$41"),0),VALUE(RIGHT($A53,1)))="YES",$H53,IF(INDEX(INDIRECT("'"&amp;LEFT($A53,LEN($A53)-1)&amp;"'!$H$13:$J$41"),MATCH(O$1,INDIRECT("'"&amp;LEFT($A53,LEN($A53)-1)&amp;"'!$A$13:$A$41"),0),VALUE(RIGHT($A53,1)))="NO",0,"?"))</f>
        <v>?</v>
      </c>
      <c r="P53" s="83" t="str">
        <f aca="true">IF(INDEX(INDIRECT("'"&amp;LEFT($A53,LEN($A53)-1)&amp;"'!$H$13:$J$41"),MATCH(P$1,INDIRECT("'"&amp;LEFT($A53,LEN($A53)-1)&amp;"'!$A$13:$A$41"),0),VALUE(RIGHT($A53,1)))="YES",$H53,IF(INDEX(INDIRECT("'"&amp;LEFT($A53,LEN($A53)-1)&amp;"'!$H$13:$J$41"),MATCH(P$1,INDIRECT("'"&amp;LEFT($A53,LEN($A53)-1)&amp;"'!$A$13:$A$41"),0),VALUE(RIGHT($A53,1)))="NO",0,"?"))</f>
        <v>?</v>
      </c>
      <c r="Q53" s="83" t="str">
        <f aca="true">IF(INDEX(INDIRECT("'"&amp;LEFT($A53,LEN($A53)-1)&amp;"'!$H$13:$J$41"),MATCH(Q$1,INDIRECT("'"&amp;LEFT($A53,LEN($A53)-1)&amp;"'!$A$13:$A$41"),0),VALUE(RIGHT($A53,1)))="YES",$H53,IF(INDEX(INDIRECT("'"&amp;LEFT($A53,LEN($A53)-1)&amp;"'!$H$13:$J$41"),MATCH(Q$1,INDIRECT("'"&amp;LEFT($A53,LEN($A53)-1)&amp;"'!$A$13:$A$41"),0),VALUE(RIGHT($A53,1)))="NO",0,"?"))</f>
        <v>?</v>
      </c>
      <c r="R53" s="83" t="str">
        <f aca="true">IF(INDEX(INDIRECT("'"&amp;LEFT($A53,LEN($A53)-1)&amp;"'!$H$13:$J$41"),MATCH(R$1,INDIRECT("'"&amp;LEFT($A53,LEN($A53)-1)&amp;"'!$A$13:$A$41"),0),VALUE(RIGHT($A53,1)))="YES",$H53,IF(INDEX(INDIRECT("'"&amp;LEFT($A53,LEN($A53)-1)&amp;"'!$H$13:$J$41"),MATCH(R$1,INDIRECT("'"&amp;LEFT($A53,LEN($A53)-1)&amp;"'!$A$13:$A$41"),0),VALUE(RIGHT($A53,1)))="NO",0,"?"))</f>
        <v>?</v>
      </c>
      <c r="S53" s="83" t="str">
        <f aca="true">IF(INDEX(INDIRECT("'"&amp;LEFT($A53,LEN($A53)-1)&amp;"'!$H$13:$J$41"),MATCH(S$1,INDIRECT("'"&amp;LEFT($A53,LEN($A53)-1)&amp;"'!$A$13:$A$41"),0),VALUE(RIGHT($A53,1)))="YES",$H53,IF(INDEX(INDIRECT("'"&amp;LEFT($A53,LEN($A53)-1)&amp;"'!$H$13:$J$41"),MATCH(S$1,INDIRECT("'"&amp;LEFT($A53,LEN($A53)-1)&amp;"'!$A$13:$A$41"),0),VALUE(RIGHT($A53,1)))="NO",0,"?"))</f>
        <v>?</v>
      </c>
      <c r="T53" s="83" t="str">
        <f aca="true">IF(INDEX(INDIRECT("'"&amp;LEFT($A53,LEN($A53)-1)&amp;"'!$H$13:$J$41"),MATCH(T$1,INDIRECT("'"&amp;LEFT($A53,LEN($A53)-1)&amp;"'!$A$13:$A$41"),0),VALUE(RIGHT($A53,1)))="YES",$H53,IF(INDEX(INDIRECT("'"&amp;LEFT($A53,LEN($A53)-1)&amp;"'!$H$13:$J$41"),MATCH(T$1,INDIRECT("'"&amp;LEFT($A53,LEN($A53)-1)&amp;"'!$A$13:$A$41"),0),VALUE(RIGHT($A53,1)))="NO",0,"?"))</f>
        <v>?</v>
      </c>
      <c r="U53" s="83" t="str">
        <f aca="true">IF(INDEX(INDIRECT("'"&amp;LEFT($A53,LEN($A53)-1)&amp;"'!$H$13:$J$41"),MATCH(U$1,INDIRECT("'"&amp;LEFT($A53,LEN($A53)-1)&amp;"'!$A$13:$A$41"),0),VALUE(RIGHT($A53,1)))="YES",$H53,IF(INDEX(INDIRECT("'"&amp;LEFT($A53,LEN($A53)-1)&amp;"'!$H$13:$J$41"),MATCH(U$1,INDIRECT("'"&amp;LEFT($A53,LEN($A53)-1)&amp;"'!$A$13:$A$41"),0),VALUE(RIGHT($A53,1)))="NO",0,"?"))</f>
        <v>?</v>
      </c>
      <c r="V53" s="83" t="str">
        <f aca="true">IF(INDEX(INDIRECT("'"&amp;LEFT($A53,LEN($A53)-1)&amp;"'!$H$13:$J$41"),MATCH(V$1,INDIRECT("'"&amp;LEFT($A53,LEN($A53)-1)&amp;"'!$A$13:$A$41"),0),VALUE(RIGHT($A53,1)))="YES",$H53,IF(INDEX(INDIRECT("'"&amp;LEFT($A53,LEN($A53)-1)&amp;"'!$H$13:$J$41"),MATCH(V$1,INDIRECT("'"&amp;LEFT($A53,LEN($A53)-1)&amp;"'!$A$13:$A$41"),0),VALUE(RIGHT($A53,1)))="NO",0,"?"))</f>
        <v>?</v>
      </c>
      <c r="W53" s="83" t="str">
        <f aca="true">IF(INDEX(INDIRECT("'"&amp;LEFT($A53,LEN($A53)-1)&amp;"'!$H$13:$J$41"),MATCH(W$1,INDIRECT("'"&amp;LEFT($A53,LEN($A53)-1)&amp;"'!$A$13:$A$41"),0),VALUE(RIGHT($A53,1)))="YES",$H53,IF(INDEX(INDIRECT("'"&amp;LEFT($A53,LEN($A53)-1)&amp;"'!$H$13:$J$41"),MATCH(W$1,INDIRECT("'"&amp;LEFT($A53,LEN($A53)-1)&amp;"'!$A$13:$A$41"),0),VALUE(RIGHT($A53,1)))="NO",0,"?"))</f>
        <v>?</v>
      </c>
      <c r="X53" s="83" t="str">
        <f aca="true">IF(INDEX(INDIRECT("'"&amp;LEFT($A53,LEN($A53)-1)&amp;"'!$H$13:$J$41"),MATCH(X$1,INDIRECT("'"&amp;LEFT($A53,LEN($A53)-1)&amp;"'!$A$13:$A$41"),0),VALUE(RIGHT($A53,1)))="YES",$H53,IF(INDEX(INDIRECT("'"&amp;LEFT($A53,LEN($A53)-1)&amp;"'!$H$13:$J$41"),MATCH(X$1,INDIRECT("'"&amp;LEFT($A53,LEN($A53)-1)&amp;"'!$A$13:$A$41"),0),VALUE(RIGHT($A53,1)))="NO",0,"?"))</f>
        <v>?</v>
      </c>
      <c r="Y53" s="83" t="str">
        <f aca="true">IF(INDEX(INDIRECT("'"&amp;LEFT($A53,LEN($A53)-1)&amp;"'!$H$13:$J$41"),MATCH(Y$1,INDIRECT("'"&amp;LEFT($A53,LEN($A53)-1)&amp;"'!$A$13:$A$41"),0),VALUE(RIGHT($A53,1)))="YES",$H53,IF(INDEX(INDIRECT("'"&amp;LEFT($A53,LEN($A53)-1)&amp;"'!$H$13:$J$41"),MATCH(Y$1,INDIRECT("'"&amp;LEFT($A53,LEN($A53)-1)&amp;"'!$A$13:$A$41"),0),VALUE(RIGHT($A53,1)))="NO",0,"?"))</f>
        <v>?</v>
      </c>
      <c r="Z53" s="83" t="str">
        <f aca="true">IF(INDEX(INDIRECT("'"&amp;LEFT($A53,LEN($A53)-1)&amp;"'!$H$13:$J$41"),MATCH(Z$1,INDIRECT("'"&amp;LEFT($A53,LEN($A53)-1)&amp;"'!$A$13:$A$41"),0),VALUE(RIGHT($A53,1)))="YES",$H53,IF(INDEX(INDIRECT("'"&amp;LEFT($A53,LEN($A53)-1)&amp;"'!$H$13:$J$41"),MATCH(Z$1,INDIRECT("'"&amp;LEFT($A53,LEN($A53)-1)&amp;"'!$A$13:$A$41"),0),VALUE(RIGHT($A53,1)))="NO",0,"?"))</f>
        <v>?</v>
      </c>
      <c r="AA53" s="83" t="str">
        <f aca="true">IF(INDEX(INDIRECT("'"&amp;LEFT($A53,LEN($A53)-1)&amp;"'!$H$13:$J$41"),MATCH(AA$1,INDIRECT("'"&amp;LEFT($A53,LEN($A53)-1)&amp;"'!$A$13:$A$41"),0),VALUE(RIGHT($A53,1)))="YES",$H53,IF(INDEX(INDIRECT("'"&amp;LEFT($A53,LEN($A53)-1)&amp;"'!$H$13:$J$41"),MATCH(AA$1,INDIRECT("'"&amp;LEFT($A53,LEN($A53)-1)&amp;"'!$A$13:$A$41"),0),VALUE(RIGHT($A53,1)))="NO",0,"?"))</f>
        <v>?</v>
      </c>
      <c r="AB53" s="83" t="str">
        <f aca="true">IF(INDEX(INDIRECT("'"&amp;LEFT($A53,LEN($A53)-1)&amp;"'!$H$13:$J$41"),MATCH(AB$1,INDIRECT("'"&amp;LEFT($A53,LEN($A53)-1)&amp;"'!$A$13:$A$41"),0),VALUE(RIGHT($A53,1)))="YES",$H53,IF(INDEX(INDIRECT("'"&amp;LEFT($A53,LEN($A53)-1)&amp;"'!$H$13:$J$41"),MATCH(AB$1,INDIRECT("'"&amp;LEFT($A53,LEN($A53)-1)&amp;"'!$A$13:$A$41"),0),VALUE(RIGHT($A53,1)))="NO",0,"?"))</f>
        <v>?</v>
      </c>
      <c r="AC53" s="83" t="str">
        <f aca="true">IF(INDEX(INDIRECT("'"&amp;LEFT($A53,LEN($A53)-1)&amp;"'!$H$13:$J$41"),MATCH(AC$1,INDIRECT("'"&amp;LEFT($A53,LEN($A53)-1)&amp;"'!$A$13:$A$41"),0),VALUE(RIGHT($A53,1)))="YES",$H53,IF(INDEX(INDIRECT("'"&amp;LEFT($A53,LEN($A53)-1)&amp;"'!$H$13:$J$41"),MATCH(AC$1,INDIRECT("'"&amp;LEFT($A53,LEN($A53)-1)&amp;"'!$A$13:$A$41"),0),VALUE(RIGHT($A53,1)))="NO",0,"?"))</f>
        <v>?</v>
      </c>
      <c r="AD53" s="83" t="str">
        <f aca="true">IF(INDEX(INDIRECT("'"&amp;LEFT($A53,LEN($A53)-1)&amp;"'!$H$13:$J$41"),MATCH(AD$1,INDIRECT("'"&amp;LEFT($A53,LEN($A53)-1)&amp;"'!$A$13:$A$41"),0),VALUE(RIGHT($A53,1)))="YES",$H53,IF(INDEX(INDIRECT("'"&amp;LEFT($A53,LEN($A53)-1)&amp;"'!$H$13:$J$41"),MATCH(AD$1,INDIRECT("'"&amp;LEFT($A53,LEN($A53)-1)&amp;"'!$A$13:$A$41"),0),VALUE(RIGHT($A53,1)))="NO",0,"?"))</f>
        <v>?</v>
      </c>
      <c r="AE53" s="83" t="str">
        <f aca="true">IF(INDEX(INDIRECT("'"&amp;LEFT($A53,LEN($A53)-1)&amp;"'!$H$13:$J$41"),MATCH(AE$1,INDIRECT("'"&amp;LEFT($A53,LEN($A53)-1)&amp;"'!$A$13:$A$41"),0),VALUE(RIGHT($A53,1)))="YES",$H53,IF(INDEX(INDIRECT("'"&amp;LEFT($A53,LEN($A53)-1)&amp;"'!$H$13:$J$41"),MATCH(AE$1,INDIRECT("'"&amp;LEFT($A53,LEN($A53)-1)&amp;"'!$A$13:$A$41"),0),VALUE(RIGHT($A53,1)))="NO",0,"?"))</f>
        <v>?</v>
      </c>
      <c r="AF53" s="83" t="str">
        <f aca="true">IF(INDEX(INDIRECT("'"&amp;LEFT($A53,LEN($A53)-1)&amp;"'!$H$13:$J$41"),MATCH(AF$1,INDIRECT("'"&amp;LEFT($A53,LEN($A53)-1)&amp;"'!$A$13:$A$41"),0),VALUE(RIGHT($A53,1)))="YES",$H53,IF(INDEX(INDIRECT("'"&amp;LEFT($A53,LEN($A53)-1)&amp;"'!$H$13:$J$41"),MATCH(AF$1,INDIRECT("'"&amp;LEFT($A53,LEN($A53)-1)&amp;"'!$A$13:$A$41"),0),VALUE(RIGHT($A53,1)))="NO",0,"?"))</f>
        <v>?</v>
      </c>
      <c r="AG53" s="83" t="str">
        <f aca="true">IF(INDEX(INDIRECT("'"&amp;LEFT($A53,LEN($A53)-1)&amp;"'!$H$13:$J$41"),MATCH(AG$1,INDIRECT("'"&amp;LEFT($A53,LEN($A53)-1)&amp;"'!$A$13:$A$41"),0),VALUE(RIGHT($A53,1)))="YES",$H53,IF(INDEX(INDIRECT("'"&amp;LEFT($A53,LEN($A53)-1)&amp;"'!$H$13:$J$41"),MATCH(AG$1,INDIRECT("'"&amp;LEFT($A53,LEN($A53)-1)&amp;"'!$A$13:$A$41"),0),VALUE(RIGHT($A53,1)))="NO",0,"?"))</f>
        <v>?</v>
      </c>
      <c r="AH53" s="83" t="str">
        <f aca="true">IF(INDEX(INDIRECT("'"&amp;LEFT($A53,LEN($A53)-1)&amp;"'!$H$13:$J$41"),MATCH(AH$1,INDIRECT("'"&amp;LEFT($A53,LEN($A53)-1)&amp;"'!$A$13:$A$41"),0),VALUE(RIGHT($A53,1)))="YES",$H53,IF(INDEX(INDIRECT("'"&amp;LEFT($A53,LEN($A53)-1)&amp;"'!$H$13:$J$41"),MATCH(AH$1,INDIRECT("'"&amp;LEFT($A53,LEN($A53)-1)&amp;"'!$A$13:$A$41"),0),VALUE(RIGHT($A53,1)))="NO",0,"?"))</f>
        <v>?</v>
      </c>
      <c r="AI53" s="83" t="str">
        <f aca="true">IF(INDEX(INDIRECT("'"&amp;LEFT($A53,LEN($A53)-1)&amp;"'!$H$13:$J$41"),MATCH(AI$1,INDIRECT("'"&amp;LEFT($A53,LEN($A53)-1)&amp;"'!$A$13:$A$41"),0),VALUE(RIGHT($A53,1)))="YES",$H53,IF(INDEX(INDIRECT("'"&amp;LEFT($A53,LEN($A53)-1)&amp;"'!$H$13:$J$41"),MATCH(AI$1,INDIRECT("'"&amp;LEFT($A53,LEN($A53)-1)&amp;"'!$A$13:$A$41"),0),VALUE(RIGHT($A53,1)))="NO",0,"?"))</f>
        <v>?</v>
      </c>
      <c r="AJ53" s="83" t="str">
        <f aca="true">IF(INDEX(INDIRECT("'"&amp;LEFT($A53,LEN($A53)-1)&amp;"'!$H$13:$J$41"),MATCH(AJ$1,INDIRECT("'"&amp;LEFT($A53,LEN($A53)-1)&amp;"'!$A$13:$A$41"),0),VALUE(RIGHT($A53,1)))="YES",$H53,IF(INDEX(INDIRECT("'"&amp;LEFT($A53,LEN($A53)-1)&amp;"'!$H$13:$J$41"),MATCH(AJ$1,INDIRECT("'"&amp;LEFT($A53,LEN($A53)-1)&amp;"'!$A$13:$A$41"),0),VALUE(RIGHT($A53,1)))="NO",0,"?"))</f>
        <v>?</v>
      </c>
      <c r="AK53" s="83" t="str">
        <f aca="true">IF(INDEX(INDIRECT("'"&amp;LEFT($A53,LEN($A53)-1)&amp;"'!$H$13:$J$41"),MATCH(AK$1,INDIRECT("'"&amp;LEFT($A53,LEN($A53)-1)&amp;"'!$A$13:$A$41"),0),VALUE(RIGHT($A53,1)))="YES",$H53,IF(INDEX(INDIRECT("'"&amp;LEFT($A53,LEN($A53)-1)&amp;"'!$H$13:$J$41"),MATCH(AK$1,INDIRECT("'"&amp;LEFT($A53,LEN($A53)-1)&amp;"'!$A$13:$A$41"),0),VALUE(RIGHT($A53,1)))="NO",0,"?"))</f>
        <v>?</v>
      </c>
    </row>
    <row r="54" customFormat="false" ht="14.25" hidden="false" customHeight="false" outlineLevel="0" collapsed="false">
      <c r="A54" s="79" t="s">
        <v>622</v>
      </c>
      <c r="B54" s="80" t="str">
        <f aca="false">IF(ISBLANK($A54),"NO_CODE",VLOOKUP($A54,'UPD Questions_290926 '!$E$1:$N$300,MATCH(B$1,'UPD Questions_290926 '!$E$1:$N$1,0),0)&amp;"")</f>
        <v>Implementation</v>
      </c>
      <c r="C54" s="80" t="str">
        <f aca="false">IF(ISBLANK($A54),"NO_CODE",VLOOKUP($A54,'UPD Questions_290926 '!$E$1:$N$300,MATCH(C$1,'UPD Questions_290926 '!$E$1:$N$1,0),0)&amp;"")</f>
        <v>Sectoral planning</v>
      </c>
      <c r="D54" s="80" t="str">
        <f aca="false">IF(ISBLANK($A54),"NO_CODE",VLOOKUP($A54,'UPD Questions_290926 '!$E$1:$N$300,MATCH(D$1,'UPD Questions_290926 '!$E$1:$N$1,0),0)&amp;"")</f>
        <v>Water supply and sewerage, sanitation, solid waste management </v>
      </c>
      <c r="E54" s="80" t="str">
        <f aca="false">IF(ISBLANK($A54),"NO_CODE",VLOOKUP($A54,'UPD Questions_290926 '!$E$1:$N$300,MATCH(E$1,'UPD Questions_290926 '!$E$1:$N$1,0),0)&amp;"")</f>
        <v>SQ2</v>
      </c>
      <c r="F54" s="80" t="str">
        <f aca="false">IF(ISBLANK($A54),"NO_CODE",VLOOKUP($A54,'UPD Questions_290926 '!$E$1:$N$300,MATCH(F$1,'UPD Questions_290926 '!$E$1:$N$1,0),0)&amp;"")</f>
        <v>b) Solid Waste Management Plan </v>
      </c>
      <c r="G54" s="80" t="str">
        <f aca="false">IF(ISBLANK($A54),"NO_CODE",VLOOKUP($A54,'UPD Questions_290926 '!$E$1:$N$300,MATCH(G$1,'UPD Questions_290926 '!$E$1:$N$1,0),0)&amp;"")</f>
        <v>Implementation</v>
      </c>
      <c r="H54" s="82" t="n">
        <f aca="false">IF(ISBLANK($A54),"NO_CODE",VLOOKUP($A54,'UPD Questions_290926 '!$E$1:$N$300,MATCH(H$1,'UPD Questions_290926 '!$E$1:$N$1,0),0))</f>
        <v>1.11</v>
      </c>
      <c r="I54" s="83" t="str">
        <f aca="true">IF(INDEX(INDIRECT("'"&amp;LEFT($A54,LEN($A54)-1)&amp;"'!$H$13:$J$41"),MATCH(I$1,INDIRECT("'"&amp;LEFT($A54,LEN($A54)-1)&amp;"'!$A$13:$A$41"),0),VALUE(RIGHT($A54,1)))="YES",$H54,IF(INDEX(INDIRECT("'"&amp;LEFT($A54,LEN($A54)-1)&amp;"'!$H$13:$J$41"),MATCH(I$1,INDIRECT("'"&amp;LEFT($A54,LEN($A54)-1)&amp;"'!$A$13:$A$41"),0),VALUE(RIGHT($A54,1)))="NO",0,"?"))</f>
        <v>?</v>
      </c>
      <c r="J54" s="83" t="n">
        <f aca="true">IF(INDEX(INDIRECT("'"&amp;LEFT($A54,LEN($A54)-1)&amp;"'!$H$13:$J$41"),MATCH(J$1,INDIRECT("'"&amp;LEFT($A54,LEN($A54)-1)&amp;"'!$A$13:$A$41"),0),VALUE(RIGHT($A54,1)))="YES",$H54,IF(INDEX(INDIRECT("'"&amp;LEFT($A54,LEN($A54)-1)&amp;"'!$H$13:$J$41"),MATCH(J$1,INDIRECT("'"&amp;LEFT($A54,LEN($A54)-1)&amp;"'!$A$13:$A$41"),0),VALUE(RIGHT($A54,1)))="NO",0,"?"))</f>
        <v>0</v>
      </c>
      <c r="K54" s="83" t="str">
        <f aca="true">IF(INDEX(INDIRECT("'"&amp;LEFT($A54,LEN($A54)-1)&amp;"'!$H$13:$J$41"),MATCH(K$1,INDIRECT("'"&amp;LEFT($A54,LEN($A54)-1)&amp;"'!$A$13:$A$41"),0),VALUE(RIGHT($A54,1)))="YES",$H54,IF(INDEX(INDIRECT("'"&amp;LEFT($A54,LEN($A54)-1)&amp;"'!$H$13:$J$41"),MATCH(K$1,INDIRECT("'"&amp;LEFT($A54,LEN($A54)-1)&amp;"'!$A$13:$A$41"),0),VALUE(RIGHT($A54,1)))="NO",0,"?"))</f>
        <v>?</v>
      </c>
      <c r="L54" s="83" t="str">
        <f aca="true">IF(INDEX(INDIRECT("'"&amp;LEFT($A54,LEN($A54)-1)&amp;"'!$H$13:$J$41"),MATCH(L$1,INDIRECT("'"&amp;LEFT($A54,LEN($A54)-1)&amp;"'!$A$13:$A$41"),0),VALUE(RIGHT($A54,1)))="YES",$H54,IF(INDEX(INDIRECT("'"&amp;LEFT($A54,LEN($A54)-1)&amp;"'!$H$13:$J$41"),MATCH(L$1,INDIRECT("'"&amp;LEFT($A54,LEN($A54)-1)&amp;"'!$A$13:$A$41"),0),VALUE(RIGHT($A54,1)))="NO",0,"?"))</f>
        <v>?</v>
      </c>
      <c r="M54" s="83" t="str">
        <f aca="true">IF(INDEX(INDIRECT("'"&amp;LEFT($A54,LEN($A54)-1)&amp;"'!$H$13:$J$41"),MATCH(M$1,INDIRECT("'"&amp;LEFT($A54,LEN($A54)-1)&amp;"'!$A$13:$A$41"),0),VALUE(RIGHT($A54,1)))="YES",$H54,IF(INDEX(INDIRECT("'"&amp;LEFT($A54,LEN($A54)-1)&amp;"'!$H$13:$J$41"),MATCH(M$1,INDIRECT("'"&amp;LEFT($A54,LEN($A54)-1)&amp;"'!$A$13:$A$41"),0),VALUE(RIGHT($A54,1)))="NO",0,"?"))</f>
        <v>?</v>
      </c>
      <c r="N54" s="83" t="str">
        <f aca="true">IF(INDEX(INDIRECT("'"&amp;LEFT($A54,LEN($A54)-1)&amp;"'!$H$13:$J$41"),MATCH(N$1,INDIRECT("'"&amp;LEFT($A54,LEN($A54)-1)&amp;"'!$A$13:$A$41"),0),VALUE(RIGHT($A54,1)))="YES",$H54,IF(INDEX(INDIRECT("'"&amp;LEFT($A54,LEN($A54)-1)&amp;"'!$H$13:$J$41"),MATCH(N$1,INDIRECT("'"&amp;LEFT($A54,LEN($A54)-1)&amp;"'!$A$13:$A$41"),0),VALUE(RIGHT($A54,1)))="NO",0,"?"))</f>
        <v>?</v>
      </c>
      <c r="O54" s="83" t="str">
        <f aca="true">IF(INDEX(INDIRECT("'"&amp;LEFT($A54,LEN($A54)-1)&amp;"'!$H$13:$J$41"),MATCH(O$1,INDIRECT("'"&amp;LEFT($A54,LEN($A54)-1)&amp;"'!$A$13:$A$41"),0),VALUE(RIGHT($A54,1)))="YES",$H54,IF(INDEX(INDIRECT("'"&amp;LEFT($A54,LEN($A54)-1)&amp;"'!$H$13:$J$41"),MATCH(O$1,INDIRECT("'"&amp;LEFT($A54,LEN($A54)-1)&amp;"'!$A$13:$A$41"),0),VALUE(RIGHT($A54,1)))="NO",0,"?"))</f>
        <v>?</v>
      </c>
      <c r="P54" s="83" t="str">
        <f aca="true">IF(INDEX(INDIRECT("'"&amp;LEFT($A54,LEN($A54)-1)&amp;"'!$H$13:$J$41"),MATCH(P$1,INDIRECT("'"&amp;LEFT($A54,LEN($A54)-1)&amp;"'!$A$13:$A$41"),0),VALUE(RIGHT($A54,1)))="YES",$H54,IF(INDEX(INDIRECT("'"&amp;LEFT($A54,LEN($A54)-1)&amp;"'!$H$13:$J$41"),MATCH(P$1,INDIRECT("'"&amp;LEFT($A54,LEN($A54)-1)&amp;"'!$A$13:$A$41"),0),VALUE(RIGHT($A54,1)))="NO",0,"?"))</f>
        <v>?</v>
      </c>
      <c r="Q54" s="83" t="str">
        <f aca="true">IF(INDEX(INDIRECT("'"&amp;LEFT($A54,LEN($A54)-1)&amp;"'!$H$13:$J$41"),MATCH(Q$1,INDIRECT("'"&amp;LEFT($A54,LEN($A54)-1)&amp;"'!$A$13:$A$41"),0),VALUE(RIGHT($A54,1)))="YES",$H54,IF(INDEX(INDIRECT("'"&amp;LEFT($A54,LEN($A54)-1)&amp;"'!$H$13:$J$41"),MATCH(Q$1,INDIRECT("'"&amp;LEFT($A54,LEN($A54)-1)&amp;"'!$A$13:$A$41"),0),VALUE(RIGHT($A54,1)))="NO",0,"?"))</f>
        <v>?</v>
      </c>
      <c r="R54" s="83" t="str">
        <f aca="true">IF(INDEX(INDIRECT("'"&amp;LEFT($A54,LEN($A54)-1)&amp;"'!$H$13:$J$41"),MATCH(R$1,INDIRECT("'"&amp;LEFT($A54,LEN($A54)-1)&amp;"'!$A$13:$A$41"),0),VALUE(RIGHT($A54,1)))="YES",$H54,IF(INDEX(INDIRECT("'"&amp;LEFT($A54,LEN($A54)-1)&amp;"'!$H$13:$J$41"),MATCH(R$1,INDIRECT("'"&amp;LEFT($A54,LEN($A54)-1)&amp;"'!$A$13:$A$41"),0),VALUE(RIGHT($A54,1)))="NO",0,"?"))</f>
        <v>?</v>
      </c>
      <c r="S54" s="83" t="str">
        <f aca="true">IF(INDEX(INDIRECT("'"&amp;LEFT($A54,LEN($A54)-1)&amp;"'!$H$13:$J$41"),MATCH(S$1,INDIRECT("'"&amp;LEFT($A54,LEN($A54)-1)&amp;"'!$A$13:$A$41"),0),VALUE(RIGHT($A54,1)))="YES",$H54,IF(INDEX(INDIRECT("'"&amp;LEFT($A54,LEN($A54)-1)&amp;"'!$H$13:$J$41"),MATCH(S$1,INDIRECT("'"&amp;LEFT($A54,LEN($A54)-1)&amp;"'!$A$13:$A$41"),0),VALUE(RIGHT($A54,1)))="NO",0,"?"))</f>
        <v>?</v>
      </c>
      <c r="T54" s="83" t="str">
        <f aca="true">IF(INDEX(INDIRECT("'"&amp;LEFT($A54,LEN($A54)-1)&amp;"'!$H$13:$J$41"),MATCH(T$1,INDIRECT("'"&amp;LEFT($A54,LEN($A54)-1)&amp;"'!$A$13:$A$41"),0),VALUE(RIGHT($A54,1)))="YES",$H54,IF(INDEX(INDIRECT("'"&amp;LEFT($A54,LEN($A54)-1)&amp;"'!$H$13:$J$41"),MATCH(T$1,INDIRECT("'"&amp;LEFT($A54,LEN($A54)-1)&amp;"'!$A$13:$A$41"),0),VALUE(RIGHT($A54,1)))="NO",0,"?"))</f>
        <v>?</v>
      </c>
      <c r="U54" s="83" t="str">
        <f aca="true">IF(INDEX(INDIRECT("'"&amp;LEFT($A54,LEN($A54)-1)&amp;"'!$H$13:$J$41"),MATCH(U$1,INDIRECT("'"&amp;LEFT($A54,LEN($A54)-1)&amp;"'!$A$13:$A$41"),0),VALUE(RIGHT($A54,1)))="YES",$H54,IF(INDEX(INDIRECT("'"&amp;LEFT($A54,LEN($A54)-1)&amp;"'!$H$13:$J$41"),MATCH(U$1,INDIRECT("'"&amp;LEFT($A54,LEN($A54)-1)&amp;"'!$A$13:$A$41"),0),VALUE(RIGHT($A54,1)))="NO",0,"?"))</f>
        <v>?</v>
      </c>
      <c r="V54" s="83" t="str">
        <f aca="true">IF(INDEX(INDIRECT("'"&amp;LEFT($A54,LEN($A54)-1)&amp;"'!$H$13:$J$41"),MATCH(V$1,INDIRECT("'"&amp;LEFT($A54,LEN($A54)-1)&amp;"'!$A$13:$A$41"),0),VALUE(RIGHT($A54,1)))="YES",$H54,IF(INDEX(INDIRECT("'"&amp;LEFT($A54,LEN($A54)-1)&amp;"'!$H$13:$J$41"),MATCH(V$1,INDIRECT("'"&amp;LEFT($A54,LEN($A54)-1)&amp;"'!$A$13:$A$41"),0),VALUE(RIGHT($A54,1)))="NO",0,"?"))</f>
        <v>?</v>
      </c>
      <c r="W54" s="83" t="str">
        <f aca="true">IF(INDEX(INDIRECT("'"&amp;LEFT($A54,LEN($A54)-1)&amp;"'!$H$13:$J$41"),MATCH(W$1,INDIRECT("'"&amp;LEFT($A54,LEN($A54)-1)&amp;"'!$A$13:$A$41"),0),VALUE(RIGHT($A54,1)))="YES",$H54,IF(INDEX(INDIRECT("'"&amp;LEFT($A54,LEN($A54)-1)&amp;"'!$H$13:$J$41"),MATCH(W$1,INDIRECT("'"&amp;LEFT($A54,LEN($A54)-1)&amp;"'!$A$13:$A$41"),0),VALUE(RIGHT($A54,1)))="NO",0,"?"))</f>
        <v>?</v>
      </c>
      <c r="X54" s="83" t="str">
        <f aca="true">IF(INDEX(INDIRECT("'"&amp;LEFT($A54,LEN($A54)-1)&amp;"'!$H$13:$J$41"),MATCH(X$1,INDIRECT("'"&amp;LEFT($A54,LEN($A54)-1)&amp;"'!$A$13:$A$41"),0),VALUE(RIGHT($A54,1)))="YES",$H54,IF(INDEX(INDIRECT("'"&amp;LEFT($A54,LEN($A54)-1)&amp;"'!$H$13:$J$41"),MATCH(X$1,INDIRECT("'"&amp;LEFT($A54,LEN($A54)-1)&amp;"'!$A$13:$A$41"),0),VALUE(RIGHT($A54,1)))="NO",0,"?"))</f>
        <v>?</v>
      </c>
      <c r="Y54" s="83" t="str">
        <f aca="true">IF(INDEX(INDIRECT("'"&amp;LEFT($A54,LEN($A54)-1)&amp;"'!$H$13:$J$41"),MATCH(Y$1,INDIRECT("'"&amp;LEFT($A54,LEN($A54)-1)&amp;"'!$A$13:$A$41"),0),VALUE(RIGHT($A54,1)))="YES",$H54,IF(INDEX(INDIRECT("'"&amp;LEFT($A54,LEN($A54)-1)&amp;"'!$H$13:$J$41"),MATCH(Y$1,INDIRECT("'"&amp;LEFT($A54,LEN($A54)-1)&amp;"'!$A$13:$A$41"),0),VALUE(RIGHT($A54,1)))="NO",0,"?"))</f>
        <v>?</v>
      </c>
      <c r="Z54" s="83" t="str">
        <f aca="true">IF(INDEX(INDIRECT("'"&amp;LEFT($A54,LEN($A54)-1)&amp;"'!$H$13:$J$41"),MATCH(Z$1,INDIRECT("'"&amp;LEFT($A54,LEN($A54)-1)&amp;"'!$A$13:$A$41"),0),VALUE(RIGHT($A54,1)))="YES",$H54,IF(INDEX(INDIRECT("'"&amp;LEFT($A54,LEN($A54)-1)&amp;"'!$H$13:$J$41"),MATCH(Z$1,INDIRECT("'"&amp;LEFT($A54,LEN($A54)-1)&amp;"'!$A$13:$A$41"),0),VALUE(RIGHT($A54,1)))="NO",0,"?"))</f>
        <v>?</v>
      </c>
      <c r="AA54" s="83" t="str">
        <f aca="true">IF(INDEX(INDIRECT("'"&amp;LEFT($A54,LEN($A54)-1)&amp;"'!$H$13:$J$41"),MATCH(AA$1,INDIRECT("'"&amp;LEFT($A54,LEN($A54)-1)&amp;"'!$A$13:$A$41"),0),VALUE(RIGHT($A54,1)))="YES",$H54,IF(INDEX(INDIRECT("'"&amp;LEFT($A54,LEN($A54)-1)&amp;"'!$H$13:$J$41"),MATCH(AA$1,INDIRECT("'"&amp;LEFT($A54,LEN($A54)-1)&amp;"'!$A$13:$A$41"),0),VALUE(RIGHT($A54,1)))="NO",0,"?"))</f>
        <v>?</v>
      </c>
      <c r="AB54" s="83" t="str">
        <f aca="true">IF(INDEX(INDIRECT("'"&amp;LEFT($A54,LEN($A54)-1)&amp;"'!$H$13:$J$41"),MATCH(AB$1,INDIRECT("'"&amp;LEFT($A54,LEN($A54)-1)&amp;"'!$A$13:$A$41"),0),VALUE(RIGHT($A54,1)))="YES",$H54,IF(INDEX(INDIRECT("'"&amp;LEFT($A54,LEN($A54)-1)&amp;"'!$H$13:$J$41"),MATCH(AB$1,INDIRECT("'"&amp;LEFT($A54,LEN($A54)-1)&amp;"'!$A$13:$A$41"),0),VALUE(RIGHT($A54,1)))="NO",0,"?"))</f>
        <v>?</v>
      </c>
      <c r="AC54" s="83" t="str">
        <f aca="true">IF(INDEX(INDIRECT("'"&amp;LEFT($A54,LEN($A54)-1)&amp;"'!$H$13:$J$41"),MATCH(AC$1,INDIRECT("'"&amp;LEFT($A54,LEN($A54)-1)&amp;"'!$A$13:$A$41"),0),VALUE(RIGHT($A54,1)))="YES",$H54,IF(INDEX(INDIRECT("'"&amp;LEFT($A54,LEN($A54)-1)&amp;"'!$H$13:$J$41"),MATCH(AC$1,INDIRECT("'"&amp;LEFT($A54,LEN($A54)-1)&amp;"'!$A$13:$A$41"),0),VALUE(RIGHT($A54,1)))="NO",0,"?"))</f>
        <v>?</v>
      </c>
      <c r="AD54" s="83" t="str">
        <f aca="true">IF(INDEX(INDIRECT("'"&amp;LEFT($A54,LEN($A54)-1)&amp;"'!$H$13:$J$41"),MATCH(AD$1,INDIRECT("'"&amp;LEFT($A54,LEN($A54)-1)&amp;"'!$A$13:$A$41"),0),VALUE(RIGHT($A54,1)))="YES",$H54,IF(INDEX(INDIRECT("'"&amp;LEFT($A54,LEN($A54)-1)&amp;"'!$H$13:$J$41"),MATCH(AD$1,INDIRECT("'"&amp;LEFT($A54,LEN($A54)-1)&amp;"'!$A$13:$A$41"),0),VALUE(RIGHT($A54,1)))="NO",0,"?"))</f>
        <v>?</v>
      </c>
      <c r="AE54" s="83" t="str">
        <f aca="true">IF(INDEX(INDIRECT("'"&amp;LEFT($A54,LEN($A54)-1)&amp;"'!$H$13:$J$41"),MATCH(AE$1,INDIRECT("'"&amp;LEFT($A54,LEN($A54)-1)&amp;"'!$A$13:$A$41"),0),VALUE(RIGHT($A54,1)))="YES",$H54,IF(INDEX(INDIRECT("'"&amp;LEFT($A54,LEN($A54)-1)&amp;"'!$H$13:$J$41"),MATCH(AE$1,INDIRECT("'"&amp;LEFT($A54,LEN($A54)-1)&amp;"'!$A$13:$A$41"),0),VALUE(RIGHT($A54,1)))="NO",0,"?"))</f>
        <v>?</v>
      </c>
      <c r="AF54" s="83" t="str">
        <f aca="true">IF(INDEX(INDIRECT("'"&amp;LEFT($A54,LEN($A54)-1)&amp;"'!$H$13:$J$41"),MATCH(AF$1,INDIRECT("'"&amp;LEFT($A54,LEN($A54)-1)&amp;"'!$A$13:$A$41"),0),VALUE(RIGHT($A54,1)))="YES",$H54,IF(INDEX(INDIRECT("'"&amp;LEFT($A54,LEN($A54)-1)&amp;"'!$H$13:$J$41"),MATCH(AF$1,INDIRECT("'"&amp;LEFT($A54,LEN($A54)-1)&amp;"'!$A$13:$A$41"),0),VALUE(RIGHT($A54,1)))="NO",0,"?"))</f>
        <v>?</v>
      </c>
      <c r="AG54" s="83" t="str">
        <f aca="true">IF(INDEX(INDIRECT("'"&amp;LEFT($A54,LEN($A54)-1)&amp;"'!$H$13:$J$41"),MATCH(AG$1,INDIRECT("'"&amp;LEFT($A54,LEN($A54)-1)&amp;"'!$A$13:$A$41"),0),VALUE(RIGHT($A54,1)))="YES",$H54,IF(INDEX(INDIRECT("'"&amp;LEFT($A54,LEN($A54)-1)&amp;"'!$H$13:$J$41"),MATCH(AG$1,INDIRECT("'"&amp;LEFT($A54,LEN($A54)-1)&amp;"'!$A$13:$A$41"),0),VALUE(RIGHT($A54,1)))="NO",0,"?"))</f>
        <v>?</v>
      </c>
      <c r="AH54" s="83" t="str">
        <f aca="true">IF(INDEX(INDIRECT("'"&amp;LEFT($A54,LEN($A54)-1)&amp;"'!$H$13:$J$41"),MATCH(AH$1,INDIRECT("'"&amp;LEFT($A54,LEN($A54)-1)&amp;"'!$A$13:$A$41"),0),VALUE(RIGHT($A54,1)))="YES",$H54,IF(INDEX(INDIRECT("'"&amp;LEFT($A54,LEN($A54)-1)&amp;"'!$H$13:$J$41"),MATCH(AH$1,INDIRECT("'"&amp;LEFT($A54,LEN($A54)-1)&amp;"'!$A$13:$A$41"),0),VALUE(RIGHT($A54,1)))="NO",0,"?"))</f>
        <v>?</v>
      </c>
      <c r="AI54" s="83" t="str">
        <f aca="true">IF(INDEX(INDIRECT("'"&amp;LEFT($A54,LEN($A54)-1)&amp;"'!$H$13:$J$41"),MATCH(AI$1,INDIRECT("'"&amp;LEFT($A54,LEN($A54)-1)&amp;"'!$A$13:$A$41"),0),VALUE(RIGHT($A54,1)))="YES",$H54,IF(INDEX(INDIRECT("'"&amp;LEFT($A54,LEN($A54)-1)&amp;"'!$H$13:$J$41"),MATCH(AI$1,INDIRECT("'"&amp;LEFT($A54,LEN($A54)-1)&amp;"'!$A$13:$A$41"),0),VALUE(RIGHT($A54,1)))="NO",0,"?"))</f>
        <v>?</v>
      </c>
      <c r="AJ54" s="83" t="str">
        <f aca="true">IF(INDEX(INDIRECT("'"&amp;LEFT($A54,LEN($A54)-1)&amp;"'!$H$13:$J$41"),MATCH(AJ$1,INDIRECT("'"&amp;LEFT($A54,LEN($A54)-1)&amp;"'!$A$13:$A$41"),0),VALUE(RIGHT($A54,1)))="YES",$H54,IF(INDEX(INDIRECT("'"&amp;LEFT($A54,LEN($A54)-1)&amp;"'!$H$13:$J$41"),MATCH(AJ$1,INDIRECT("'"&amp;LEFT($A54,LEN($A54)-1)&amp;"'!$A$13:$A$41"),0),VALUE(RIGHT($A54,1)))="NO",0,"?"))</f>
        <v>?</v>
      </c>
      <c r="AK54" s="83" t="str">
        <f aca="true">IF(INDEX(INDIRECT("'"&amp;LEFT($A54,LEN($A54)-1)&amp;"'!$H$13:$J$41"),MATCH(AK$1,INDIRECT("'"&amp;LEFT($A54,LEN($A54)-1)&amp;"'!$A$13:$A$41"),0),VALUE(RIGHT($A54,1)))="YES",$H54,IF(INDEX(INDIRECT("'"&amp;LEFT($A54,LEN($A54)-1)&amp;"'!$H$13:$J$41"),MATCH(AK$1,INDIRECT("'"&amp;LEFT($A54,LEN($A54)-1)&amp;"'!$A$13:$A$41"),0),VALUE(RIGHT($A54,1)))="NO",0,"?"))</f>
        <v>?</v>
      </c>
    </row>
    <row r="55" customFormat="false" ht="14.25" hidden="false" customHeight="false" outlineLevel="0" collapsed="false">
      <c r="A55" s="79" t="s">
        <v>626</v>
      </c>
      <c r="B55" s="80" t="str">
        <f aca="false">IF(ISBLANK($A55),"NO_CODE",VLOOKUP($A55,'UPD Questions_290926 '!$E$1:$N$300,MATCH(B$1,'UPD Questions_290926 '!$E$1:$N$1,0),0)&amp;"")</f>
        <v>Implementation</v>
      </c>
      <c r="C55" s="80" t="str">
        <f aca="false">IF(ISBLANK($A55),"NO_CODE",VLOOKUP($A55,'UPD Questions_290926 '!$E$1:$N$300,MATCH(C$1,'UPD Questions_290926 '!$E$1:$N$1,0),0)&amp;"")</f>
        <v>Sectoral planning</v>
      </c>
      <c r="D55" s="80" t="str">
        <f aca="false">IF(ISBLANK($A55),"NO_CODE",VLOOKUP($A55,'UPD Questions_290926 '!$E$1:$N$300,MATCH(D$1,'UPD Questions_290926 '!$E$1:$N$1,0),0)&amp;"")</f>
        <v>Water supply and sewerage, sanitation, solid waste management </v>
      </c>
      <c r="E55" s="80" t="str">
        <f aca="false">IF(ISBLANK($A55),"NO_CODE",VLOOKUP($A55,'UPD Questions_290926 '!$E$1:$N$300,MATCH(E$1,'UPD Questions_290926 '!$E$1:$N$1,0),0)&amp;"")</f>
        <v>SQ3</v>
      </c>
      <c r="F55" s="80" t="str">
        <f aca="false">IF(ISBLANK($A55),"NO_CODE",VLOOKUP($A55,'UPD Questions_290926 '!$E$1:$N$300,MATCH(F$1,'UPD Questions_290926 '!$E$1:$N$1,0),0)&amp;"")</f>
        <v>c)  City Sanitation Plan</v>
      </c>
      <c r="G55" s="80" t="str">
        <f aca="false">IF(ISBLANK($A55),"NO_CODE",VLOOKUP($A55,'UPD Questions_290926 '!$E$1:$N$300,MATCH(G$1,'UPD Questions_290926 '!$E$1:$N$1,0),0)&amp;"")</f>
        <v>Implementation</v>
      </c>
      <c r="H55" s="82" t="n">
        <f aca="false">IF(ISBLANK($A55),"NO_CODE",VLOOKUP($A55,'UPD Questions_290926 '!$E$1:$N$300,MATCH(H$1,'UPD Questions_290926 '!$E$1:$N$1,0),0))</f>
        <v>1.11</v>
      </c>
      <c r="I55" s="83" t="str">
        <f aca="true">IF(INDEX(INDIRECT("'"&amp;LEFT($A55,LEN($A55)-1)&amp;"'!$H$13:$J$41"),MATCH(I$1,INDIRECT("'"&amp;LEFT($A55,LEN($A55)-1)&amp;"'!$A$13:$A$41"),0),VALUE(RIGHT($A55,1)))="YES",$H55,IF(INDEX(INDIRECT("'"&amp;LEFT($A55,LEN($A55)-1)&amp;"'!$H$13:$J$41"),MATCH(I$1,INDIRECT("'"&amp;LEFT($A55,LEN($A55)-1)&amp;"'!$A$13:$A$41"),0),VALUE(RIGHT($A55,1)))="NO",0,"?"))</f>
        <v>?</v>
      </c>
      <c r="J55" s="83" t="n">
        <f aca="true">IF(INDEX(INDIRECT("'"&amp;LEFT($A55,LEN($A55)-1)&amp;"'!$H$13:$J$41"),MATCH(J$1,INDIRECT("'"&amp;LEFT($A55,LEN($A55)-1)&amp;"'!$A$13:$A$41"),0),VALUE(RIGHT($A55,1)))="YES",$H55,IF(INDEX(INDIRECT("'"&amp;LEFT($A55,LEN($A55)-1)&amp;"'!$H$13:$J$41"),MATCH(J$1,INDIRECT("'"&amp;LEFT($A55,LEN($A55)-1)&amp;"'!$A$13:$A$41"),0),VALUE(RIGHT($A55,1)))="NO",0,"?"))</f>
        <v>0</v>
      </c>
      <c r="K55" s="83" t="str">
        <f aca="true">IF(INDEX(INDIRECT("'"&amp;LEFT($A55,LEN($A55)-1)&amp;"'!$H$13:$J$41"),MATCH(K$1,INDIRECT("'"&amp;LEFT($A55,LEN($A55)-1)&amp;"'!$A$13:$A$41"),0),VALUE(RIGHT($A55,1)))="YES",$H55,IF(INDEX(INDIRECT("'"&amp;LEFT($A55,LEN($A55)-1)&amp;"'!$H$13:$J$41"),MATCH(K$1,INDIRECT("'"&amp;LEFT($A55,LEN($A55)-1)&amp;"'!$A$13:$A$41"),0),VALUE(RIGHT($A55,1)))="NO",0,"?"))</f>
        <v>?</v>
      </c>
      <c r="L55" s="83" t="str">
        <f aca="true">IF(INDEX(INDIRECT("'"&amp;LEFT($A55,LEN($A55)-1)&amp;"'!$H$13:$J$41"),MATCH(L$1,INDIRECT("'"&amp;LEFT($A55,LEN($A55)-1)&amp;"'!$A$13:$A$41"),0),VALUE(RIGHT($A55,1)))="YES",$H55,IF(INDEX(INDIRECT("'"&amp;LEFT($A55,LEN($A55)-1)&amp;"'!$H$13:$J$41"),MATCH(L$1,INDIRECT("'"&amp;LEFT($A55,LEN($A55)-1)&amp;"'!$A$13:$A$41"),0),VALUE(RIGHT($A55,1)))="NO",0,"?"))</f>
        <v>?</v>
      </c>
      <c r="M55" s="83" t="str">
        <f aca="true">IF(INDEX(INDIRECT("'"&amp;LEFT($A55,LEN($A55)-1)&amp;"'!$H$13:$J$41"),MATCH(M$1,INDIRECT("'"&amp;LEFT($A55,LEN($A55)-1)&amp;"'!$A$13:$A$41"),0),VALUE(RIGHT($A55,1)))="YES",$H55,IF(INDEX(INDIRECT("'"&amp;LEFT($A55,LEN($A55)-1)&amp;"'!$H$13:$J$41"),MATCH(M$1,INDIRECT("'"&amp;LEFT($A55,LEN($A55)-1)&amp;"'!$A$13:$A$41"),0),VALUE(RIGHT($A55,1)))="NO",0,"?"))</f>
        <v>?</v>
      </c>
      <c r="N55" s="83" t="str">
        <f aca="true">IF(INDEX(INDIRECT("'"&amp;LEFT($A55,LEN($A55)-1)&amp;"'!$H$13:$J$41"),MATCH(N$1,INDIRECT("'"&amp;LEFT($A55,LEN($A55)-1)&amp;"'!$A$13:$A$41"),0),VALUE(RIGHT($A55,1)))="YES",$H55,IF(INDEX(INDIRECT("'"&amp;LEFT($A55,LEN($A55)-1)&amp;"'!$H$13:$J$41"),MATCH(N$1,INDIRECT("'"&amp;LEFT($A55,LEN($A55)-1)&amp;"'!$A$13:$A$41"),0),VALUE(RIGHT($A55,1)))="NO",0,"?"))</f>
        <v>?</v>
      </c>
      <c r="O55" s="83" t="str">
        <f aca="true">IF(INDEX(INDIRECT("'"&amp;LEFT($A55,LEN($A55)-1)&amp;"'!$H$13:$J$41"),MATCH(O$1,INDIRECT("'"&amp;LEFT($A55,LEN($A55)-1)&amp;"'!$A$13:$A$41"),0),VALUE(RIGHT($A55,1)))="YES",$H55,IF(INDEX(INDIRECT("'"&amp;LEFT($A55,LEN($A55)-1)&amp;"'!$H$13:$J$41"),MATCH(O$1,INDIRECT("'"&amp;LEFT($A55,LEN($A55)-1)&amp;"'!$A$13:$A$41"),0),VALUE(RIGHT($A55,1)))="NO",0,"?"))</f>
        <v>?</v>
      </c>
      <c r="P55" s="83" t="str">
        <f aca="true">IF(INDEX(INDIRECT("'"&amp;LEFT($A55,LEN($A55)-1)&amp;"'!$H$13:$J$41"),MATCH(P$1,INDIRECT("'"&amp;LEFT($A55,LEN($A55)-1)&amp;"'!$A$13:$A$41"),0),VALUE(RIGHT($A55,1)))="YES",$H55,IF(INDEX(INDIRECT("'"&amp;LEFT($A55,LEN($A55)-1)&amp;"'!$H$13:$J$41"),MATCH(P$1,INDIRECT("'"&amp;LEFT($A55,LEN($A55)-1)&amp;"'!$A$13:$A$41"),0),VALUE(RIGHT($A55,1)))="NO",0,"?"))</f>
        <v>?</v>
      </c>
      <c r="Q55" s="83" t="str">
        <f aca="true">IF(INDEX(INDIRECT("'"&amp;LEFT($A55,LEN($A55)-1)&amp;"'!$H$13:$J$41"),MATCH(Q$1,INDIRECT("'"&amp;LEFT($A55,LEN($A55)-1)&amp;"'!$A$13:$A$41"),0),VALUE(RIGHT($A55,1)))="YES",$H55,IF(INDEX(INDIRECT("'"&amp;LEFT($A55,LEN($A55)-1)&amp;"'!$H$13:$J$41"),MATCH(Q$1,INDIRECT("'"&amp;LEFT($A55,LEN($A55)-1)&amp;"'!$A$13:$A$41"),0),VALUE(RIGHT($A55,1)))="NO",0,"?"))</f>
        <v>?</v>
      </c>
      <c r="R55" s="83" t="str">
        <f aca="true">IF(INDEX(INDIRECT("'"&amp;LEFT($A55,LEN($A55)-1)&amp;"'!$H$13:$J$41"),MATCH(R$1,INDIRECT("'"&amp;LEFT($A55,LEN($A55)-1)&amp;"'!$A$13:$A$41"),0),VALUE(RIGHT($A55,1)))="YES",$H55,IF(INDEX(INDIRECT("'"&amp;LEFT($A55,LEN($A55)-1)&amp;"'!$H$13:$J$41"),MATCH(R$1,INDIRECT("'"&amp;LEFT($A55,LEN($A55)-1)&amp;"'!$A$13:$A$41"),0),VALUE(RIGHT($A55,1)))="NO",0,"?"))</f>
        <v>?</v>
      </c>
      <c r="S55" s="83" t="str">
        <f aca="true">IF(INDEX(INDIRECT("'"&amp;LEFT($A55,LEN($A55)-1)&amp;"'!$H$13:$J$41"),MATCH(S$1,INDIRECT("'"&amp;LEFT($A55,LEN($A55)-1)&amp;"'!$A$13:$A$41"),0),VALUE(RIGHT($A55,1)))="YES",$H55,IF(INDEX(INDIRECT("'"&amp;LEFT($A55,LEN($A55)-1)&amp;"'!$H$13:$J$41"),MATCH(S$1,INDIRECT("'"&amp;LEFT($A55,LEN($A55)-1)&amp;"'!$A$13:$A$41"),0),VALUE(RIGHT($A55,1)))="NO",0,"?"))</f>
        <v>?</v>
      </c>
      <c r="T55" s="83" t="str">
        <f aca="true">IF(INDEX(INDIRECT("'"&amp;LEFT($A55,LEN($A55)-1)&amp;"'!$H$13:$J$41"),MATCH(T$1,INDIRECT("'"&amp;LEFT($A55,LEN($A55)-1)&amp;"'!$A$13:$A$41"),0),VALUE(RIGHT($A55,1)))="YES",$H55,IF(INDEX(INDIRECT("'"&amp;LEFT($A55,LEN($A55)-1)&amp;"'!$H$13:$J$41"),MATCH(T$1,INDIRECT("'"&amp;LEFT($A55,LEN($A55)-1)&amp;"'!$A$13:$A$41"),0),VALUE(RIGHT($A55,1)))="NO",0,"?"))</f>
        <v>?</v>
      </c>
      <c r="U55" s="83" t="str">
        <f aca="true">IF(INDEX(INDIRECT("'"&amp;LEFT($A55,LEN($A55)-1)&amp;"'!$H$13:$J$41"),MATCH(U$1,INDIRECT("'"&amp;LEFT($A55,LEN($A55)-1)&amp;"'!$A$13:$A$41"),0),VALUE(RIGHT($A55,1)))="YES",$H55,IF(INDEX(INDIRECT("'"&amp;LEFT($A55,LEN($A55)-1)&amp;"'!$H$13:$J$41"),MATCH(U$1,INDIRECT("'"&amp;LEFT($A55,LEN($A55)-1)&amp;"'!$A$13:$A$41"),0),VALUE(RIGHT($A55,1)))="NO",0,"?"))</f>
        <v>?</v>
      </c>
      <c r="V55" s="83" t="str">
        <f aca="true">IF(INDEX(INDIRECT("'"&amp;LEFT($A55,LEN($A55)-1)&amp;"'!$H$13:$J$41"),MATCH(V$1,INDIRECT("'"&amp;LEFT($A55,LEN($A55)-1)&amp;"'!$A$13:$A$41"),0),VALUE(RIGHT($A55,1)))="YES",$H55,IF(INDEX(INDIRECT("'"&amp;LEFT($A55,LEN($A55)-1)&amp;"'!$H$13:$J$41"),MATCH(V$1,INDIRECT("'"&amp;LEFT($A55,LEN($A55)-1)&amp;"'!$A$13:$A$41"),0),VALUE(RIGHT($A55,1)))="NO",0,"?"))</f>
        <v>?</v>
      </c>
      <c r="W55" s="83" t="str">
        <f aca="true">IF(INDEX(INDIRECT("'"&amp;LEFT($A55,LEN($A55)-1)&amp;"'!$H$13:$J$41"),MATCH(W$1,INDIRECT("'"&amp;LEFT($A55,LEN($A55)-1)&amp;"'!$A$13:$A$41"),0),VALUE(RIGHT($A55,1)))="YES",$H55,IF(INDEX(INDIRECT("'"&amp;LEFT($A55,LEN($A55)-1)&amp;"'!$H$13:$J$41"),MATCH(W$1,INDIRECT("'"&amp;LEFT($A55,LEN($A55)-1)&amp;"'!$A$13:$A$41"),0),VALUE(RIGHT($A55,1)))="NO",0,"?"))</f>
        <v>?</v>
      </c>
      <c r="X55" s="83" t="str">
        <f aca="true">IF(INDEX(INDIRECT("'"&amp;LEFT($A55,LEN($A55)-1)&amp;"'!$H$13:$J$41"),MATCH(X$1,INDIRECT("'"&amp;LEFT($A55,LEN($A55)-1)&amp;"'!$A$13:$A$41"),0),VALUE(RIGHT($A55,1)))="YES",$H55,IF(INDEX(INDIRECT("'"&amp;LEFT($A55,LEN($A55)-1)&amp;"'!$H$13:$J$41"),MATCH(X$1,INDIRECT("'"&amp;LEFT($A55,LEN($A55)-1)&amp;"'!$A$13:$A$41"),0),VALUE(RIGHT($A55,1)))="NO",0,"?"))</f>
        <v>?</v>
      </c>
      <c r="Y55" s="83" t="str">
        <f aca="true">IF(INDEX(INDIRECT("'"&amp;LEFT($A55,LEN($A55)-1)&amp;"'!$H$13:$J$41"),MATCH(Y$1,INDIRECT("'"&amp;LEFT($A55,LEN($A55)-1)&amp;"'!$A$13:$A$41"),0),VALUE(RIGHT($A55,1)))="YES",$H55,IF(INDEX(INDIRECT("'"&amp;LEFT($A55,LEN($A55)-1)&amp;"'!$H$13:$J$41"),MATCH(Y$1,INDIRECT("'"&amp;LEFT($A55,LEN($A55)-1)&amp;"'!$A$13:$A$41"),0),VALUE(RIGHT($A55,1)))="NO",0,"?"))</f>
        <v>?</v>
      </c>
      <c r="Z55" s="83" t="str">
        <f aca="true">IF(INDEX(INDIRECT("'"&amp;LEFT($A55,LEN($A55)-1)&amp;"'!$H$13:$J$41"),MATCH(Z$1,INDIRECT("'"&amp;LEFT($A55,LEN($A55)-1)&amp;"'!$A$13:$A$41"),0),VALUE(RIGHT($A55,1)))="YES",$H55,IF(INDEX(INDIRECT("'"&amp;LEFT($A55,LEN($A55)-1)&amp;"'!$H$13:$J$41"),MATCH(Z$1,INDIRECT("'"&amp;LEFT($A55,LEN($A55)-1)&amp;"'!$A$13:$A$41"),0),VALUE(RIGHT($A55,1)))="NO",0,"?"))</f>
        <v>?</v>
      </c>
      <c r="AA55" s="83" t="str">
        <f aca="true">IF(INDEX(INDIRECT("'"&amp;LEFT($A55,LEN($A55)-1)&amp;"'!$H$13:$J$41"),MATCH(AA$1,INDIRECT("'"&amp;LEFT($A55,LEN($A55)-1)&amp;"'!$A$13:$A$41"),0),VALUE(RIGHT($A55,1)))="YES",$H55,IF(INDEX(INDIRECT("'"&amp;LEFT($A55,LEN($A55)-1)&amp;"'!$H$13:$J$41"),MATCH(AA$1,INDIRECT("'"&amp;LEFT($A55,LEN($A55)-1)&amp;"'!$A$13:$A$41"),0),VALUE(RIGHT($A55,1)))="NO",0,"?"))</f>
        <v>?</v>
      </c>
      <c r="AB55" s="83" t="str">
        <f aca="true">IF(INDEX(INDIRECT("'"&amp;LEFT($A55,LEN($A55)-1)&amp;"'!$H$13:$J$41"),MATCH(AB$1,INDIRECT("'"&amp;LEFT($A55,LEN($A55)-1)&amp;"'!$A$13:$A$41"),0),VALUE(RIGHT($A55,1)))="YES",$H55,IF(INDEX(INDIRECT("'"&amp;LEFT($A55,LEN($A55)-1)&amp;"'!$H$13:$J$41"),MATCH(AB$1,INDIRECT("'"&amp;LEFT($A55,LEN($A55)-1)&amp;"'!$A$13:$A$41"),0),VALUE(RIGHT($A55,1)))="NO",0,"?"))</f>
        <v>?</v>
      </c>
      <c r="AC55" s="83" t="str">
        <f aca="true">IF(INDEX(INDIRECT("'"&amp;LEFT($A55,LEN($A55)-1)&amp;"'!$H$13:$J$41"),MATCH(AC$1,INDIRECT("'"&amp;LEFT($A55,LEN($A55)-1)&amp;"'!$A$13:$A$41"),0),VALUE(RIGHT($A55,1)))="YES",$H55,IF(INDEX(INDIRECT("'"&amp;LEFT($A55,LEN($A55)-1)&amp;"'!$H$13:$J$41"),MATCH(AC$1,INDIRECT("'"&amp;LEFT($A55,LEN($A55)-1)&amp;"'!$A$13:$A$41"),0),VALUE(RIGHT($A55,1)))="NO",0,"?"))</f>
        <v>?</v>
      </c>
      <c r="AD55" s="83" t="str">
        <f aca="true">IF(INDEX(INDIRECT("'"&amp;LEFT($A55,LEN($A55)-1)&amp;"'!$H$13:$J$41"),MATCH(AD$1,INDIRECT("'"&amp;LEFT($A55,LEN($A55)-1)&amp;"'!$A$13:$A$41"),0),VALUE(RIGHT($A55,1)))="YES",$H55,IF(INDEX(INDIRECT("'"&amp;LEFT($A55,LEN($A55)-1)&amp;"'!$H$13:$J$41"),MATCH(AD$1,INDIRECT("'"&amp;LEFT($A55,LEN($A55)-1)&amp;"'!$A$13:$A$41"),0),VALUE(RIGHT($A55,1)))="NO",0,"?"))</f>
        <v>?</v>
      </c>
      <c r="AE55" s="83" t="str">
        <f aca="true">IF(INDEX(INDIRECT("'"&amp;LEFT($A55,LEN($A55)-1)&amp;"'!$H$13:$J$41"),MATCH(AE$1,INDIRECT("'"&amp;LEFT($A55,LEN($A55)-1)&amp;"'!$A$13:$A$41"),0),VALUE(RIGHT($A55,1)))="YES",$H55,IF(INDEX(INDIRECT("'"&amp;LEFT($A55,LEN($A55)-1)&amp;"'!$H$13:$J$41"),MATCH(AE$1,INDIRECT("'"&amp;LEFT($A55,LEN($A55)-1)&amp;"'!$A$13:$A$41"),0),VALUE(RIGHT($A55,1)))="NO",0,"?"))</f>
        <v>?</v>
      </c>
      <c r="AF55" s="83" t="str">
        <f aca="true">IF(INDEX(INDIRECT("'"&amp;LEFT($A55,LEN($A55)-1)&amp;"'!$H$13:$J$41"),MATCH(AF$1,INDIRECT("'"&amp;LEFT($A55,LEN($A55)-1)&amp;"'!$A$13:$A$41"),0),VALUE(RIGHT($A55,1)))="YES",$H55,IF(INDEX(INDIRECT("'"&amp;LEFT($A55,LEN($A55)-1)&amp;"'!$H$13:$J$41"),MATCH(AF$1,INDIRECT("'"&amp;LEFT($A55,LEN($A55)-1)&amp;"'!$A$13:$A$41"),0),VALUE(RIGHT($A55,1)))="NO",0,"?"))</f>
        <v>?</v>
      </c>
      <c r="AG55" s="83" t="str">
        <f aca="true">IF(INDEX(INDIRECT("'"&amp;LEFT($A55,LEN($A55)-1)&amp;"'!$H$13:$J$41"),MATCH(AG$1,INDIRECT("'"&amp;LEFT($A55,LEN($A55)-1)&amp;"'!$A$13:$A$41"),0),VALUE(RIGHT($A55,1)))="YES",$H55,IF(INDEX(INDIRECT("'"&amp;LEFT($A55,LEN($A55)-1)&amp;"'!$H$13:$J$41"),MATCH(AG$1,INDIRECT("'"&amp;LEFT($A55,LEN($A55)-1)&amp;"'!$A$13:$A$41"),0),VALUE(RIGHT($A55,1)))="NO",0,"?"))</f>
        <v>?</v>
      </c>
      <c r="AH55" s="83" t="str">
        <f aca="true">IF(INDEX(INDIRECT("'"&amp;LEFT($A55,LEN($A55)-1)&amp;"'!$H$13:$J$41"),MATCH(AH$1,INDIRECT("'"&amp;LEFT($A55,LEN($A55)-1)&amp;"'!$A$13:$A$41"),0),VALUE(RIGHT($A55,1)))="YES",$H55,IF(INDEX(INDIRECT("'"&amp;LEFT($A55,LEN($A55)-1)&amp;"'!$H$13:$J$41"),MATCH(AH$1,INDIRECT("'"&amp;LEFT($A55,LEN($A55)-1)&amp;"'!$A$13:$A$41"),0),VALUE(RIGHT($A55,1)))="NO",0,"?"))</f>
        <v>?</v>
      </c>
      <c r="AI55" s="83" t="str">
        <f aca="true">IF(INDEX(INDIRECT("'"&amp;LEFT($A55,LEN($A55)-1)&amp;"'!$H$13:$J$41"),MATCH(AI$1,INDIRECT("'"&amp;LEFT($A55,LEN($A55)-1)&amp;"'!$A$13:$A$41"),0),VALUE(RIGHT($A55,1)))="YES",$H55,IF(INDEX(INDIRECT("'"&amp;LEFT($A55,LEN($A55)-1)&amp;"'!$H$13:$J$41"),MATCH(AI$1,INDIRECT("'"&amp;LEFT($A55,LEN($A55)-1)&amp;"'!$A$13:$A$41"),0),VALUE(RIGHT($A55,1)))="NO",0,"?"))</f>
        <v>?</v>
      </c>
      <c r="AJ55" s="83" t="str">
        <f aca="true">IF(INDEX(INDIRECT("'"&amp;LEFT($A55,LEN($A55)-1)&amp;"'!$H$13:$J$41"),MATCH(AJ$1,INDIRECT("'"&amp;LEFT($A55,LEN($A55)-1)&amp;"'!$A$13:$A$41"),0),VALUE(RIGHT($A55,1)))="YES",$H55,IF(INDEX(INDIRECT("'"&amp;LEFT($A55,LEN($A55)-1)&amp;"'!$H$13:$J$41"),MATCH(AJ$1,INDIRECT("'"&amp;LEFT($A55,LEN($A55)-1)&amp;"'!$A$13:$A$41"),0),VALUE(RIGHT($A55,1)))="NO",0,"?"))</f>
        <v>?</v>
      </c>
      <c r="AK55" s="83" t="str">
        <f aca="true">IF(INDEX(INDIRECT("'"&amp;LEFT($A55,LEN($A55)-1)&amp;"'!$H$13:$J$41"),MATCH(AK$1,INDIRECT("'"&amp;LEFT($A55,LEN($A55)-1)&amp;"'!$A$13:$A$41"),0),VALUE(RIGHT($A55,1)))="YES",$H55,IF(INDEX(INDIRECT("'"&amp;LEFT($A55,LEN($A55)-1)&amp;"'!$H$13:$J$41"),MATCH(AK$1,INDIRECT("'"&amp;LEFT($A55,LEN($A55)-1)&amp;"'!$A$13:$A$41"),0),VALUE(RIGHT($A55,1)))="NO",0,"?"))</f>
        <v>?</v>
      </c>
    </row>
    <row r="56" customFormat="false" ht="14.25" hidden="false" customHeight="false" outlineLevel="0" collapsed="false">
      <c r="A56" s="79" t="s">
        <v>219</v>
      </c>
      <c r="B56" s="80" t="str">
        <f aca="false">IF(ISBLANK($A56),"NO_CODE",VLOOKUP($A56,'UPD Questions_290926 '!$E$1:$N$300,MATCH(B$1,'UPD Questions_290926 '!$E$1:$N$1,0),0)&amp;"")</f>
        <v>Implementation</v>
      </c>
      <c r="C56" s="80" t="str">
        <f aca="false">IF(ISBLANK($A56),"NO_CODE",VLOOKUP($A56,'UPD Questions_290926 '!$E$1:$N$300,MATCH(C$1,'UPD Questions_290926 '!$E$1:$N$1,0),0)&amp;"")</f>
        <v>Sectoral planning</v>
      </c>
      <c r="D56" s="80" t="str">
        <f aca="false">IF(ISBLANK($A56),"NO_CODE",VLOOKUP($A56,'UPD Questions_290926 '!$E$1:$N$300,MATCH(D$1,'UPD Questions_290926 '!$E$1:$N$1,0),0)&amp;"")</f>
        <v>Water supply and sewerage, sanitation, solid waste management </v>
      </c>
      <c r="E56" s="80" t="str">
        <f aca="false">IF(ISBLANK($A56),"NO_CODE",VLOOKUP($A56,'UPD Questions_290926 '!$E$1:$N$300,MATCH(E$1,'UPD Questions_290926 '!$E$1:$N$1,0),0)&amp;"")</f>
        <v>SQ</v>
      </c>
      <c r="F56" s="80" t="str">
        <f aca="false">IF(ISBLANK($A56),"NO_CODE",VLOOKUP($A56,'UPD Questions_290926 '!$E$1:$N$300,MATCH(F$1,'UPD Questions_290926 '!$E$1:$N$1,0),0)&amp;"")</f>
        <v>Does the plan have development priorities and measureable objectives?</v>
      </c>
      <c r="G56" s="80" t="str">
        <f aca="false">IF(ISBLANK($A56),"NO_CODE",VLOOKUP($A56,'UPD Questions_290926 '!$E$1:$N$300,MATCH(G$1,'UPD Questions_290926 '!$E$1:$N$1,0),0)&amp;"")</f>
        <v>Implementation</v>
      </c>
      <c r="H56" s="82" t="n">
        <f aca="false">IF(ISBLANK($A56),"NO_CODE",VLOOKUP($A56,'UPD Questions_290926 '!$E$1:$N$300,MATCH(H$1,'UPD Questions_290926 '!$E$1:$N$1,0),0))</f>
        <v>3.33</v>
      </c>
      <c r="I56" s="83" t="str">
        <f aca="true">IF($H56=0,"NA",IF($A56=INDIRECT("'"&amp;$A56&amp;"'!$B$1"),IF(VLOOKUP(I$1,INDIRECT("'"&amp;$A56&amp;"'!$A$12:$Z$41"),MATCH("Points (Auto-generate)",INDIRECT("'"&amp;$A56&amp;"'!$A$12:$Z$12"),0),0)="","?",VLOOKUP(I$1,INDIRECT("'"&amp;$A56&amp;"'!$A$12:$Z$41"),MATCH("Points (Auto-generate)",INDIRECT("'"&amp;$A56&amp;"'!$A$12:$Z$12"),0),0)),"ER"))</f>
        <v>?</v>
      </c>
      <c r="J56" s="83" t="n">
        <f aca="true">IF($H56=0,"NA",IF($A56=INDIRECT("'"&amp;$A56&amp;"'!$B$1"),IF(VLOOKUP(J$1,INDIRECT("'"&amp;$A56&amp;"'!$A$12:$Z$41"),MATCH("Points (Auto-generate)",INDIRECT("'"&amp;$A56&amp;"'!$A$12:$Z$12"),0),0)="","?",VLOOKUP(J$1,INDIRECT("'"&amp;$A56&amp;"'!$A$12:$Z$41"),MATCH("Points (Auto-generate)",INDIRECT("'"&amp;$A56&amp;"'!$A$12:$Z$12"),0),0)),"ER"))</f>
        <v>1.11</v>
      </c>
      <c r="K56" s="83" t="str">
        <f aca="true">IF($H56=0,"NA",IF($A56=INDIRECT("'"&amp;$A56&amp;"'!$B$1"),IF(VLOOKUP(K$1,INDIRECT("'"&amp;$A56&amp;"'!$A$12:$Z$41"),MATCH("Points (Auto-generate)",INDIRECT("'"&amp;$A56&amp;"'!$A$12:$Z$12"),0),0)="","?",VLOOKUP(K$1,INDIRECT("'"&amp;$A56&amp;"'!$A$12:$Z$41"),MATCH("Points (Auto-generate)",INDIRECT("'"&amp;$A56&amp;"'!$A$12:$Z$12"),0),0)),"ER"))</f>
        <v>?</v>
      </c>
      <c r="L56" s="83" t="str">
        <f aca="true">IF($H56=0,"NA",IF($A56=INDIRECT("'"&amp;$A56&amp;"'!$B$1"),IF(VLOOKUP(L$1,INDIRECT("'"&amp;$A56&amp;"'!$A$12:$Z$41"),MATCH("Points (Auto-generate)",INDIRECT("'"&amp;$A56&amp;"'!$A$12:$Z$12"),0),0)="","?",VLOOKUP(L$1,INDIRECT("'"&amp;$A56&amp;"'!$A$12:$Z$41"),MATCH("Points (Auto-generate)",INDIRECT("'"&amp;$A56&amp;"'!$A$12:$Z$12"),0),0)),"ER"))</f>
        <v>?</v>
      </c>
      <c r="M56" s="83" t="str">
        <f aca="true">IF($H56=0,"NA",IF($A56=INDIRECT("'"&amp;$A56&amp;"'!$B$1"),IF(VLOOKUP(M$1,INDIRECT("'"&amp;$A56&amp;"'!$A$12:$Z$41"),MATCH("Points (Auto-generate)",INDIRECT("'"&amp;$A56&amp;"'!$A$12:$Z$12"),0),0)="","?",VLOOKUP(M$1,INDIRECT("'"&amp;$A56&amp;"'!$A$12:$Z$41"),MATCH("Points (Auto-generate)",INDIRECT("'"&amp;$A56&amp;"'!$A$12:$Z$12"),0),0)),"ER"))</f>
        <v>?</v>
      </c>
      <c r="N56" s="83" t="str">
        <f aca="true">IF($H56=0,"NA",IF($A56=INDIRECT("'"&amp;$A56&amp;"'!$B$1"),IF(VLOOKUP(N$1,INDIRECT("'"&amp;$A56&amp;"'!$A$12:$Z$41"),MATCH("Points (Auto-generate)",INDIRECT("'"&amp;$A56&amp;"'!$A$12:$Z$12"),0),0)="","?",VLOOKUP(N$1,INDIRECT("'"&amp;$A56&amp;"'!$A$12:$Z$41"),MATCH("Points (Auto-generate)",INDIRECT("'"&amp;$A56&amp;"'!$A$12:$Z$12"),0),0)),"ER"))</f>
        <v>?</v>
      </c>
      <c r="O56" s="83" t="str">
        <f aca="true">IF($H56=0,"NA",IF($A56=INDIRECT("'"&amp;$A56&amp;"'!$B$1"),IF(VLOOKUP(O$1,INDIRECT("'"&amp;$A56&amp;"'!$A$12:$Z$41"),MATCH("Points (Auto-generate)",INDIRECT("'"&amp;$A56&amp;"'!$A$12:$Z$12"),0),0)="","?",VLOOKUP(O$1,INDIRECT("'"&amp;$A56&amp;"'!$A$12:$Z$41"),MATCH("Points (Auto-generate)",INDIRECT("'"&amp;$A56&amp;"'!$A$12:$Z$12"),0),0)),"ER"))</f>
        <v>?</v>
      </c>
      <c r="P56" s="83" t="str">
        <f aca="true">IF($H56=0,"NA",IF($A56=INDIRECT("'"&amp;$A56&amp;"'!$B$1"),IF(VLOOKUP(P$1,INDIRECT("'"&amp;$A56&amp;"'!$A$12:$Z$41"),MATCH("Points (Auto-generate)",INDIRECT("'"&amp;$A56&amp;"'!$A$12:$Z$12"),0),0)="","?",VLOOKUP(P$1,INDIRECT("'"&amp;$A56&amp;"'!$A$12:$Z$41"),MATCH("Points (Auto-generate)",INDIRECT("'"&amp;$A56&amp;"'!$A$12:$Z$12"),0),0)),"ER"))</f>
        <v>?</v>
      </c>
      <c r="Q56" s="83" t="str">
        <f aca="true">IF($H56=0,"NA",IF($A56=INDIRECT("'"&amp;$A56&amp;"'!$B$1"),IF(VLOOKUP(Q$1,INDIRECT("'"&amp;$A56&amp;"'!$A$12:$Z$41"),MATCH("Points (Auto-generate)",INDIRECT("'"&amp;$A56&amp;"'!$A$12:$Z$12"),0),0)="","?",VLOOKUP(Q$1,INDIRECT("'"&amp;$A56&amp;"'!$A$12:$Z$41"),MATCH("Points (Auto-generate)",INDIRECT("'"&amp;$A56&amp;"'!$A$12:$Z$12"),0),0)),"ER"))</f>
        <v>?</v>
      </c>
      <c r="R56" s="83" t="str">
        <f aca="true">IF($H56=0,"NA",IF($A56=INDIRECT("'"&amp;$A56&amp;"'!$B$1"),IF(VLOOKUP(R$1,INDIRECT("'"&amp;$A56&amp;"'!$A$12:$Z$41"),MATCH("Points (Auto-generate)",INDIRECT("'"&amp;$A56&amp;"'!$A$12:$Z$12"),0),0)="","?",VLOOKUP(R$1,INDIRECT("'"&amp;$A56&amp;"'!$A$12:$Z$41"),MATCH("Points (Auto-generate)",INDIRECT("'"&amp;$A56&amp;"'!$A$12:$Z$12"),0),0)),"ER"))</f>
        <v>?</v>
      </c>
      <c r="S56" s="83" t="str">
        <f aca="true">IF($H56=0,"NA",IF($A56=INDIRECT("'"&amp;$A56&amp;"'!$B$1"),IF(VLOOKUP(S$1,INDIRECT("'"&amp;$A56&amp;"'!$A$12:$Z$41"),MATCH("Points (Auto-generate)",INDIRECT("'"&amp;$A56&amp;"'!$A$12:$Z$12"),0),0)="","?",VLOOKUP(S$1,INDIRECT("'"&amp;$A56&amp;"'!$A$12:$Z$41"),MATCH("Points (Auto-generate)",INDIRECT("'"&amp;$A56&amp;"'!$A$12:$Z$12"),0),0)),"ER"))</f>
        <v>?</v>
      </c>
      <c r="T56" s="83" t="str">
        <f aca="true">IF($H56=0,"NA",IF($A56=INDIRECT("'"&amp;$A56&amp;"'!$B$1"),IF(VLOOKUP(T$1,INDIRECT("'"&amp;$A56&amp;"'!$A$12:$Z$41"),MATCH("Points (Auto-generate)",INDIRECT("'"&amp;$A56&amp;"'!$A$12:$Z$12"),0),0)="","?",VLOOKUP(T$1,INDIRECT("'"&amp;$A56&amp;"'!$A$12:$Z$41"),MATCH("Points (Auto-generate)",INDIRECT("'"&amp;$A56&amp;"'!$A$12:$Z$12"),0),0)),"ER"))</f>
        <v>?</v>
      </c>
      <c r="U56" s="83" t="str">
        <f aca="true">IF($H56=0,"NA",IF($A56=INDIRECT("'"&amp;$A56&amp;"'!$B$1"),IF(VLOOKUP(U$1,INDIRECT("'"&amp;$A56&amp;"'!$A$12:$Z$41"),MATCH("Points (Auto-generate)",INDIRECT("'"&amp;$A56&amp;"'!$A$12:$Z$12"),0),0)="","?",VLOOKUP(U$1,INDIRECT("'"&amp;$A56&amp;"'!$A$12:$Z$41"),MATCH("Points (Auto-generate)",INDIRECT("'"&amp;$A56&amp;"'!$A$12:$Z$12"),0),0)),"ER"))</f>
        <v>?</v>
      </c>
      <c r="V56" s="83" t="str">
        <f aca="true">IF($H56=0,"NA",IF($A56=INDIRECT("'"&amp;$A56&amp;"'!$B$1"),IF(VLOOKUP(V$1,INDIRECT("'"&amp;$A56&amp;"'!$A$12:$Z$41"),MATCH("Points (Auto-generate)",INDIRECT("'"&amp;$A56&amp;"'!$A$12:$Z$12"),0),0)="","?",VLOOKUP(V$1,INDIRECT("'"&amp;$A56&amp;"'!$A$12:$Z$41"),MATCH("Points (Auto-generate)",INDIRECT("'"&amp;$A56&amp;"'!$A$12:$Z$12"),0),0)),"ER"))</f>
        <v>?</v>
      </c>
      <c r="W56" s="83" t="str">
        <f aca="true">IF($H56=0,"NA",IF($A56=INDIRECT("'"&amp;$A56&amp;"'!$B$1"),IF(VLOOKUP(W$1,INDIRECT("'"&amp;$A56&amp;"'!$A$12:$Z$41"),MATCH("Points (Auto-generate)",INDIRECT("'"&amp;$A56&amp;"'!$A$12:$Z$12"),0),0)="","?",VLOOKUP(W$1,INDIRECT("'"&amp;$A56&amp;"'!$A$12:$Z$41"),MATCH("Points (Auto-generate)",INDIRECT("'"&amp;$A56&amp;"'!$A$12:$Z$12"),0),0)),"ER"))</f>
        <v>?</v>
      </c>
      <c r="X56" s="83" t="str">
        <f aca="true">IF($H56=0,"NA",IF($A56=INDIRECT("'"&amp;$A56&amp;"'!$B$1"),IF(VLOOKUP(X$1,INDIRECT("'"&amp;$A56&amp;"'!$A$12:$Z$41"),MATCH("Points (Auto-generate)",INDIRECT("'"&amp;$A56&amp;"'!$A$12:$Z$12"),0),0)="","?",VLOOKUP(X$1,INDIRECT("'"&amp;$A56&amp;"'!$A$12:$Z$41"),MATCH("Points (Auto-generate)",INDIRECT("'"&amp;$A56&amp;"'!$A$12:$Z$12"),0),0)),"ER"))</f>
        <v>?</v>
      </c>
      <c r="Y56" s="83" t="str">
        <f aca="true">IF($H56=0,"NA",IF($A56=INDIRECT("'"&amp;$A56&amp;"'!$B$1"),IF(VLOOKUP(Y$1,INDIRECT("'"&amp;$A56&amp;"'!$A$12:$Z$41"),MATCH("Points (Auto-generate)",INDIRECT("'"&amp;$A56&amp;"'!$A$12:$Z$12"),0),0)="","?",VLOOKUP(Y$1,INDIRECT("'"&amp;$A56&amp;"'!$A$12:$Z$41"),MATCH("Points (Auto-generate)",INDIRECT("'"&amp;$A56&amp;"'!$A$12:$Z$12"),0),0)),"ER"))</f>
        <v>?</v>
      </c>
      <c r="Z56" s="83" t="str">
        <f aca="true">IF($H56=0,"NA",IF($A56=INDIRECT("'"&amp;$A56&amp;"'!$B$1"),IF(VLOOKUP(Z$1,INDIRECT("'"&amp;$A56&amp;"'!$A$12:$Z$41"),MATCH("Points (Auto-generate)",INDIRECT("'"&amp;$A56&amp;"'!$A$12:$Z$12"),0),0)="","?",VLOOKUP(Z$1,INDIRECT("'"&amp;$A56&amp;"'!$A$12:$Z$41"),MATCH("Points (Auto-generate)",INDIRECT("'"&amp;$A56&amp;"'!$A$12:$Z$12"),0),0)),"ER"))</f>
        <v>?</v>
      </c>
      <c r="AA56" s="83" t="str">
        <f aca="true">IF($H56=0,"NA",IF($A56=INDIRECT("'"&amp;$A56&amp;"'!$B$1"),IF(VLOOKUP(AA$1,INDIRECT("'"&amp;$A56&amp;"'!$A$12:$Z$41"),MATCH("Points (Auto-generate)",INDIRECT("'"&amp;$A56&amp;"'!$A$12:$Z$12"),0),0)="","?",VLOOKUP(AA$1,INDIRECT("'"&amp;$A56&amp;"'!$A$12:$Z$41"),MATCH("Points (Auto-generate)",INDIRECT("'"&amp;$A56&amp;"'!$A$12:$Z$12"),0),0)),"ER"))</f>
        <v>?</v>
      </c>
      <c r="AB56" s="83" t="str">
        <f aca="true">IF($H56=0,"NA",IF($A56=INDIRECT("'"&amp;$A56&amp;"'!$B$1"),IF(VLOOKUP(AB$1,INDIRECT("'"&amp;$A56&amp;"'!$A$12:$Z$41"),MATCH("Points (Auto-generate)",INDIRECT("'"&amp;$A56&amp;"'!$A$12:$Z$12"),0),0)="","?",VLOOKUP(AB$1,INDIRECT("'"&amp;$A56&amp;"'!$A$12:$Z$41"),MATCH("Points (Auto-generate)",INDIRECT("'"&amp;$A56&amp;"'!$A$12:$Z$12"),0),0)),"ER"))</f>
        <v>?</v>
      </c>
      <c r="AC56" s="83" t="str">
        <f aca="true">IF($H56=0,"NA",IF($A56=INDIRECT("'"&amp;$A56&amp;"'!$B$1"),IF(VLOOKUP(AC$1,INDIRECT("'"&amp;$A56&amp;"'!$A$12:$Z$41"),MATCH("Points (Auto-generate)",INDIRECT("'"&amp;$A56&amp;"'!$A$12:$Z$12"),0),0)="","?",VLOOKUP(AC$1,INDIRECT("'"&amp;$A56&amp;"'!$A$12:$Z$41"),MATCH("Points (Auto-generate)",INDIRECT("'"&amp;$A56&amp;"'!$A$12:$Z$12"),0),0)),"ER"))</f>
        <v>?</v>
      </c>
      <c r="AD56" s="83" t="str">
        <f aca="true">IF($H56=0,"NA",IF($A56=INDIRECT("'"&amp;$A56&amp;"'!$B$1"),IF(VLOOKUP(AD$1,INDIRECT("'"&amp;$A56&amp;"'!$A$12:$Z$41"),MATCH("Points (Auto-generate)",INDIRECT("'"&amp;$A56&amp;"'!$A$12:$Z$12"),0),0)="","?",VLOOKUP(AD$1,INDIRECT("'"&amp;$A56&amp;"'!$A$12:$Z$41"),MATCH("Points (Auto-generate)",INDIRECT("'"&amp;$A56&amp;"'!$A$12:$Z$12"),0),0)),"ER"))</f>
        <v>?</v>
      </c>
      <c r="AE56" s="83" t="str">
        <f aca="true">IF($H56=0,"NA",IF($A56=INDIRECT("'"&amp;$A56&amp;"'!$B$1"),IF(VLOOKUP(AE$1,INDIRECT("'"&amp;$A56&amp;"'!$A$12:$Z$41"),MATCH("Points (Auto-generate)",INDIRECT("'"&amp;$A56&amp;"'!$A$12:$Z$12"),0),0)="","?",VLOOKUP(AE$1,INDIRECT("'"&amp;$A56&amp;"'!$A$12:$Z$41"),MATCH("Points (Auto-generate)",INDIRECT("'"&amp;$A56&amp;"'!$A$12:$Z$12"),0),0)),"ER"))</f>
        <v>?</v>
      </c>
      <c r="AF56" s="83" t="str">
        <f aca="true">IF($H56=0,"NA",IF($A56=INDIRECT("'"&amp;$A56&amp;"'!$B$1"),IF(VLOOKUP(AF$1,INDIRECT("'"&amp;$A56&amp;"'!$A$12:$Z$41"),MATCH("Points (Auto-generate)",INDIRECT("'"&amp;$A56&amp;"'!$A$12:$Z$12"),0),0)="","?",VLOOKUP(AF$1,INDIRECT("'"&amp;$A56&amp;"'!$A$12:$Z$41"),MATCH("Points (Auto-generate)",INDIRECT("'"&amp;$A56&amp;"'!$A$12:$Z$12"),0),0)),"ER"))</f>
        <v>?</v>
      </c>
      <c r="AG56" s="83" t="str">
        <f aca="true">IF($H56=0,"NA",IF($A56=INDIRECT("'"&amp;$A56&amp;"'!$B$1"),IF(VLOOKUP(AG$1,INDIRECT("'"&amp;$A56&amp;"'!$A$12:$Z$41"),MATCH("Points (Auto-generate)",INDIRECT("'"&amp;$A56&amp;"'!$A$12:$Z$12"),0),0)="","?",VLOOKUP(AG$1,INDIRECT("'"&amp;$A56&amp;"'!$A$12:$Z$41"),MATCH("Points (Auto-generate)",INDIRECT("'"&amp;$A56&amp;"'!$A$12:$Z$12"),0),0)),"ER"))</f>
        <v>?</v>
      </c>
      <c r="AH56" s="83" t="str">
        <f aca="true">IF($H56=0,"NA",IF($A56=INDIRECT("'"&amp;$A56&amp;"'!$B$1"),IF(VLOOKUP(AH$1,INDIRECT("'"&amp;$A56&amp;"'!$A$12:$Z$41"),MATCH("Points (Auto-generate)",INDIRECT("'"&amp;$A56&amp;"'!$A$12:$Z$12"),0),0)="","?",VLOOKUP(AH$1,INDIRECT("'"&amp;$A56&amp;"'!$A$12:$Z$41"),MATCH("Points (Auto-generate)",INDIRECT("'"&amp;$A56&amp;"'!$A$12:$Z$12"),0),0)),"ER"))</f>
        <v>?</v>
      </c>
      <c r="AI56" s="83" t="str">
        <f aca="true">IF($H56=0,"NA",IF($A56=INDIRECT("'"&amp;$A56&amp;"'!$B$1"),IF(VLOOKUP(AI$1,INDIRECT("'"&amp;$A56&amp;"'!$A$12:$Z$41"),MATCH("Points (Auto-generate)",INDIRECT("'"&amp;$A56&amp;"'!$A$12:$Z$12"),0),0)="","?",VLOOKUP(AI$1,INDIRECT("'"&amp;$A56&amp;"'!$A$12:$Z$41"),MATCH("Points (Auto-generate)",INDIRECT("'"&amp;$A56&amp;"'!$A$12:$Z$12"),0),0)),"ER"))</f>
        <v>?</v>
      </c>
      <c r="AJ56" s="83" t="str">
        <f aca="true">IF($H56=0,"NA",IF($A56=INDIRECT("'"&amp;$A56&amp;"'!$B$1"),IF(VLOOKUP(AJ$1,INDIRECT("'"&amp;$A56&amp;"'!$A$12:$Z$41"),MATCH("Points (Auto-generate)",INDIRECT("'"&amp;$A56&amp;"'!$A$12:$Z$12"),0),0)="","?",VLOOKUP(AJ$1,INDIRECT("'"&amp;$A56&amp;"'!$A$12:$Z$41"),MATCH("Points (Auto-generate)",INDIRECT("'"&amp;$A56&amp;"'!$A$12:$Z$12"),0),0)),"ER"))</f>
        <v>?</v>
      </c>
      <c r="AK56" s="83" t="str">
        <f aca="true">IF($H56=0,"NA",IF($A56=INDIRECT("'"&amp;$A56&amp;"'!$B$1"),IF(VLOOKUP(AK$1,INDIRECT("'"&amp;$A56&amp;"'!$A$12:$Z$41"),MATCH("Points (Auto-generate)",INDIRECT("'"&amp;$A56&amp;"'!$A$12:$Z$12"),0),0)="","?",VLOOKUP(AK$1,INDIRECT("'"&amp;$A56&amp;"'!$A$12:$Z$41"),MATCH("Points (Auto-generate)",INDIRECT("'"&amp;$A56&amp;"'!$A$12:$Z$12"),0),0)),"ER"))</f>
        <v>?</v>
      </c>
    </row>
    <row r="57" customFormat="false" ht="14.25" hidden="false" customHeight="false" outlineLevel="0" collapsed="false">
      <c r="A57" s="79" t="s">
        <v>633</v>
      </c>
      <c r="B57" s="80" t="str">
        <f aca="false">IF(ISBLANK($A57),"NO_CODE",VLOOKUP($A57,'UPD Questions_290926 '!$E$1:$N$300,MATCH(B$1,'UPD Questions_290926 '!$E$1:$N$1,0),0)&amp;"")</f>
        <v>Implementation</v>
      </c>
      <c r="C57" s="80" t="str">
        <f aca="false">IF(ISBLANK($A57),"NO_CODE",VLOOKUP($A57,'UPD Questions_290926 '!$E$1:$N$300,MATCH(C$1,'UPD Questions_290926 '!$E$1:$N$1,0),0)&amp;"")</f>
        <v>Sectoral planning</v>
      </c>
      <c r="D57" s="80" t="str">
        <f aca="false">IF(ISBLANK($A57),"NO_CODE",VLOOKUP($A57,'UPD Questions_290926 '!$E$1:$N$300,MATCH(D$1,'UPD Questions_290926 '!$E$1:$N$1,0),0)&amp;"")</f>
        <v>Water supply and sewerage, sanitation, solid waste management </v>
      </c>
      <c r="E57" s="80" t="str">
        <f aca="false">IF(ISBLANK($A57),"NO_CODE",VLOOKUP($A57,'UPD Questions_290926 '!$E$1:$N$300,MATCH(E$1,'UPD Questions_290926 '!$E$1:$N$1,0),0)&amp;"")</f>
        <v>SQ1</v>
      </c>
      <c r="F57" s="80" t="str">
        <f aca="false">IF(ISBLANK($A57),"NO_CODE",VLOOKUP($A57,'UPD Questions_290926 '!$E$1:$N$300,MATCH(F$1,'UPD Questions_290926 '!$E$1:$N$1,0),0)&amp;"")</f>
        <v>a) Water Supply and Sewerage Plan</v>
      </c>
      <c r="G57" s="80" t="str">
        <f aca="false">IF(ISBLANK($A57),"NO_CODE",VLOOKUP($A57,'UPD Questions_290926 '!$E$1:$N$300,MATCH(G$1,'UPD Questions_290926 '!$E$1:$N$1,0),0)&amp;"")</f>
        <v>Implementation</v>
      </c>
      <c r="H57" s="82" t="n">
        <f aca="false">IF(ISBLANK($A57),"NO_CODE",VLOOKUP($A57,'UPD Questions_290926 '!$E$1:$N$300,MATCH(H$1,'UPD Questions_290926 '!$E$1:$N$1,0),0))</f>
        <v>1.11</v>
      </c>
      <c r="I57" s="83" t="str">
        <f aca="true">IF(INDEX(INDIRECT("'"&amp;LEFT($A57,LEN($A57)-1)&amp;"'!$H$13:$J$41"),MATCH(I$1,INDIRECT("'"&amp;LEFT($A57,LEN($A57)-1)&amp;"'!$A$13:$A$41"),0),VALUE(RIGHT($A57,1)))="YES",$H57,IF(INDEX(INDIRECT("'"&amp;LEFT($A57,LEN($A57)-1)&amp;"'!$H$13:$J$41"),MATCH(I$1,INDIRECT("'"&amp;LEFT($A57,LEN($A57)-1)&amp;"'!$A$13:$A$41"),0),VALUE(RIGHT($A57,1)))="NO",0,"?"))</f>
        <v>?</v>
      </c>
      <c r="J57" s="83" t="n">
        <f aca="true">IF(INDEX(INDIRECT("'"&amp;LEFT($A57,LEN($A57)-1)&amp;"'!$H$13:$J$41"),MATCH(J$1,INDIRECT("'"&amp;LEFT($A57,LEN($A57)-1)&amp;"'!$A$13:$A$41"),0),VALUE(RIGHT($A57,1)))="YES",$H57,IF(INDEX(INDIRECT("'"&amp;LEFT($A57,LEN($A57)-1)&amp;"'!$H$13:$J$41"),MATCH(J$1,INDIRECT("'"&amp;LEFT($A57,LEN($A57)-1)&amp;"'!$A$13:$A$41"),0),VALUE(RIGHT($A57,1)))="NO",0,"?"))</f>
        <v>1.11</v>
      </c>
      <c r="K57" s="83" t="str">
        <f aca="true">IF(INDEX(INDIRECT("'"&amp;LEFT($A57,LEN($A57)-1)&amp;"'!$H$13:$J$41"),MATCH(K$1,INDIRECT("'"&amp;LEFT($A57,LEN($A57)-1)&amp;"'!$A$13:$A$41"),0),VALUE(RIGHT($A57,1)))="YES",$H57,IF(INDEX(INDIRECT("'"&amp;LEFT($A57,LEN($A57)-1)&amp;"'!$H$13:$J$41"),MATCH(K$1,INDIRECT("'"&amp;LEFT($A57,LEN($A57)-1)&amp;"'!$A$13:$A$41"),0),VALUE(RIGHT($A57,1)))="NO",0,"?"))</f>
        <v>?</v>
      </c>
      <c r="L57" s="83" t="str">
        <f aca="true">IF(INDEX(INDIRECT("'"&amp;LEFT($A57,LEN($A57)-1)&amp;"'!$H$13:$J$41"),MATCH(L$1,INDIRECT("'"&amp;LEFT($A57,LEN($A57)-1)&amp;"'!$A$13:$A$41"),0),VALUE(RIGHT($A57,1)))="YES",$H57,IF(INDEX(INDIRECT("'"&amp;LEFT($A57,LEN($A57)-1)&amp;"'!$H$13:$J$41"),MATCH(L$1,INDIRECT("'"&amp;LEFT($A57,LEN($A57)-1)&amp;"'!$A$13:$A$41"),0),VALUE(RIGHT($A57,1)))="NO",0,"?"))</f>
        <v>?</v>
      </c>
      <c r="M57" s="83" t="str">
        <f aca="true">IF(INDEX(INDIRECT("'"&amp;LEFT($A57,LEN($A57)-1)&amp;"'!$H$13:$J$41"),MATCH(M$1,INDIRECT("'"&amp;LEFT($A57,LEN($A57)-1)&amp;"'!$A$13:$A$41"),0),VALUE(RIGHT($A57,1)))="YES",$H57,IF(INDEX(INDIRECT("'"&amp;LEFT($A57,LEN($A57)-1)&amp;"'!$H$13:$J$41"),MATCH(M$1,INDIRECT("'"&amp;LEFT($A57,LEN($A57)-1)&amp;"'!$A$13:$A$41"),0),VALUE(RIGHT($A57,1)))="NO",0,"?"))</f>
        <v>?</v>
      </c>
      <c r="N57" s="83" t="str">
        <f aca="true">IF(INDEX(INDIRECT("'"&amp;LEFT($A57,LEN($A57)-1)&amp;"'!$H$13:$J$41"),MATCH(N$1,INDIRECT("'"&amp;LEFT($A57,LEN($A57)-1)&amp;"'!$A$13:$A$41"),0),VALUE(RIGHT($A57,1)))="YES",$H57,IF(INDEX(INDIRECT("'"&amp;LEFT($A57,LEN($A57)-1)&amp;"'!$H$13:$J$41"),MATCH(N$1,INDIRECT("'"&amp;LEFT($A57,LEN($A57)-1)&amp;"'!$A$13:$A$41"),0),VALUE(RIGHT($A57,1)))="NO",0,"?"))</f>
        <v>?</v>
      </c>
      <c r="O57" s="83" t="str">
        <f aca="true">IF(INDEX(INDIRECT("'"&amp;LEFT($A57,LEN($A57)-1)&amp;"'!$H$13:$J$41"),MATCH(O$1,INDIRECT("'"&amp;LEFT($A57,LEN($A57)-1)&amp;"'!$A$13:$A$41"),0),VALUE(RIGHT($A57,1)))="YES",$H57,IF(INDEX(INDIRECT("'"&amp;LEFT($A57,LEN($A57)-1)&amp;"'!$H$13:$J$41"),MATCH(O$1,INDIRECT("'"&amp;LEFT($A57,LEN($A57)-1)&amp;"'!$A$13:$A$41"),0),VALUE(RIGHT($A57,1)))="NO",0,"?"))</f>
        <v>?</v>
      </c>
      <c r="P57" s="83" t="str">
        <f aca="true">IF(INDEX(INDIRECT("'"&amp;LEFT($A57,LEN($A57)-1)&amp;"'!$H$13:$J$41"),MATCH(P$1,INDIRECT("'"&amp;LEFT($A57,LEN($A57)-1)&amp;"'!$A$13:$A$41"),0),VALUE(RIGHT($A57,1)))="YES",$H57,IF(INDEX(INDIRECT("'"&amp;LEFT($A57,LEN($A57)-1)&amp;"'!$H$13:$J$41"),MATCH(P$1,INDIRECT("'"&amp;LEFT($A57,LEN($A57)-1)&amp;"'!$A$13:$A$41"),0),VALUE(RIGHT($A57,1)))="NO",0,"?"))</f>
        <v>?</v>
      </c>
      <c r="Q57" s="83" t="str">
        <f aca="true">IF(INDEX(INDIRECT("'"&amp;LEFT($A57,LEN($A57)-1)&amp;"'!$H$13:$J$41"),MATCH(Q$1,INDIRECT("'"&amp;LEFT($A57,LEN($A57)-1)&amp;"'!$A$13:$A$41"),0),VALUE(RIGHT($A57,1)))="YES",$H57,IF(INDEX(INDIRECT("'"&amp;LEFT($A57,LEN($A57)-1)&amp;"'!$H$13:$J$41"),MATCH(Q$1,INDIRECT("'"&amp;LEFT($A57,LEN($A57)-1)&amp;"'!$A$13:$A$41"),0),VALUE(RIGHT($A57,1)))="NO",0,"?"))</f>
        <v>?</v>
      </c>
      <c r="R57" s="83" t="str">
        <f aca="true">IF(INDEX(INDIRECT("'"&amp;LEFT($A57,LEN($A57)-1)&amp;"'!$H$13:$J$41"),MATCH(R$1,INDIRECT("'"&amp;LEFT($A57,LEN($A57)-1)&amp;"'!$A$13:$A$41"),0),VALUE(RIGHT($A57,1)))="YES",$H57,IF(INDEX(INDIRECT("'"&amp;LEFT($A57,LEN($A57)-1)&amp;"'!$H$13:$J$41"),MATCH(R$1,INDIRECT("'"&amp;LEFT($A57,LEN($A57)-1)&amp;"'!$A$13:$A$41"),0),VALUE(RIGHT($A57,1)))="NO",0,"?"))</f>
        <v>?</v>
      </c>
      <c r="S57" s="83" t="str">
        <f aca="true">IF(INDEX(INDIRECT("'"&amp;LEFT($A57,LEN($A57)-1)&amp;"'!$H$13:$J$41"),MATCH(S$1,INDIRECT("'"&amp;LEFT($A57,LEN($A57)-1)&amp;"'!$A$13:$A$41"),0),VALUE(RIGHT($A57,1)))="YES",$H57,IF(INDEX(INDIRECT("'"&amp;LEFT($A57,LEN($A57)-1)&amp;"'!$H$13:$J$41"),MATCH(S$1,INDIRECT("'"&amp;LEFT($A57,LEN($A57)-1)&amp;"'!$A$13:$A$41"),0),VALUE(RIGHT($A57,1)))="NO",0,"?"))</f>
        <v>?</v>
      </c>
      <c r="T57" s="83" t="str">
        <f aca="true">IF(INDEX(INDIRECT("'"&amp;LEFT($A57,LEN($A57)-1)&amp;"'!$H$13:$J$41"),MATCH(T$1,INDIRECT("'"&amp;LEFT($A57,LEN($A57)-1)&amp;"'!$A$13:$A$41"),0),VALUE(RIGHT($A57,1)))="YES",$H57,IF(INDEX(INDIRECT("'"&amp;LEFT($A57,LEN($A57)-1)&amp;"'!$H$13:$J$41"),MATCH(T$1,INDIRECT("'"&amp;LEFT($A57,LEN($A57)-1)&amp;"'!$A$13:$A$41"),0),VALUE(RIGHT($A57,1)))="NO",0,"?"))</f>
        <v>?</v>
      </c>
      <c r="U57" s="83" t="str">
        <f aca="true">IF(INDEX(INDIRECT("'"&amp;LEFT($A57,LEN($A57)-1)&amp;"'!$H$13:$J$41"),MATCH(U$1,INDIRECT("'"&amp;LEFT($A57,LEN($A57)-1)&amp;"'!$A$13:$A$41"),0),VALUE(RIGHT($A57,1)))="YES",$H57,IF(INDEX(INDIRECT("'"&amp;LEFT($A57,LEN($A57)-1)&amp;"'!$H$13:$J$41"),MATCH(U$1,INDIRECT("'"&amp;LEFT($A57,LEN($A57)-1)&amp;"'!$A$13:$A$41"),0),VALUE(RIGHT($A57,1)))="NO",0,"?"))</f>
        <v>?</v>
      </c>
      <c r="V57" s="83" t="str">
        <f aca="true">IF(INDEX(INDIRECT("'"&amp;LEFT($A57,LEN($A57)-1)&amp;"'!$H$13:$J$41"),MATCH(V$1,INDIRECT("'"&amp;LEFT($A57,LEN($A57)-1)&amp;"'!$A$13:$A$41"),0),VALUE(RIGHT($A57,1)))="YES",$H57,IF(INDEX(INDIRECT("'"&amp;LEFT($A57,LEN($A57)-1)&amp;"'!$H$13:$J$41"),MATCH(V$1,INDIRECT("'"&amp;LEFT($A57,LEN($A57)-1)&amp;"'!$A$13:$A$41"),0),VALUE(RIGHT($A57,1)))="NO",0,"?"))</f>
        <v>?</v>
      </c>
      <c r="W57" s="83" t="str">
        <f aca="true">IF(INDEX(INDIRECT("'"&amp;LEFT($A57,LEN($A57)-1)&amp;"'!$H$13:$J$41"),MATCH(W$1,INDIRECT("'"&amp;LEFT($A57,LEN($A57)-1)&amp;"'!$A$13:$A$41"),0),VALUE(RIGHT($A57,1)))="YES",$H57,IF(INDEX(INDIRECT("'"&amp;LEFT($A57,LEN($A57)-1)&amp;"'!$H$13:$J$41"),MATCH(W$1,INDIRECT("'"&amp;LEFT($A57,LEN($A57)-1)&amp;"'!$A$13:$A$41"),0),VALUE(RIGHT($A57,1)))="NO",0,"?"))</f>
        <v>?</v>
      </c>
      <c r="X57" s="83" t="str">
        <f aca="true">IF(INDEX(INDIRECT("'"&amp;LEFT($A57,LEN($A57)-1)&amp;"'!$H$13:$J$41"),MATCH(X$1,INDIRECT("'"&amp;LEFT($A57,LEN($A57)-1)&amp;"'!$A$13:$A$41"),0),VALUE(RIGHT($A57,1)))="YES",$H57,IF(INDEX(INDIRECT("'"&amp;LEFT($A57,LEN($A57)-1)&amp;"'!$H$13:$J$41"),MATCH(X$1,INDIRECT("'"&amp;LEFT($A57,LEN($A57)-1)&amp;"'!$A$13:$A$41"),0),VALUE(RIGHT($A57,1)))="NO",0,"?"))</f>
        <v>?</v>
      </c>
      <c r="Y57" s="83" t="str">
        <f aca="true">IF(INDEX(INDIRECT("'"&amp;LEFT($A57,LEN($A57)-1)&amp;"'!$H$13:$J$41"),MATCH(Y$1,INDIRECT("'"&amp;LEFT($A57,LEN($A57)-1)&amp;"'!$A$13:$A$41"),0),VALUE(RIGHT($A57,1)))="YES",$H57,IF(INDEX(INDIRECT("'"&amp;LEFT($A57,LEN($A57)-1)&amp;"'!$H$13:$J$41"),MATCH(Y$1,INDIRECT("'"&amp;LEFT($A57,LEN($A57)-1)&amp;"'!$A$13:$A$41"),0),VALUE(RIGHT($A57,1)))="NO",0,"?"))</f>
        <v>?</v>
      </c>
      <c r="Z57" s="83" t="str">
        <f aca="true">IF(INDEX(INDIRECT("'"&amp;LEFT($A57,LEN($A57)-1)&amp;"'!$H$13:$J$41"),MATCH(Z$1,INDIRECT("'"&amp;LEFT($A57,LEN($A57)-1)&amp;"'!$A$13:$A$41"),0),VALUE(RIGHT($A57,1)))="YES",$H57,IF(INDEX(INDIRECT("'"&amp;LEFT($A57,LEN($A57)-1)&amp;"'!$H$13:$J$41"),MATCH(Z$1,INDIRECT("'"&amp;LEFT($A57,LEN($A57)-1)&amp;"'!$A$13:$A$41"),0),VALUE(RIGHT($A57,1)))="NO",0,"?"))</f>
        <v>?</v>
      </c>
      <c r="AA57" s="83" t="str">
        <f aca="true">IF(INDEX(INDIRECT("'"&amp;LEFT($A57,LEN($A57)-1)&amp;"'!$H$13:$J$41"),MATCH(AA$1,INDIRECT("'"&amp;LEFT($A57,LEN($A57)-1)&amp;"'!$A$13:$A$41"),0),VALUE(RIGHT($A57,1)))="YES",$H57,IF(INDEX(INDIRECT("'"&amp;LEFT($A57,LEN($A57)-1)&amp;"'!$H$13:$J$41"),MATCH(AA$1,INDIRECT("'"&amp;LEFT($A57,LEN($A57)-1)&amp;"'!$A$13:$A$41"),0),VALUE(RIGHT($A57,1)))="NO",0,"?"))</f>
        <v>?</v>
      </c>
      <c r="AB57" s="83" t="str">
        <f aca="true">IF(INDEX(INDIRECT("'"&amp;LEFT($A57,LEN($A57)-1)&amp;"'!$H$13:$J$41"),MATCH(AB$1,INDIRECT("'"&amp;LEFT($A57,LEN($A57)-1)&amp;"'!$A$13:$A$41"),0),VALUE(RIGHT($A57,1)))="YES",$H57,IF(INDEX(INDIRECT("'"&amp;LEFT($A57,LEN($A57)-1)&amp;"'!$H$13:$J$41"),MATCH(AB$1,INDIRECT("'"&amp;LEFT($A57,LEN($A57)-1)&amp;"'!$A$13:$A$41"),0),VALUE(RIGHT($A57,1)))="NO",0,"?"))</f>
        <v>?</v>
      </c>
      <c r="AC57" s="83" t="str">
        <f aca="true">IF(INDEX(INDIRECT("'"&amp;LEFT($A57,LEN($A57)-1)&amp;"'!$H$13:$J$41"),MATCH(AC$1,INDIRECT("'"&amp;LEFT($A57,LEN($A57)-1)&amp;"'!$A$13:$A$41"),0),VALUE(RIGHT($A57,1)))="YES",$H57,IF(INDEX(INDIRECT("'"&amp;LEFT($A57,LEN($A57)-1)&amp;"'!$H$13:$J$41"),MATCH(AC$1,INDIRECT("'"&amp;LEFT($A57,LEN($A57)-1)&amp;"'!$A$13:$A$41"),0),VALUE(RIGHT($A57,1)))="NO",0,"?"))</f>
        <v>?</v>
      </c>
      <c r="AD57" s="83" t="str">
        <f aca="true">IF(INDEX(INDIRECT("'"&amp;LEFT($A57,LEN($A57)-1)&amp;"'!$H$13:$J$41"),MATCH(AD$1,INDIRECT("'"&amp;LEFT($A57,LEN($A57)-1)&amp;"'!$A$13:$A$41"),0),VALUE(RIGHT($A57,1)))="YES",$H57,IF(INDEX(INDIRECT("'"&amp;LEFT($A57,LEN($A57)-1)&amp;"'!$H$13:$J$41"),MATCH(AD$1,INDIRECT("'"&amp;LEFT($A57,LEN($A57)-1)&amp;"'!$A$13:$A$41"),0),VALUE(RIGHT($A57,1)))="NO",0,"?"))</f>
        <v>?</v>
      </c>
      <c r="AE57" s="83" t="str">
        <f aca="true">IF(INDEX(INDIRECT("'"&amp;LEFT($A57,LEN($A57)-1)&amp;"'!$H$13:$J$41"),MATCH(AE$1,INDIRECT("'"&amp;LEFT($A57,LEN($A57)-1)&amp;"'!$A$13:$A$41"),0),VALUE(RIGHT($A57,1)))="YES",$H57,IF(INDEX(INDIRECT("'"&amp;LEFT($A57,LEN($A57)-1)&amp;"'!$H$13:$J$41"),MATCH(AE$1,INDIRECT("'"&amp;LEFT($A57,LEN($A57)-1)&amp;"'!$A$13:$A$41"),0),VALUE(RIGHT($A57,1)))="NO",0,"?"))</f>
        <v>?</v>
      </c>
      <c r="AF57" s="83" t="str">
        <f aca="true">IF(INDEX(INDIRECT("'"&amp;LEFT($A57,LEN($A57)-1)&amp;"'!$H$13:$J$41"),MATCH(AF$1,INDIRECT("'"&amp;LEFT($A57,LEN($A57)-1)&amp;"'!$A$13:$A$41"),0),VALUE(RIGHT($A57,1)))="YES",$H57,IF(INDEX(INDIRECT("'"&amp;LEFT($A57,LEN($A57)-1)&amp;"'!$H$13:$J$41"),MATCH(AF$1,INDIRECT("'"&amp;LEFT($A57,LEN($A57)-1)&amp;"'!$A$13:$A$41"),0),VALUE(RIGHT($A57,1)))="NO",0,"?"))</f>
        <v>?</v>
      </c>
      <c r="AG57" s="83" t="str">
        <f aca="true">IF(INDEX(INDIRECT("'"&amp;LEFT($A57,LEN($A57)-1)&amp;"'!$H$13:$J$41"),MATCH(AG$1,INDIRECT("'"&amp;LEFT($A57,LEN($A57)-1)&amp;"'!$A$13:$A$41"),0),VALUE(RIGHT($A57,1)))="YES",$H57,IF(INDEX(INDIRECT("'"&amp;LEFT($A57,LEN($A57)-1)&amp;"'!$H$13:$J$41"),MATCH(AG$1,INDIRECT("'"&amp;LEFT($A57,LEN($A57)-1)&amp;"'!$A$13:$A$41"),0),VALUE(RIGHT($A57,1)))="NO",0,"?"))</f>
        <v>?</v>
      </c>
      <c r="AH57" s="83" t="str">
        <f aca="true">IF(INDEX(INDIRECT("'"&amp;LEFT($A57,LEN($A57)-1)&amp;"'!$H$13:$J$41"),MATCH(AH$1,INDIRECT("'"&amp;LEFT($A57,LEN($A57)-1)&amp;"'!$A$13:$A$41"),0),VALUE(RIGHT($A57,1)))="YES",$H57,IF(INDEX(INDIRECT("'"&amp;LEFT($A57,LEN($A57)-1)&amp;"'!$H$13:$J$41"),MATCH(AH$1,INDIRECT("'"&amp;LEFT($A57,LEN($A57)-1)&amp;"'!$A$13:$A$41"),0),VALUE(RIGHT($A57,1)))="NO",0,"?"))</f>
        <v>?</v>
      </c>
      <c r="AI57" s="83" t="str">
        <f aca="true">IF(INDEX(INDIRECT("'"&amp;LEFT($A57,LEN($A57)-1)&amp;"'!$H$13:$J$41"),MATCH(AI$1,INDIRECT("'"&amp;LEFT($A57,LEN($A57)-1)&amp;"'!$A$13:$A$41"),0),VALUE(RIGHT($A57,1)))="YES",$H57,IF(INDEX(INDIRECT("'"&amp;LEFT($A57,LEN($A57)-1)&amp;"'!$H$13:$J$41"),MATCH(AI$1,INDIRECT("'"&amp;LEFT($A57,LEN($A57)-1)&amp;"'!$A$13:$A$41"),0),VALUE(RIGHT($A57,1)))="NO",0,"?"))</f>
        <v>?</v>
      </c>
      <c r="AJ57" s="83" t="str">
        <f aca="true">IF(INDEX(INDIRECT("'"&amp;LEFT($A57,LEN($A57)-1)&amp;"'!$H$13:$J$41"),MATCH(AJ$1,INDIRECT("'"&amp;LEFT($A57,LEN($A57)-1)&amp;"'!$A$13:$A$41"),0),VALUE(RIGHT($A57,1)))="YES",$H57,IF(INDEX(INDIRECT("'"&amp;LEFT($A57,LEN($A57)-1)&amp;"'!$H$13:$J$41"),MATCH(AJ$1,INDIRECT("'"&amp;LEFT($A57,LEN($A57)-1)&amp;"'!$A$13:$A$41"),0),VALUE(RIGHT($A57,1)))="NO",0,"?"))</f>
        <v>?</v>
      </c>
      <c r="AK57" s="83" t="str">
        <f aca="true">IF(INDEX(INDIRECT("'"&amp;LEFT($A57,LEN($A57)-1)&amp;"'!$H$13:$J$41"),MATCH(AK$1,INDIRECT("'"&amp;LEFT($A57,LEN($A57)-1)&amp;"'!$A$13:$A$41"),0),VALUE(RIGHT($A57,1)))="YES",$H57,IF(INDEX(INDIRECT("'"&amp;LEFT($A57,LEN($A57)-1)&amp;"'!$H$13:$J$41"),MATCH(AK$1,INDIRECT("'"&amp;LEFT($A57,LEN($A57)-1)&amp;"'!$A$13:$A$41"),0),VALUE(RIGHT($A57,1)))="NO",0,"?"))</f>
        <v>?</v>
      </c>
    </row>
    <row r="58" customFormat="false" ht="14.25" hidden="false" customHeight="false" outlineLevel="0" collapsed="false">
      <c r="A58" s="79" t="s">
        <v>635</v>
      </c>
      <c r="B58" s="80" t="str">
        <f aca="false">IF(ISBLANK($A58),"NO_CODE",VLOOKUP($A58,'UPD Questions_290926 '!$E$1:$N$300,MATCH(B$1,'UPD Questions_290926 '!$E$1:$N$1,0),0)&amp;"")</f>
        <v>Implementation</v>
      </c>
      <c r="C58" s="80" t="str">
        <f aca="false">IF(ISBLANK($A58),"NO_CODE",VLOOKUP($A58,'UPD Questions_290926 '!$E$1:$N$300,MATCH(C$1,'UPD Questions_290926 '!$E$1:$N$1,0),0)&amp;"")</f>
        <v>Sectoral planning</v>
      </c>
      <c r="D58" s="80" t="str">
        <f aca="false">IF(ISBLANK($A58),"NO_CODE",VLOOKUP($A58,'UPD Questions_290926 '!$E$1:$N$300,MATCH(D$1,'UPD Questions_290926 '!$E$1:$N$1,0),0)&amp;"")</f>
        <v>Water supply and sewerage, sanitation, solid waste management </v>
      </c>
      <c r="E58" s="80" t="str">
        <f aca="false">IF(ISBLANK($A58),"NO_CODE",VLOOKUP($A58,'UPD Questions_290926 '!$E$1:$N$300,MATCH(E$1,'UPD Questions_290926 '!$E$1:$N$1,0),0)&amp;"")</f>
        <v>SQ2</v>
      </c>
      <c r="F58" s="80" t="str">
        <f aca="false">IF(ISBLANK($A58),"NO_CODE",VLOOKUP($A58,'UPD Questions_290926 '!$E$1:$N$300,MATCH(F$1,'UPD Questions_290926 '!$E$1:$N$1,0),0)&amp;"")</f>
        <v>b) Solid Waste Management Plan </v>
      </c>
      <c r="G58" s="80" t="str">
        <f aca="false">IF(ISBLANK($A58),"NO_CODE",VLOOKUP($A58,'UPD Questions_290926 '!$E$1:$N$300,MATCH(G$1,'UPD Questions_290926 '!$E$1:$N$1,0),0)&amp;"")</f>
        <v>Implementation</v>
      </c>
      <c r="H58" s="82" t="n">
        <f aca="false">IF(ISBLANK($A58),"NO_CODE",VLOOKUP($A58,'UPD Questions_290926 '!$E$1:$N$300,MATCH(H$1,'UPD Questions_290926 '!$E$1:$N$1,0),0))</f>
        <v>1.11</v>
      </c>
      <c r="I58" s="83" t="str">
        <f aca="true">IF(INDEX(INDIRECT("'"&amp;LEFT($A58,LEN($A58)-1)&amp;"'!$H$13:$J$41"),MATCH(I$1,INDIRECT("'"&amp;LEFT($A58,LEN($A58)-1)&amp;"'!$A$13:$A$41"),0),VALUE(RIGHT($A58,1)))="YES",$H58,IF(INDEX(INDIRECT("'"&amp;LEFT($A58,LEN($A58)-1)&amp;"'!$H$13:$J$41"),MATCH(I$1,INDIRECT("'"&amp;LEFT($A58,LEN($A58)-1)&amp;"'!$A$13:$A$41"),0),VALUE(RIGHT($A58,1)))="NO",0,"?"))</f>
        <v>?</v>
      </c>
      <c r="J58" s="83" t="n">
        <f aca="true">IF(INDEX(INDIRECT("'"&amp;LEFT($A58,LEN($A58)-1)&amp;"'!$H$13:$J$41"),MATCH(J$1,INDIRECT("'"&amp;LEFT($A58,LEN($A58)-1)&amp;"'!$A$13:$A$41"),0),VALUE(RIGHT($A58,1)))="YES",$H58,IF(INDEX(INDIRECT("'"&amp;LEFT($A58,LEN($A58)-1)&amp;"'!$H$13:$J$41"),MATCH(J$1,INDIRECT("'"&amp;LEFT($A58,LEN($A58)-1)&amp;"'!$A$13:$A$41"),0),VALUE(RIGHT($A58,1)))="NO",0,"?"))</f>
        <v>0</v>
      </c>
      <c r="K58" s="83" t="str">
        <f aca="true">IF(INDEX(INDIRECT("'"&amp;LEFT($A58,LEN($A58)-1)&amp;"'!$H$13:$J$41"),MATCH(K$1,INDIRECT("'"&amp;LEFT($A58,LEN($A58)-1)&amp;"'!$A$13:$A$41"),0),VALUE(RIGHT($A58,1)))="YES",$H58,IF(INDEX(INDIRECT("'"&amp;LEFT($A58,LEN($A58)-1)&amp;"'!$H$13:$J$41"),MATCH(K$1,INDIRECT("'"&amp;LEFT($A58,LEN($A58)-1)&amp;"'!$A$13:$A$41"),0),VALUE(RIGHT($A58,1)))="NO",0,"?"))</f>
        <v>?</v>
      </c>
      <c r="L58" s="83" t="str">
        <f aca="true">IF(INDEX(INDIRECT("'"&amp;LEFT($A58,LEN($A58)-1)&amp;"'!$H$13:$J$41"),MATCH(L$1,INDIRECT("'"&amp;LEFT($A58,LEN($A58)-1)&amp;"'!$A$13:$A$41"),0),VALUE(RIGHT($A58,1)))="YES",$H58,IF(INDEX(INDIRECT("'"&amp;LEFT($A58,LEN($A58)-1)&amp;"'!$H$13:$J$41"),MATCH(L$1,INDIRECT("'"&amp;LEFT($A58,LEN($A58)-1)&amp;"'!$A$13:$A$41"),0),VALUE(RIGHT($A58,1)))="NO",0,"?"))</f>
        <v>?</v>
      </c>
      <c r="M58" s="83" t="str">
        <f aca="true">IF(INDEX(INDIRECT("'"&amp;LEFT($A58,LEN($A58)-1)&amp;"'!$H$13:$J$41"),MATCH(M$1,INDIRECT("'"&amp;LEFT($A58,LEN($A58)-1)&amp;"'!$A$13:$A$41"),0),VALUE(RIGHT($A58,1)))="YES",$H58,IF(INDEX(INDIRECT("'"&amp;LEFT($A58,LEN($A58)-1)&amp;"'!$H$13:$J$41"),MATCH(M$1,INDIRECT("'"&amp;LEFT($A58,LEN($A58)-1)&amp;"'!$A$13:$A$41"),0),VALUE(RIGHT($A58,1)))="NO",0,"?"))</f>
        <v>?</v>
      </c>
      <c r="N58" s="83" t="str">
        <f aca="true">IF(INDEX(INDIRECT("'"&amp;LEFT($A58,LEN($A58)-1)&amp;"'!$H$13:$J$41"),MATCH(N$1,INDIRECT("'"&amp;LEFT($A58,LEN($A58)-1)&amp;"'!$A$13:$A$41"),0),VALUE(RIGHT($A58,1)))="YES",$H58,IF(INDEX(INDIRECT("'"&amp;LEFT($A58,LEN($A58)-1)&amp;"'!$H$13:$J$41"),MATCH(N$1,INDIRECT("'"&amp;LEFT($A58,LEN($A58)-1)&amp;"'!$A$13:$A$41"),0),VALUE(RIGHT($A58,1)))="NO",0,"?"))</f>
        <v>?</v>
      </c>
      <c r="O58" s="83" t="str">
        <f aca="true">IF(INDEX(INDIRECT("'"&amp;LEFT($A58,LEN($A58)-1)&amp;"'!$H$13:$J$41"),MATCH(O$1,INDIRECT("'"&amp;LEFT($A58,LEN($A58)-1)&amp;"'!$A$13:$A$41"),0),VALUE(RIGHT($A58,1)))="YES",$H58,IF(INDEX(INDIRECT("'"&amp;LEFT($A58,LEN($A58)-1)&amp;"'!$H$13:$J$41"),MATCH(O$1,INDIRECT("'"&amp;LEFT($A58,LEN($A58)-1)&amp;"'!$A$13:$A$41"),0),VALUE(RIGHT($A58,1)))="NO",0,"?"))</f>
        <v>?</v>
      </c>
      <c r="P58" s="83" t="str">
        <f aca="true">IF(INDEX(INDIRECT("'"&amp;LEFT($A58,LEN($A58)-1)&amp;"'!$H$13:$J$41"),MATCH(P$1,INDIRECT("'"&amp;LEFT($A58,LEN($A58)-1)&amp;"'!$A$13:$A$41"),0),VALUE(RIGHT($A58,1)))="YES",$H58,IF(INDEX(INDIRECT("'"&amp;LEFT($A58,LEN($A58)-1)&amp;"'!$H$13:$J$41"),MATCH(P$1,INDIRECT("'"&amp;LEFT($A58,LEN($A58)-1)&amp;"'!$A$13:$A$41"),0),VALUE(RIGHT($A58,1)))="NO",0,"?"))</f>
        <v>?</v>
      </c>
      <c r="Q58" s="83" t="str">
        <f aca="true">IF(INDEX(INDIRECT("'"&amp;LEFT($A58,LEN($A58)-1)&amp;"'!$H$13:$J$41"),MATCH(Q$1,INDIRECT("'"&amp;LEFT($A58,LEN($A58)-1)&amp;"'!$A$13:$A$41"),0),VALUE(RIGHT($A58,1)))="YES",$H58,IF(INDEX(INDIRECT("'"&amp;LEFT($A58,LEN($A58)-1)&amp;"'!$H$13:$J$41"),MATCH(Q$1,INDIRECT("'"&amp;LEFT($A58,LEN($A58)-1)&amp;"'!$A$13:$A$41"),0),VALUE(RIGHT($A58,1)))="NO",0,"?"))</f>
        <v>?</v>
      </c>
      <c r="R58" s="83" t="str">
        <f aca="true">IF(INDEX(INDIRECT("'"&amp;LEFT($A58,LEN($A58)-1)&amp;"'!$H$13:$J$41"),MATCH(R$1,INDIRECT("'"&amp;LEFT($A58,LEN($A58)-1)&amp;"'!$A$13:$A$41"),0),VALUE(RIGHT($A58,1)))="YES",$H58,IF(INDEX(INDIRECT("'"&amp;LEFT($A58,LEN($A58)-1)&amp;"'!$H$13:$J$41"),MATCH(R$1,INDIRECT("'"&amp;LEFT($A58,LEN($A58)-1)&amp;"'!$A$13:$A$41"),0),VALUE(RIGHT($A58,1)))="NO",0,"?"))</f>
        <v>?</v>
      </c>
      <c r="S58" s="83" t="str">
        <f aca="true">IF(INDEX(INDIRECT("'"&amp;LEFT($A58,LEN($A58)-1)&amp;"'!$H$13:$J$41"),MATCH(S$1,INDIRECT("'"&amp;LEFT($A58,LEN($A58)-1)&amp;"'!$A$13:$A$41"),0),VALUE(RIGHT($A58,1)))="YES",$H58,IF(INDEX(INDIRECT("'"&amp;LEFT($A58,LEN($A58)-1)&amp;"'!$H$13:$J$41"),MATCH(S$1,INDIRECT("'"&amp;LEFT($A58,LEN($A58)-1)&amp;"'!$A$13:$A$41"),0),VALUE(RIGHT($A58,1)))="NO",0,"?"))</f>
        <v>?</v>
      </c>
      <c r="T58" s="83" t="str">
        <f aca="true">IF(INDEX(INDIRECT("'"&amp;LEFT($A58,LEN($A58)-1)&amp;"'!$H$13:$J$41"),MATCH(T$1,INDIRECT("'"&amp;LEFT($A58,LEN($A58)-1)&amp;"'!$A$13:$A$41"),0),VALUE(RIGHT($A58,1)))="YES",$H58,IF(INDEX(INDIRECT("'"&amp;LEFT($A58,LEN($A58)-1)&amp;"'!$H$13:$J$41"),MATCH(T$1,INDIRECT("'"&amp;LEFT($A58,LEN($A58)-1)&amp;"'!$A$13:$A$41"),0),VALUE(RIGHT($A58,1)))="NO",0,"?"))</f>
        <v>?</v>
      </c>
      <c r="U58" s="83" t="str">
        <f aca="true">IF(INDEX(INDIRECT("'"&amp;LEFT($A58,LEN($A58)-1)&amp;"'!$H$13:$J$41"),MATCH(U$1,INDIRECT("'"&amp;LEFT($A58,LEN($A58)-1)&amp;"'!$A$13:$A$41"),0),VALUE(RIGHT($A58,1)))="YES",$H58,IF(INDEX(INDIRECT("'"&amp;LEFT($A58,LEN($A58)-1)&amp;"'!$H$13:$J$41"),MATCH(U$1,INDIRECT("'"&amp;LEFT($A58,LEN($A58)-1)&amp;"'!$A$13:$A$41"),0),VALUE(RIGHT($A58,1)))="NO",0,"?"))</f>
        <v>?</v>
      </c>
      <c r="V58" s="83" t="str">
        <f aca="true">IF(INDEX(INDIRECT("'"&amp;LEFT($A58,LEN($A58)-1)&amp;"'!$H$13:$J$41"),MATCH(V$1,INDIRECT("'"&amp;LEFT($A58,LEN($A58)-1)&amp;"'!$A$13:$A$41"),0),VALUE(RIGHT($A58,1)))="YES",$H58,IF(INDEX(INDIRECT("'"&amp;LEFT($A58,LEN($A58)-1)&amp;"'!$H$13:$J$41"),MATCH(V$1,INDIRECT("'"&amp;LEFT($A58,LEN($A58)-1)&amp;"'!$A$13:$A$41"),0),VALUE(RIGHT($A58,1)))="NO",0,"?"))</f>
        <v>?</v>
      </c>
      <c r="W58" s="83" t="str">
        <f aca="true">IF(INDEX(INDIRECT("'"&amp;LEFT($A58,LEN($A58)-1)&amp;"'!$H$13:$J$41"),MATCH(W$1,INDIRECT("'"&amp;LEFT($A58,LEN($A58)-1)&amp;"'!$A$13:$A$41"),0),VALUE(RIGHT($A58,1)))="YES",$H58,IF(INDEX(INDIRECT("'"&amp;LEFT($A58,LEN($A58)-1)&amp;"'!$H$13:$J$41"),MATCH(W$1,INDIRECT("'"&amp;LEFT($A58,LEN($A58)-1)&amp;"'!$A$13:$A$41"),0),VALUE(RIGHT($A58,1)))="NO",0,"?"))</f>
        <v>?</v>
      </c>
      <c r="X58" s="83" t="str">
        <f aca="true">IF(INDEX(INDIRECT("'"&amp;LEFT($A58,LEN($A58)-1)&amp;"'!$H$13:$J$41"),MATCH(X$1,INDIRECT("'"&amp;LEFT($A58,LEN($A58)-1)&amp;"'!$A$13:$A$41"),0),VALUE(RIGHT($A58,1)))="YES",$H58,IF(INDEX(INDIRECT("'"&amp;LEFT($A58,LEN($A58)-1)&amp;"'!$H$13:$J$41"),MATCH(X$1,INDIRECT("'"&amp;LEFT($A58,LEN($A58)-1)&amp;"'!$A$13:$A$41"),0),VALUE(RIGHT($A58,1)))="NO",0,"?"))</f>
        <v>?</v>
      </c>
      <c r="Y58" s="83" t="str">
        <f aca="true">IF(INDEX(INDIRECT("'"&amp;LEFT($A58,LEN($A58)-1)&amp;"'!$H$13:$J$41"),MATCH(Y$1,INDIRECT("'"&amp;LEFT($A58,LEN($A58)-1)&amp;"'!$A$13:$A$41"),0),VALUE(RIGHT($A58,1)))="YES",$H58,IF(INDEX(INDIRECT("'"&amp;LEFT($A58,LEN($A58)-1)&amp;"'!$H$13:$J$41"),MATCH(Y$1,INDIRECT("'"&amp;LEFT($A58,LEN($A58)-1)&amp;"'!$A$13:$A$41"),0),VALUE(RIGHT($A58,1)))="NO",0,"?"))</f>
        <v>?</v>
      </c>
      <c r="Z58" s="83" t="str">
        <f aca="true">IF(INDEX(INDIRECT("'"&amp;LEFT($A58,LEN($A58)-1)&amp;"'!$H$13:$J$41"),MATCH(Z$1,INDIRECT("'"&amp;LEFT($A58,LEN($A58)-1)&amp;"'!$A$13:$A$41"),0),VALUE(RIGHT($A58,1)))="YES",$H58,IF(INDEX(INDIRECT("'"&amp;LEFT($A58,LEN($A58)-1)&amp;"'!$H$13:$J$41"),MATCH(Z$1,INDIRECT("'"&amp;LEFT($A58,LEN($A58)-1)&amp;"'!$A$13:$A$41"),0),VALUE(RIGHT($A58,1)))="NO",0,"?"))</f>
        <v>?</v>
      </c>
      <c r="AA58" s="83" t="str">
        <f aca="true">IF(INDEX(INDIRECT("'"&amp;LEFT($A58,LEN($A58)-1)&amp;"'!$H$13:$J$41"),MATCH(AA$1,INDIRECT("'"&amp;LEFT($A58,LEN($A58)-1)&amp;"'!$A$13:$A$41"),0),VALUE(RIGHT($A58,1)))="YES",$H58,IF(INDEX(INDIRECT("'"&amp;LEFT($A58,LEN($A58)-1)&amp;"'!$H$13:$J$41"),MATCH(AA$1,INDIRECT("'"&amp;LEFT($A58,LEN($A58)-1)&amp;"'!$A$13:$A$41"),0),VALUE(RIGHT($A58,1)))="NO",0,"?"))</f>
        <v>?</v>
      </c>
      <c r="AB58" s="83" t="str">
        <f aca="true">IF(INDEX(INDIRECT("'"&amp;LEFT($A58,LEN($A58)-1)&amp;"'!$H$13:$J$41"),MATCH(AB$1,INDIRECT("'"&amp;LEFT($A58,LEN($A58)-1)&amp;"'!$A$13:$A$41"),0),VALUE(RIGHT($A58,1)))="YES",$H58,IF(INDEX(INDIRECT("'"&amp;LEFT($A58,LEN($A58)-1)&amp;"'!$H$13:$J$41"),MATCH(AB$1,INDIRECT("'"&amp;LEFT($A58,LEN($A58)-1)&amp;"'!$A$13:$A$41"),0),VALUE(RIGHT($A58,1)))="NO",0,"?"))</f>
        <v>?</v>
      </c>
      <c r="AC58" s="83" t="str">
        <f aca="true">IF(INDEX(INDIRECT("'"&amp;LEFT($A58,LEN($A58)-1)&amp;"'!$H$13:$J$41"),MATCH(AC$1,INDIRECT("'"&amp;LEFT($A58,LEN($A58)-1)&amp;"'!$A$13:$A$41"),0),VALUE(RIGHT($A58,1)))="YES",$H58,IF(INDEX(INDIRECT("'"&amp;LEFT($A58,LEN($A58)-1)&amp;"'!$H$13:$J$41"),MATCH(AC$1,INDIRECT("'"&amp;LEFT($A58,LEN($A58)-1)&amp;"'!$A$13:$A$41"),0),VALUE(RIGHT($A58,1)))="NO",0,"?"))</f>
        <v>?</v>
      </c>
      <c r="AD58" s="83" t="str">
        <f aca="true">IF(INDEX(INDIRECT("'"&amp;LEFT($A58,LEN($A58)-1)&amp;"'!$H$13:$J$41"),MATCH(AD$1,INDIRECT("'"&amp;LEFT($A58,LEN($A58)-1)&amp;"'!$A$13:$A$41"),0),VALUE(RIGHT($A58,1)))="YES",$H58,IF(INDEX(INDIRECT("'"&amp;LEFT($A58,LEN($A58)-1)&amp;"'!$H$13:$J$41"),MATCH(AD$1,INDIRECT("'"&amp;LEFT($A58,LEN($A58)-1)&amp;"'!$A$13:$A$41"),0),VALUE(RIGHT($A58,1)))="NO",0,"?"))</f>
        <v>?</v>
      </c>
      <c r="AE58" s="83" t="str">
        <f aca="true">IF(INDEX(INDIRECT("'"&amp;LEFT($A58,LEN($A58)-1)&amp;"'!$H$13:$J$41"),MATCH(AE$1,INDIRECT("'"&amp;LEFT($A58,LEN($A58)-1)&amp;"'!$A$13:$A$41"),0),VALUE(RIGHT($A58,1)))="YES",$H58,IF(INDEX(INDIRECT("'"&amp;LEFT($A58,LEN($A58)-1)&amp;"'!$H$13:$J$41"),MATCH(AE$1,INDIRECT("'"&amp;LEFT($A58,LEN($A58)-1)&amp;"'!$A$13:$A$41"),0),VALUE(RIGHT($A58,1)))="NO",0,"?"))</f>
        <v>?</v>
      </c>
      <c r="AF58" s="83" t="str">
        <f aca="true">IF(INDEX(INDIRECT("'"&amp;LEFT($A58,LEN($A58)-1)&amp;"'!$H$13:$J$41"),MATCH(AF$1,INDIRECT("'"&amp;LEFT($A58,LEN($A58)-1)&amp;"'!$A$13:$A$41"),0),VALUE(RIGHT($A58,1)))="YES",$H58,IF(INDEX(INDIRECT("'"&amp;LEFT($A58,LEN($A58)-1)&amp;"'!$H$13:$J$41"),MATCH(AF$1,INDIRECT("'"&amp;LEFT($A58,LEN($A58)-1)&amp;"'!$A$13:$A$41"),0),VALUE(RIGHT($A58,1)))="NO",0,"?"))</f>
        <v>?</v>
      </c>
      <c r="AG58" s="83" t="str">
        <f aca="true">IF(INDEX(INDIRECT("'"&amp;LEFT($A58,LEN($A58)-1)&amp;"'!$H$13:$J$41"),MATCH(AG$1,INDIRECT("'"&amp;LEFT($A58,LEN($A58)-1)&amp;"'!$A$13:$A$41"),0),VALUE(RIGHT($A58,1)))="YES",$H58,IF(INDEX(INDIRECT("'"&amp;LEFT($A58,LEN($A58)-1)&amp;"'!$H$13:$J$41"),MATCH(AG$1,INDIRECT("'"&amp;LEFT($A58,LEN($A58)-1)&amp;"'!$A$13:$A$41"),0),VALUE(RIGHT($A58,1)))="NO",0,"?"))</f>
        <v>?</v>
      </c>
      <c r="AH58" s="83" t="str">
        <f aca="true">IF(INDEX(INDIRECT("'"&amp;LEFT($A58,LEN($A58)-1)&amp;"'!$H$13:$J$41"),MATCH(AH$1,INDIRECT("'"&amp;LEFT($A58,LEN($A58)-1)&amp;"'!$A$13:$A$41"),0),VALUE(RIGHT($A58,1)))="YES",$H58,IF(INDEX(INDIRECT("'"&amp;LEFT($A58,LEN($A58)-1)&amp;"'!$H$13:$J$41"),MATCH(AH$1,INDIRECT("'"&amp;LEFT($A58,LEN($A58)-1)&amp;"'!$A$13:$A$41"),0),VALUE(RIGHT($A58,1)))="NO",0,"?"))</f>
        <v>?</v>
      </c>
      <c r="AI58" s="83" t="str">
        <f aca="true">IF(INDEX(INDIRECT("'"&amp;LEFT($A58,LEN($A58)-1)&amp;"'!$H$13:$J$41"),MATCH(AI$1,INDIRECT("'"&amp;LEFT($A58,LEN($A58)-1)&amp;"'!$A$13:$A$41"),0),VALUE(RIGHT($A58,1)))="YES",$H58,IF(INDEX(INDIRECT("'"&amp;LEFT($A58,LEN($A58)-1)&amp;"'!$H$13:$J$41"),MATCH(AI$1,INDIRECT("'"&amp;LEFT($A58,LEN($A58)-1)&amp;"'!$A$13:$A$41"),0),VALUE(RIGHT($A58,1)))="NO",0,"?"))</f>
        <v>?</v>
      </c>
      <c r="AJ58" s="83" t="str">
        <f aca="true">IF(INDEX(INDIRECT("'"&amp;LEFT($A58,LEN($A58)-1)&amp;"'!$H$13:$J$41"),MATCH(AJ$1,INDIRECT("'"&amp;LEFT($A58,LEN($A58)-1)&amp;"'!$A$13:$A$41"),0),VALUE(RIGHT($A58,1)))="YES",$H58,IF(INDEX(INDIRECT("'"&amp;LEFT($A58,LEN($A58)-1)&amp;"'!$H$13:$J$41"),MATCH(AJ$1,INDIRECT("'"&amp;LEFT($A58,LEN($A58)-1)&amp;"'!$A$13:$A$41"),0),VALUE(RIGHT($A58,1)))="NO",0,"?"))</f>
        <v>?</v>
      </c>
      <c r="AK58" s="83" t="str">
        <f aca="true">IF(INDEX(INDIRECT("'"&amp;LEFT($A58,LEN($A58)-1)&amp;"'!$H$13:$J$41"),MATCH(AK$1,INDIRECT("'"&amp;LEFT($A58,LEN($A58)-1)&amp;"'!$A$13:$A$41"),0),VALUE(RIGHT($A58,1)))="YES",$H58,IF(INDEX(INDIRECT("'"&amp;LEFT($A58,LEN($A58)-1)&amp;"'!$H$13:$J$41"),MATCH(AK$1,INDIRECT("'"&amp;LEFT($A58,LEN($A58)-1)&amp;"'!$A$13:$A$41"),0),VALUE(RIGHT($A58,1)))="NO",0,"?"))</f>
        <v>?</v>
      </c>
    </row>
    <row r="59" customFormat="false" ht="14.25" hidden="false" customHeight="false" outlineLevel="0" collapsed="false">
      <c r="A59" s="79" t="s">
        <v>637</v>
      </c>
      <c r="B59" s="80" t="str">
        <f aca="false">IF(ISBLANK($A59),"NO_CODE",VLOOKUP($A59,'UPD Questions_290926 '!$E$1:$N$300,MATCH(B$1,'UPD Questions_290926 '!$E$1:$N$1,0),0)&amp;"")</f>
        <v>Implementation</v>
      </c>
      <c r="C59" s="80" t="str">
        <f aca="false">IF(ISBLANK($A59),"NO_CODE",VLOOKUP($A59,'UPD Questions_290926 '!$E$1:$N$300,MATCH(C$1,'UPD Questions_290926 '!$E$1:$N$1,0),0)&amp;"")</f>
        <v>Sectoral planning</v>
      </c>
      <c r="D59" s="80" t="str">
        <f aca="false">IF(ISBLANK($A59),"NO_CODE",VLOOKUP($A59,'UPD Questions_290926 '!$E$1:$N$300,MATCH(D$1,'UPD Questions_290926 '!$E$1:$N$1,0),0)&amp;"")</f>
        <v>Water supply and sewerage, sanitation, solid waste management </v>
      </c>
      <c r="E59" s="80" t="str">
        <f aca="false">IF(ISBLANK($A59),"NO_CODE",VLOOKUP($A59,'UPD Questions_290926 '!$E$1:$N$300,MATCH(E$1,'UPD Questions_290926 '!$E$1:$N$1,0),0)&amp;"")</f>
        <v>SQ3</v>
      </c>
      <c r="F59" s="80" t="str">
        <f aca="false">IF(ISBLANK($A59),"NO_CODE",VLOOKUP($A59,'UPD Questions_290926 '!$E$1:$N$300,MATCH(F$1,'UPD Questions_290926 '!$E$1:$N$1,0),0)&amp;"")</f>
        <v>c)  City Sanitation Plan</v>
      </c>
      <c r="G59" s="80" t="str">
        <f aca="false">IF(ISBLANK($A59),"NO_CODE",VLOOKUP($A59,'UPD Questions_290926 '!$E$1:$N$300,MATCH(G$1,'UPD Questions_290926 '!$E$1:$N$1,0),0)&amp;"")</f>
        <v>Implementation</v>
      </c>
      <c r="H59" s="82" t="n">
        <f aca="false">IF(ISBLANK($A59),"NO_CODE",VLOOKUP($A59,'UPD Questions_290926 '!$E$1:$N$300,MATCH(H$1,'UPD Questions_290926 '!$E$1:$N$1,0),0))</f>
        <v>1.11</v>
      </c>
      <c r="I59" s="83" t="str">
        <f aca="true">IF(INDEX(INDIRECT("'"&amp;LEFT($A59,LEN($A59)-1)&amp;"'!$H$13:$J$41"),MATCH(I$1,INDIRECT("'"&amp;LEFT($A59,LEN($A59)-1)&amp;"'!$A$13:$A$41"),0),VALUE(RIGHT($A59,1)))="YES",$H59,IF(INDEX(INDIRECT("'"&amp;LEFT($A59,LEN($A59)-1)&amp;"'!$H$13:$J$41"),MATCH(I$1,INDIRECT("'"&amp;LEFT($A59,LEN($A59)-1)&amp;"'!$A$13:$A$41"),0),VALUE(RIGHT($A59,1)))="NO",0,"?"))</f>
        <v>?</v>
      </c>
      <c r="J59" s="83" t="n">
        <f aca="true">IF(INDEX(INDIRECT("'"&amp;LEFT($A59,LEN($A59)-1)&amp;"'!$H$13:$J$41"),MATCH(J$1,INDIRECT("'"&amp;LEFT($A59,LEN($A59)-1)&amp;"'!$A$13:$A$41"),0),VALUE(RIGHT($A59,1)))="YES",$H59,IF(INDEX(INDIRECT("'"&amp;LEFT($A59,LEN($A59)-1)&amp;"'!$H$13:$J$41"),MATCH(J$1,INDIRECT("'"&amp;LEFT($A59,LEN($A59)-1)&amp;"'!$A$13:$A$41"),0),VALUE(RIGHT($A59,1)))="NO",0,"?"))</f>
        <v>0</v>
      </c>
      <c r="K59" s="83" t="str">
        <f aca="true">IF(INDEX(INDIRECT("'"&amp;LEFT($A59,LEN($A59)-1)&amp;"'!$H$13:$J$41"),MATCH(K$1,INDIRECT("'"&amp;LEFT($A59,LEN($A59)-1)&amp;"'!$A$13:$A$41"),0),VALUE(RIGHT($A59,1)))="YES",$H59,IF(INDEX(INDIRECT("'"&amp;LEFT($A59,LEN($A59)-1)&amp;"'!$H$13:$J$41"),MATCH(K$1,INDIRECT("'"&amp;LEFT($A59,LEN($A59)-1)&amp;"'!$A$13:$A$41"),0),VALUE(RIGHT($A59,1)))="NO",0,"?"))</f>
        <v>?</v>
      </c>
      <c r="L59" s="83" t="str">
        <f aca="true">IF(INDEX(INDIRECT("'"&amp;LEFT($A59,LEN($A59)-1)&amp;"'!$H$13:$J$41"),MATCH(L$1,INDIRECT("'"&amp;LEFT($A59,LEN($A59)-1)&amp;"'!$A$13:$A$41"),0),VALUE(RIGHT($A59,1)))="YES",$H59,IF(INDEX(INDIRECT("'"&amp;LEFT($A59,LEN($A59)-1)&amp;"'!$H$13:$J$41"),MATCH(L$1,INDIRECT("'"&amp;LEFT($A59,LEN($A59)-1)&amp;"'!$A$13:$A$41"),0),VALUE(RIGHT($A59,1)))="NO",0,"?"))</f>
        <v>?</v>
      </c>
      <c r="M59" s="83" t="str">
        <f aca="true">IF(INDEX(INDIRECT("'"&amp;LEFT($A59,LEN($A59)-1)&amp;"'!$H$13:$J$41"),MATCH(M$1,INDIRECT("'"&amp;LEFT($A59,LEN($A59)-1)&amp;"'!$A$13:$A$41"),0),VALUE(RIGHT($A59,1)))="YES",$H59,IF(INDEX(INDIRECT("'"&amp;LEFT($A59,LEN($A59)-1)&amp;"'!$H$13:$J$41"),MATCH(M$1,INDIRECT("'"&amp;LEFT($A59,LEN($A59)-1)&amp;"'!$A$13:$A$41"),0),VALUE(RIGHT($A59,1)))="NO",0,"?"))</f>
        <v>?</v>
      </c>
      <c r="N59" s="83" t="str">
        <f aca="true">IF(INDEX(INDIRECT("'"&amp;LEFT($A59,LEN($A59)-1)&amp;"'!$H$13:$J$41"),MATCH(N$1,INDIRECT("'"&amp;LEFT($A59,LEN($A59)-1)&amp;"'!$A$13:$A$41"),0),VALUE(RIGHT($A59,1)))="YES",$H59,IF(INDEX(INDIRECT("'"&amp;LEFT($A59,LEN($A59)-1)&amp;"'!$H$13:$J$41"),MATCH(N$1,INDIRECT("'"&amp;LEFT($A59,LEN($A59)-1)&amp;"'!$A$13:$A$41"),0),VALUE(RIGHT($A59,1)))="NO",0,"?"))</f>
        <v>?</v>
      </c>
      <c r="O59" s="83" t="str">
        <f aca="true">IF(INDEX(INDIRECT("'"&amp;LEFT($A59,LEN($A59)-1)&amp;"'!$H$13:$J$41"),MATCH(O$1,INDIRECT("'"&amp;LEFT($A59,LEN($A59)-1)&amp;"'!$A$13:$A$41"),0),VALUE(RIGHT($A59,1)))="YES",$H59,IF(INDEX(INDIRECT("'"&amp;LEFT($A59,LEN($A59)-1)&amp;"'!$H$13:$J$41"),MATCH(O$1,INDIRECT("'"&amp;LEFT($A59,LEN($A59)-1)&amp;"'!$A$13:$A$41"),0),VALUE(RIGHT($A59,1)))="NO",0,"?"))</f>
        <v>?</v>
      </c>
      <c r="P59" s="83" t="str">
        <f aca="true">IF(INDEX(INDIRECT("'"&amp;LEFT($A59,LEN($A59)-1)&amp;"'!$H$13:$J$41"),MATCH(P$1,INDIRECT("'"&amp;LEFT($A59,LEN($A59)-1)&amp;"'!$A$13:$A$41"),0),VALUE(RIGHT($A59,1)))="YES",$H59,IF(INDEX(INDIRECT("'"&amp;LEFT($A59,LEN($A59)-1)&amp;"'!$H$13:$J$41"),MATCH(P$1,INDIRECT("'"&amp;LEFT($A59,LEN($A59)-1)&amp;"'!$A$13:$A$41"),0),VALUE(RIGHT($A59,1)))="NO",0,"?"))</f>
        <v>?</v>
      </c>
      <c r="Q59" s="83" t="str">
        <f aca="true">IF(INDEX(INDIRECT("'"&amp;LEFT($A59,LEN($A59)-1)&amp;"'!$H$13:$J$41"),MATCH(Q$1,INDIRECT("'"&amp;LEFT($A59,LEN($A59)-1)&amp;"'!$A$13:$A$41"),0),VALUE(RIGHT($A59,1)))="YES",$H59,IF(INDEX(INDIRECT("'"&amp;LEFT($A59,LEN($A59)-1)&amp;"'!$H$13:$J$41"),MATCH(Q$1,INDIRECT("'"&amp;LEFT($A59,LEN($A59)-1)&amp;"'!$A$13:$A$41"),0),VALUE(RIGHT($A59,1)))="NO",0,"?"))</f>
        <v>?</v>
      </c>
      <c r="R59" s="83" t="str">
        <f aca="true">IF(INDEX(INDIRECT("'"&amp;LEFT($A59,LEN($A59)-1)&amp;"'!$H$13:$J$41"),MATCH(R$1,INDIRECT("'"&amp;LEFT($A59,LEN($A59)-1)&amp;"'!$A$13:$A$41"),0),VALUE(RIGHT($A59,1)))="YES",$H59,IF(INDEX(INDIRECT("'"&amp;LEFT($A59,LEN($A59)-1)&amp;"'!$H$13:$J$41"),MATCH(R$1,INDIRECT("'"&amp;LEFT($A59,LEN($A59)-1)&amp;"'!$A$13:$A$41"),0),VALUE(RIGHT($A59,1)))="NO",0,"?"))</f>
        <v>?</v>
      </c>
      <c r="S59" s="83" t="str">
        <f aca="true">IF(INDEX(INDIRECT("'"&amp;LEFT($A59,LEN($A59)-1)&amp;"'!$H$13:$J$41"),MATCH(S$1,INDIRECT("'"&amp;LEFT($A59,LEN($A59)-1)&amp;"'!$A$13:$A$41"),0),VALUE(RIGHT($A59,1)))="YES",$H59,IF(INDEX(INDIRECT("'"&amp;LEFT($A59,LEN($A59)-1)&amp;"'!$H$13:$J$41"),MATCH(S$1,INDIRECT("'"&amp;LEFT($A59,LEN($A59)-1)&amp;"'!$A$13:$A$41"),0),VALUE(RIGHT($A59,1)))="NO",0,"?"))</f>
        <v>?</v>
      </c>
      <c r="T59" s="83" t="str">
        <f aca="true">IF(INDEX(INDIRECT("'"&amp;LEFT($A59,LEN($A59)-1)&amp;"'!$H$13:$J$41"),MATCH(T$1,INDIRECT("'"&amp;LEFT($A59,LEN($A59)-1)&amp;"'!$A$13:$A$41"),0),VALUE(RIGHT($A59,1)))="YES",$H59,IF(INDEX(INDIRECT("'"&amp;LEFT($A59,LEN($A59)-1)&amp;"'!$H$13:$J$41"),MATCH(T$1,INDIRECT("'"&amp;LEFT($A59,LEN($A59)-1)&amp;"'!$A$13:$A$41"),0),VALUE(RIGHT($A59,1)))="NO",0,"?"))</f>
        <v>?</v>
      </c>
      <c r="U59" s="83" t="str">
        <f aca="true">IF(INDEX(INDIRECT("'"&amp;LEFT($A59,LEN($A59)-1)&amp;"'!$H$13:$J$41"),MATCH(U$1,INDIRECT("'"&amp;LEFT($A59,LEN($A59)-1)&amp;"'!$A$13:$A$41"),0),VALUE(RIGHT($A59,1)))="YES",$H59,IF(INDEX(INDIRECT("'"&amp;LEFT($A59,LEN($A59)-1)&amp;"'!$H$13:$J$41"),MATCH(U$1,INDIRECT("'"&amp;LEFT($A59,LEN($A59)-1)&amp;"'!$A$13:$A$41"),0),VALUE(RIGHT($A59,1)))="NO",0,"?"))</f>
        <v>?</v>
      </c>
      <c r="V59" s="83" t="str">
        <f aca="true">IF(INDEX(INDIRECT("'"&amp;LEFT($A59,LEN($A59)-1)&amp;"'!$H$13:$J$41"),MATCH(V$1,INDIRECT("'"&amp;LEFT($A59,LEN($A59)-1)&amp;"'!$A$13:$A$41"),0),VALUE(RIGHT($A59,1)))="YES",$H59,IF(INDEX(INDIRECT("'"&amp;LEFT($A59,LEN($A59)-1)&amp;"'!$H$13:$J$41"),MATCH(V$1,INDIRECT("'"&amp;LEFT($A59,LEN($A59)-1)&amp;"'!$A$13:$A$41"),0),VALUE(RIGHT($A59,1)))="NO",0,"?"))</f>
        <v>?</v>
      </c>
      <c r="W59" s="83" t="str">
        <f aca="true">IF(INDEX(INDIRECT("'"&amp;LEFT($A59,LEN($A59)-1)&amp;"'!$H$13:$J$41"),MATCH(W$1,INDIRECT("'"&amp;LEFT($A59,LEN($A59)-1)&amp;"'!$A$13:$A$41"),0),VALUE(RIGHT($A59,1)))="YES",$H59,IF(INDEX(INDIRECT("'"&amp;LEFT($A59,LEN($A59)-1)&amp;"'!$H$13:$J$41"),MATCH(W$1,INDIRECT("'"&amp;LEFT($A59,LEN($A59)-1)&amp;"'!$A$13:$A$41"),0),VALUE(RIGHT($A59,1)))="NO",0,"?"))</f>
        <v>?</v>
      </c>
      <c r="X59" s="83" t="str">
        <f aca="true">IF(INDEX(INDIRECT("'"&amp;LEFT($A59,LEN($A59)-1)&amp;"'!$H$13:$J$41"),MATCH(X$1,INDIRECT("'"&amp;LEFT($A59,LEN($A59)-1)&amp;"'!$A$13:$A$41"),0),VALUE(RIGHT($A59,1)))="YES",$H59,IF(INDEX(INDIRECT("'"&amp;LEFT($A59,LEN($A59)-1)&amp;"'!$H$13:$J$41"),MATCH(X$1,INDIRECT("'"&amp;LEFT($A59,LEN($A59)-1)&amp;"'!$A$13:$A$41"),0),VALUE(RIGHT($A59,1)))="NO",0,"?"))</f>
        <v>?</v>
      </c>
      <c r="Y59" s="83" t="str">
        <f aca="true">IF(INDEX(INDIRECT("'"&amp;LEFT($A59,LEN($A59)-1)&amp;"'!$H$13:$J$41"),MATCH(Y$1,INDIRECT("'"&amp;LEFT($A59,LEN($A59)-1)&amp;"'!$A$13:$A$41"),0),VALUE(RIGHT($A59,1)))="YES",$H59,IF(INDEX(INDIRECT("'"&amp;LEFT($A59,LEN($A59)-1)&amp;"'!$H$13:$J$41"),MATCH(Y$1,INDIRECT("'"&amp;LEFT($A59,LEN($A59)-1)&amp;"'!$A$13:$A$41"),0),VALUE(RIGHT($A59,1)))="NO",0,"?"))</f>
        <v>?</v>
      </c>
      <c r="Z59" s="83" t="str">
        <f aca="true">IF(INDEX(INDIRECT("'"&amp;LEFT($A59,LEN($A59)-1)&amp;"'!$H$13:$J$41"),MATCH(Z$1,INDIRECT("'"&amp;LEFT($A59,LEN($A59)-1)&amp;"'!$A$13:$A$41"),0),VALUE(RIGHT($A59,1)))="YES",$H59,IF(INDEX(INDIRECT("'"&amp;LEFT($A59,LEN($A59)-1)&amp;"'!$H$13:$J$41"),MATCH(Z$1,INDIRECT("'"&amp;LEFT($A59,LEN($A59)-1)&amp;"'!$A$13:$A$41"),0),VALUE(RIGHT($A59,1)))="NO",0,"?"))</f>
        <v>?</v>
      </c>
      <c r="AA59" s="83" t="str">
        <f aca="true">IF(INDEX(INDIRECT("'"&amp;LEFT($A59,LEN($A59)-1)&amp;"'!$H$13:$J$41"),MATCH(AA$1,INDIRECT("'"&amp;LEFT($A59,LEN($A59)-1)&amp;"'!$A$13:$A$41"),0),VALUE(RIGHT($A59,1)))="YES",$H59,IF(INDEX(INDIRECT("'"&amp;LEFT($A59,LEN($A59)-1)&amp;"'!$H$13:$J$41"),MATCH(AA$1,INDIRECT("'"&amp;LEFT($A59,LEN($A59)-1)&amp;"'!$A$13:$A$41"),0),VALUE(RIGHT($A59,1)))="NO",0,"?"))</f>
        <v>?</v>
      </c>
      <c r="AB59" s="83" t="str">
        <f aca="true">IF(INDEX(INDIRECT("'"&amp;LEFT($A59,LEN($A59)-1)&amp;"'!$H$13:$J$41"),MATCH(AB$1,INDIRECT("'"&amp;LEFT($A59,LEN($A59)-1)&amp;"'!$A$13:$A$41"),0),VALUE(RIGHT($A59,1)))="YES",$H59,IF(INDEX(INDIRECT("'"&amp;LEFT($A59,LEN($A59)-1)&amp;"'!$H$13:$J$41"),MATCH(AB$1,INDIRECT("'"&amp;LEFT($A59,LEN($A59)-1)&amp;"'!$A$13:$A$41"),0),VALUE(RIGHT($A59,1)))="NO",0,"?"))</f>
        <v>?</v>
      </c>
      <c r="AC59" s="83" t="str">
        <f aca="true">IF(INDEX(INDIRECT("'"&amp;LEFT($A59,LEN($A59)-1)&amp;"'!$H$13:$J$41"),MATCH(AC$1,INDIRECT("'"&amp;LEFT($A59,LEN($A59)-1)&amp;"'!$A$13:$A$41"),0),VALUE(RIGHT($A59,1)))="YES",$H59,IF(INDEX(INDIRECT("'"&amp;LEFT($A59,LEN($A59)-1)&amp;"'!$H$13:$J$41"),MATCH(AC$1,INDIRECT("'"&amp;LEFT($A59,LEN($A59)-1)&amp;"'!$A$13:$A$41"),0),VALUE(RIGHT($A59,1)))="NO",0,"?"))</f>
        <v>?</v>
      </c>
      <c r="AD59" s="83" t="str">
        <f aca="true">IF(INDEX(INDIRECT("'"&amp;LEFT($A59,LEN($A59)-1)&amp;"'!$H$13:$J$41"),MATCH(AD$1,INDIRECT("'"&amp;LEFT($A59,LEN($A59)-1)&amp;"'!$A$13:$A$41"),0),VALUE(RIGHT($A59,1)))="YES",$H59,IF(INDEX(INDIRECT("'"&amp;LEFT($A59,LEN($A59)-1)&amp;"'!$H$13:$J$41"),MATCH(AD$1,INDIRECT("'"&amp;LEFT($A59,LEN($A59)-1)&amp;"'!$A$13:$A$41"),0),VALUE(RIGHT($A59,1)))="NO",0,"?"))</f>
        <v>?</v>
      </c>
      <c r="AE59" s="83" t="str">
        <f aca="true">IF(INDEX(INDIRECT("'"&amp;LEFT($A59,LEN($A59)-1)&amp;"'!$H$13:$J$41"),MATCH(AE$1,INDIRECT("'"&amp;LEFT($A59,LEN($A59)-1)&amp;"'!$A$13:$A$41"),0),VALUE(RIGHT($A59,1)))="YES",$H59,IF(INDEX(INDIRECT("'"&amp;LEFT($A59,LEN($A59)-1)&amp;"'!$H$13:$J$41"),MATCH(AE$1,INDIRECT("'"&amp;LEFT($A59,LEN($A59)-1)&amp;"'!$A$13:$A$41"),0),VALUE(RIGHT($A59,1)))="NO",0,"?"))</f>
        <v>?</v>
      </c>
      <c r="AF59" s="83" t="str">
        <f aca="true">IF(INDEX(INDIRECT("'"&amp;LEFT($A59,LEN($A59)-1)&amp;"'!$H$13:$J$41"),MATCH(AF$1,INDIRECT("'"&amp;LEFT($A59,LEN($A59)-1)&amp;"'!$A$13:$A$41"),0),VALUE(RIGHT($A59,1)))="YES",$H59,IF(INDEX(INDIRECT("'"&amp;LEFT($A59,LEN($A59)-1)&amp;"'!$H$13:$J$41"),MATCH(AF$1,INDIRECT("'"&amp;LEFT($A59,LEN($A59)-1)&amp;"'!$A$13:$A$41"),0),VALUE(RIGHT($A59,1)))="NO",0,"?"))</f>
        <v>?</v>
      </c>
      <c r="AG59" s="83" t="str">
        <f aca="true">IF(INDEX(INDIRECT("'"&amp;LEFT($A59,LEN($A59)-1)&amp;"'!$H$13:$J$41"),MATCH(AG$1,INDIRECT("'"&amp;LEFT($A59,LEN($A59)-1)&amp;"'!$A$13:$A$41"),0),VALUE(RIGHT($A59,1)))="YES",$H59,IF(INDEX(INDIRECT("'"&amp;LEFT($A59,LEN($A59)-1)&amp;"'!$H$13:$J$41"),MATCH(AG$1,INDIRECT("'"&amp;LEFT($A59,LEN($A59)-1)&amp;"'!$A$13:$A$41"),0),VALUE(RIGHT($A59,1)))="NO",0,"?"))</f>
        <v>?</v>
      </c>
      <c r="AH59" s="83" t="str">
        <f aca="true">IF(INDEX(INDIRECT("'"&amp;LEFT($A59,LEN($A59)-1)&amp;"'!$H$13:$J$41"),MATCH(AH$1,INDIRECT("'"&amp;LEFT($A59,LEN($A59)-1)&amp;"'!$A$13:$A$41"),0),VALUE(RIGHT($A59,1)))="YES",$H59,IF(INDEX(INDIRECT("'"&amp;LEFT($A59,LEN($A59)-1)&amp;"'!$H$13:$J$41"),MATCH(AH$1,INDIRECT("'"&amp;LEFT($A59,LEN($A59)-1)&amp;"'!$A$13:$A$41"),0),VALUE(RIGHT($A59,1)))="NO",0,"?"))</f>
        <v>?</v>
      </c>
      <c r="AI59" s="83" t="str">
        <f aca="true">IF(INDEX(INDIRECT("'"&amp;LEFT($A59,LEN($A59)-1)&amp;"'!$H$13:$J$41"),MATCH(AI$1,INDIRECT("'"&amp;LEFT($A59,LEN($A59)-1)&amp;"'!$A$13:$A$41"),0),VALUE(RIGHT($A59,1)))="YES",$H59,IF(INDEX(INDIRECT("'"&amp;LEFT($A59,LEN($A59)-1)&amp;"'!$H$13:$J$41"),MATCH(AI$1,INDIRECT("'"&amp;LEFT($A59,LEN($A59)-1)&amp;"'!$A$13:$A$41"),0),VALUE(RIGHT($A59,1)))="NO",0,"?"))</f>
        <v>?</v>
      </c>
      <c r="AJ59" s="83" t="str">
        <f aca="true">IF(INDEX(INDIRECT("'"&amp;LEFT($A59,LEN($A59)-1)&amp;"'!$H$13:$J$41"),MATCH(AJ$1,INDIRECT("'"&amp;LEFT($A59,LEN($A59)-1)&amp;"'!$A$13:$A$41"),0),VALUE(RIGHT($A59,1)))="YES",$H59,IF(INDEX(INDIRECT("'"&amp;LEFT($A59,LEN($A59)-1)&amp;"'!$H$13:$J$41"),MATCH(AJ$1,INDIRECT("'"&amp;LEFT($A59,LEN($A59)-1)&amp;"'!$A$13:$A$41"),0),VALUE(RIGHT($A59,1)))="NO",0,"?"))</f>
        <v>?</v>
      </c>
      <c r="AK59" s="83" t="str">
        <f aca="true">IF(INDEX(INDIRECT("'"&amp;LEFT($A59,LEN($A59)-1)&amp;"'!$H$13:$J$41"),MATCH(AK$1,INDIRECT("'"&amp;LEFT($A59,LEN($A59)-1)&amp;"'!$A$13:$A$41"),0),VALUE(RIGHT($A59,1)))="YES",$H59,IF(INDEX(INDIRECT("'"&amp;LEFT($A59,LEN($A59)-1)&amp;"'!$H$13:$J$41"),MATCH(AK$1,INDIRECT("'"&amp;LEFT($A59,LEN($A59)-1)&amp;"'!$A$13:$A$41"),0),VALUE(RIGHT($A59,1)))="NO",0,"?"))</f>
        <v>?</v>
      </c>
    </row>
    <row r="60" customFormat="false" ht="14.25" hidden="false" customHeight="false" outlineLevel="0" collapsed="false">
      <c r="A60" s="79" t="s">
        <v>225</v>
      </c>
      <c r="B60" s="80" t="str">
        <f aca="false">IF(ISBLANK($A60),"NO_CODE",VLOOKUP($A60,'UPD Questions_290926 '!$E$1:$N$300,MATCH(B$1,'UPD Questions_290926 '!$E$1:$N$1,0),0)&amp;"")</f>
        <v>Implementation</v>
      </c>
      <c r="C60" s="80" t="str">
        <f aca="false">IF(ISBLANK($A60),"NO_CODE",VLOOKUP($A60,'UPD Questions_290926 '!$E$1:$N$300,MATCH(C$1,'UPD Questions_290926 '!$E$1:$N$1,0),0)&amp;"")</f>
        <v>Sectoral planning</v>
      </c>
      <c r="D60" s="80" t="str">
        <f aca="false">IF(ISBLANK($A60),"NO_CODE",VLOOKUP($A60,'UPD Questions_290926 '!$E$1:$N$300,MATCH(D$1,'UPD Questions_290926 '!$E$1:$N$1,0),0)&amp;"")</f>
        <v>Water supply and sewerage, sanitation, solid waste management </v>
      </c>
      <c r="E60" s="80" t="str">
        <f aca="false">IF(ISBLANK($A60),"NO_CODE",VLOOKUP($A60,'UPD Questions_290926 '!$E$1:$N$300,MATCH(E$1,'UPD Questions_290926 '!$E$1:$N$1,0),0)&amp;"")</f>
        <v>SQ</v>
      </c>
      <c r="F60" s="80" t="str">
        <f aca="false">IF(ISBLANK($A60),"NO_CODE",VLOOKUP($A60,'UPD Questions_290926 '!$E$1:$N$300,MATCH(F$1,'UPD Questions_290926 '!$E$1:$N$1,0),0)&amp;"")</f>
        <v>Does the plan clearly articulate the role of the ULG?</v>
      </c>
      <c r="G60" s="80" t="str">
        <f aca="false">IF(ISBLANK($A60),"NO_CODE",VLOOKUP($A60,'UPD Questions_290926 '!$E$1:$N$300,MATCH(G$1,'UPD Questions_290926 '!$E$1:$N$1,0),0)&amp;"")</f>
        <v>Implementation</v>
      </c>
      <c r="H60" s="82" t="n">
        <f aca="false">IF(ISBLANK($A60),"NO_CODE",VLOOKUP($A60,'UPD Questions_290926 '!$E$1:$N$300,MATCH(H$1,'UPD Questions_290926 '!$E$1:$N$1,0),0))</f>
        <v>3.33</v>
      </c>
      <c r="I60" s="83" t="str">
        <f aca="true">IF($H60=0,"NA",IF($A60=INDIRECT("'"&amp;$A60&amp;"'!$B$1"),IF(VLOOKUP(I$1,INDIRECT("'"&amp;$A60&amp;"'!$A$12:$Z$41"),MATCH("Points (Auto-generate)",INDIRECT("'"&amp;$A60&amp;"'!$A$12:$Z$12"),0),0)="","?",VLOOKUP(I$1,INDIRECT("'"&amp;$A60&amp;"'!$A$12:$Z$41"),MATCH("Points (Auto-generate)",INDIRECT("'"&amp;$A60&amp;"'!$A$12:$Z$12"),0),0)),"ER"))</f>
        <v>?</v>
      </c>
      <c r="J60" s="83" t="n">
        <f aca="true">IF($H60=0,"NA",IF($A60=INDIRECT("'"&amp;$A60&amp;"'!$B$1"),IF(VLOOKUP(J$1,INDIRECT("'"&amp;$A60&amp;"'!$A$12:$Z$41"),MATCH("Points (Auto-generate)",INDIRECT("'"&amp;$A60&amp;"'!$A$12:$Z$12"),0),0)="","?",VLOOKUP(J$1,INDIRECT("'"&amp;$A60&amp;"'!$A$12:$Z$41"),MATCH("Points (Auto-generate)",INDIRECT("'"&amp;$A60&amp;"'!$A$12:$Z$12"),0),0)),"ER"))</f>
        <v>0</v>
      </c>
      <c r="K60" s="83" t="str">
        <f aca="true">IF($H60=0,"NA",IF($A60=INDIRECT("'"&amp;$A60&amp;"'!$B$1"),IF(VLOOKUP(K$1,INDIRECT("'"&amp;$A60&amp;"'!$A$12:$Z$41"),MATCH("Points (Auto-generate)",INDIRECT("'"&amp;$A60&amp;"'!$A$12:$Z$12"),0),0)="","?",VLOOKUP(K$1,INDIRECT("'"&amp;$A60&amp;"'!$A$12:$Z$41"),MATCH("Points (Auto-generate)",INDIRECT("'"&amp;$A60&amp;"'!$A$12:$Z$12"),0),0)),"ER"))</f>
        <v>?</v>
      </c>
      <c r="L60" s="83" t="str">
        <f aca="true">IF($H60=0,"NA",IF($A60=INDIRECT("'"&amp;$A60&amp;"'!$B$1"),IF(VLOOKUP(L$1,INDIRECT("'"&amp;$A60&amp;"'!$A$12:$Z$41"),MATCH("Points (Auto-generate)",INDIRECT("'"&amp;$A60&amp;"'!$A$12:$Z$12"),0),0)="","?",VLOOKUP(L$1,INDIRECT("'"&amp;$A60&amp;"'!$A$12:$Z$41"),MATCH("Points (Auto-generate)",INDIRECT("'"&amp;$A60&amp;"'!$A$12:$Z$12"),0),0)),"ER"))</f>
        <v>?</v>
      </c>
      <c r="M60" s="83" t="str">
        <f aca="true">IF($H60=0,"NA",IF($A60=INDIRECT("'"&amp;$A60&amp;"'!$B$1"),IF(VLOOKUP(M$1,INDIRECT("'"&amp;$A60&amp;"'!$A$12:$Z$41"),MATCH("Points (Auto-generate)",INDIRECT("'"&amp;$A60&amp;"'!$A$12:$Z$12"),0),0)="","?",VLOOKUP(M$1,INDIRECT("'"&amp;$A60&amp;"'!$A$12:$Z$41"),MATCH("Points (Auto-generate)",INDIRECT("'"&amp;$A60&amp;"'!$A$12:$Z$12"),0),0)),"ER"))</f>
        <v>?</v>
      </c>
      <c r="N60" s="83" t="str">
        <f aca="true">IF($H60=0,"NA",IF($A60=INDIRECT("'"&amp;$A60&amp;"'!$B$1"),IF(VLOOKUP(N$1,INDIRECT("'"&amp;$A60&amp;"'!$A$12:$Z$41"),MATCH("Points (Auto-generate)",INDIRECT("'"&amp;$A60&amp;"'!$A$12:$Z$12"),0),0)="","?",VLOOKUP(N$1,INDIRECT("'"&amp;$A60&amp;"'!$A$12:$Z$41"),MATCH("Points (Auto-generate)",INDIRECT("'"&amp;$A60&amp;"'!$A$12:$Z$12"),0),0)),"ER"))</f>
        <v>?</v>
      </c>
      <c r="O60" s="83" t="str">
        <f aca="true">IF($H60=0,"NA",IF($A60=INDIRECT("'"&amp;$A60&amp;"'!$B$1"),IF(VLOOKUP(O$1,INDIRECT("'"&amp;$A60&amp;"'!$A$12:$Z$41"),MATCH("Points (Auto-generate)",INDIRECT("'"&amp;$A60&amp;"'!$A$12:$Z$12"),0),0)="","?",VLOOKUP(O$1,INDIRECT("'"&amp;$A60&amp;"'!$A$12:$Z$41"),MATCH("Points (Auto-generate)",INDIRECT("'"&amp;$A60&amp;"'!$A$12:$Z$12"),0),0)),"ER"))</f>
        <v>?</v>
      </c>
      <c r="P60" s="83" t="str">
        <f aca="true">IF($H60=0,"NA",IF($A60=INDIRECT("'"&amp;$A60&amp;"'!$B$1"),IF(VLOOKUP(P$1,INDIRECT("'"&amp;$A60&amp;"'!$A$12:$Z$41"),MATCH("Points (Auto-generate)",INDIRECT("'"&amp;$A60&amp;"'!$A$12:$Z$12"),0),0)="","?",VLOOKUP(P$1,INDIRECT("'"&amp;$A60&amp;"'!$A$12:$Z$41"),MATCH("Points (Auto-generate)",INDIRECT("'"&amp;$A60&amp;"'!$A$12:$Z$12"),0),0)),"ER"))</f>
        <v>?</v>
      </c>
      <c r="Q60" s="83" t="str">
        <f aca="true">IF($H60=0,"NA",IF($A60=INDIRECT("'"&amp;$A60&amp;"'!$B$1"),IF(VLOOKUP(Q$1,INDIRECT("'"&amp;$A60&amp;"'!$A$12:$Z$41"),MATCH("Points (Auto-generate)",INDIRECT("'"&amp;$A60&amp;"'!$A$12:$Z$12"),0),0)="","?",VLOOKUP(Q$1,INDIRECT("'"&amp;$A60&amp;"'!$A$12:$Z$41"),MATCH("Points (Auto-generate)",INDIRECT("'"&amp;$A60&amp;"'!$A$12:$Z$12"),0),0)),"ER"))</f>
        <v>?</v>
      </c>
      <c r="R60" s="83" t="str">
        <f aca="true">IF($H60=0,"NA",IF($A60=INDIRECT("'"&amp;$A60&amp;"'!$B$1"),IF(VLOOKUP(R$1,INDIRECT("'"&amp;$A60&amp;"'!$A$12:$Z$41"),MATCH("Points (Auto-generate)",INDIRECT("'"&amp;$A60&amp;"'!$A$12:$Z$12"),0),0)="","?",VLOOKUP(R$1,INDIRECT("'"&amp;$A60&amp;"'!$A$12:$Z$41"),MATCH("Points (Auto-generate)",INDIRECT("'"&amp;$A60&amp;"'!$A$12:$Z$12"),0),0)),"ER"))</f>
        <v>?</v>
      </c>
      <c r="S60" s="83" t="str">
        <f aca="true">IF($H60=0,"NA",IF($A60=INDIRECT("'"&amp;$A60&amp;"'!$B$1"),IF(VLOOKUP(S$1,INDIRECT("'"&amp;$A60&amp;"'!$A$12:$Z$41"),MATCH("Points (Auto-generate)",INDIRECT("'"&amp;$A60&amp;"'!$A$12:$Z$12"),0),0)="","?",VLOOKUP(S$1,INDIRECT("'"&amp;$A60&amp;"'!$A$12:$Z$41"),MATCH("Points (Auto-generate)",INDIRECT("'"&amp;$A60&amp;"'!$A$12:$Z$12"),0),0)),"ER"))</f>
        <v>?</v>
      </c>
      <c r="T60" s="83" t="str">
        <f aca="true">IF($H60=0,"NA",IF($A60=INDIRECT("'"&amp;$A60&amp;"'!$B$1"),IF(VLOOKUP(T$1,INDIRECT("'"&amp;$A60&amp;"'!$A$12:$Z$41"),MATCH("Points (Auto-generate)",INDIRECT("'"&amp;$A60&amp;"'!$A$12:$Z$12"),0),0)="","?",VLOOKUP(T$1,INDIRECT("'"&amp;$A60&amp;"'!$A$12:$Z$41"),MATCH("Points (Auto-generate)",INDIRECT("'"&amp;$A60&amp;"'!$A$12:$Z$12"),0),0)),"ER"))</f>
        <v>?</v>
      </c>
      <c r="U60" s="83" t="str">
        <f aca="true">IF($H60=0,"NA",IF($A60=INDIRECT("'"&amp;$A60&amp;"'!$B$1"),IF(VLOOKUP(U$1,INDIRECT("'"&amp;$A60&amp;"'!$A$12:$Z$41"),MATCH("Points (Auto-generate)",INDIRECT("'"&amp;$A60&amp;"'!$A$12:$Z$12"),0),0)="","?",VLOOKUP(U$1,INDIRECT("'"&amp;$A60&amp;"'!$A$12:$Z$41"),MATCH("Points (Auto-generate)",INDIRECT("'"&amp;$A60&amp;"'!$A$12:$Z$12"),0),0)),"ER"))</f>
        <v>?</v>
      </c>
      <c r="V60" s="83" t="str">
        <f aca="true">IF($H60=0,"NA",IF($A60=INDIRECT("'"&amp;$A60&amp;"'!$B$1"),IF(VLOOKUP(V$1,INDIRECT("'"&amp;$A60&amp;"'!$A$12:$Z$41"),MATCH("Points (Auto-generate)",INDIRECT("'"&amp;$A60&amp;"'!$A$12:$Z$12"),0),0)="","?",VLOOKUP(V$1,INDIRECT("'"&amp;$A60&amp;"'!$A$12:$Z$41"),MATCH("Points (Auto-generate)",INDIRECT("'"&amp;$A60&amp;"'!$A$12:$Z$12"),0),0)),"ER"))</f>
        <v>?</v>
      </c>
      <c r="W60" s="83" t="str">
        <f aca="true">IF($H60=0,"NA",IF($A60=INDIRECT("'"&amp;$A60&amp;"'!$B$1"),IF(VLOOKUP(W$1,INDIRECT("'"&amp;$A60&amp;"'!$A$12:$Z$41"),MATCH("Points (Auto-generate)",INDIRECT("'"&amp;$A60&amp;"'!$A$12:$Z$12"),0),0)="","?",VLOOKUP(W$1,INDIRECT("'"&amp;$A60&amp;"'!$A$12:$Z$41"),MATCH("Points (Auto-generate)",INDIRECT("'"&amp;$A60&amp;"'!$A$12:$Z$12"),0),0)),"ER"))</f>
        <v>?</v>
      </c>
      <c r="X60" s="83" t="str">
        <f aca="true">IF($H60=0,"NA",IF($A60=INDIRECT("'"&amp;$A60&amp;"'!$B$1"),IF(VLOOKUP(X$1,INDIRECT("'"&amp;$A60&amp;"'!$A$12:$Z$41"),MATCH("Points (Auto-generate)",INDIRECT("'"&amp;$A60&amp;"'!$A$12:$Z$12"),0),0)="","?",VLOOKUP(X$1,INDIRECT("'"&amp;$A60&amp;"'!$A$12:$Z$41"),MATCH("Points (Auto-generate)",INDIRECT("'"&amp;$A60&amp;"'!$A$12:$Z$12"),0),0)),"ER"))</f>
        <v>?</v>
      </c>
      <c r="Y60" s="83" t="str">
        <f aca="true">IF($H60=0,"NA",IF($A60=INDIRECT("'"&amp;$A60&amp;"'!$B$1"),IF(VLOOKUP(Y$1,INDIRECT("'"&amp;$A60&amp;"'!$A$12:$Z$41"),MATCH("Points (Auto-generate)",INDIRECT("'"&amp;$A60&amp;"'!$A$12:$Z$12"),0),0)="","?",VLOOKUP(Y$1,INDIRECT("'"&amp;$A60&amp;"'!$A$12:$Z$41"),MATCH("Points (Auto-generate)",INDIRECT("'"&amp;$A60&amp;"'!$A$12:$Z$12"),0),0)),"ER"))</f>
        <v>?</v>
      </c>
      <c r="Z60" s="83" t="str">
        <f aca="true">IF($H60=0,"NA",IF($A60=INDIRECT("'"&amp;$A60&amp;"'!$B$1"),IF(VLOOKUP(Z$1,INDIRECT("'"&amp;$A60&amp;"'!$A$12:$Z$41"),MATCH("Points (Auto-generate)",INDIRECT("'"&amp;$A60&amp;"'!$A$12:$Z$12"),0),0)="","?",VLOOKUP(Z$1,INDIRECT("'"&amp;$A60&amp;"'!$A$12:$Z$41"),MATCH("Points (Auto-generate)",INDIRECT("'"&amp;$A60&amp;"'!$A$12:$Z$12"),0),0)),"ER"))</f>
        <v>?</v>
      </c>
      <c r="AA60" s="83" t="str">
        <f aca="true">IF($H60=0,"NA",IF($A60=INDIRECT("'"&amp;$A60&amp;"'!$B$1"),IF(VLOOKUP(AA$1,INDIRECT("'"&amp;$A60&amp;"'!$A$12:$Z$41"),MATCH("Points (Auto-generate)",INDIRECT("'"&amp;$A60&amp;"'!$A$12:$Z$12"),0),0)="","?",VLOOKUP(AA$1,INDIRECT("'"&amp;$A60&amp;"'!$A$12:$Z$41"),MATCH("Points (Auto-generate)",INDIRECT("'"&amp;$A60&amp;"'!$A$12:$Z$12"),0),0)),"ER"))</f>
        <v>?</v>
      </c>
      <c r="AB60" s="83" t="str">
        <f aca="true">IF($H60=0,"NA",IF($A60=INDIRECT("'"&amp;$A60&amp;"'!$B$1"),IF(VLOOKUP(AB$1,INDIRECT("'"&amp;$A60&amp;"'!$A$12:$Z$41"),MATCH("Points (Auto-generate)",INDIRECT("'"&amp;$A60&amp;"'!$A$12:$Z$12"),0),0)="","?",VLOOKUP(AB$1,INDIRECT("'"&amp;$A60&amp;"'!$A$12:$Z$41"),MATCH("Points (Auto-generate)",INDIRECT("'"&amp;$A60&amp;"'!$A$12:$Z$12"),0),0)),"ER"))</f>
        <v>?</v>
      </c>
      <c r="AC60" s="83" t="str">
        <f aca="true">IF($H60=0,"NA",IF($A60=INDIRECT("'"&amp;$A60&amp;"'!$B$1"),IF(VLOOKUP(AC$1,INDIRECT("'"&amp;$A60&amp;"'!$A$12:$Z$41"),MATCH("Points (Auto-generate)",INDIRECT("'"&amp;$A60&amp;"'!$A$12:$Z$12"),0),0)="","?",VLOOKUP(AC$1,INDIRECT("'"&amp;$A60&amp;"'!$A$12:$Z$41"),MATCH("Points (Auto-generate)",INDIRECT("'"&amp;$A60&amp;"'!$A$12:$Z$12"),0),0)),"ER"))</f>
        <v>?</v>
      </c>
      <c r="AD60" s="83" t="str">
        <f aca="true">IF($H60=0,"NA",IF($A60=INDIRECT("'"&amp;$A60&amp;"'!$B$1"),IF(VLOOKUP(AD$1,INDIRECT("'"&amp;$A60&amp;"'!$A$12:$Z$41"),MATCH("Points (Auto-generate)",INDIRECT("'"&amp;$A60&amp;"'!$A$12:$Z$12"),0),0)="","?",VLOOKUP(AD$1,INDIRECT("'"&amp;$A60&amp;"'!$A$12:$Z$41"),MATCH("Points (Auto-generate)",INDIRECT("'"&amp;$A60&amp;"'!$A$12:$Z$12"),0),0)),"ER"))</f>
        <v>?</v>
      </c>
      <c r="AE60" s="83" t="str">
        <f aca="true">IF($H60=0,"NA",IF($A60=INDIRECT("'"&amp;$A60&amp;"'!$B$1"),IF(VLOOKUP(AE$1,INDIRECT("'"&amp;$A60&amp;"'!$A$12:$Z$41"),MATCH("Points (Auto-generate)",INDIRECT("'"&amp;$A60&amp;"'!$A$12:$Z$12"),0),0)="","?",VLOOKUP(AE$1,INDIRECT("'"&amp;$A60&amp;"'!$A$12:$Z$41"),MATCH("Points (Auto-generate)",INDIRECT("'"&amp;$A60&amp;"'!$A$12:$Z$12"),0),0)),"ER"))</f>
        <v>?</v>
      </c>
      <c r="AF60" s="83" t="str">
        <f aca="true">IF($H60=0,"NA",IF($A60=INDIRECT("'"&amp;$A60&amp;"'!$B$1"),IF(VLOOKUP(AF$1,INDIRECT("'"&amp;$A60&amp;"'!$A$12:$Z$41"),MATCH("Points (Auto-generate)",INDIRECT("'"&amp;$A60&amp;"'!$A$12:$Z$12"),0),0)="","?",VLOOKUP(AF$1,INDIRECT("'"&amp;$A60&amp;"'!$A$12:$Z$41"),MATCH("Points (Auto-generate)",INDIRECT("'"&amp;$A60&amp;"'!$A$12:$Z$12"),0),0)),"ER"))</f>
        <v>?</v>
      </c>
      <c r="AG60" s="83" t="str">
        <f aca="true">IF($H60=0,"NA",IF($A60=INDIRECT("'"&amp;$A60&amp;"'!$B$1"),IF(VLOOKUP(AG$1,INDIRECT("'"&amp;$A60&amp;"'!$A$12:$Z$41"),MATCH("Points (Auto-generate)",INDIRECT("'"&amp;$A60&amp;"'!$A$12:$Z$12"),0),0)="","?",VLOOKUP(AG$1,INDIRECT("'"&amp;$A60&amp;"'!$A$12:$Z$41"),MATCH("Points (Auto-generate)",INDIRECT("'"&amp;$A60&amp;"'!$A$12:$Z$12"),0),0)),"ER"))</f>
        <v>?</v>
      </c>
      <c r="AH60" s="83" t="str">
        <f aca="true">IF($H60=0,"NA",IF($A60=INDIRECT("'"&amp;$A60&amp;"'!$B$1"),IF(VLOOKUP(AH$1,INDIRECT("'"&amp;$A60&amp;"'!$A$12:$Z$41"),MATCH("Points (Auto-generate)",INDIRECT("'"&amp;$A60&amp;"'!$A$12:$Z$12"),0),0)="","?",VLOOKUP(AH$1,INDIRECT("'"&amp;$A60&amp;"'!$A$12:$Z$41"),MATCH("Points (Auto-generate)",INDIRECT("'"&amp;$A60&amp;"'!$A$12:$Z$12"),0),0)),"ER"))</f>
        <v>?</v>
      </c>
      <c r="AI60" s="83" t="str">
        <f aca="true">IF($H60=0,"NA",IF($A60=INDIRECT("'"&amp;$A60&amp;"'!$B$1"),IF(VLOOKUP(AI$1,INDIRECT("'"&amp;$A60&amp;"'!$A$12:$Z$41"),MATCH("Points (Auto-generate)",INDIRECT("'"&amp;$A60&amp;"'!$A$12:$Z$12"),0),0)="","?",VLOOKUP(AI$1,INDIRECT("'"&amp;$A60&amp;"'!$A$12:$Z$41"),MATCH("Points (Auto-generate)",INDIRECT("'"&amp;$A60&amp;"'!$A$12:$Z$12"),0),0)),"ER"))</f>
        <v>?</v>
      </c>
      <c r="AJ60" s="83" t="str">
        <f aca="true">IF($H60=0,"NA",IF($A60=INDIRECT("'"&amp;$A60&amp;"'!$B$1"),IF(VLOOKUP(AJ$1,INDIRECT("'"&amp;$A60&amp;"'!$A$12:$Z$41"),MATCH("Points (Auto-generate)",INDIRECT("'"&amp;$A60&amp;"'!$A$12:$Z$12"),0),0)="","?",VLOOKUP(AJ$1,INDIRECT("'"&amp;$A60&amp;"'!$A$12:$Z$41"),MATCH("Points (Auto-generate)",INDIRECT("'"&amp;$A60&amp;"'!$A$12:$Z$12"),0),0)),"ER"))</f>
        <v>?</v>
      </c>
      <c r="AK60" s="83" t="str">
        <f aca="true">IF($H60=0,"NA",IF($A60=INDIRECT("'"&amp;$A60&amp;"'!$B$1"),IF(VLOOKUP(AK$1,INDIRECT("'"&amp;$A60&amp;"'!$A$12:$Z$41"),MATCH("Points (Auto-generate)",INDIRECT("'"&amp;$A60&amp;"'!$A$12:$Z$12"),0),0)="","?",VLOOKUP(AK$1,INDIRECT("'"&amp;$A60&amp;"'!$A$12:$Z$41"),MATCH("Points (Auto-generate)",INDIRECT("'"&amp;$A60&amp;"'!$A$12:$Z$12"),0),0)),"ER"))</f>
        <v>?</v>
      </c>
    </row>
    <row r="61" customFormat="false" ht="14.25" hidden="false" customHeight="false" outlineLevel="0" collapsed="false">
      <c r="A61" s="79" t="s">
        <v>642</v>
      </c>
      <c r="B61" s="80" t="str">
        <f aca="false">IF(ISBLANK($A61),"NO_CODE",VLOOKUP($A61,'UPD Questions_290926 '!$E$1:$N$300,MATCH(B$1,'UPD Questions_290926 '!$E$1:$N$1,0),0)&amp;"")</f>
        <v>Implementation</v>
      </c>
      <c r="C61" s="80" t="str">
        <f aca="false">IF(ISBLANK($A61),"NO_CODE",VLOOKUP($A61,'UPD Questions_290926 '!$E$1:$N$300,MATCH(C$1,'UPD Questions_290926 '!$E$1:$N$1,0),0)&amp;"")</f>
        <v>Sectoral planning</v>
      </c>
      <c r="D61" s="80" t="str">
        <f aca="false">IF(ISBLANK($A61),"NO_CODE",VLOOKUP($A61,'UPD Questions_290926 '!$E$1:$N$300,MATCH(D$1,'UPD Questions_290926 '!$E$1:$N$1,0),0)&amp;"")</f>
        <v>Water supply and sewerage, sanitation, solid waste management </v>
      </c>
      <c r="E61" s="80" t="str">
        <f aca="false">IF(ISBLANK($A61),"NO_CODE",VLOOKUP($A61,'UPD Questions_290926 '!$E$1:$N$300,MATCH(E$1,'UPD Questions_290926 '!$E$1:$N$1,0),0)&amp;"")</f>
        <v>SQ1</v>
      </c>
      <c r="F61" s="80" t="str">
        <f aca="false">IF(ISBLANK($A61),"NO_CODE",VLOOKUP($A61,'UPD Questions_290926 '!$E$1:$N$300,MATCH(F$1,'UPD Questions_290926 '!$E$1:$N$1,0),0)&amp;"")</f>
        <v>a) Water Supply and Sewerage Plan</v>
      </c>
      <c r="G61" s="80" t="str">
        <f aca="false">IF(ISBLANK($A61),"NO_CODE",VLOOKUP($A61,'UPD Questions_290926 '!$E$1:$N$300,MATCH(G$1,'UPD Questions_290926 '!$E$1:$N$1,0),0)&amp;"")</f>
        <v>Implementation</v>
      </c>
      <c r="H61" s="82" t="n">
        <f aca="false">IF(ISBLANK($A61),"NO_CODE",VLOOKUP($A61,'UPD Questions_290926 '!$E$1:$N$300,MATCH(H$1,'UPD Questions_290926 '!$E$1:$N$1,0),0))</f>
        <v>1.11</v>
      </c>
      <c r="I61" s="83" t="str">
        <f aca="true">IF(INDEX(INDIRECT("'"&amp;LEFT($A61,LEN($A61)-1)&amp;"'!$H$13:$J$41"),MATCH(I$1,INDIRECT("'"&amp;LEFT($A61,LEN($A61)-1)&amp;"'!$A$13:$A$41"),0),VALUE(RIGHT($A61,1)))="YES",$H61,IF(INDEX(INDIRECT("'"&amp;LEFT($A61,LEN($A61)-1)&amp;"'!$H$13:$J$41"),MATCH(I$1,INDIRECT("'"&amp;LEFT($A61,LEN($A61)-1)&amp;"'!$A$13:$A$41"),0),VALUE(RIGHT($A61,1)))="NO",0,"?"))</f>
        <v>?</v>
      </c>
      <c r="J61" s="83" t="n">
        <f aca="true">IF(INDEX(INDIRECT("'"&amp;LEFT($A61,LEN($A61)-1)&amp;"'!$H$13:$J$41"),MATCH(J$1,INDIRECT("'"&amp;LEFT($A61,LEN($A61)-1)&amp;"'!$A$13:$A$41"),0),VALUE(RIGHT($A61,1)))="YES",$H61,IF(INDEX(INDIRECT("'"&amp;LEFT($A61,LEN($A61)-1)&amp;"'!$H$13:$J$41"),MATCH(J$1,INDIRECT("'"&amp;LEFT($A61,LEN($A61)-1)&amp;"'!$A$13:$A$41"),0),VALUE(RIGHT($A61,1)))="NO",0,"?"))</f>
        <v>0</v>
      </c>
      <c r="K61" s="83" t="str">
        <f aca="true">IF(INDEX(INDIRECT("'"&amp;LEFT($A61,LEN($A61)-1)&amp;"'!$H$13:$J$41"),MATCH(K$1,INDIRECT("'"&amp;LEFT($A61,LEN($A61)-1)&amp;"'!$A$13:$A$41"),0),VALUE(RIGHT($A61,1)))="YES",$H61,IF(INDEX(INDIRECT("'"&amp;LEFT($A61,LEN($A61)-1)&amp;"'!$H$13:$J$41"),MATCH(K$1,INDIRECT("'"&amp;LEFT($A61,LEN($A61)-1)&amp;"'!$A$13:$A$41"),0),VALUE(RIGHT($A61,1)))="NO",0,"?"))</f>
        <v>?</v>
      </c>
      <c r="L61" s="83" t="str">
        <f aca="true">IF(INDEX(INDIRECT("'"&amp;LEFT($A61,LEN($A61)-1)&amp;"'!$H$13:$J$41"),MATCH(L$1,INDIRECT("'"&amp;LEFT($A61,LEN($A61)-1)&amp;"'!$A$13:$A$41"),0),VALUE(RIGHT($A61,1)))="YES",$H61,IF(INDEX(INDIRECT("'"&amp;LEFT($A61,LEN($A61)-1)&amp;"'!$H$13:$J$41"),MATCH(L$1,INDIRECT("'"&amp;LEFT($A61,LEN($A61)-1)&amp;"'!$A$13:$A$41"),0),VALUE(RIGHT($A61,1)))="NO",0,"?"))</f>
        <v>?</v>
      </c>
      <c r="M61" s="83" t="str">
        <f aca="true">IF(INDEX(INDIRECT("'"&amp;LEFT($A61,LEN($A61)-1)&amp;"'!$H$13:$J$41"),MATCH(M$1,INDIRECT("'"&amp;LEFT($A61,LEN($A61)-1)&amp;"'!$A$13:$A$41"),0),VALUE(RIGHT($A61,1)))="YES",$H61,IF(INDEX(INDIRECT("'"&amp;LEFT($A61,LEN($A61)-1)&amp;"'!$H$13:$J$41"),MATCH(M$1,INDIRECT("'"&amp;LEFT($A61,LEN($A61)-1)&amp;"'!$A$13:$A$41"),0),VALUE(RIGHT($A61,1)))="NO",0,"?"))</f>
        <v>?</v>
      </c>
      <c r="N61" s="83" t="str">
        <f aca="true">IF(INDEX(INDIRECT("'"&amp;LEFT($A61,LEN($A61)-1)&amp;"'!$H$13:$J$41"),MATCH(N$1,INDIRECT("'"&amp;LEFT($A61,LEN($A61)-1)&amp;"'!$A$13:$A$41"),0),VALUE(RIGHT($A61,1)))="YES",$H61,IF(INDEX(INDIRECT("'"&amp;LEFT($A61,LEN($A61)-1)&amp;"'!$H$13:$J$41"),MATCH(N$1,INDIRECT("'"&amp;LEFT($A61,LEN($A61)-1)&amp;"'!$A$13:$A$41"),0),VALUE(RIGHT($A61,1)))="NO",0,"?"))</f>
        <v>?</v>
      </c>
      <c r="O61" s="83" t="str">
        <f aca="true">IF(INDEX(INDIRECT("'"&amp;LEFT($A61,LEN($A61)-1)&amp;"'!$H$13:$J$41"),MATCH(O$1,INDIRECT("'"&amp;LEFT($A61,LEN($A61)-1)&amp;"'!$A$13:$A$41"),0),VALUE(RIGHT($A61,1)))="YES",$H61,IF(INDEX(INDIRECT("'"&amp;LEFT($A61,LEN($A61)-1)&amp;"'!$H$13:$J$41"),MATCH(O$1,INDIRECT("'"&amp;LEFT($A61,LEN($A61)-1)&amp;"'!$A$13:$A$41"),0),VALUE(RIGHT($A61,1)))="NO",0,"?"))</f>
        <v>?</v>
      </c>
      <c r="P61" s="83" t="str">
        <f aca="true">IF(INDEX(INDIRECT("'"&amp;LEFT($A61,LEN($A61)-1)&amp;"'!$H$13:$J$41"),MATCH(P$1,INDIRECT("'"&amp;LEFT($A61,LEN($A61)-1)&amp;"'!$A$13:$A$41"),0),VALUE(RIGHT($A61,1)))="YES",$H61,IF(INDEX(INDIRECT("'"&amp;LEFT($A61,LEN($A61)-1)&amp;"'!$H$13:$J$41"),MATCH(P$1,INDIRECT("'"&amp;LEFT($A61,LEN($A61)-1)&amp;"'!$A$13:$A$41"),0),VALUE(RIGHT($A61,1)))="NO",0,"?"))</f>
        <v>?</v>
      </c>
      <c r="Q61" s="83" t="str">
        <f aca="true">IF(INDEX(INDIRECT("'"&amp;LEFT($A61,LEN($A61)-1)&amp;"'!$H$13:$J$41"),MATCH(Q$1,INDIRECT("'"&amp;LEFT($A61,LEN($A61)-1)&amp;"'!$A$13:$A$41"),0),VALUE(RIGHT($A61,1)))="YES",$H61,IF(INDEX(INDIRECT("'"&amp;LEFT($A61,LEN($A61)-1)&amp;"'!$H$13:$J$41"),MATCH(Q$1,INDIRECT("'"&amp;LEFT($A61,LEN($A61)-1)&amp;"'!$A$13:$A$41"),0),VALUE(RIGHT($A61,1)))="NO",0,"?"))</f>
        <v>?</v>
      </c>
      <c r="R61" s="83" t="str">
        <f aca="true">IF(INDEX(INDIRECT("'"&amp;LEFT($A61,LEN($A61)-1)&amp;"'!$H$13:$J$41"),MATCH(R$1,INDIRECT("'"&amp;LEFT($A61,LEN($A61)-1)&amp;"'!$A$13:$A$41"),0),VALUE(RIGHT($A61,1)))="YES",$H61,IF(INDEX(INDIRECT("'"&amp;LEFT($A61,LEN($A61)-1)&amp;"'!$H$13:$J$41"),MATCH(R$1,INDIRECT("'"&amp;LEFT($A61,LEN($A61)-1)&amp;"'!$A$13:$A$41"),0),VALUE(RIGHT($A61,1)))="NO",0,"?"))</f>
        <v>?</v>
      </c>
      <c r="S61" s="83" t="str">
        <f aca="true">IF(INDEX(INDIRECT("'"&amp;LEFT($A61,LEN($A61)-1)&amp;"'!$H$13:$J$41"),MATCH(S$1,INDIRECT("'"&amp;LEFT($A61,LEN($A61)-1)&amp;"'!$A$13:$A$41"),0),VALUE(RIGHT($A61,1)))="YES",$H61,IF(INDEX(INDIRECT("'"&amp;LEFT($A61,LEN($A61)-1)&amp;"'!$H$13:$J$41"),MATCH(S$1,INDIRECT("'"&amp;LEFT($A61,LEN($A61)-1)&amp;"'!$A$13:$A$41"),0),VALUE(RIGHT($A61,1)))="NO",0,"?"))</f>
        <v>?</v>
      </c>
      <c r="T61" s="83" t="str">
        <f aca="true">IF(INDEX(INDIRECT("'"&amp;LEFT($A61,LEN($A61)-1)&amp;"'!$H$13:$J$41"),MATCH(T$1,INDIRECT("'"&amp;LEFT($A61,LEN($A61)-1)&amp;"'!$A$13:$A$41"),0),VALUE(RIGHT($A61,1)))="YES",$H61,IF(INDEX(INDIRECT("'"&amp;LEFT($A61,LEN($A61)-1)&amp;"'!$H$13:$J$41"),MATCH(T$1,INDIRECT("'"&amp;LEFT($A61,LEN($A61)-1)&amp;"'!$A$13:$A$41"),0),VALUE(RIGHT($A61,1)))="NO",0,"?"))</f>
        <v>?</v>
      </c>
      <c r="U61" s="83" t="str">
        <f aca="true">IF(INDEX(INDIRECT("'"&amp;LEFT($A61,LEN($A61)-1)&amp;"'!$H$13:$J$41"),MATCH(U$1,INDIRECT("'"&amp;LEFT($A61,LEN($A61)-1)&amp;"'!$A$13:$A$41"),0),VALUE(RIGHT($A61,1)))="YES",$H61,IF(INDEX(INDIRECT("'"&amp;LEFT($A61,LEN($A61)-1)&amp;"'!$H$13:$J$41"),MATCH(U$1,INDIRECT("'"&amp;LEFT($A61,LEN($A61)-1)&amp;"'!$A$13:$A$41"),0),VALUE(RIGHT($A61,1)))="NO",0,"?"))</f>
        <v>?</v>
      </c>
      <c r="V61" s="83" t="str">
        <f aca="true">IF(INDEX(INDIRECT("'"&amp;LEFT($A61,LEN($A61)-1)&amp;"'!$H$13:$J$41"),MATCH(V$1,INDIRECT("'"&amp;LEFT($A61,LEN($A61)-1)&amp;"'!$A$13:$A$41"),0),VALUE(RIGHT($A61,1)))="YES",$H61,IF(INDEX(INDIRECT("'"&amp;LEFT($A61,LEN($A61)-1)&amp;"'!$H$13:$J$41"),MATCH(V$1,INDIRECT("'"&amp;LEFT($A61,LEN($A61)-1)&amp;"'!$A$13:$A$41"),0),VALUE(RIGHT($A61,1)))="NO",0,"?"))</f>
        <v>?</v>
      </c>
      <c r="W61" s="83" t="str">
        <f aca="true">IF(INDEX(INDIRECT("'"&amp;LEFT($A61,LEN($A61)-1)&amp;"'!$H$13:$J$41"),MATCH(W$1,INDIRECT("'"&amp;LEFT($A61,LEN($A61)-1)&amp;"'!$A$13:$A$41"),0),VALUE(RIGHT($A61,1)))="YES",$H61,IF(INDEX(INDIRECT("'"&amp;LEFT($A61,LEN($A61)-1)&amp;"'!$H$13:$J$41"),MATCH(W$1,INDIRECT("'"&amp;LEFT($A61,LEN($A61)-1)&amp;"'!$A$13:$A$41"),0),VALUE(RIGHT($A61,1)))="NO",0,"?"))</f>
        <v>?</v>
      </c>
      <c r="X61" s="83" t="str">
        <f aca="true">IF(INDEX(INDIRECT("'"&amp;LEFT($A61,LEN($A61)-1)&amp;"'!$H$13:$J$41"),MATCH(X$1,INDIRECT("'"&amp;LEFT($A61,LEN($A61)-1)&amp;"'!$A$13:$A$41"),0),VALUE(RIGHT($A61,1)))="YES",$H61,IF(INDEX(INDIRECT("'"&amp;LEFT($A61,LEN($A61)-1)&amp;"'!$H$13:$J$41"),MATCH(X$1,INDIRECT("'"&amp;LEFT($A61,LEN($A61)-1)&amp;"'!$A$13:$A$41"),0),VALUE(RIGHT($A61,1)))="NO",0,"?"))</f>
        <v>?</v>
      </c>
      <c r="Y61" s="83" t="str">
        <f aca="true">IF(INDEX(INDIRECT("'"&amp;LEFT($A61,LEN($A61)-1)&amp;"'!$H$13:$J$41"),MATCH(Y$1,INDIRECT("'"&amp;LEFT($A61,LEN($A61)-1)&amp;"'!$A$13:$A$41"),0),VALUE(RIGHT($A61,1)))="YES",$H61,IF(INDEX(INDIRECT("'"&amp;LEFT($A61,LEN($A61)-1)&amp;"'!$H$13:$J$41"),MATCH(Y$1,INDIRECT("'"&amp;LEFT($A61,LEN($A61)-1)&amp;"'!$A$13:$A$41"),0),VALUE(RIGHT($A61,1)))="NO",0,"?"))</f>
        <v>?</v>
      </c>
      <c r="Z61" s="83" t="str">
        <f aca="true">IF(INDEX(INDIRECT("'"&amp;LEFT($A61,LEN($A61)-1)&amp;"'!$H$13:$J$41"),MATCH(Z$1,INDIRECT("'"&amp;LEFT($A61,LEN($A61)-1)&amp;"'!$A$13:$A$41"),0),VALUE(RIGHT($A61,1)))="YES",$H61,IF(INDEX(INDIRECT("'"&amp;LEFT($A61,LEN($A61)-1)&amp;"'!$H$13:$J$41"),MATCH(Z$1,INDIRECT("'"&amp;LEFT($A61,LEN($A61)-1)&amp;"'!$A$13:$A$41"),0),VALUE(RIGHT($A61,1)))="NO",0,"?"))</f>
        <v>?</v>
      </c>
      <c r="AA61" s="83" t="str">
        <f aca="true">IF(INDEX(INDIRECT("'"&amp;LEFT($A61,LEN($A61)-1)&amp;"'!$H$13:$J$41"),MATCH(AA$1,INDIRECT("'"&amp;LEFT($A61,LEN($A61)-1)&amp;"'!$A$13:$A$41"),0),VALUE(RIGHT($A61,1)))="YES",$H61,IF(INDEX(INDIRECT("'"&amp;LEFT($A61,LEN($A61)-1)&amp;"'!$H$13:$J$41"),MATCH(AA$1,INDIRECT("'"&amp;LEFT($A61,LEN($A61)-1)&amp;"'!$A$13:$A$41"),0),VALUE(RIGHT($A61,1)))="NO",0,"?"))</f>
        <v>?</v>
      </c>
      <c r="AB61" s="83" t="str">
        <f aca="true">IF(INDEX(INDIRECT("'"&amp;LEFT($A61,LEN($A61)-1)&amp;"'!$H$13:$J$41"),MATCH(AB$1,INDIRECT("'"&amp;LEFT($A61,LEN($A61)-1)&amp;"'!$A$13:$A$41"),0),VALUE(RIGHT($A61,1)))="YES",$H61,IF(INDEX(INDIRECT("'"&amp;LEFT($A61,LEN($A61)-1)&amp;"'!$H$13:$J$41"),MATCH(AB$1,INDIRECT("'"&amp;LEFT($A61,LEN($A61)-1)&amp;"'!$A$13:$A$41"),0),VALUE(RIGHT($A61,1)))="NO",0,"?"))</f>
        <v>?</v>
      </c>
      <c r="AC61" s="83" t="str">
        <f aca="true">IF(INDEX(INDIRECT("'"&amp;LEFT($A61,LEN($A61)-1)&amp;"'!$H$13:$J$41"),MATCH(AC$1,INDIRECT("'"&amp;LEFT($A61,LEN($A61)-1)&amp;"'!$A$13:$A$41"),0),VALUE(RIGHT($A61,1)))="YES",$H61,IF(INDEX(INDIRECT("'"&amp;LEFT($A61,LEN($A61)-1)&amp;"'!$H$13:$J$41"),MATCH(AC$1,INDIRECT("'"&amp;LEFT($A61,LEN($A61)-1)&amp;"'!$A$13:$A$41"),0),VALUE(RIGHT($A61,1)))="NO",0,"?"))</f>
        <v>?</v>
      </c>
      <c r="AD61" s="83" t="str">
        <f aca="true">IF(INDEX(INDIRECT("'"&amp;LEFT($A61,LEN($A61)-1)&amp;"'!$H$13:$J$41"),MATCH(AD$1,INDIRECT("'"&amp;LEFT($A61,LEN($A61)-1)&amp;"'!$A$13:$A$41"),0),VALUE(RIGHT($A61,1)))="YES",$H61,IF(INDEX(INDIRECT("'"&amp;LEFT($A61,LEN($A61)-1)&amp;"'!$H$13:$J$41"),MATCH(AD$1,INDIRECT("'"&amp;LEFT($A61,LEN($A61)-1)&amp;"'!$A$13:$A$41"),0),VALUE(RIGHT($A61,1)))="NO",0,"?"))</f>
        <v>?</v>
      </c>
      <c r="AE61" s="83" t="str">
        <f aca="true">IF(INDEX(INDIRECT("'"&amp;LEFT($A61,LEN($A61)-1)&amp;"'!$H$13:$J$41"),MATCH(AE$1,INDIRECT("'"&amp;LEFT($A61,LEN($A61)-1)&amp;"'!$A$13:$A$41"),0),VALUE(RIGHT($A61,1)))="YES",$H61,IF(INDEX(INDIRECT("'"&amp;LEFT($A61,LEN($A61)-1)&amp;"'!$H$13:$J$41"),MATCH(AE$1,INDIRECT("'"&amp;LEFT($A61,LEN($A61)-1)&amp;"'!$A$13:$A$41"),0),VALUE(RIGHT($A61,1)))="NO",0,"?"))</f>
        <v>?</v>
      </c>
      <c r="AF61" s="83" t="str">
        <f aca="true">IF(INDEX(INDIRECT("'"&amp;LEFT($A61,LEN($A61)-1)&amp;"'!$H$13:$J$41"),MATCH(AF$1,INDIRECT("'"&amp;LEFT($A61,LEN($A61)-1)&amp;"'!$A$13:$A$41"),0),VALUE(RIGHT($A61,1)))="YES",$H61,IF(INDEX(INDIRECT("'"&amp;LEFT($A61,LEN($A61)-1)&amp;"'!$H$13:$J$41"),MATCH(AF$1,INDIRECT("'"&amp;LEFT($A61,LEN($A61)-1)&amp;"'!$A$13:$A$41"),0),VALUE(RIGHT($A61,1)))="NO",0,"?"))</f>
        <v>?</v>
      </c>
      <c r="AG61" s="83" t="str">
        <f aca="true">IF(INDEX(INDIRECT("'"&amp;LEFT($A61,LEN($A61)-1)&amp;"'!$H$13:$J$41"),MATCH(AG$1,INDIRECT("'"&amp;LEFT($A61,LEN($A61)-1)&amp;"'!$A$13:$A$41"),0),VALUE(RIGHT($A61,1)))="YES",$H61,IF(INDEX(INDIRECT("'"&amp;LEFT($A61,LEN($A61)-1)&amp;"'!$H$13:$J$41"),MATCH(AG$1,INDIRECT("'"&amp;LEFT($A61,LEN($A61)-1)&amp;"'!$A$13:$A$41"),0),VALUE(RIGHT($A61,1)))="NO",0,"?"))</f>
        <v>?</v>
      </c>
      <c r="AH61" s="83" t="str">
        <f aca="true">IF(INDEX(INDIRECT("'"&amp;LEFT($A61,LEN($A61)-1)&amp;"'!$H$13:$J$41"),MATCH(AH$1,INDIRECT("'"&amp;LEFT($A61,LEN($A61)-1)&amp;"'!$A$13:$A$41"),0),VALUE(RIGHT($A61,1)))="YES",$H61,IF(INDEX(INDIRECT("'"&amp;LEFT($A61,LEN($A61)-1)&amp;"'!$H$13:$J$41"),MATCH(AH$1,INDIRECT("'"&amp;LEFT($A61,LEN($A61)-1)&amp;"'!$A$13:$A$41"),0),VALUE(RIGHT($A61,1)))="NO",0,"?"))</f>
        <v>?</v>
      </c>
      <c r="AI61" s="83" t="str">
        <f aca="true">IF(INDEX(INDIRECT("'"&amp;LEFT($A61,LEN($A61)-1)&amp;"'!$H$13:$J$41"),MATCH(AI$1,INDIRECT("'"&amp;LEFT($A61,LEN($A61)-1)&amp;"'!$A$13:$A$41"),0),VALUE(RIGHT($A61,1)))="YES",$H61,IF(INDEX(INDIRECT("'"&amp;LEFT($A61,LEN($A61)-1)&amp;"'!$H$13:$J$41"),MATCH(AI$1,INDIRECT("'"&amp;LEFT($A61,LEN($A61)-1)&amp;"'!$A$13:$A$41"),0),VALUE(RIGHT($A61,1)))="NO",0,"?"))</f>
        <v>?</v>
      </c>
      <c r="AJ61" s="83" t="str">
        <f aca="true">IF(INDEX(INDIRECT("'"&amp;LEFT($A61,LEN($A61)-1)&amp;"'!$H$13:$J$41"),MATCH(AJ$1,INDIRECT("'"&amp;LEFT($A61,LEN($A61)-1)&amp;"'!$A$13:$A$41"),0),VALUE(RIGHT($A61,1)))="YES",$H61,IF(INDEX(INDIRECT("'"&amp;LEFT($A61,LEN($A61)-1)&amp;"'!$H$13:$J$41"),MATCH(AJ$1,INDIRECT("'"&amp;LEFT($A61,LEN($A61)-1)&amp;"'!$A$13:$A$41"),0),VALUE(RIGHT($A61,1)))="NO",0,"?"))</f>
        <v>?</v>
      </c>
      <c r="AK61" s="83" t="str">
        <f aca="true">IF(INDEX(INDIRECT("'"&amp;LEFT($A61,LEN($A61)-1)&amp;"'!$H$13:$J$41"),MATCH(AK$1,INDIRECT("'"&amp;LEFT($A61,LEN($A61)-1)&amp;"'!$A$13:$A$41"),0),VALUE(RIGHT($A61,1)))="YES",$H61,IF(INDEX(INDIRECT("'"&amp;LEFT($A61,LEN($A61)-1)&amp;"'!$H$13:$J$41"),MATCH(AK$1,INDIRECT("'"&amp;LEFT($A61,LEN($A61)-1)&amp;"'!$A$13:$A$41"),0),VALUE(RIGHT($A61,1)))="NO",0,"?"))</f>
        <v>?</v>
      </c>
    </row>
    <row r="62" customFormat="false" ht="14.25" hidden="false" customHeight="false" outlineLevel="0" collapsed="false">
      <c r="A62" s="79" t="s">
        <v>644</v>
      </c>
      <c r="B62" s="80" t="str">
        <f aca="false">IF(ISBLANK($A62),"NO_CODE",VLOOKUP($A62,'UPD Questions_290926 '!$E$1:$N$300,MATCH(B$1,'UPD Questions_290926 '!$E$1:$N$1,0),0)&amp;"")</f>
        <v>Implementation</v>
      </c>
      <c r="C62" s="80" t="str">
        <f aca="false">IF(ISBLANK($A62),"NO_CODE",VLOOKUP($A62,'UPD Questions_290926 '!$E$1:$N$300,MATCH(C$1,'UPD Questions_290926 '!$E$1:$N$1,0),0)&amp;"")</f>
        <v>Sectoral planning</v>
      </c>
      <c r="D62" s="80" t="str">
        <f aca="false">IF(ISBLANK($A62),"NO_CODE",VLOOKUP($A62,'UPD Questions_290926 '!$E$1:$N$300,MATCH(D$1,'UPD Questions_290926 '!$E$1:$N$1,0),0)&amp;"")</f>
        <v>Water supply and sewerage, sanitation, solid waste management </v>
      </c>
      <c r="E62" s="80" t="str">
        <f aca="false">IF(ISBLANK($A62),"NO_CODE",VLOOKUP($A62,'UPD Questions_290926 '!$E$1:$N$300,MATCH(E$1,'UPD Questions_290926 '!$E$1:$N$1,0),0)&amp;"")</f>
        <v>SQ2</v>
      </c>
      <c r="F62" s="80" t="str">
        <f aca="false">IF(ISBLANK($A62),"NO_CODE",VLOOKUP($A62,'UPD Questions_290926 '!$E$1:$N$300,MATCH(F$1,'UPD Questions_290926 '!$E$1:$N$1,0),0)&amp;"")</f>
        <v>b) Solid Waste Management Plan </v>
      </c>
      <c r="G62" s="80" t="str">
        <f aca="false">IF(ISBLANK($A62),"NO_CODE",VLOOKUP($A62,'UPD Questions_290926 '!$E$1:$N$300,MATCH(G$1,'UPD Questions_290926 '!$E$1:$N$1,0),0)&amp;"")</f>
        <v>Implementation</v>
      </c>
      <c r="H62" s="82" t="n">
        <f aca="false">IF(ISBLANK($A62),"NO_CODE",VLOOKUP($A62,'UPD Questions_290926 '!$E$1:$N$300,MATCH(H$1,'UPD Questions_290926 '!$E$1:$N$1,0),0))</f>
        <v>1.11</v>
      </c>
      <c r="I62" s="83" t="str">
        <f aca="true">IF(INDEX(INDIRECT("'"&amp;LEFT($A62,LEN($A62)-1)&amp;"'!$H$13:$J$41"),MATCH(I$1,INDIRECT("'"&amp;LEFT($A62,LEN($A62)-1)&amp;"'!$A$13:$A$41"),0),VALUE(RIGHT($A62,1)))="YES",$H62,IF(INDEX(INDIRECT("'"&amp;LEFT($A62,LEN($A62)-1)&amp;"'!$H$13:$J$41"),MATCH(I$1,INDIRECT("'"&amp;LEFT($A62,LEN($A62)-1)&amp;"'!$A$13:$A$41"),0),VALUE(RIGHT($A62,1)))="NO",0,"?"))</f>
        <v>?</v>
      </c>
      <c r="J62" s="83" t="n">
        <f aca="true">IF(INDEX(INDIRECT("'"&amp;LEFT($A62,LEN($A62)-1)&amp;"'!$H$13:$J$41"),MATCH(J$1,INDIRECT("'"&amp;LEFT($A62,LEN($A62)-1)&amp;"'!$A$13:$A$41"),0),VALUE(RIGHT($A62,1)))="YES",$H62,IF(INDEX(INDIRECT("'"&amp;LEFT($A62,LEN($A62)-1)&amp;"'!$H$13:$J$41"),MATCH(J$1,INDIRECT("'"&amp;LEFT($A62,LEN($A62)-1)&amp;"'!$A$13:$A$41"),0),VALUE(RIGHT($A62,1)))="NO",0,"?"))</f>
        <v>0</v>
      </c>
      <c r="K62" s="83" t="str">
        <f aca="true">IF(INDEX(INDIRECT("'"&amp;LEFT($A62,LEN($A62)-1)&amp;"'!$H$13:$J$41"),MATCH(K$1,INDIRECT("'"&amp;LEFT($A62,LEN($A62)-1)&amp;"'!$A$13:$A$41"),0),VALUE(RIGHT($A62,1)))="YES",$H62,IF(INDEX(INDIRECT("'"&amp;LEFT($A62,LEN($A62)-1)&amp;"'!$H$13:$J$41"),MATCH(K$1,INDIRECT("'"&amp;LEFT($A62,LEN($A62)-1)&amp;"'!$A$13:$A$41"),0),VALUE(RIGHT($A62,1)))="NO",0,"?"))</f>
        <v>?</v>
      </c>
      <c r="L62" s="83" t="str">
        <f aca="true">IF(INDEX(INDIRECT("'"&amp;LEFT($A62,LEN($A62)-1)&amp;"'!$H$13:$J$41"),MATCH(L$1,INDIRECT("'"&amp;LEFT($A62,LEN($A62)-1)&amp;"'!$A$13:$A$41"),0),VALUE(RIGHT($A62,1)))="YES",$H62,IF(INDEX(INDIRECT("'"&amp;LEFT($A62,LEN($A62)-1)&amp;"'!$H$13:$J$41"),MATCH(L$1,INDIRECT("'"&amp;LEFT($A62,LEN($A62)-1)&amp;"'!$A$13:$A$41"),0),VALUE(RIGHT($A62,1)))="NO",0,"?"))</f>
        <v>?</v>
      </c>
      <c r="M62" s="83" t="str">
        <f aca="true">IF(INDEX(INDIRECT("'"&amp;LEFT($A62,LEN($A62)-1)&amp;"'!$H$13:$J$41"),MATCH(M$1,INDIRECT("'"&amp;LEFT($A62,LEN($A62)-1)&amp;"'!$A$13:$A$41"),0),VALUE(RIGHT($A62,1)))="YES",$H62,IF(INDEX(INDIRECT("'"&amp;LEFT($A62,LEN($A62)-1)&amp;"'!$H$13:$J$41"),MATCH(M$1,INDIRECT("'"&amp;LEFT($A62,LEN($A62)-1)&amp;"'!$A$13:$A$41"),0),VALUE(RIGHT($A62,1)))="NO",0,"?"))</f>
        <v>?</v>
      </c>
      <c r="N62" s="83" t="str">
        <f aca="true">IF(INDEX(INDIRECT("'"&amp;LEFT($A62,LEN($A62)-1)&amp;"'!$H$13:$J$41"),MATCH(N$1,INDIRECT("'"&amp;LEFT($A62,LEN($A62)-1)&amp;"'!$A$13:$A$41"),0),VALUE(RIGHT($A62,1)))="YES",$H62,IF(INDEX(INDIRECT("'"&amp;LEFT($A62,LEN($A62)-1)&amp;"'!$H$13:$J$41"),MATCH(N$1,INDIRECT("'"&amp;LEFT($A62,LEN($A62)-1)&amp;"'!$A$13:$A$41"),0),VALUE(RIGHT($A62,1)))="NO",0,"?"))</f>
        <v>?</v>
      </c>
      <c r="O62" s="83" t="str">
        <f aca="true">IF(INDEX(INDIRECT("'"&amp;LEFT($A62,LEN($A62)-1)&amp;"'!$H$13:$J$41"),MATCH(O$1,INDIRECT("'"&amp;LEFT($A62,LEN($A62)-1)&amp;"'!$A$13:$A$41"),0),VALUE(RIGHT($A62,1)))="YES",$H62,IF(INDEX(INDIRECT("'"&amp;LEFT($A62,LEN($A62)-1)&amp;"'!$H$13:$J$41"),MATCH(O$1,INDIRECT("'"&amp;LEFT($A62,LEN($A62)-1)&amp;"'!$A$13:$A$41"),0),VALUE(RIGHT($A62,1)))="NO",0,"?"))</f>
        <v>?</v>
      </c>
      <c r="P62" s="83" t="str">
        <f aca="true">IF(INDEX(INDIRECT("'"&amp;LEFT($A62,LEN($A62)-1)&amp;"'!$H$13:$J$41"),MATCH(P$1,INDIRECT("'"&amp;LEFT($A62,LEN($A62)-1)&amp;"'!$A$13:$A$41"),0),VALUE(RIGHT($A62,1)))="YES",$H62,IF(INDEX(INDIRECT("'"&amp;LEFT($A62,LEN($A62)-1)&amp;"'!$H$13:$J$41"),MATCH(P$1,INDIRECT("'"&amp;LEFT($A62,LEN($A62)-1)&amp;"'!$A$13:$A$41"),0),VALUE(RIGHT($A62,1)))="NO",0,"?"))</f>
        <v>?</v>
      </c>
      <c r="Q62" s="83" t="str">
        <f aca="true">IF(INDEX(INDIRECT("'"&amp;LEFT($A62,LEN($A62)-1)&amp;"'!$H$13:$J$41"),MATCH(Q$1,INDIRECT("'"&amp;LEFT($A62,LEN($A62)-1)&amp;"'!$A$13:$A$41"),0),VALUE(RIGHT($A62,1)))="YES",$H62,IF(INDEX(INDIRECT("'"&amp;LEFT($A62,LEN($A62)-1)&amp;"'!$H$13:$J$41"),MATCH(Q$1,INDIRECT("'"&amp;LEFT($A62,LEN($A62)-1)&amp;"'!$A$13:$A$41"),0),VALUE(RIGHT($A62,1)))="NO",0,"?"))</f>
        <v>?</v>
      </c>
      <c r="R62" s="83" t="str">
        <f aca="true">IF(INDEX(INDIRECT("'"&amp;LEFT($A62,LEN($A62)-1)&amp;"'!$H$13:$J$41"),MATCH(R$1,INDIRECT("'"&amp;LEFT($A62,LEN($A62)-1)&amp;"'!$A$13:$A$41"),0),VALUE(RIGHT($A62,1)))="YES",$H62,IF(INDEX(INDIRECT("'"&amp;LEFT($A62,LEN($A62)-1)&amp;"'!$H$13:$J$41"),MATCH(R$1,INDIRECT("'"&amp;LEFT($A62,LEN($A62)-1)&amp;"'!$A$13:$A$41"),0),VALUE(RIGHT($A62,1)))="NO",0,"?"))</f>
        <v>?</v>
      </c>
      <c r="S62" s="83" t="str">
        <f aca="true">IF(INDEX(INDIRECT("'"&amp;LEFT($A62,LEN($A62)-1)&amp;"'!$H$13:$J$41"),MATCH(S$1,INDIRECT("'"&amp;LEFT($A62,LEN($A62)-1)&amp;"'!$A$13:$A$41"),0),VALUE(RIGHT($A62,1)))="YES",$H62,IF(INDEX(INDIRECT("'"&amp;LEFT($A62,LEN($A62)-1)&amp;"'!$H$13:$J$41"),MATCH(S$1,INDIRECT("'"&amp;LEFT($A62,LEN($A62)-1)&amp;"'!$A$13:$A$41"),0),VALUE(RIGHT($A62,1)))="NO",0,"?"))</f>
        <v>?</v>
      </c>
      <c r="T62" s="83" t="str">
        <f aca="true">IF(INDEX(INDIRECT("'"&amp;LEFT($A62,LEN($A62)-1)&amp;"'!$H$13:$J$41"),MATCH(T$1,INDIRECT("'"&amp;LEFT($A62,LEN($A62)-1)&amp;"'!$A$13:$A$41"),0),VALUE(RIGHT($A62,1)))="YES",$H62,IF(INDEX(INDIRECT("'"&amp;LEFT($A62,LEN($A62)-1)&amp;"'!$H$13:$J$41"),MATCH(T$1,INDIRECT("'"&amp;LEFT($A62,LEN($A62)-1)&amp;"'!$A$13:$A$41"),0),VALUE(RIGHT($A62,1)))="NO",0,"?"))</f>
        <v>?</v>
      </c>
      <c r="U62" s="83" t="str">
        <f aca="true">IF(INDEX(INDIRECT("'"&amp;LEFT($A62,LEN($A62)-1)&amp;"'!$H$13:$J$41"),MATCH(U$1,INDIRECT("'"&amp;LEFT($A62,LEN($A62)-1)&amp;"'!$A$13:$A$41"),0),VALUE(RIGHT($A62,1)))="YES",$H62,IF(INDEX(INDIRECT("'"&amp;LEFT($A62,LEN($A62)-1)&amp;"'!$H$13:$J$41"),MATCH(U$1,INDIRECT("'"&amp;LEFT($A62,LEN($A62)-1)&amp;"'!$A$13:$A$41"),0),VALUE(RIGHT($A62,1)))="NO",0,"?"))</f>
        <v>?</v>
      </c>
      <c r="V62" s="83" t="str">
        <f aca="true">IF(INDEX(INDIRECT("'"&amp;LEFT($A62,LEN($A62)-1)&amp;"'!$H$13:$J$41"),MATCH(V$1,INDIRECT("'"&amp;LEFT($A62,LEN($A62)-1)&amp;"'!$A$13:$A$41"),0),VALUE(RIGHT($A62,1)))="YES",$H62,IF(INDEX(INDIRECT("'"&amp;LEFT($A62,LEN($A62)-1)&amp;"'!$H$13:$J$41"),MATCH(V$1,INDIRECT("'"&amp;LEFT($A62,LEN($A62)-1)&amp;"'!$A$13:$A$41"),0),VALUE(RIGHT($A62,1)))="NO",0,"?"))</f>
        <v>?</v>
      </c>
      <c r="W62" s="83" t="str">
        <f aca="true">IF(INDEX(INDIRECT("'"&amp;LEFT($A62,LEN($A62)-1)&amp;"'!$H$13:$J$41"),MATCH(W$1,INDIRECT("'"&amp;LEFT($A62,LEN($A62)-1)&amp;"'!$A$13:$A$41"),0),VALUE(RIGHT($A62,1)))="YES",$H62,IF(INDEX(INDIRECT("'"&amp;LEFT($A62,LEN($A62)-1)&amp;"'!$H$13:$J$41"),MATCH(W$1,INDIRECT("'"&amp;LEFT($A62,LEN($A62)-1)&amp;"'!$A$13:$A$41"),0),VALUE(RIGHT($A62,1)))="NO",0,"?"))</f>
        <v>?</v>
      </c>
      <c r="X62" s="83" t="str">
        <f aca="true">IF(INDEX(INDIRECT("'"&amp;LEFT($A62,LEN($A62)-1)&amp;"'!$H$13:$J$41"),MATCH(X$1,INDIRECT("'"&amp;LEFT($A62,LEN($A62)-1)&amp;"'!$A$13:$A$41"),0),VALUE(RIGHT($A62,1)))="YES",$H62,IF(INDEX(INDIRECT("'"&amp;LEFT($A62,LEN($A62)-1)&amp;"'!$H$13:$J$41"),MATCH(X$1,INDIRECT("'"&amp;LEFT($A62,LEN($A62)-1)&amp;"'!$A$13:$A$41"),0),VALUE(RIGHT($A62,1)))="NO",0,"?"))</f>
        <v>?</v>
      </c>
      <c r="Y62" s="83" t="str">
        <f aca="true">IF(INDEX(INDIRECT("'"&amp;LEFT($A62,LEN($A62)-1)&amp;"'!$H$13:$J$41"),MATCH(Y$1,INDIRECT("'"&amp;LEFT($A62,LEN($A62)-1)&amp;"'!$A$13:$A$41"),0),VALUE(RIGHT($A62,1)))="YES",$H62,IF(INDEX(INDIRECT("'"&amp;LEFT($A62,LEN($A62)-1)&amp;"'!$H$13:$J$41"),MATCH(Y$1,INDIRECT("'"&amp;LEFT($A62,LEN($A62)-1)&amp;"'!$A$13:$A$41"),0),VALUE(RIGHT($A62,1)))="NO",0,"?"))</f>
        <v>?</v>
      </c>
      <c r="Z62" s="83" t="str">
        <f aca="true">IF(INDEX(INDIRECT("'"&amp;LEFT($A62,LEN($A62)-1)&amp;"'!$H$13:$J$41"),MATCH(Z$1,INDIRECT("'"&amp;LEFT($A62,LEN($A62)-1)&amp;"'!$A$13:$A$41"),0),VALUE(RIGHT($A62,1)))="YES",$H62,IF(INDEX(INDIRECT("'"&amp;LEFT($A62,LEN($A62)-1)&amp;"'!$H$13:$J$41"),MATCH(Z$1,INDIRECT("'"&amp;LEFT($A62,LEN($A62)-1)&amp;"'!$A$13:$A$41"),0),VALUE(RIGHT($A62,1)))="NO",0,"?"))</f>
        <v>?</v>
      </c>
      <c r="AA62" s="83" t="str">
        <f aca="true">IF(INDEX(INDIRECT("'"&amp;LEFT($A62,LEN($A62)-1)&amp;"'!$H$13:$J$41"),MATCH(AA$1,INDIRECT("'"&amp;LEFT($A62,LEN($A62)-1)&amp;"'!$A$13:$A$41"),0),VALUE(RIGHT($A62,1)))="YES",$H62,IF(INDEX(INDIRECT("'"&amp;LEFT($A62,LEN($A62)-1)&amp;"'!$H$13:$J$41"),MATCH(AA$1,INDIRECT("'"&amp;LEFT($A62,LEN($A62)-1)&amp;"'!$A$13:$A$41"),0),VALUE(RIGHT($A62,1)))="NO",0,"?"))</f>
        <v>?</v>
      </c>
      <c r="AB62" s="83" t="str">
        <f aca="true">IF(INDEX(INDIRECT("'"&amp;LEFT($A62,LEN($A62)-1)&amp;"'!$H$13:$J$41"),MATCH(AB$1,INDIRECT("'"&amp;LEFT($A62,LEN($A62)-1)&amp;"'!$A$13:$A$41"),0),VALUE(RIGHT($A62,1)))="YES",$H62,IF(INDEX(INDIRECT("'"&amp;LEFT($A62,LEN($A62)-1)&amp;"'!$H$13:$J$41"),MATCH(AB$1,INDIRECT("'"&amp;LEFT($A62,LEN($A62)-1)&amp;"'!$A$13:$A$41"),0),VALUE(RIGHT($A62,1)))="NO",0,"?"))</f>
        <v>?</v>
      </c>
      <c r="AC62" s="83" t="str">
        <f aca="true">IF(INDEX(INDIRECT("'"&amp;LEFT($A62,LEN($A62)-1)&amp;"'!$H$13:$J$41"),MATCH(AC$1,INDIRECT("'"&amp;LEFT($A62,LEN($A62)-1)&amp;"'!$A$13:$A$41"),0),VALUE(RIGHT($A62,1)))="YES",$H62,IF(INDEX(INDIRECT("'"&amp;LEFT($A62,LEN($A62)-1)&amp;"'!$H$13:$J$41"),MATCH(AC$1,INDIRECT("'"&amp;LEFT($A62,LEN($A62)-1)&amp;"'!$A$13:$A$41"),0),VALUE(RIGHT($A62,1)))="NO",0,"?"))</f>
        <v>?</v>
      </c>
      <c r="AD62" s="83" t="str">
        <f aca="true">IF(INDEX(INDIRECT("'"&amp;LEFT($A62,LEN($A62)-1)&amp;"'!$H$13:$J$41"),MATCH(AD$1,INDIRECT("'"&amp;LEFT($A62,LEN($A62)-1)&amp;"'!$A$13:$A$41"),0),VALUE(RIGHT($A62,1)))="YES",$H62,IF(INDEX(INDIRECT("'"&amp;LEFT($A62,LEN($A62)-1)&amp;"'!$H$13:$J$41"),MATCH(AD$1,INDIRECT("'"&amp;LEFT($A62,LEN($A62)-1)&amp;"'!$A$13:$A$41"),0),VALUE(RIGHT($A62,1)))="NO",0,"?"))</f>
        <v>?</v>
      </c>
      <c r="AE62" s="83" t="str">
        <f aca="true">IF(INDEX(INDIRECT("'"&amp;LEFT($A62,LEN($A62)-1)&amp;"'!$H$13:$J$41"),MATCH(AE$1,INDIRECT("'"&amp;LEFT($A62,LEN($A62)-1)&amp;"'!$A$13:$A$41"),0),VALUE(RIGHT($A62,1)))="YES",$H62,IF(INDEX(INDIRECT("'"&amp;LEFT($A62,LEN($A62)-1)&amp;"'!$H$13:$J$41"),MATCH(AE$1,INDIRECT("'"&amp;LEFT($A62,LEN($A62)-1)&amp;"'!$A$13:$A$41"),0),VALUE(RIGHT($A62,1)))="NO",0,"?"))</f>
        <v>?</v>
      </c>
      <c r="AF62" s="83" t="str">
        <f aca="true">IF(INDEX(INDIRECT("'"&amp;LEFT($A62,LEN($A62)-1)&amp;"'!$H$13:$J$41"),MATCH(AF$1,INDIRECT("'"&amp;LEFT($A62,LEN($A62)-1)&amp;"'!$A$13:$A$41"),0),VALUE(RIGHT($A62,1)))="YES",$H62,IF(INDEX(INDIRECT("'"&amp;LEFT($A62,LEN($A62)-1)&amp;"'!$H$13:$J$41"),MATCH(AF$1,INDIRECT("'"&amp;LEFT($A62,LEN($A62)-1)&amp;"'!$A$13:$A$41"),0),VALUE(RIGHT($A62,1)))="NO",0,"?"))</f>
        <v>?</v>
      </c>
      <c r="AG62" s="83" t="str">
        <f aca="true">IF(INDEX(INDIRECT("'"&amp;LEFT($A62,LEN($A62)-1)&amp;"'!$H$13:$J$41"),MATCH(AG$1,INDIRECT("'"&amp;LEFT($A62,LEN($A62)-1)&amp;"'!$A$13:$A$41"),0),VALUE(RIGHT($A62,1)))="YES",$H62,IF(INDEX(INDIRECT("'"&amp;LEFT($A62,LEN($A62)-1)&amp;"'!$H$13:$J$41"),MATCH(AG$1,INDIRECT("'"&amp;LEFT($A62,LEN($A62)-1)&amp;"'!$A$13:$A$41"),0),VALUE(RIGHT($A62,1)))="NO",0,"?"))</f>
        <v>?</v>
      </c>
      <c r="AH62" s="83" t="str">
        <f aca="true">IF(INDEX(INDIRECT("'"&amp;LEFT($A62,LEN($A62)-1)&amp;"'!$H$13:$J$41"),MATCH(AH$1,INDIRECT("'"&amp;LEFT($A62,LEN($A62)-1)&amp;"'!$A$13:$A$41"),0),VALUE(RIGHT($A62,1)))="YES",$H62,IF(INDEX(INDIRECT("'"&amp;LEFT($A62,LEN($A62)-1)&amp;"'!$H$13:$J$41"),MATCH(AH$1,INDIRECT("'"&amp;LEFT($A62,LEN($A62)-1)&amp;"'!$A$13:$A$41"),0),VALUE(RIGHT($A62,1)))="NO",0,"?"))</f>
        <v>?</v>
      </c>
      <c r="AI62" s="83" t="str">
        <f aca="true">IF(INDEX(INDIRECT("'"&amp;LEFT($A62,LEN($A62)-1)&amp;"'!$H$13:$J$41"),MATCH(AI$1,INDIRECT("'"&amp;LEFT($A62,LEN($A62)-1)&amp;"'!$A$13:$A$41"),0),VALUE(RIGHT($A62,1)))="YES",$H62,IF(INDEX(INDIRECT("'"&amp;LEFT($A62,LEN($A62)-1)&amp;"'!$H$13:$J$41"),MATCH(AI$1,INDIRECT("'"&amp;LEFT($A62,LEN($A62)-1)&amp;"'!$A$13:$A$41"),0),VALUE(RIGHT($A62,1)))="NO",0,"?"))</f>
        <v>?</v>
      </c>
      <c r="AJ62" s="83" t="str">
        <f aca="true">IF(INDEX(INDIRECT("'"&amp;LEFT($A62,LEN($A62)-1)&amp;"'!$H$13:$J$41"),MATCH(AJ$1,INDIRECT("'"&amp;LEFT($A62,LEN($A62)-1)&amp;"'!$A$13:$A$41"),0),VALUE(RIGHT($A62,1)))="YES",$H62,IF(INDEX(INDIRECT("'"&amp;LEFT($A62,LEN($A62)-1)&amp;"'!$H$13:$J$41"),MATCH(AJ$1,INDIRECT("'"&amp;LEFT($A62,LEN($A62)-1)&amp;"'!$A$13:$A$41"),0),VALUE(RIGHT($A62,1)))="NO",0,"?"))</f>
        <v>?</v>
      </c>
      <c r="AK62" s="83" t="str">
        <f aca="true">IF(INDEX(INDIRECT("'"&amp;LEFT($A62,LEN($A62)-1)&amp;"'!$H$13:$J$41"),MATCH(AK$1,INDIRECT("'"&amp;LEFT($A62,LEN($A62)-1)&amp;"'!$A$13:$A$41"),0),VALUE(RIGHT($A62,1)))="YES",$H62,IF(INDEX(INDIRECT("'"&amp;LEFT($A62,LEN($A62)-1)&amp;"'!$H$13:$J$41"),MATCH(AK$1,INDIRECT("'"&amp;LEFT($A62,LEN($A62)-1)&amp;"'!$A$13:$A$41"),0),VALUE(RIGHT($A62,1)))="NO",0,"?"))</f>
        <v>?</v>
      </c>
    </row>
    <row r="63" customFormat="false" ht="14.25" hidden="false" customHeight="false" outlineLevel="0" collapsed="false">
      <c r="A63" s="79" t="s">
        <v>646</v>
      </c>
      <c r="B63" s="80" t="str">
        <f aca="false">IF(ISBLANK($A63),"NO_CODE",VLOOKUP($A63,'UPD Questions_290926 '!$E$1:$N$300,MATCH(B$1,'UPD Questions_290926 '!$E$1:$N$1,0),0)&amp;"")</f>
        <v>Implementation</v>
      </c>
      <c r="C63" s="80" t="str">
        <f aca="false">IF(ISBLANK($A63),"NO_CODE",VLOOKUP($A63,'UPD Questions_290926 '!$E$1:$N$300,MATCH(C$1,'UPD Questions_290926 '!$E$1:$N$1,0),0)&amp;"")</f>
        <v>Sectoral planning</v>
      </c>
      <c r="D63" s="80" t="str">
        <f aca="false">IF(ISBLANK($A63),"NO_CODE",VLOOKUP($A63,'UPD Questions_290926 '!$E$1:$N$300,MATCH(D$1,'UPD Questions_290926 '!$E$1:$N$1,0),0)&amp;"")</f>
        <v>Water supply and sewerage, sanitation, solid waste management </v>
      </c>
      <c r="E63" s="80" t="str">
        <f aca="false">IF(ISBLANK($A63),"NO_CODE",VLOOKUP($A63,'UPD Questions_290926 '!$E$1:$N$300,MATCH(E$1,'UPD Questions_290926 '!$E$1:$N$1,0),0)&amp;"")</f>
        <v>SQ3</v>
      </c>
      <c r="F63" s="80" t="str">
        <f aca="false">IF(ISBLANK($A63),"NO_CODE",VLOOKUP($A63,'UPD Questions_290926 '!$E$1:$N$300,MATCH(F$1,'UPD Questions_290926 '!$E$1:$N$1,0),0)&amp;"")</f>
        <v>c)  City Sanitation Plan</v>
      </c>
      <c r="G63" s="80" t="str">
        <f aca="false">IF(ISBLANK($A63),"NO_CODE",VLOOKUP($A63,'UPD Questions_290926 '!$E$1:$N$300,MATCH(G$1,'UPD Questions_290926 '!$E$1:$N$1,0),0)&amp;"")</f>
        <v>Implementation</v>
      </c>
      <c r="H63" s="82" t="n">
        <f aca="false">IF(ISBLANK($A63),"NO_CODE",VLOOKUP($A63,'UPD Questions_290926 '!$E$1:$N$300,MATCH(H$1,'UPD Questions_290926 '!$E$1:$N$1,0),0))</f>
        <v>1.11</v>
      </c>
      <c r="I63" s="83" t="str">
        <f aca="true">IF(INDEX(INDIRECT("'"&amp;LEFT($A63,LEN($A63)-1)&amp;"'!$H$13:$J$41"),MATCH(I$1,INDIRECT("'"&amp;LEFT($A63,LEN($A63)-1)&amp;"'!$A$13:$A$41"),0),VALUE(RIGHT($A63,1)))="YES",$H63,IF(INDEX(INDIRECT("'"&amp;LEFT($A63,LEN($A63)-1)&amp;"'!$H$13:$J$41"),MATCH(I$1,INDIRECT("'"&amp;LEFT($A63,LEN($A63)-1)&amp;"'!$A$13:$A$41"),0),VALUE(RIGHT($A63,1)))="NO",0,"?"))</f>
        <v>?</v>
      </c>
      <c r="J63" s="83" t="n">
        <f aca="true">IF(INDEX(INDIRECT("'"&amp;LEFT($A63,LEN($A63)-1)&amp;"'!$H$13:$J$41"),MATCH(J$1,INDIRECT("'"&amp;LEFT($A63,LEN($A63)-1)&amp;"'!$A$13:$A$41"),0),VALUE(RIGHT($A63,1)))="YES",$H63,IF(INDEX(INDIRECT("'"&amp;LEFT($A63,LEN($A63)-1)&amp;"'!$H$13:$J$41"),MATCH(J$1,INDIRECT("'"&amp;LEFT($A63,LEN($A63)-1)&amp;"'!$A$13:$A$41"),0),VALUE(RIGHT($A63,1)))="NO",0,"?"))</f>
        <v>0</v>
      </c>
      <c r="K63" s="83" t="str">
        <f aca="true">IF(INDEX(INDIRECT("'"&amp;LEFT($A63,LEN($A63)-1)&amp;"'!$H$13:$J$41"),MATCH(K$1,INDIRECT("'"&amp;LEFT($A63,LEN($A63)-1)&amp;"'!$A$13:$A$41"),0),VALUE(RIGHT($A63,1)))="YES",$H63,IF(INDEX(INDIRECT("'"&amp;LEFT($A63,LEN($A63)-1)&amp;"'!$H$13:$J$41"),MATCH(K$1,INDIRECT("'"&amp;LEFT($A63,LEN($A63)-1)&amp;"'!$A$13:$A$41"),0),VALUE(RIGHT($A63,1)))="NO",0,"?"))</f>
        <v>?</v>
      </c>
      <c r="L63" s="83" t="str">
        <f aca="true">IF(INDEX(INDIRECT("'"&amp;LEFT($A63,LEN($A63)-1)&amp;"'!$H$13:$J$41"),MATCH(L$1,INDIRECT("'"&amp;LEFT($A63,LEN($A63)-1)&amp;"'!$A$13:$A$41"),0),VALUE(RIGHT($A63,1)))="YES",$H63,IF(INDEX(INDIRECT("'"&amp;LEFT($A63,LEN($A63)-1)&amp;"'!$H$13:$J$41"),MATCH(L$1,INDIRECT("'"&amp;LEFT($A63,LEN($A63)-1)&amp;"'!$A$13:$A$41"),0),VALUE(RIGHT($A63,1)))="NO",0,"?"))</f>
        <v>?</v>
      </c>
      <c r="M63" s="83" t="str">
        <f aca="true">IF(INDEX(INDIRECT("'"&amp;LEFT($A63,LEN($A63)-1)&amp;"'!$H$13:$J$41"),MATCH(M$1,INDIRECT("'"&amp;LEFT($A63,LEN($A63)-1)&amp;"'!$A$13:$A$41"),0),VALUE(RIGHT($A63,1)))="YES",$H63,IF(INDEX(INDIRECT("'"&amp;LEFT($A63,LEN($A63)-1)&amp;"'!$H$13:$J$41"),MATCH(M$1,INDIRECT("'"&amp;LEFT($A63,LEN($A63)-1)&amp;"'!$A$13:$A$41"),0),VALUE(RIGHT($A63,1)))="NO",0,"?"))</f>
        <v>?</v>
      </c>
      <c r="N63" s="83" t="str">
        <f aca="true">IF(INDEX(INDIRECT("'"&amp;LEFT($A63,LEN($A63)-1)&amp;"'!$H$13:$J$41"),MATCH(N$1,INDIRECT("'"&amp;LEFT($A63,LEN($A63)-1)&amp;"'!$A$13:$A$41"),0),VALUE(RIGHT($A63,1)))="YES",$H63,IF(INDEX(INDIRECT("'"&amp;LEFT($A63,LEN($A63)-1)&amp;"'!$H$13:$J$41"),MATCH(N$1,INDIRECT("'"&amp;LEFT($A63,LEN($A63)-1)&amp;"'!$A$13:$A$41"),0),VALUE(RIGHT($A63,1)))="NO",0,"?"))</f>
        <v>?</v>
      </c>
      <c r="O63" s="83" t="str">
        <f aca="true">IF(INDEX(INDIRECT("'"&amp;LEFT($A63,LEN($A63)-1)&amp;"'!$H$13:$J$41"),MATCH(O$1,INDIRECT("'"&amp;LEFT($A63,LEN($A63)-1)&amp;"'!$A$13:$A$41"),0),VALUE(RIGHT($A63,1)))="YES",$H63,IF(INDEX(INDIRECT("'"&amp;LEFT($A63,LEN($A63)-1)&amp;"'!$H$13:$J$41"),MATCH(O$1,INDIRECT("'"&amp;LEFT($A63,LEN($A63)-1)&amp;"'!$A$13:$A$41"),0),VALUE(RIGHT($A63,1)))="NO",0,"?"))</f>
        <v>?</v>
      </c>
      <c r="P63" s="83" t="str">
        <f aca="true">IF(INDEX(INDIRECT("'"&amp;LEFT($A63,LEN($A63)-1)&amp;"'!$H$13:$J$41"),MATCH(P$1,INDIRECT("'"&amp;LEFT($A63,LEN($A63)-1)&amp;"'!$A$13:$A$41"),0),VALUE(RIGHT($A63,1)))="YES",$H63,IF(INDEX(INDIRECT("'"&amp;LEFT($A63,LEN($A63)-1)&amp;"'!$H$13:$J$41"),MATCH(P$1,INDIRECT("'"&amp;LEFT($A63,LEN($A63)-1)&amp;"'!$A$13:$A$41"),0),VALUE(RIGHT($A63,1)))="NO",0,"?"))</f>
        <v>?</v>
      </c>
      <c r="Q63" s="83" t="str">
        <f aca="true">IF(INDEX(INDIRECT("'"&amp;LEFT($A63,LEN($A63)-1)&amp;"'!$H$13:$J$41"),MATCH(Q$1,INDIRECT("'"&amp;LEFT($A63,LEN($A63)-1)&amp;"'!$A$13:$A$41"),0),VALUE(RIGHT($A63,1)))="YES",$H63,IF(INDEX(INDIRECT("'"&amp;LEFT($A63,LEN($A63)-1)&amp;"'!$H$13:$J$41"),MATCH(Q$1,INDIRECT("'"&amp;LEFT($A63,LEN($A63)-1)&amp;"'!$A$13:$A$41"),0),VALUE(RIGHT($A63,1)))="NO",0,"?"))</f>
        <v>?</v>
      </c>
      <c r="R63" s="83" t="str">
        <f aca="true">IF(INDEX(INDIRECT("'"&amp;LEFT($A63,LEN($A63)-1)&amp;"'!$H$13:$J$41"),MATCH(R$1,INDIRECT("'"&amp;LEFT($A63,LEN($A63)-1)&amp;"'!$A$13:$A$41"),0),VALUE(RIGHT($A63,1)))="YES",$H63,IF(INDEX(INDIRECT("'"&amp;LEFT($A63,LEN($A63)-1)&amp;"'!$H$13:$J$41"),MATCH(R$1,INDIRECT("'"&amp;LEFT($A63,LEN($A63)-1)&amp;"'!$A$13:$A$41"),0),VALUE(RIGHT($A63,1)))="NO",0,"?"))</f>
        <v>?</v>
      </c>
      <c r="S63" s="83" t="str">
        <f aca="true">IF(INDEX(INDIRECT("'"&amp;LEFT($A63,LEN($A63)-1)&amp;"'!$H$13:$J$41"),MATCH(S$1,INDIRECT("'"&amp;LEFT($A63,LEN($A63)-1)&amp;"'!$A$13:$A$41"),0),VALUE(RIGHT($A63,1)))="YES",$H63,IF(INDEX(INDIRECT("'"&amp;LEFT($A63,LEN($A63)-1)&amp;"'!$H$13:$J$41"),MATCH(S$1,INDIRECT("'"&amp;LEFT($A63,LEN($A63)-1)&amp;"'!$A$13:$A$41"),0),VALUE(RIGHT($A63,1)))="NO",0,"?"))</f>
        <v>?</v>
      </c>
      <c r="T63" s="83" t="str">
        <f aca="true">IF(INDEX(INDIRECT("'"&amp;LEFT($A63,LEN($A63)-1)&amp;"'!$H$13:$J$41"),MATCH(T$1,INDIRECT("'"&amp;LEFT($A63,LEN($A63)-1)&amp;"'!$A$13:$A$41"),0),VALUE(RIGHT($A63,1)))="YES",$H63,IF(INDEX(INDIRECT("'"&amp;LEFT($A63,LEN($A63)-1)&amp;"'!$H$13:$J$41"),MATCH(T$1,INDIRECT("'"&amp;LEFT($A63,LEN($A63)-1)&amp;"'!$A$13:$A$41"),0),VALUE(RIGHT($A63,1)))="NO",0,"?"))</f>
        <v>?</v>
      </c>
      <c r="U63" s="83" t="str">
        <f aca="true">IF(INDEX(INDIRECT("'"&amp;LEFT($A63,LEN($A63)-1)&amp;"'!$H$13:$J$41"),MATCH(U$1,INDIRECT("'"&amp;LEFT($A63,LEN($A63)-1)&amp;"'!$A$13:$A$41"),0),VALUE(RIGHT($A63,1)))="YES",$H63,IF(INDEX(INDIRECT("'"&amp;LEFT($A63,LEN($A63)-1)&amp;"'!$H$13:$J$41"),MATCH(U$1,INDIRECT("'"&amp;LEFT($A63,LEN($A63)-1)&amp;"'!$A$13:$A$41"),0),VALUE(RIGHT($A63,1)))="NO",0,"?"))</f>
        <v>?</v>
      </c>
      <c r="V63" s="83" t="str">
        <f aca="true">IF(INDEX(INDIRECT("'"&amp;LEFT($A63,LEN($A63)-1)&amp;"'!$H$13:$J$41"),MATCH(V$1,INDIRECT("'"&amp;LEFT($A63,LEN($A63)-1)&amp;"'!$A$13:$A$41"),0),VALUE(RIGHT($A63,1)))="YES",$H63,IF(INDEX(INDIRECT("'"&amp;LEFT($A63,LEN($A63)-1)&amp;"'!$H$13:$J$41"),MATCH(V$1,INDIRECT("'"&amp;LEFT($A63,LEN($A63)-1)&amp;"'!$A$13:$A$41"),0),VALUE(RIGHT($A63,1)))="NO",0,"?"))</f>
        <v>?</v>
      </c>
      <c r="W63" s="83" t="str">
        <f aca="true">IF(INDEX(INDIRECT("'"&amp;LEFT($A63,LEN($A63)-1)&amp;"'!$H$13:$J$41"),MATCH(W$1,INDIRECT("'"&amp;LEFT($A63,LEN($A63)-1)&amp;"'!$A$13:$A$41"),0),VALUE(RIGHT($A63,1)))="YES",$H63,IF(INDEX(INDIRECT("'"&amp;LEFT($A63,LEN($A63)-1)&amp;"'!$H$13:$J$41"),MATCH(W$1,INDIRECT("'"&amp;LEFT($A63,LEN($A63)-1)&amp;"'!$A$13:$A$41"),0),VALUE(RIGHT($A63,1)))="NO",0,"?"))</f>
        <v>?</v>
      </c>
      <c r="X63" s="83" t="str">
        <f aca="true">IF(INDEX(INDIRECT("'"&amp;LEFT($A63,LEN($A63)-1)&amp;"'!$H$13:$J$41"),MATCH(X$1,INDIRECT("'"&amp;LEFT($A63,LEN($A63)-1)&amp;"'!$A$13:$A$41"),0),VALUE(RIGHT($A63,1)))="YES",$H63,IF(INDEX(INDIRECT("'"&amp;LEFT($A63,LEN($A63)-1)&amp;"'!$H$13:$J$41"),MATCH(X$1,INDIRECT("'"&amp;LEFT($A63,LEN($A63)-1)&amp;"'!$A$13:$A$41"),0),VALUE(RIGHT($A63,1)))="NO",0,"?"))</f>
        <v>?</v>
      </c>
      <c r="Y63" s="83" t="str">
        <f aca="true">IF(INDEX(INDIRECT("'"&amp;LEFT($A63,LEN($A63)-1)&amp;"'!$H$13:$J$41"),MATCH(Y$1,INDIRECT("'"&amp;LEFT($A63,LEN($A63)-1)&amp;"'!$A$13:$A$41"),0),VALUE(RIGHT($A63,1)))="YES",$H63,IF(INDEX(INDIRECT("'"&amp;LEFT($A63,LEN($A63)-1)&amp;"'!$H$13:$J$41"),MATCH(Y$1,INDIRECT("'"&amp;LEFT($A63,LEN($A63)-1)&amp;"'!$A$13:$A$41"),0),VALUE(RIGHT($A63,1)))="NO",0,"?"))</f>
        <v>?</v>
      </c>
      <c r="Z63" s="83" t="str">
        <f aca="true">IF(INDEX(INDIRECT("'"&amp;LEFT($A63,LEN($A63)-1)&amp;"'!$H$13:$J$41"),MATCH(Z$1,INDIRECT("'"&amp;LEFT($A63,LEN($A63)-1)&amp;"'!$A$13:$A$41"),0),VALUE(RIGHT($A63,1)))="YES",$H63,IF(INDEX(INDIRECT("'"&amp;LEFT($A63,LEN($A63)-1)&amp;"'!$H$13:$J$41"),MATCH(Z$1,INDIRECT("'"&amp;LEFT($A63,LEN($A63)-1)&amp;"'!$A$13:$A$41"),0),VALUE(RIGHT($A63,1)))="NO",0,"?"))</f>
        <v>?</v>
      </c>
      <c r="AA63" s="83" t="str">
        <f aca="true">IF(INDEX(INDIRECT("'"&amp;LEFT($A63,LEN($A63)-1)&amp;"'!$H$13:$J$41"),MATCH(AA$1,INDIRECT("'"&amp;LEFT($A63,LEN($A63)-1)&amp;"'!$A$13:$A$41"),0),VALUE(RIGHT($A63,1)))="YES",$H63,IF(INDEX(INDIRECT("'"&amp;LEFT($A63,LEN($A63)-1)&amp;"'!$H$13:$J$41"),MATCH(AA$1,INDIRECT("'"&amp;LEFT($A63,LEN($A63)-1)&amp;"'!$A$13:$A$41"),0),VALUE(RIGHT($A63,1)))="NO",0,"?"))</f>
        <v>?</v>
      </c>
      <c r="AB63" s="83" t="str">
        <f aca="true">IF(INDEX(INDIRECT("'"&amp;LEFT($A63,LEN($A63)-1)&amp;"'!$H$13:$J$41"),MATCH(AB$1,INDIRECT("'"&amp;LEFT($A63,LEN($A63)-1)&amp;"'!$A$13:$A$41"),0),VALUE(RIGHT($A63,1)))="YES",$H63,IF(INDEX(INDIRECT("'"&amp;LEFT($A63,LEN($A63)-1)&amp;"'!$H$13:$J$41"),MATCH(AB$1,INDIRECT("'"&amp;LEFT($A63,LEN($A63)-1)&amp;"'!$A$13:$A$41"),0),VALUE(RIGHT($A63,1)))="NO",0,"?"))</f>
        <v>?</v>
      </c>
      <c r="AC63" s="83" t="str">
        <f aca="true">IF(INDEX(INDIRECT("'"&amp;LEFT($A63,LEN($A63)-1)&amp;"'!$H$13:$J$41"),MATCH(AC$1,INDIRECT("'"&amp;LEFT($A63,LEN($A63)-1)&amp;"'!$A$13:$A$41"),0),VALUE(RIGHT($A63,1)))="YES",$H63,IF(INDEX(INDIRECT("'"&amp;LEFT($A63,LEN($A63)-1)&amp;"'!$H$13:$J$41"),MATCH(AC$1,INDIRECT("'"&amp;LEFT($A63,LEN($A63)-1)&amp;"'!$A$13:$A$41"),0),VALUE(RIGHT($A63,1)))="NO",0,"?"))</f>
        <v>?</v>
      </c>
      <c r="AD63" s="83" t="str">
        <f aca="true">IF(INDEX(INDIRECT("'"&amp;LEFT($A63,LEN($A63)-1)&amp;"'!$H$13:$J$41"),MATCH(AD$1,INDIRECT("'"&amp;LEFT($A63,LEN($A63)-1)&amp;"'!$A$13:$A$41"),0),VALUE(RIGHT($A63,1)))="YES",$H63,IF(INDEX(INDIRECT("'"&amp;LEFT($A63,LEN($A63)-1)&amp;"'!$H$13:$J$41"),MATCH(AD$1,INDIRECT("'"&amp;LEFT($A63,LEN($A63)-1)&amp;"'!$A$13:$A$41"),0),VALUE(RIGHT($A63,1)))="NO",0,"?"))</f>
        <v>?</v>
      </c>
      <c r="AE63" s="83" t="str">
        <f aca="true">IF(INDEX(INDIRECT("'"&amp;LEFT($A63,LEN($A63)-1)&amp;"'!$H$13:$J$41"),MATCH(AE$1,INDIRECT("'"&amp;LEFT($A63,LEN($A63)-1)&amp;"'!$A$13:$A$41"),0),VALUE(RIGHT($A63,1)))="YES",$H63,IF(INDEX(INDIRECT("'"&amp;LEFT($A63,LEN($A63)-1)&amp;"'!$H$13:$J$41"),MATCH(AE$1,INDIRECT("'"&amp;LEFT($A63,LEN($A63)-1)&amp;"'!$A$13:$A$41"),0),VALUE(RIGHT($A63,1)))="NO",0,"?"))</f>
        <v>?</v>
      </c>
      <c r="AF63" s="83" t="str">
        <f aca="true">IF(INDEX(INDIRECT("'"&amp;LEFT($A63,LEN($A63)-1)&amp;"'!$H$13:$J$41"),MATCH(AF$1,INDIRECT("'"&amp;LEFT($A63,LEN($A63)-1)&amp;"'!$A$13:$A$41"),0),VALUE(RIGHT($A63,1)))="YES",$H63,IF(INDEX(INDIRECT("'"&amp;LEFT($A63,LEN($A63)-1)&amp;"'!$H$13:$J$41"),MATCH(AF$1,INDIRECT("'"&amp;LEFT($A63,LEN($A63)-1)&amp;"'!$A$13:$A$41"),0),VALUE(RIGHT($A63,1)))="NO",0,"?"))</f>
        <v>?</v>
      </c>
      <c r="AG63" s="83" t="str">
        <f aca="true">IF(INDEX(INDIRECT("'"&amp;LEFT($A63,LEN($A63)-1)&amp;"'!$H$13:$J$41"),MATCH(AG$1,INDIRECT("'"&amp;LEFT($A63,LEN($A63)-1)&amp;"'!$A$13:$A$41"),0),VALUE(RIGHT($A63,1)))="YES",$H63,IF(INDEX(INDIRECT("'"&amp;LEFT($A63,LEN($A63)-1)&amp;"'!$H$13:$J$41"),MATCH(AG$1,INDIRECT("'"&amp;LEFT($A63,LEN($A63)-1)&amp;"'!$A$13:$A$41"),0),VALUE(RIGHT($A63,1)))="NO",0,"?"))</f>
        <v>?</v>
      </c>
      <c r="AH63" s="83" t="str">
        <f aca="true">IF(INDEX(INDIRECT("'"&amp;LEFT($A63,LEN($A63)-1)&amp;"'!$H$13:$J$41"),MATCH(AH$1,INDIRECT("'"&amp;LEFT($A63,LEN($A63)-1)&amp;"'!$A$13:$A$41"),0),VALUE(RIGHT($A63,1)))="YES",$H63,IF(INDEX(INDIRECT("'"&amp;LEFT($A63,LEN($A63)-1)&amp;"'!$H$13:$J$41"),MATCH(AH$1,INDIRECT("'"&amp;LEFT($A63,LEN($A63)-1)&amp;"'!$A$13:$A$41"),0),VALUE(RIGHT($A63,1)))="NO",0,"?"))</f>
        <v>?</v>
      </c>
      <c r="AI63" s="83" t="str">
        <f aca="true">IF(INDEX(INDIRECT("'"&amp;LEFT($A63,LEN($A63)-1)&amp;"'!$H$13:$J$41"),MATCH(AI$1,INDIRECT("'"&amp;LEFT($A63,LEN($A63)-1)&amp;"'!$A$13:$A$41"),0),VALUE(RIGHT($A63,1)))="YES",$H63,IF(INDEX(INDIRECT("'"&amp;LEFT($A63,LEN($A63)-1)&amp;"'!$H$13:$J$41"),MATCH(AI$1,INDIRECT("'"&amp;LEFT($A63,LEN($A63)-1)&amp;"'!$A$13:$A$41"),0),VALUE(RIGHT($A63,1)))="NO",0,"?"))</f>
        <v>?</v>
      </c>
      <c r="AJ63" s="83" t="str">
        <f aca="true">IF(INDEX(INDIRECT("'"&amp;LEFT($A63,LEN($A63)-1)&amp;"'!$H$13:$J$41"),MATCH(AJ$1,INDIRECT("'"&amp;LEFT($A63,LEN($A63)-1)&amp;"'!$A$13:$A$41"),0),VALUE(RIGHT($A63,1)))="YES",$H63,IF(INDEX(INDIRECT("'"&amp;LEFT($A63,LEN($A63)-1)&amp;"'!$H$13:$J$41"),MATCH(AJ$1,INDIRECT("'"&amp;LEFT($A63,LEN($A63)-1)&amp;"'!$A$13:$A$41"),0),VALUE(RIGHT($A63,1)))="NO",0,"?"))</f>
        <v>?</v>
      </c>
      <c r="AK63" s="83" t="str">
        <f aca="true">IF(INDEX(INDIRECT("'"&amp;LEFT($A63,LEN($A63)-1)&amp;"'!$H$13:$J$41"),MATCH(AK$1,INDIRECT("'"&amp;LEFT($A63,LEN($A63)-1)&amp;"'!$A$13:$A$41"),0),VALUE(RIGHT($A63,1)))="YES",$H63,IF(INDEX(INDIRECT("'"&amp;LEFT($A63,LEN($A63)-1)&amp;"'!$H$13:$J$41"),MATCH(AK$1,INDIRECT("'"&amp;LEFT($A63,LEN($A63)-1)&amp;"'!$A$13:$A$41"),0),VALUE(RIGHT($A63,1)))="NO",0,"?"))</f>
        <v>?</v>
      </c>
    </row>
    <row r="64" customFormat="false" ht="14.25" hidden="false" customHeight="false" outlineLevel="0" collapsed="false">
      <c r="A64" s="79" t="s">
        <v>648</v>
      </c>
      <c r="B64" s="80" t="str">
        <f aca="false">IF(ISBLANK($A64),"NO_CODE",VLOOKUP($A64,'UPD Questions_290926 '!$E$1:$N$300,MATCH(B$1,'UPD Questions_290926 '!$E$1:$N$1,0),0)&amp;"")</f>
        <v>Implementation</v>
      </c>
      <c r="C64" s="80" t="str">
        <f aca="false">IF(ISBLANK($A64),"NO_CODE",VLOOKUP($A64,'UPD Questions_290926 '!$E$1:$N$300,MATCH(C$1,'UPD Questions_290926 '!$E$1:$N$1,0),0)&amp;"")</f>
        <v>Sectoral planning</v>
      </c>
      <c r="D64" s="80" t="str">
        <f aca="false">IF(ISBLANK($A64),"NO_CODE",VLOOKUP($A64,'UPD Questions_290926 '!$E$1:$N$300,MATCH(D$1,'UPD Questions_290926 '!$E$1:$N$1,0),0)&amp;"")</f>
        <v>Sustainability, resilience and climate action</v>
      </c>
      <c r="E64" s="80" t="str">
        <f aca="false">IF(ISBLANK($A64),"NO_CODE",VLOOKUP($A64,'UPD Questions_290926 '!$E$1:$N$300,MATCH(E$1,'UPD Questions_290926 '!$E$1:$N$1,0),0)&amp;"")</f>
        <v>MQ</v>
      </c>
      <c r="F64" s="80" t="str">
        <f aca="false">IF(ISBLANK($A64),"NO_CODE",VLOOKUP($A64,'UPD Questions_290926 '!$E$1:$N$300,MATCH(F$1,'UPD Questions_290926 '!$E$1:$N$1,0),0)&amp;"")</f>
        <v>Does your city have a Sustainability/ Resilience Strategy/Climate Action Plan that clearly articulates development priorities, measurable objectives, and the roles and responsibilities of the ULG?</v>
      </c>
      <c r="G64" s="80" t="str">
        <f aca="false">IF(ISBLANK($A64),"NO_CODE",VLOOKUP($A64,'UPD Questions_290926 '!$E$1:$N$300,MATCH(G$1,'UPD Questions_290926 '!$E$1:$N$1,0),0)&amp;"")</f>
        <v>Implementation</v>
      </c>
      <c r="H64" s="82" t="n">
        <f aca="false">IF(ISBLANK($A64),"NO_CODE",VLOOKUP($A64,'UPD Questions_290926 '!$E$1:$N$300,MATCH(H$1,'UPD Questions_290926 '!$E$1:$N$1,0),0))</f>
        <v>10</v>
      </c>
      <c r="I64" s="83" t="str">
        <f aca="false">IF(OR(I65="ER",I66="ER",I67="ER"),"ER",IF(OR(I65="?",I66="?",I67="?"),"?",IF(AND(I65="NA",I66="NA",I67="NA"),"NA",SUM(I65,I66,I67)/((I65&lt;&gt;"NA")*$H$65+(I66&lt;&gt;"NA")*$H$66+(I67&lt;&gt;"NA")*$H$67)*$H64)))</f>
        <v>?</v>
      </c>
      <c r="J64" s="83" t="n">
        <f aca="false">IF(OR(J65="ER",J66="ER",J67="ER"),"ER",IF(OR(J65="?",J66="?",J67="?"),"?",IF(AND(J65="NA",J66="NA",J67="NA"),"NA",SUM(J65,J66,J67)/((J65&lt;&gt;"NA")*$H$65+(J66&lt;&gt;"NA")*$H$66+(J67&lt;&gt;"NA")*$H$67)*$H64)))</f>
        <v>10</v>
      </c>
      <c r="K64" s="83" t="str">
        <f aca="false">IF(OR(K65="ER",K66="ER",K67="ER"),"ER",IF(OR(K65="?",K66="?",K67="?"),"?",IF(AND(K65="NA",K66="NA",K67="NA"),"NA",SUM(K65,K66,K67)/((K65&lt;&gt;"NA")*$H$65+(K66&lt;&gt;"NA")*$H$66+(K67&lt;&gt;"NA")*$H$67)*$H64)))</f>
        <v>?</v>
      </c>
      <c r="L64" s="83" t="str">
        <f aca="false">IF(OR(L65="ER",L66="ER",L67="ER"),"ER",IF(OR(L65="?",L66="?",L67="?"),"?",IF(AND(L65="NA",L66="NA",L67="NA"),"NA",SUM(L65,L66,L67)/((L65&lt;&gt;"NA")*$H$65+(L66&lt;&gt;"NA")*$H$66+(L67&lt;&gt;"NA")*$H$67)*$H64)))</f>
        <v>?</v>
      </c>
      <c r="M64" s="83" t="str">
        <f aca="false">IF(OR(M65="ER",M66="ER",M67="ER"),"ER",IF(OR(M65="?",M66="?",M67="?"),"?",IF(AND(M65="NA",M66="NA",M67="NA"),"NA",SUM(M65,M66,M67)/((M65&lt;&gt;"NA")*$H$65+(M66&lt;&gt;"NA")*$H$66+(M67&lt;&gt;"NA")*$H$67)*$H64)))</f>
        <v>?</v>
      </c>
      <c r="N64" s="83" t="str">
        <f aca="false">IF(OR(N65="ER",N66="ER",N67="ER"),"ER",IF(OR(N65="?",N66="?",N67="?"),"?",IF(AND(N65="NA",N66="NA",N67="NA"),"NA",SUM(N65,N66,N67)/((N65&lt;&gt;"NA")*$H$65+(N66&lt;&gt;"NA")*$H$66+(N67&lt;&gt;"NA")*$H$67)*$H64)))</f>
        <v>?</v>
      </c>
      <c r="O64" s="83" t="str">
        <f aca="false">IF(OR(O65="ER",O66="ER",O67="ER"),"ER",IF(OR(O65="?",O66="?",O67="?"),"?",IF(AND(O65="NA",O66="NA",O67="NA"),"NA",SUM(O65,O66,O67)/((O65&lt;&gt;"NA")*$H$65+(O66&lt;&gt;"NA")*$H$66+(O67&lt;&gt;"NA")*$H$67)*$H64)))</f>
        <v>?</v>
      </c>
      <c r="P64" s="83" t="str">
        <f aca="false">IF(OR(P65="ER",P66="ER",P67="ER"),"ER",IF(OR(P65="?",P66="?",P67="?"),"?",IF(AND(P65="NA",P66="NA",P67="NA"),"NA",SUM(P65,P66,P67)/((P65&lt;&gt;"NA")*$H$65+(P66&lt;&gt;"NA")*$H$66+(P67&lt;&gt;"NA")*$H$67)*$H64)))</f>
        <v>?</v>
      </c>
      <c r="Q64" s="83" t="str">
        <f aca="false">IF(OR(Q65="ER",Q66="ER",Q67="ER"),"ER",IF(OR(Q65="?",Q66="?",Q67="?"),"?",IF(AND(Q65="NA",Q66="NA",Q67="NA"),"NA",SUM(Q65,Q66,Q67)/((Q65&lt;&gt;"NA")*$H$65+(Q66&lt;&gt;"NA")*$H$66+(Q67&lt;&gt;"NA")*$H$67)*$H64)))</f>
        <v>?</v>
      </c>
      <c r="R64" s="83" t="str">
        <f aca="false">IF(OR(R65="ER",R66="ER",R67="ER"),"ER",IF(OR(R65="?",R66="?",R67="?"),"?",IF(AND(R65="NA",R66="NA",R67="NA"),"NA",SUM(R65,R66,R67)/((R65&lt;&gt;"NA")*$H$65+(R66&lt;&gt;"NA")*$H$66+(R67&lt;&gt;"NA")*$H$67)*$H64)))</f>
        <v>?</v>
      </c>
      <c r="S64" s="83" t="str">
        <f aca="false">IF(OR(S65="ER",S66="ER",S67="ER"),"ER",IF(OR(S65="?",S66="?",S67="?"),"?",IF(AND(S65="NA",S66="NA",S67="NA"),"NA",SUM(S65,S66,S67)/((S65&lt;&gt;"NA")*$H$65+(S66&lt;&gt;"NA")*$H$66+(S67&lt;&gt;"NA")*$H$67)*$H64)))</f>
        <v>?</v>
      </c>
      <c r="T64" s="83" t="str">
        <f aca="false">IF(OR(T65="ER",T66="ER",T67="ER"),"ER",IF(OR(T65="?",T66="?",T67="?"),"?",IF(AND(T65="NA",T66="NA",T67="NA"),"NA",SUM(T65,T66,T67)/((T65&lt;&gt;"NA")*$H$65+(T66&lt;&gt;"NA")*$H$66+(T67&lt;&gt;"NA")*$H$67)*$H64)))</f>
        <v>?</v>
      </c>
      <c r="U64" s="83" t="str">
        <f aca="false">IF(OR(U65="ER",U66="ER",U67="ER"),"ER",IF(OR(U65="?",U66="?",U67="?"),"?",IF(AND(U65="NA",U66="NA",U67="NA"),"NA",SUM(U65,U66,U67)/((U65&lt;&gt;"NA")*$H$65+(U66&lt;&gt;"NA")*$H$66+(U67&lt;&gt;"NA")*$H$67)*$H64)))</f>
        <v>?</v>
      </c>
      <c r="V64" s="83" t="str">
        <f aca="false">IF(OR(V65="ER",V66="ER",V67="ER"),"ER",IF(OR(V65="?",V66="?",V67="?"),"?",IF(AND(V65="NA",V66="NA",V67="NA"),"NA",SUM(V65,V66,V67)/((V65&lt;&gt;"NA")*$H$65+(V66&lt;&gt;"NA")*$H$66+(V67&lt;&gt;"NA")*$H$67)*$H64)))</f>
        <v>?</v>
      </c>
      <c r="W64" s="83" t="str">
        <f aca="false">IF(OR(W65="ER",W66="ER",W67="ER"),"ER",IF(OR(W65="?",W66="?",W67="?"),"?",IF(AND(W65="NA",W66="NA",W67="NA"),"NA",SUM(W65,W66,W67)/((W65&lt;&gt;"NA")*$H$65+(W66&lt;&gt;"NA")*$H$66+(W67&lt;&gt;"NA")*$H$67)*$H64)))</f>
        <v>?</v>
      </c>
      <c r="X64" s="83" t="str">
        <f aca="false">IF(OR(X65="ER",X66="ER",X67="ER"),"ER",IF(OR(X65="?",X66="?",X67="?"),"?",IF(AND(X65="NA",X66="NA",X67="NA"),"NA",SUM(X65,X66,X67)/((X65&lt;&gt;"NA")*$H$65+(X66&lt;&gt;"NA")*$H$66+(X67&lt;&gt;"NA")*$H$67)*$H64)))</f>
        <v>?</v>
      </c>
      <c r="Y64" s="83" t="str">
        <f aca="false">IF(OR(Y65="ER",Y66="ER",Y67="ER"),"ER",IF(OR(Y65="?",Y66="?",Y67="?"),"?",IF(AND(Y65="NA",Y66="NA",Y67="NA"),"NA",SUM(Y65,Y66,Y67)/((Y65&lt;&gt;"NA")*$H$65+(Y66&lt;&gt;"NA")*$H$66+(Y67&lt;&gt;"NA")*$H$67)*$H64)))</f>
        <v>?</v>
      </c>
      <c r="Z64" s="83" t="str">
        <f aca="false">IF(OR(Z65="ER",Z66="ER",Z67="ER"),"ER",IF(OR(Z65="?",Z66="?",Z67="?"),"?",IF(AND(Z65="NA",Z66="NA",Z67="NA"),"NA",SUM(Z65,Z66,Z67)/((Z65&lt;&gt;"NA")*$H$65+(Z66&lt;&gt;"NA")*$H$66+(Z67&lt;&gt;"NA")*$H$67)*$H64)))</f>
        <v>?</v>
      </c>
      <c r="AA64" s="83" t="str">
        <f aca="false">IF(OR(AA65="ER",AA66="ER",AA67="ER"),"ER",IF(OR(AA65="?",AA66="?",AA67="?"),"?",IF(AND(AA65="NA",AA66="NA",AA67="NA"),"NA",SUM(AA65,AA66,AA67)/((AA65&lt;&gt;"NA")*$H$65+(AA66&lt;&gt;"NA")*$H$66+(AA67&lt;&gt;"NA")*$H$67)*$H64)))</f>
        <v>?</v>
      </c>
      <c r="AB64" s="83" t="str">
        <f aca="false">IF(OR(AB65="ER",AB66="ER",AB67="ER"),"ER",IF(OR(AB65="?",AB66="?",AB67="?"),"?",IF(AND(AB65="NA",AB66="NA",AB67="NA"),"NA",SUM(AB65,AB66,AB67)/((AB65&lt;&gt;"NA")*$H$65+(AB66&lt;&gt;"NA")*$H$66+(AB67&lt;&gt;"NA")*$H$67)*$H64)))</f>
        <v>?</v>
      </c>
      <c r="AC64" s="83" t="str">
        <f aca="false">IF(OR(AC65="ER",AC66="ER",AC67="ER"),"ER",IF(OR(AC65="?",AC66="?",AC67="?"),"?",IF(AND(AC65="NA",AC66="NA",AC67="NA"),"NA",SUM(AC65,AC66,AC67)/((AC65&lt;&gt;"NA")*$H$65+(AC66&lt;&gt;"NA")*$H$66+(AC67&lt;&gt;"NA")*$H$67)*$H64)))</f>
        <v>?</v>
      </c>
      <c r="AD64" s="83" t="str">
        <f aca="false">IF(OR(AD65="ER",AD66="ER",AD67="ER"),"ER",IF(OR(AD65="?",AD66="?",AD67="?"),"?",IF(AND(AD65="NA",AD66="NA",AD67="NA"),"NA",SUM(AD65,AD66,AD67)/((AD65&lt;&gt;"NA")*$H$65+(AD66&lt;&gt;"NA")*$H$66+(AD67&lt;&gt;"NA")*$H$67)*$H64)))</f>
        <v>?</v>
      </c>
      <c r="AE64" s="83" t="str">
        <f aca="false">IF(OR(AE65="ER",AE66="ER",AE67="ER"),"ER",IF(OR(AE65="?",AE66="?",AE67="?"),"?",IF(AND(AE65="NA",AE66="NA",AE67="NA"),"NA",SUM(AE65,AE66,AE67)/((AE65&lt;&gt;"NA")*$H$65+(AE66&lt;&gt;"NA")*$H$66+(AE67&lt;&gt;"NA")*$H$67)*$H64)))</f>
        <v>?</v>
      </c>
      <c r="AF64" s="83" t="str">
        <f aca="false">IF(OR(AF65="ER",AF66="ER",AF67="ER"),"ER",IF(OR(AF65="?",AF66="?",AF67="?"),"?",IF(AND(AF65="NA",AF66="NA",AF67="NA"),"NA",SUM(AF65,AF66,AF67)/((AF65&lt;&gt;"NA")*$H$65+(AF66&lt;&gt;"NA")*$H$66+(AF67&lt;&gt;"NA")*$H$67)*$H64)))</f>
        <v>?</v>
      </c>
      <c r="AG64" s="83" t="str">
        <f aca="false">IF(OR(AG65="ER",AG66="ER",AG67="ER"),"ER",IF(OR(AG65="?",AG66="?",AG67="?"),"?",IF(AND(AG65="NA",AG66="NA",AG67="NA"),"NA",SUM(AG65,AG66,AG67)/((AG65&lt;&gt;"NA")*$H$65+(AG66&lt;&gt;"NA")*$H$66+(AG67&lt;&gt;"NA")*$H$67)*$H64)))</f>
        <v>?</v>
      </c>
      <c r="AH64" s="83" t="str">
        <f aca="false">IF(OR(AH65="ER",AH66="ER",AH67="ER"),"ER",IF(OR(AH65="?",AH66="?",AH67="?"),"?",IF(AND(AH65="NA",AH66="NA",AH67="NA"),"NA",SUM(AH65,AH66,AH67)/((AH65&lt;&gt;"NA")*$H$65+(AH66&lt;&gt;"NA")*$H$66+(AH67&lt;&gt;"NA")*$H$67)*$H64)))</f>
        <v>?</v>
      </c>
      <c r="AI64" s="83" t="str">
        <f aca="false">IF(OR(AI65="ER",AI66="ER",AI67="ER"),"ER",IF(OR(AI65="?",AI66="?",AI67="?"),"?",IF(AND(AI65="NA",AI66="NA",AI67="NA"),"NA",SUM(AI65,AI66,AI67)/((AI65&lt;&gt;"NA")*$H$65+(AI66&lt;&gt;"NA")*$H$66+(AI67&lt;&gt;"NA")*$H$67)*$H64)))</f>
        <v>?</v>
      </c>
      <c r="AJ64" s="83" t="str">
        <f aca="false">IF(OR(AJ65="ER",AJ66="ER",AJ67="ER"),"ER",IF(OR(AJ65="?",AJ66="?",AJ67="?"),"?",IF(AND(AJ65="NA",AJ66="NA",AJ67="NA"),"NA",SUM(AJ65,AJ66,AJ67)/((AJ65&lt;&gt;"NA")*$H$65+(AJ66&lt;&gt;"NA")*$H$66+(AJ67&lt;&gt;"NA")*$H$67)*$H64)))</f>
        <v>?</v>
      </c>
      <c r="AK64" s="83" t="str">
        <f aca="false">IF(OR(AK65="ER",AK66="ER",AK67="ER"),"ER",IF(OR(AK65="?",AK66="?",AK67="?"),"?",IF(AND(AK65="NA",AK66="NA",AK67="NA"),"NA",SUM(AK65,AK66,AK67)/((AK65&lt;&gt;"NA")*$H$65+(AK66&lt;&gt;"NA")*$H$66+(AK67&lt;&gt;"NA")*$H$67)*$H64)))</f>
        <v>?</v>
      </c>
    </row>
    <row r="65" customFormat="false" ht="14.25" hidden="false" customHeight="false" outlineLevel="0" collapsed="false">
      <c r="A65" s="79" t="s">
        <v>231</v>
      </c>
      <c r="B65" s="80" t="str">
        <f aca="false">IF(ISBLANK($A65),"NO_CODE",VLOOKUP($A65,'UPD Questions_290926 '!$E$1:$N$300,MATCH(B$1,'UPD Questions_290926 '!$E$1:$N$1,0),0)&amp;"")</f>
        <v>Implementation</v>
      </c>
      <c r="C65" s="80" t="str">
        <f aca="false">IF(ISBLANK($A65),"NO_CODE",VLOOKUP($A65,'UPD Questions_290926 '!$E$1:$N$300,MATCH(C$1,'UPD Questions_290926 '!$E$1:$N$1,0),0)&amp;"")</f>
        <v>Sectoral planning</v>
      </c>
      <c r="D65" s="80" t="str">
        <f aca="false">IF(ISBLANK($A65),"NO_CODE",VLOOKUP($A65,'UPD Questions_290926 '!$E$1:$N$300,MATCH(D$1,'UPD Questions_290926 '!$E$1:$N$1,0),0)&amp;"")</f>
        <v>Sustainability, resilience and climate action</v>
      </c>
      <c r="E65" s="80" t="str">
        <f aca="false">IF(ISBLANK($A65),"NO_CODE",VLOOKUP($A65,'UPD Questions_290926 '!$E$1:$N$300,MATCH(E$1,'UPD Questions_290926 '!$E$1:$N$1,0),0)&amp;"")</f>
        <v>SQ</v>
      </c>
      <c r="F65" s="80" t="str">
        <f aca="false">IF(ISBLANK($A65),"NO_CODE",VLOOKUP($A65,'UPD Questions_290926 '!$E$1:$N$300,MATCH(F$1,'UPD Questions_290926 '!$E$1:$N$1,0),0)&amp;"")</f>
        <v>Does the city have a notified and active Sustainability/Resilience Strategy?</v>
      </c>
      <c r="G65" s="80" t="str">
        <f aca="false">IF(ISBLANK($A65),"NO_CODE",VLOOKUP($A65,'UPD Questions_290926 '!$E$1:$N$300,MATCH(G$1,'UPD Questions_290926 '!$E$1:$N$1,0),0)&amp;"")</f>
        <v>Implementation</v>
      </c>
      <c r="H65" s="82" t="n">
        <f aca="false">IF(ISBLANK($A65),"NO_CODE",VLOOKUP($A65,'UPD Questions_290926 '!$E$1:$N$300,MATCH(H$1,'UPD Questions_290926 '!$E$1:$N$1,0),0))</f>
        <v>3.33</v>
      </c>
      <c r="I65" s="83" t="str">
        <f aca="true">IF($H65=0,"NA",IF($A65=INDIRECT("'"&amp;$A65&amp;"'!$B$1"),IF(VLOOKUP(I$1,INDIRECT("'"&amp;$A65&amp;"'!$A$12:$Z$41"),MATCH("Points (Auto-generate)",INDIRECT("'"&amp;$A65&amp;"'!$A$12:$Z$12"),0),0)="","?",VLOOKUP(I$1,INDIRECT("'"&amp;$A65&amp;"'!$A$12:$Z$41"),MATCH("Points (Auto-generate)",INDIRECT("'"&amp;$A65&amp;"'!$A$12:$Z$12"),0),0)),"ER"))</f>
        <v>?</v>
      </c>
      <c r="J65" s="83" t="n">
        <f aca="true">IF($H65=0,"NA",IF($A65=INDIRECT("'"&amp;$A65&amp;"'!$B$1"),IF(VLOOKUP(J$1,INDIRECT("'"&amp;$A65&amp;"'!$A$12:$Z$41"),MATCH("Points (Auto-generate)",INDIRECT("'"&amp;$A65&amp;"'!$A$12:$Z$12"),0),0)="","?",VLOOKUP(J$1,INDIRECT("'"&amp;$A65&amp;"'!$A$12:$Z$41"),MATCH("Points (Auto-generate)",INDIRECT("'"&amp;$A65&amp;"'!$A$12:$Z$12"),0),0)),"ER"))</f>
        <v>3.33</v>
      </c>
      <c r="K65" s="83" t="str">
        <f aca="true">IF($H65=0,"NA",IF($A65=INDIRECT("'"&amp;$A65&amp;"'!$B$1"),IF(VLOOKUP(K$1,INDIRECT("'"&amp;$A65&amp;"'!$A$12:$Z$41"),MATCH("Points (Auto-generate)",INDIRECT("'"&amp;$A65&amp;"'!$A$12:$Z$12"),0),0)="","?",VLOOKUP(K$1,INDIRECT("'"&amp;$A65&amp;"'!$A$12:$Z$41"),MATCH("Points (Auto-generate)",INDIRECT("'"&amp;$A65&amp;"'!$A$12:$Z$12"),0),0)),"ER"))</f>
        <v>?</v>
      </c>
      <c r="L65" s="83" t="str">
        <f aca="true">IF($H65=0,"NA",IF($A65=INDIRECT("'"&amp;$A65&amp;"'!$B$1"),IF(VLOOKUP(L$1,INDIRECT("'"&amp;$A65&amp;"'!$A$12:$Z$41"),MATCH("Points (Auto-generate)",INDIRECT("'"&amp;$A65&amp;"'!$A$12:$Z$12"),0),0)="","?",VLOOKUP(L$1,INDIRECT("'"&amp;$A65&amp;"'!$A$12:$Z$41"),MATCH("Points (Auto-generate)",INDIRECT("'"&amp;$A65&amp;"'!$A$12:$Z$12"),0),0)),"ER"))</f>
        <v>?</v>
      </c>
      <c r="M65" s="83" t="str">
        <f aca="true">IF($H65=0,"NA",IF($A65=INDIRECT("'"&amp;$A65&amp;"'!$B$1"),IF(VLOOKUP(M$1,INDIRECT("'"&amp;$A65&amp;"'!$A$12:$Z$41"),MATCH("Points (Auto-generate)",INDIRECT("'"&amp;$A65&amp;"'!$A$12:$Z$12"),0),0)="","?",VLOOKUP(M$1,INDIRECT("'"&amp;$A65&amp;"'!$A$12:$Z$41"),MATCH("Points (Auto-generate)",INDIRECT("'"&amp;$A65&amp;"'!$A$12:$Z$12"),0),0)),"ER"))</f>
        <v>?</v>
      </c>
      <c r="N65" s="83" t="str">
        <f aca="true">IF($H65=0,"NA",IF($A65=INDIRECT("'"&amp;$A65&amp;"'!$B$1"),IF(VLOOKUP(N$1,INDIRECT("'"&amp;$A65&amp;"'!$A$12:$Z$41"),MATCH("Points (Auto-generate)",INDIRECT("'"&amp;$A65&amp;"'!$A$12:$Z$12"),0),0)="","?",VLOOKUP(N$1,INDIRECT("'"&amp;$A65&amp;"'!$A$12:$Z$41"),MATCH("Points (Auto-generate)",INDIRECT("'"&amp;$A65&amp;"'!$A$12:$Z$12"),0),0)),"ER"))</f>
        <v>?</v>
      </c>
      <c r="O65" s="83" t="str">
        <f aca="true">IF($H65=0,"NA",IF($A65=INDIRECT("'"&amp;$A65&amp;"'!$B$1"),IF(VLOOKUP(O$1,INDIRECT("'"&amp;$A65&amp;"'!$A$12:$Z$41"),MATCH("Points (Auto-generate)",INDIRECT("'"&amp;$A65&amp;"'!$A$12:$Z$12"),0),0)="","?",VLOOKUP(O$1,INDIRECT("'"&amp;$A65&amp;"'!$A$12:$Z$41"),MATCH("Points (Auto-generate)",INDIRECT("'"&amp;$A65&amp;"'!$A$12:$Z$12"),0),0)),"ER"))</f>
        <v>?</v>
      </c>
      <c r="P65" s="83" t="str">
        <f aca="true">IF($H65=0,"NA",IF($A65=INDIRECT("'"&amp;$A65&amp;"'!$B$1"),IF(VLOOKUP(P$1,INDIRECT("'"&amp;$A65&amp;"'!$A$12:$Z$41"),MATCH("Points (Auto-generate)",INDIRECT("'"&amp;$A65&amp;"'!$A$12:$Z$12"),0),0)="","?",VLOOKUP(P$1,INDIRECT("'"&amp;$A65&amp;"'!$A$12:$Z$41"),MATCH("Points (Auto-generate)",INDIRECT("'"&amp;$A65&amp;"'!$A$12:$Z$12"),0),0)),"ER"))</f>
        <v>?</v>
      </c>
      <c r="Q65" s="83" t="str">
        <f aca="true">IF($H65=0,"NA",IF($A65=INDIRECT("'"&amp;$A65&amp;"'!$B$1"),IF(VLOOKUP(Q$1,INDIRECT("'"&amp;$A65&amp;"'!$A$12:$Z$41"),MATCH("Points (Auto-generate)",INDIRECT("'"&amp;$A65&amp;"'!$A$12:$Z$12"),0),0)="","?",VLOOKUP(Q$1,INDIRECT("'"&amp;$A65&amp;"'!$A$12:$Z$41"),MATCH("Points (Auto-generate)",INDIRECT("'"&amp;$A65&amp;"'!$A$12:$Z$12"),0),0)),"ER"))</f>
        <v>?</v>
      </c>
      <c r="R65" s="83" t="str">
        <f aca="true">IF($H65=0,"NA",IF($A65=INDIRECT("'"&amp;$A65&amp;"'!$B$1"),IF(VLOOKUP(R$1,INDIRECT("'"&amp;$A65&amp;"'!$A$12:$Z$41"),MATCH("Points (Auto-generate)",INDIRECT("'"&amp;$A65&amp;"'!$A$12:$Z$12"),0),0)="","?",VLOOKUP(R$1,INDIRECT("'"&amp;$A65&amp;"'!$A$12:$Z$41"),MATCH("Points (Auto-generate)",INDIRECT("'"&amp;$A65&amp;"'!$A$12:$Z$12"),0),0)),"ER"))</f>
        <v>?</v>
      </c>
      <c r="S65" s="83" t="str">
        <f aca="true">IF($H65=0,"NA",IF($A65=INDIRECT("'"&amp;$A65&amp;"'!$B$1"),IF(VLOOKUP(S$1,INDIRECT("'"&amp;$A65&amp;"'!$A$12:$Z$41"),MATCH("Points (Auto-generate)",INDIRECT("'"&amp;$A65&amp;"'!$A$12:$Z$12"),0),0)="","?",VLOOKUP(S$1,INDIRECT("'"&amp;$A65&amp;"'!$A$12:$Z$41"),MATCH("Points (Auto-generate)",INDIRECT("'"&amp;$A65&amp;"'!$A$12:$Z$12"),0),0)),"ER"))</f>
        <v>?</v>
      </c>
      <c r="T65" s="83" t="str">
        <f aca="true">IF($H65=0,"NA",IF($A65=INDIRECT("'"&amp;$A65&amp;"'!$B$1"),IF(VLOOKUP(T$1,INDIRECT("'"&amp;$A65&amp;"'!$A$12:$Z$41"),MATCH("Points (Auto-generate)",INDIRECT("'"&amp;$A65&amp;"'!$A$12:$Z$12"),0),0)="","?",VLOOKUP(T$1,INDIRECT("'"&amp;$A65&amp;"'!$A$12:$Z$41"),MATCH("Points (Auto-generate)",INDIRECT("'"&amp;$A65&amp;"'!$A$12:$Z$12"),0),0)),"ER"))</f>
        <v>?</v>
      </c>
      <c r="U65" s="83" t="str">
        <f aca="true">IF($H65=0,"NA",IF($A65=INDIRECT("'"&amp;$A65&amp;"'!$B$1"),IF(VLOOKUP(U$1,INDIRECT("'"&amp;$A65&amp;"'!$A$12:$Z$41"),MATCH("Points (Auto-generate)",INDIRECT("'"&amp;$A65&amp;"'!$A$12:$Z$12"),0),0)="","?",VLOOKUP(U$1,INDIRECT("'"&amp;$A65&amp;"'!$A$12:$Z$41"),MATCH("Points (Auto-generate)",INDIRECT("'"&amp;$A65&amp;"'!$A$12:$Z$12"),0),0)),"ER"))</f>
        <v>?</v>
      </c>
      <c r="V65" s="83" t="str">
        <f aca="true">IF($H65=0,"NA",IF($A65=INDIRECT("'"&amp;$A65&amp;"'!$B$1"),IF(VLOOKUP(V$1,INDIRECT("'"&amp;$A65&amp;"'!$A$12:$Z$41"),MATCH("Points (Auto-generate)",INDIRECT("'"&amp;$A65&amp;"'!$A$12:$Z$12"),0),0)="","?",VLOOKUP(V$1,INDIRECT("'"&amp;$A65&amp;"'!$A$12:$Z$41"),MATCH("Points (Auto-generate)",INDIRECT("'"&amp;$A65&amp;"'!$A$12:$Z$12"),0),0)),"ER"))</f>
        <v>?</v>
      </c>
      <c r="W65" s="83" t="str">
        <f aca="true">IF($H65=0,"NA",IF($A65=INDIRECT("'"&amp;$A65&amp;"'!$B$1"),IF(VLOOKUP(W$1,INDIRECT("'"&amp;$A65&amp;"'!$A$12:$Z$41"),MATCH("Points (Auto-generate)",INDIRECT("'"&amp;$A65&amp;"'!$A$12:$Z$12"),0),0)="","?",VLOOKUP(W$1,INDIRECT("'"&amp;$A65&amp;"'!$A$12:$Z$41"),MATCH("Points (Auto-generate)",INDIRECT("'"&amp;$A65&amp;"'!$A$12:$Z$12"),0),0)),"ER"))</f>
        <v>?</v>
      </c>
      <c r="X65" s="83" t="str">
        <f aca="true">IF($H65=0,"NA",IF($A65=INDIRECT("'"&amp;$A65&amp;"'!$B$1"),IF(VLOOKUP(X$1,INDIRECT("'"&amp;$A65&amp;"'!$A$12:$Z$41"),MATCH("Points (Auto-generate)",INDIRECT("'"&amp;$A65&amp;"'!$A$12:$Z$12"),0),0)="","?",VLOOKUP(X$1,INDIRECT("'"&amp;$A65&amp;"'!$A$12:$Z$41"),MATCH("Points (Auto-generate)",INDIRECT("'"&amp;$A65&amp;"'!$A$12:$Z$12"),0),0)),"ER"))</f>
        <v>?</v>
      </c>
      <c r="Y65" s="83" t="str">
        <f aca="true">IF($H65=0,"NA",IF($A65=INDIRECT("'"&amp;$A65&amp;"'!$B$1"),IF(VLOOKUP(Y$1,INDIRECT("'"&amp;$A65&amp;"'!$A$12:$Z$41"),MATCH("Points (Auto-generate)",INDIRECT("'"&amp;$A65&amp;"'!$A$12:$Z$12"),0),0)="","?",VLOOKUP(Y$1,INDIRECT("'"&amp;$A65&amp;"'!$A$12:$Z$41"),MATCH("Points (Auto-generate)",INDIRECT("'"&amp;$A65&amp;"'!$A$12:$Z$12"),0),0)),"ER"))</f>
        <v>?</v>
      </c>
      <c r="Z65" s="83" t="str">
        <f aca="true">IF($H65=0,"NA",IF($A65=INDIRECT("'"&amp;$A65&amp;"'!$B$1"),IF(VLOOKUP(Z$1,INDIRECT("'"&amp;$A65&amp;"'!$A$12:$Z$41"),MATCH("Points (Auto-generate)",INDIRECT("'"&amp;$A65&amp;"'!$A$12:$Z$12"),0),0)="","?",VLOOKUP(Z$1,INDIRECT("'"&amp;$A65&amp;"'!$A$12:$Z$41"),MATCH("Points (Auto-generate)",INDIRECT("'"&amp;$A65&amp;"'!$A$12:$Z$12"),0),0)),"ER"))</f>
        <v>?</v>
      </c>
      <c r="AA65" s="83" t="str">
        <f aca="true">IF($H65=0,"NA",IF($A65=INDIRECT("'"&amp;$A65&amp;"'!$B$1"),IF(VLOOKUP(AA$1,INDIRECT("'"&amp;$A65&amp;"'!$A$12:$Z$41"),MATCH("Points (Auto-generate)",INDIRECT("'"&amp;$A65&amp;"'!$A$12:$Z$12"),0),0)="","?",VLOOKUP(AA$1,INDIRECT("'"&amp;$A65&amp;"'!$A$12:$Z$41"),MATCH("Points (Auto-generate)",INDIRECT("'"&amp;$A65&amp;"'!$A$12:$Z$12"),0),0)),"ER"))</f>
        <v>?</v>
      </c>
      <c r="AB65" s="83" t="str">
        <f aca="true">IF($H65=0,"NA",IF($A65=INDIRECT("'"&amp;$A65&amp;"'!$B$1"),IF(VLOOKUP(AB$1,INDIRECT("'"&amp;$A65&amp;"'!$A$12:$Z$41"),MATCH("Points (Auto-generate)",INDIRECT("'"&amp;$A65&amp;"'!$A$12:$Z$12"),0),0)="","?",VLOOKUP(AB$1,INDIRECT("'"&amp;$A65&amp;"'!$A$12:$Z$41"),MATCH("Points (Auto-generate)",INDIRECT("'"&amp;$A65&amp;"'!$A$12:$Z$12"),0),0)),"ER"))</f>
        <v>?</v>
      </c>
      <c r="AC65" s="83" t="str">
        <f aca="true">IF($H65=0,"NA",IF($A65=INDIRECT("'"&amp;$A65&amp;"'!$B$1"),IF(VLOOKUP(AC$1,INDIRECT("'"&amp;$A65&amp;"'!$A$12:$Z$41"),MATCH("Points (Auto-generate)",INDIRECT("'"&amp;$A65&amp;"'!$A$12:$Z$12"),0),0)="","?",VLOOKUP(AC$1,INDIRECT("'"&amp;$A65&amp;"'!$A$12:$Z$41"),MATCH("Points (Auto-generate)",INDIRECT("'"&amp;$A65&amp;"'!$A$12:$Z$12"),0),0)),"ER"))</f>
        <v>?</v>
      </c>
      <c r="AD65" s="83" t="str">
        <f aca="true">IF($H65=0,"NA",IF($A65=INDIRECT("'"&amp;$A65&amp;"'!$B$1"),IF(VLOOKUP(AD$1,INDIRECT("'"&amp;$A65&amp;"'!$A$12:$Z$41"),MATCH("Points (Auto-generate)",INDIRECT("'"&amp;$A65&amp;"'!$A$12:$Z$12"),0),0)="","?",VLOOKUP(AD$1,INDIRECT("'"&amp;$A65&amp;"'!$A$12:$Z$41"),MATCH("Points (Auto-generate)",INDIRECT("'"&amp;$A65&amp;"'!$A$12:$Z$12"),0),0)),"ER"))</f>
        <v>?</v>
      </c>
      <c r="AE65" s="83" t="str">
        <f aca="true">IF($H65=0,"NA",IF($A65=INDIRECT("'"&amp;$A65&amp;"'!$B$1"),IF(VLOOKUP(AE$1,INDIRECT("'"&amp;$A65&amp;"'!$A$12:$Z$41"),MATCH("Points (Auto-generate)",INDIRECT("'"&amp;$A65&amp;"'!$A$12:$Z$12"),0),0)="","?",VLOOKUP(AE$1,INDIRECT("'"&amp;$A65&amp;"'!$A$12:$Z$41"),MATCH("Points (Auto-generate)",INDIRECT("'"&amp;$A65&amp;"'!$A$12:$Z$12"),0),0)),"ER"))</f>
        <v>?</v>
      </c>
      <c r="AF65" s="83" t="str">
        <f aca="true">IF($H65=0,"NA",IF($A65=INDIRECT("'"&amp;$A65&amp;"'!$B$1"),IF(VLOOKUP(AF$1,INDIRECT("'"&amp;$A65&amp;"'!$A$12:$Z$41"),MATCH("Points (Auto-generate)",INDIRECT("'"&amp;$A65&amp;"'!$A$12:$Z$12"),0),0)="","?",VLOOKUP(AF$1,INDIRECT("'"&amp;$A65&amp;"'!$A$12:$Z$41"),MATCH("Points (Auto-generate)",INDIRECT("'"&amp;$A65&amp;"'!$A$12:$Z$12"),0),0)),"ER"))</f>
        <v>?</v>
      </c>
      <c r="AG65" s="83" t="str">
        <f aca="true">IF($H65=0,"NA",IF($A65=INDIRECT("'"&amp;$A65&amp;"'!$B$1"),IF(VLOOKUP(AG$1,INDIRECT("'"&amp;$A65&amp;"'!$A$12:$Z$41"),MATCH("Points (Auto-generate)",INDIRECT("'"&amp;$A65&amp;"'!$A$12:$Z$12"),0),0)="","?",VLOOKUP(AG$1,INDIRECT("'"&amp;$A65&amp;"'!$A$12:$Z$41"),MATCH("Points (Auto-generate)",INDIRECT("'"&amp;$A65&amp;"'!$A$12:$Z$12"),0),0)),"ER"))</f>
        <v>?</v>
      </c>
      <c r="AH65" s="83" t="str">
        <f aca="true">IF($H65=0,"NA",IF($A65=INDIRECT("'"&amp;$A65&amp;"'!$B$1"),IF(VLOOKUP(AH$1,INDIRECT("'"&amp;$A65&amp;"'!$A$12:$Z$41"),MATCH("Points (Auto-generate)",INDIRECT("'"&amp;$A65&amp;"'!$A$12:$Z$12"),0),0)="","?",VLOOKUP(AH$1,INDIRECT("'"&amp;$A65&amp;"'!$A$12:$Z$41"),MATCH("Points (Auto-generate)",INDIRECT("'"&amp;$A65&amp;"'!$A$12:$Z$12"),0),0)),"ER"))</f>
        <v>?</v>
      </c>
      <c r="AI65" s="83" t="str">
        <f aca="true">IF($H65=0,"NA",IF($A65=INDIRECT("'"&amp;$A65&amp;"'!$B$1"),IF(VLOOKUP(AI$1,INDIRECT("'"&amp;$A65&amp;"'!$A$12:$Z$41"),MATCH("Points (Auto-generate)",INDIRECT("'"&amp;$A65&amp;"'!$A$12:$Z$12"),0),0)="","?",VLOOKUP(AI$1,INDIRECT("'"&amp;$A65&amp;"'!$A$12:$Z$41"),MATCH("Points (Auto-generate)",INDIRECT("'"&amp;$A65&amp;"'!$A$12:$Z$12"),0),0)),"ER"))</f>
        <v>?</v>
      </c>
      <c r="AJ65" s="83" t="str">
        <f aca="true">IF($H65=0,"NA",IF($A65=INDIRECT("'"&amp;$A65&amp;"'!$B$1"),IF(VLOOKUP(AJ$1,INDIRECT("'"&amp;$A65&amp;"'!$A$12:$Z$41"),MATCH("Points (Auto-generate)",INDIRECT("'"&amp;$A65&amp;"'!$A$12:$Z$12"),0),0)="","?",VLOOKUP(AJ$1,INDIRECT("'"&amp;$A65&amp;"'!$A$12:$Z$41"),MATCH("Points (Auto-generate)",INDIRECT("'"&amp;$A65&amp;"'!$A$12:$Z$12"),0),0)),"ER"))</f>
        <v>?</v>
      </c>
      <c r="AK65" s="83" t="str">
        <f aca="true">IF($H65=0,"NA",IF($A65=INDIRECT("'"&amp;$A65&amp;"'!$B$1"),IF(VLOOKUP(AK$1,INDIRECT("'"&amp;$A65&amp;"'!$A$12:$Z$41"),MATCH("Points (Auto-generate)",INDIRECT("'"&amp;$A65&amp;"'!$A$12:$Z$12"),0),0)="","?",VLOOKUP(AK$1,INDIRECT("'"&amp;$A65&amp;"'!$A$12:$Z$41"),MATCH("Points (Auto-generate)",INDIRECT("'"&amp;$A65&amp;"'!$A$12:$Z$12"),0),0)),"ER"))</f>
        <v>?</v>
      </c>
    </row>
    <row r="66" customFormat="false" ht="14.25" hidden="false" customHeight="false" outlineLevel="0" collapsed="false">
      <c r="A66" s="79" t="s">
        <v>235</v>
      </c>
      <c r="B66" s="80" t="str">
        <f aca="false">IF(ISBLANK($A66),"NO_CODE",VLOOKUP($A66,'UPD Questions_290926 '!$E$1:$N$300,MATCH(B$1,'UPD Questions_290926 '!$E$1:$N$1,0),0)&amp;"")</f>
        <v>Implementation</v>
      </c>
      <c r="C66" s="80" t="str">
        <f aca="false">IF(ISBLANK($A66),"NO_CODE",VLOOKUP($A66,'UPD Questions_290926 '!$E$1:$N$300,MATCH(C$1,'UPD Questions_290926 '!$E$1:$N$1,0),0)&amp;"")</f>
        <v>Sectoral planning</v>
      </c>
      <c r="D66" s="80" t="str">
        <f aca="false">IF(ISBLANK($A66),"NO_CODE",VLOOKUP($A66,'UPD Questions_290926 '!$E$1:$N$300,MATCH(D$1,'UPD Questions_290926 '!$E$1:$N$1,0),0)&amp;"")</f>
        <v>Sustainability, resilience and climate action</v>
      </c>
      <c r="E66" s="80" t="str">
        <f aca="false">IF(ISBLANK($A66),"NO_CODE",VLOOKUP($A66,'UPD Questions_290926 '!$E$1:$N$300,MATCH(E$1,'UPD Questions_290926 '!$E$1:$N$1,0),0)&amp;"")</f>
        <v>SQ</v>
      </c>
      <c r="F66" s="80" t="str">
        <f aca="false">IF(ISBLANK($A66),"NO_CODE",VLOOKUP($A66,'UPD Questions_290926 '!$E$1:$N$300,MATCH(F$1,'UPD Questions_290926 '!$E$1:$N$1,0),0)&amp;"")</f>
        <v>Does the plan have development priorities and measurable objectives?</v>
      </c>
      <c r="G66" s="80" t="str">
        <f aca="false">IF(ISBLANK($A66),"NO_CODE",VLOOKUP($A66,'UPD Questions_290926 '!$E$1:$N$300,MATCH(G$1,'UPD Questions_290926 '!$E$1:$N$1,0),0)&amp;"")</f>
        <v>Implementation</v>
      </c>
      <c r="H66" s="82" t="n">
        <f aca="false">IF(ISBLANK($A66),"NO_CODE",VLOOKUP($A66,'UPD Questions_290926 '!$E$1:$N$300,MATCH(H$1,'UPD Questions_290926 '!$E$1:$N$1,0),0))</f>
        <v>3.33</v>
      </c>
      <c r="I66" s="83" t="str">
        <f aca="true">IF($H66=0,"NA",IF($A66=INDIRECT("'"&amp;$A66&amp;"'!$B$1"),IF(VLOOKUP(I$1,INDIRECT("'"&amp;$A66&amp;"'!$A$12:$Z$41"),MATCH("Points (Auto-generate)",INDIRECT("'"&amp;$A66&amp;"'!$A$12:$Z$12"),0),0)="","?",VLOOKUP(I$1,INDIRECT("'"&amp;$A66&amp;"'!$A$12:$Z$41"),MATCH("Points (Auto-generate)",INDIRECT("'"&amp;$A66&amp;"'!$A$12:$Z$12"),0),0)),"ER"))</f>
        <v>?</v>
      </c>
      <c r="J66" s="83" t="n">
        <f aca="true">IF($H66=0,"NA",IF($A66=INDIRECT("'"&amp;$A66&amp;"'!$B$1"),IF(VLOOKUP(J$1,INDIRECT("'"&amp;$A66&amp;"'!$A$12:$Z$41"),MATCH("Points (Auto-generate)",INDIRECT("'"&amp;$A66&amp;"'!$A$12:$Z$12"),0),0)="","?",VLOOKUP(J$1,INDIRECT("'"&amp;$A66&amp;"'!$A$12:$Z$41"),MATCH("Points (Auto-generate)",INDIRECT("'"&amp;$A66&amp;"'!$A$12:$Z$12"),0),0)),"ER"))</f>
        <v>3.33</v>
      </c>
      <c r="K66" s="83" t="str">
        <f aca="true">IF($H66=0,"NA",IF($A66=INDIRECT("'"&amp;$A66&amp;"'!$B$1"),IF(VLOOKUP(K$1,INDIRECT("'"&amp;$A66&amp;"'!$A$12:$Z$41"),MATCH("Points (Auto-generate)",INDIRECT("'"&amp;$A66&amp;"'!$A$12:$Z$12"),0),0)="","?",VLOOKUP(K$1,INDIRECT("'"&amp;$A66&amp;"'!$A$12:$Z$41"),MATCH("Points (Auto-generate)",INDIRECT("'"&amp;$A66&amp;"'!$A$12:$Z$12"),0),0)),"ER"))</f>
        <v>?</v>
      </c>
      <c r="L66" s="83" t="str">
        <f aca="true">IF($H66=0,"NA",IF($A66=INDIRECT("'"&amp;$A66&amp;"'!$B$1"),IF(VLOOKUP(L$1,INDIRECT("'"&amp;$A66&amp;"'!$A$12:$Z$41"),MATCH("Points (Auto-generate)",INDIRECT("'"&amp;$A66&amp;"'!$A$12:$Z$12"),0),0)="","?",VLOOKUP(L$1,INDIRECT("'"&amp;$A66&amp;"'!$A$12:$Z$41"),MATCH("Points (Auto-generate)",INDIRECT("'"&amp;$A66&amp;"'!$A$12:$Z$12"),0),0)),"ER"))</f>
        <v>?</v>
      </c>
      <c r="M66" s="83" t="str">
        <f aca="true">IF($H66=0,"NA",IF($A66=INDIRECT("'"&amp;$A66&amp;"'!$B$1"),IF(VLOOKUP(M$1,INDIRECT("'"&amp;$A66&amp;"'!$A$12:$Z$41"),MATCH("Points (Auto-generate)",INDIRECT("'"&amp;$A66&amp;"'!$A$12:$Z$12"),0),0)="","?",VLOOKUP(M$1,INDIRECT("'"&amp;$A66&amp;"'!$A$12:$Z$41"),MATCH("Points (Auto-generate)",INDIRECT("'"&amp;$A66&amp;"'!$A$12:$Z$12"),0),0)),"ER"))</f>
        <v>?</v>
      </c>
      <c r="N66" s="83" t="str">
        <f aca="true">IF($H66=0,"NA",IF($A66=INDIRECT("'"&amp;$A66&amp;"'!$B$1"),IF(VLOOKUP(N$1,INDIRECT("'"&amp;$A66&amp;"'!$A$12:$Z$41"),MATCH("Points (Auto-generate)",INDIRECT("'"&amp;$A66&amp;"'!$A$12:$Z$12"),0),0)="","?",VLOOKUP(N$1,INDIRECT("'"&amp;$A66&amp;"'!$A$12:$Z$41"),MATCH("Points (Auto-generate)",INDIRECT("'"&amp;$A66&amp;"'!$A$12:$Z$12"),0),0)),"ER"))</f>
        <v>?</v>
      </c>
      <c r="O66" s="83" t="str">
        <f aca="true">IF($H66=0,"NA",IF($A66=INDIRECT("'"&amp;$A66&amp;"'!$B$1"),IF(VLOOKUP(O$1,INDIRECT("'"&amp;$A66&amp;"'!$A$12:$Z$41"),MATCH("Points (Auto-generate)",INDIRECT("'"&amp;$A66&amp;"'!$A$12:$Z$12"),0),0)="","?",VLOOKUP(O$1,INDIRECT("'"&amp;$A66&amp;"'!$A$12:$Z$41"),MATCH("Points (Auto-generate)",INDIRECT("'"&amp;$A66&amp;"'!$A$12:$Z$12"),0),0)),"ER"))</f>
        <v>?</v>
      </c>
      <c r="P66" s="83" t="str">
        <f aca="true">IF($H66=0,"NA",IF($A66=INDIRECT("'"&amp;$A66&amp;"'!$B$1"),IF(VLOOKUP(P$1,INDIRECT("'"&amp;$A66&amp;"'!$A$12:$Z$41"),MATCH("Points (Auto-generate)",INDIRECT("'"&amp;$A66&amp;"'!$A$12:$Z$12"),0),0)="","?",VLOOKUP(P$1,INDIRECT("'"&amp;$A66&amp;"'!$A$12:$Z$41"),MATCH("Points (Auto-generate)",INDIRECT("'"&amp;$A66&amp;"'!$A$12:$Z$12"),0),0)),"ER"))</f>
        <v>?</v>
      </c>
      <c r="Q66" s="83" t="str">
        <f aca="true">IF($H66=0,"NA",IF($A66=INDIRECT("'"&amp;$A66&amp;"'!$B$1"),IF(VLOOKUP(Q$1,INDIRECT("'"&amp;$A66&amp;"'!$A$12:$Z$41"),MATCH("Points (Auto-generate)",INDIRECT("'"&amp;$A66&amp;"'!$A$12:$Z$12"),0),0)="","?",VLOOKUP(Q$1,INDIRECT("'"&amp;$A66&amp;"'!$A$12:$Z$41"),MATCH("Points (Auto-generate)",INDIRECT("'"&amp;$A66&amp;"'!$A$12:$Z$12"),0),0)),"ER"))</f>
        <v>?</v>
      </c>
      <c r="R66" s="83" t="str">
        <f aca="true">IF($H66=0,"NA",IF($A66=INDIRECT("'"&amp;$A66&amp;"'!$B$1"),IF(VLOOKUP(R$1,INDIRECT("'"&amp;$A66&amp;"'!$A$12:$Z$41"),MATCH("Points (Auto-generate)",INDIRECT("'"&amp;$A66&amp;"'!$A$12:$Z$12"),0),0)="","?",VLOOKUP(R$1,INDIRECT("'"&amp;$A66&amp;"'!$A$12:$Z$41"),MATCH("Points (Auto-generate)",INDIRECT("'"&amp;$A66&amp;"'!$A$12:$Z$12"),0),0)),"ER"))</f>
        <v>?</v>
      </c>
      <c r="S66" s="83" t="str">
        <f aca="true">IF($H66=0,"NA",IF($A66=INDIRECT("'"&amp;$A66&amp;"'!$B$1"),IF(VLOOKUP(S$1,INDIRECT("'"&amp;$A66&amp;"'!$A$12:$Z$41"),MATCH("Points (Auto-generate)",INDIRECT("'"&amp;$A66&amp;"'!$A$12:$Z$12"),0),0)="","?",VLOOKUP(S$1,INDIRECT("'"&amp;$A66&amp;"'!$A$12:$Z$41"),MATCH("Points (Auto-generate)",INDIRECT("'"&amp;$A66&amp;"'!$A$12:$Z$12"),0),0)),"ER"))</f>
        <v>?</v>
      </c>
      <c r="T66" s="83" t="str">
        <f aca="true">IF($H66=0,"NA",IF($A66=INDIRECT("'"&amp;$A66&amp;"'!$B$1"),IF(VLOOKUP(T$1,INDIRECT("'"&amp;$A66&amp;"'!$A$12:$Z$41"),MATCH("Points (Auto-generate)",INDIRECT("'"&amp;$A66&amp;"'!$A$12:$Z$12"),0),0)="","?",VLOOKUP(T$1,INDIRECT("'"&amp;$A66&amp;"'!$A$12:$Z$41"),MATCH("Points (Auto-generate)",INDIRECT("'"&amp;$A66&amp;"'!$A$12:$Z$12"),0),0)),"ER"))</f>
        <v>?</v>
      </c>
      <c r="U66" s="83" t="str">
        <f aca="true">IF($H66=0,"NA",IF($A66=INDIRECT("'"&amp;$A66&amp;"'!$B$1"),IF(VLOOKUP(U$1,INDIRECT("'"&amp;$A66&amp;"'!$A$12:$Z$41"),MATCH("Points (Auto-generate)",INDIRECT("'"&amp;$A66&amp;"'!$A$12:$Z$12"),0),0)="","?",VLOOKUP(U$1,INDIRECT("'"&amp;$A66&amp;"'!$A$12:$Z$41"),MATCH("Points (Auto-generate)",INDIRECT("'"&amp;$A66&amp;"'!$A$12:$Z$12"),0),0)),"ER"))</f>
        <v>?</v>
      </c>
      <c r="V66" s="83" t="str">
        <f aca="true">IF($H66=0,"NA",IF($A66=INDIRECT("'"&amp;$A66&amp;"'!$B$1"),IF(VLOOKUP(V$1,INDIRECT("'"&amp;$A66&amp;"'!$A$12:$Z$41"),MATCH("Points (Auto-generate)",INDIRECT("'"&amp;$A66&amp;"'!$A$12:$Z$12"),0),0)="","?",VLOOKUP(V$1,INDIRECT("'"&amp;$A66&amp;"'!$A$12:$Z$41"),MATCH("Points (Auto-generate)",INDIRECT("'"&amp;$A66&amp;"'!$A$12:$Z$12"),0),0)),"ER"))</f>
        <v>?</v>
      </c>
      <c r="W66" s="83" t="str">
        <f aca="true">IF($H66=0,"NA",IF($A66=INDIRECT("'"&amp;$A66&amp;"'!$B$1"),IF(VLOOKUP(W$1,INDIRECT("'"&amp;$A66&amp;"'!$A$12:$Z$41"),MATCH("Points (Auto-generate)",INDIRECT("'"&amp;$A66&amp;"'!$A$12:$Z$12"),0),0)="","?",VLOOKUP(W$1,INDIRECT("'"&amp;$A66&amp;"'!$A$12:$Z$41"),MATCH("Points (Auto-generate)",INDIRECT("'"&amp;$A66&amp;"'!$A$12:$Z$12"),0),0)),"ER"))</f>
        <v>?</v>
      </c>
      <c r="X66" s="83" t="str">
        <f aca="true">IF($H66=0,"NA",IF($A66=INDIRECT("'"&amp;$A66&amp;"'!$B$1"),IF(VLOOKUP(X$1,INDIRECT("'"&amp;$A66&amp;"'!$A$12:$Z$41"),MATCH("Points (Auto-generate)",INDIRECT("'"&amp;$A66&amp;"'!$A$12:$Z$12"),0),0)="","?",VLOOKUP(X$1,INDIRECT("'"&amp;$A66&amp;"'!$A$12:$Z$41"),MATCH("Points (Auto-generate)",INDIRECT("'"&amp;$A66&amp;"'!$A$12:$Z$12"),0),0)),"ER"))</f>
        <v>?</v>
      </c>
      <c r="Y66" s="83" t="str">
        <f aca="true">IF($H66=0,"NA",IF($A66=INDIRECT("'"&amp;$A66&amp;"'!$B$1"),IF(VLOOKUP(Y$1,INDIRECT("'"&amp;$A66&amp;"'!$A$12:$Z$41"),MATCH("Points (Auto-generate)",INDIRECT("'"&amp;$A66&amp;"'!$A$12:$Z$12"),0),0)="","?",VLOOKUP(Y$1,INDIRECT("'"&amp;$A66&amp;"'!$A$12:$Z$41"),MATCH("Points (Auto-generate)",INDIRECT("'"&amp;$A66&amp;"'!$A$12:$Z$12"),0),0)),"ER"))</f>
        <v>?</v>
      </c>
      <c r="Z66" s="83" t="str">
        <f aca="true">IF($H66=0,"NA",IF($A66=INDIRECT("'"&amp;$A66&amp;"'!$B$1"),IF(VLOOKUP(Z$1,INDIRECT("'"&amp;$A66&amp;"'!$A$12:$Z$41"),MATCH("Points (Auto-generate)",INDIRECT("'"&amp;$A66&amp;"'!$A$12:$Z$12"),0),0)="","?",VLOOKUP(Z$1,INDIRECT("'"&amp;$A66&amp;"'!$A$12:$Z$41"),MATCH("Points (Auto-generate)",INDIRECT("'"&amp;$A66&amp;"'!$A$12:$Z$12"),0),0)),"ER"))</f>
        <v>?</v>
      </c>
      <c r="AA66" s="83" t="str">
        <f aca="true">IF($H66=0,"NA",IF($A66=INDIRECT("'"&amp;$A66&amp;"'!$B$1"),IF(VLOOKUP(AA$1,INDIRECT("'"&amp;$A66&amp;"'!$A$12:$Z$41"),MATCH("Points (Auto-generate)",INDIRECT("'"&amp;$A66&amp;"'!$A$12:$Z$12"),0),0)="","?",VLOOKUP(AA$1,INDIRECT("'"&amp;$A66&amp;"'!$A$12:$Z$41"),MATCH("Points (Auto-generate)",INDIRECT("'"&amp;$A66&amp;"'!$A$12:$Z$12"),0),0)),"ER"))</f>
        <v>?</v>
      </c>
      <c r="AB66" s="83" t="str">
        <f aca="true">IF($H66=0,"NA",IF($A66=INDIRECT("'"&amp;$A66&amp;"'!$B$1"),IF(VLOOKUP(AB$1,INDIRECT("'"&amp;$A66&amp;"'!$A$12:$Z$41"),MATCH("Points (Auto-generate)",INDIRECT("'"&amp;$A66&amp;"'!$A$12:$Z$12"),0),0)="","?",VLOOKUP(AB$1,INDIRECT("'"&amp;$A66&amp;"'!$A$12:$Z$41"),MATCH("Points (Auto-generate)",INDIRECT("'"&amp;$A66&amp;"'!$A$12:$Z$12"),0),0)),"ER"))</f>
        <v>?</v>
      </c>
      <c r="AC66" s="83" t="n">
        <f aca="true">IF($H66=0,"NA",IF($A66=INDIRECT("'"&amp;$A66&amp;"'!$B$1"),IF(VLOOKUP(AC$1,INDIRECT("'"&amp;$A66&amp;"'!$A$12:$Z$41"),MATCH("Points (Auto-generate)",INDIRECT("'"&amp;$A66&amp;"'!$A$12:$Z$12"),0),0)="","?",VLOOKUP(AC$1,INDIRECT("'"&amp;$A66&amp;"'!$A$12:$Z$41"),MATCH("Points (Auto-generate)",INDIRECT("'"&amp;$A66&amp;"'!$A$12:$Z$12"),0),0)),"ER"))</f>
        <v>3.33</v>
      </c>
      <c r="AD66" s="83" t="str">
        <f aca="true">IF($H66=0,"NA",IF($A66=INDIRECT("'"&amp;$A66&amp;"'!$B$1"),IF(VLOOKUP(AD$1,INDIRECT("'"&amp;$A66&amp;"'!$A$12:$Z$41"),MATCH("Points (Auto-generate)",INDIRECT("'"&amp;$A66&amp;"'!$A$12:$Z$12"),0),0)="","?",VLOOKUP(AD$1,INDIRECT("'"&amp;$A66&amp;"'!$A$12:$Z$41"),MATCH("Points (Auto-generate)",INDIRECT("'"&amp;$A66&amp;"'!$A$12:$Z$12"),0),0)),"ER"))</f>
        <v>?</v>
      </c>
      <c r="AE66" s="83" t="str">
        <f aca="true">IF($H66=0,"NA",IF($A66=INDIRECT("'"&amp;$A66&amp;"'!$B$1"),IF(VLOOKUP(AE$1,INDIRECT("'"&amp;$A66&amp;"'!$A$12:$Z$41"),MATCH("Points (Auto-generate)",INDIRECT("'"&amp;$A66&amp;"'!$A$12:$Z$12"),0),0)="","?",VLOOKUP(AE$1,INDIRECT("'"&amp;$A66&amp;"'!$A$12:$Z$41"),MATCH("Points (Auto-generate)",INDIRECT("'"&amp;$A66&amp;"'!$A$12:$Z$12"),0),0)),"ER"))</f>
        <v>?</v>
      </c>
      <c r="AF66" s="83" t="str">
        <f aca="true">IF($H66=0,"NA",IF($A66=INDIRECT("'"&amp;$A66&amp;"'!$B$1"),IF(VLOOKUP(AF$1,INDIRECT("'"&amp;$A66&amp;"'!$A$12:$Z$41"),MATCH("Points (Auto-generate)",INDIRECT("'"&amp;$A66&amp;"'!$A$12:$Z$12"),0),0)="","?",VLOOKUP(AF$1,INDIRECT("'"&amp;$A66&amp;"'!$A$12:$Z$41"),MATCH("Points (Auto-generate)",INDIRECT("'"&amp;$A66&amp;"'!$A$12:$Z$12"),0),0)),"ER"))</f>
        <v>?</v>
      </c>
      <c r="AG66" s="83" t="str">
        <f aca="true">IF($H66=0,"NA",IF($A66=INDIRECT("'"&amp;$A66&amp;"'!$B$1"),IF(VLOOKUP(AG$1,INDIRECT("'"&amp;$A66&amp;"'!$A$12:$Z$41"),MATCH("Points (Auto-generate)",INDIRECT("'"&amp;$A66&amp;"'!$A$12:$Z$12"),0),0)="","?",VLOOKUP(AG$1,INDIRECT("'"&amp;$A66&amp;"'!$A$12:$Z$41"),MATCH("Points (Auto-generate)",INDIRECT("'"&amp;$A66&amp;"'!$A$12:$Z$12"),0),0)),"ER"))</f>
        <v>?</v>
      </c>
      <c r="AH66" s="83" t="str">
        <f aca="true">IF($H66=0,"NA",IF($A66=INDIRECT("'"&amp;$A66&amp;"'!$B$1"),IF(VLOOKUP(AH$1,INDIRECT("'"&amp;$A66&amp;"'!$A$12:$Z$41"),MATCH("Points (Auto-generate)",INDIRECT("'"&amp;$A66&amp;"'!$A$12:$Z$12"),0),0)="","?",VLOOKUP(AH$1,INDIRECT("'"&amp;$A66&amp;"'!$A$12:$Z$41"),MATCH("Points (Auto-generate)",INDIRECT("'"&amp;$A66&amp;"'!$A$12:$Z$12"),0),0)),"ER"))</f>
        <v>?</v>
      </c>
      <c r="AI66" s="83" t="str">
        <f aca="true">IF($H66=0,"NA",IF($A66=INDIRECT("'"&amp;$A66&amp;"'!$B$1"),IF(VLOOKUP(AI$1,INDIRECT("'"&amp;$A66&amp;"'!$A$12:$Z$41"),MATCH("Points (Auto-generate)",INDIRECT("'"&amp;$A66&amp;"'!$A$12:$Z$12"),0),0)="","?",VLOOKUP(AI$1,INDIRECT("'"&amp;$A66&amp;"'!$A$12:$Z$41"),MATCH("Points (Auto-generate)",INDIRECT("'"&amp;$A66&amp;"'!$A$12:$Z$12"),0),0)),"ER"))</f>
        <v>?</v>
      </c>
      <c r="AJ66" s="83" t="str">
        <f aca="true">IF($H66=0,"NA",IF($A66=INDIRECT("'"&amp;$A66&amp;"'!$B$1"),IF(VLOOKUP(AJ$1,INDIRECT("'"&amp;$A66&amp;"'!$A$12:$Z$41"),MATCH("Points (Auto-generate)",INDIRECT("'"&amp;$A66&amp;"'!$A$12:$Z$12"),0),0)="","?",VLOOKUP(AJ$1,INDIRECT("'"&amp;$A66&amp;"'!$A$12:$Z$41"),MATCH("Points (Auto-generate)",INDIRECT("'"&amp;$A66&amp;"'!$A$12:$Z$12"),0),0)),"ER"))</f>
        <v>?</v>
      </c>
      <c r="AK66" s="83" t="str">
        <f aca="true">IF($H66=0,"NA",IF($A66=INDIRECT("'"&amp;$A66&amp;"'!$B$1"),IF(VLOOKUP(AK$1,INDIRECT("'"&amp;$A66&amp;"'!$A$12:$Z$41"),MATCH("Points (Auto-generate)",INDIRECT("'"&amp;$A66&amp;"'!$A$12:$Z$12"),0),0)="","?",VLOOKUP(AK$1,INDIRECT("'"&amp;$A66&amp;"'!$A$12:$Z$41"),MATCH("Points (Auto-generate)",INDIRECT("'"&amp;$A66&amp;"'!$A$12:$Z$12"),0),0)),"ER"))</f>
        <v>?</v>
      </c>
    </row>
    <row r="67" customFormat="false" ht="14.25" hidden="false" customHeight="false" outlineLevel="0" collapsed="false">
      <c r="A67" s="79" t="s">
        <v>242</v>
      </c>
      <c r="B67" s="80" t="str">
        <f aca="false">IF(ISBLANK($A67),"NO_CODE",VLOOKUP($A67,'UPD Questions_290926 '!$E$1:$N$300,MATCH(B$1,'UPD Questions_290926 '!$E$1:$N$1,0),0)&amp;"")</f>
        <v>Implementation</v>
      </c>
      <c r="C67" s="80" t="str">
        <f aca="false">IF(ISBLANK($A67),"NO_CODE",VLOOKUP($A67,'UPD Questions_290926 '!$E$1:$N$300,MATCH(C$1,'UPD Questions_290926 '!$E$1:$N$1,0),0)&amp;"")</f>
        <v>Sectoral planning</v>
      </c>
      <c r="D67" s="80" t="str">
        <f aca="false">IF(ISBLANK($A67),"NO_CODE",VLOOKUP($A67,'UPD Questions_290926 '!$E$1:$N$300,MATCH(D$1,'UPD Questions_290926 '!$E$1:$N$1,0),0)&amp;"")</f>
        <v>Sustainability, resilience and climate action</v>
      </c>
      <c r="E67" s="80" t="str">
        <f aca="false">IF(ISBLANK($A67),"NO_CODE",VLOOKUP($A67,'UPD Questions_290926 '!$E$1:$N$300,MATCH(E$1,'UPD Questions_290926 '!$E$1:$N$1,0),0)&amp;"")</f>
        <v>SQ</v>
      </c>
      <c r="F67" s="80" t="str">
        <f aca="false">IF(ISBLANK($A67),"NO_CODE",VLOOKUP($A67,'UPD Questions_290926 '!$E$1:$N$300,MATCH(F$1,'UPD Questions_290926 '!$E$1:$N$1,0),0)&amp;"")</f>
        <v>Does the plan clearly articulate the role of the ULG?</v>
      </c>
      <c r="G67" s="80" t="str">
        <f aca="false">IF(ISBLANK($A67),"NO_CODE",VLOOKUP($A67,'UPD Questions_290926 '!$E$1:$N$300,MATCH(G$1,'UPD Questions_290926 '!$E$1:$N$1,0),0)&amp;"")</f>
        <v>Implementation</v>
      </c>
      <c r="H67" s="82" t="n">
        <f aca="false">IF(ISBLANK($A67),"NO_CODE",VLOOKUP($A67,'UPD Questions_290926 '!$E$1:$N$300,MATCH(H$1,'UPD Questions_290926 '!$E$1:$N$1,0),0))</f>
        <v>3.33</v>
      </c>
      <c r="I67" s="83" t="str">
        <f aca="true">IF($H67=0,"NA",IF($A67=INDIRECT("'"&amp;$A67&amp;"'!$B$1"),IF(VLOOKUP(I$1,INDIRECT("'"&amp;$A67&amp;"'!$A$12:$Z$41"),MATCH("Points (Auto-generate)",INDIRECT("'"&amp;$A67&amp;"'!$A$12:$Z$12"),0),0)="","?",VLOOKUP(I$1,INDIRECT("'"&amp;$A67&amp;"'!$A$12:$Z$41"),MATCH("Points (Auto-generate)",INDIRECT("'"&amp;$A67&amp;"'!$A$12:$Z$12"),0),0)),"ER"))</f>
        <v>?</v>
      </c>
      <c r="J67" s="83" t="n">
        <f aca="true">IF($H67=0,"NA",IF($A67=INDIRECT("'"&amp;$A67&amp;"'!$B$1"),IF(VLOOKUP(J$1,INDIRECT("'"&amp;$A67&amp;"'!$A$12:$Z$41"),MATCH("Points (Auto-generate)",INDIRECT("'"&amp;$A67&amp;"'!$A$12:$Z$12"),0),0)="","?",VLOOKUP(J$1,INDIRECT("'"&amp;$A67&amp;"'!$A$12:$Z$41"),MATCH("Points (Auto-generate)",INDIRECT("'"&amp;$A67&amp;"'!$A$12:$Z$12"),0),0)),"ER"))</f>
        <v>3.33</v>
      </c>
      <c r="K67" s="83" t="str">
        <f aca="true">IF($H67=0,"NA",IF($A67=INDIRECT("'"&amp;$A67&amp;"'!$B$1"),IF(VLOOKUP(K$1,INDIRECT("'"&amp;$A67&amp;"'!$A$12:$Z$41"),MATCH("Points (Auto-generate)",INDIRECT("'"&amp;$A67&amp;"'!$A$12:$Z$12"),0),0)="","?",VLOOKUP(K$1,INDIRECT("'"&amp;$A67&amp;"'!$A$12:$Z$41"),MATCH("Points (Auto-generate)",INDIRECT("'"&amp;$A67&amp;"'!$A$12:$Z$12"),0),0)),"ER"))</f>
        <v>?</v>
      </c>
      <c r="L67" s="83" t="str">
        <f aca="true">IF($H67=0,"NA",IF($A67=INDIRECT("'"&amp;$A67&amp;"'!$B$1"),IF(VLOOKUP(L$1,INDIRECT("'"&amp;$A67&amp;"'!$A$12:$Z$41"),MATCH("Points (Auto-generate)",INDIRECT("'"&amp;$A67&amp;"'!$A$12:$Z$12"),0),0)="","?",VLOOKUP(L$1,INDIRECT("'"&amp;$A67&amp;"'!$A$12:$Z$41"),MATCH("Points (Auto-generate)",INDIRECT("'"&amp;$A67&amp;"'!$A$12:$Z$12"),0),0)),"ER"))</f>
        <v>?</v>
      </c>
      <c r="M67" s="83" t="str">
        <f aca="true">IF($H67=0,"NA",IF($A67=INDIRECT("'"&amp;$A67&amp;"'!$B$1"),IF(VLOOKUP(M$1,INDIRECT("'"&amp;$A67&amp;"'!$A$12:$Z$41"),MATCH("Points (Auto-generate)",INDIRECT("'"&amp;$A67&amp;"'!$A$12:$Z$12"),0),0)="","?",VLOOKUP(M$1,INDIRECT("'"&amp;$A67&amp;"'!$A$12:$Z$41"),MATCH("Points (Auto-generate)",INDIRECT("'"&amp;$A67&amp;"'!$A$12:$Z$12"),0),0)),"ER"))</f>
        <v>?</v>
      </c>
      <c r="N67" s="83" t="str">
        <f aca="true">IF($H67=0,"NA",IF($A67=INDIRECT("'"&amp;$A67&amp;"'!$B$1"),IF(VLOOKUP(N$1,INDIRECT("'"&amp;$A67&amp;"'!$A$12:$Z$41"),MATCH("Points (Auto-generate)",INDIRECT("'"&amp;$A67&amp;"'!$A$12:$Z$12"),0),0)="","?",VLOOKUP(N$1,INDIRECT("'"&amp;$A67&amp;"'!$A$12:$Z$41"),MATCH("Points (Auto-generate)",INDIRECT("'"&amp;$A67&amp;"'!$A$12:$Z$12"),0),0)),"ER"))</f>
        <v>?</v>
      </c>
      <c r="O67" s="83" t="str">
        <f aca="true">IF($H67=0,"NA",IF($A67=INDIRECT("'"&amp;$A67&amp;"'!$B$1"),IF(VLOOKUP(O$1,INDIRECT("'"&amp;$A67&amp;"'!$A$12:$Z$41"),MATCH("Points (Auto-generate)",INDIRECT("'"&amp;$A67&amp;"'!$A$12:$Z$12"),0),0)="","?",VLOOKUP(O$1,INDIRECT("'"&amp;$A67&amp;"'!$A$12:$Z$41"),MATCH("Points (Auto-generate)",INDIRECT("'"&amp;$A67&amp;"'!$A$12:$Z$12"),0),0)),"ER"))</f>
        <v>?</v>
      </c>
      <c r="P67" s="83" t="str">
        <f aca="true">IF($H67=0,"NA",IF($A67=INDIRECT("'"&amp;$A67&amp;"'!$B$1"),IF(VLOOKUP(P$1,INDIRECT("'"&amp;$A67&amp;"'!$A$12:$Z$41"),MATCH("Points (Auto-generate)",INDIRECT("'"&amp;$A67&amp;"'!$A$12:$Z$12"),0),0)="","?",VLOOKUP(P$1,INDIRECT("'"&amp;$A67&amp;"'!$A$12:$Z$41"),MATCH("Points (Auto-generate)",INDIRECT("'"&amp;$A67&amp;"'!$A$12:$Z$12"),0),0)),"ER"))</f>
        <v>?</v>
      </c>
      <c r="Q67" s="83" t="str">
        <f aca="true">IF($H67=0,"NA",IF($A67=INDIRECT("'"&amp;$A67&amp;"'!$B$1"),IF(VLOOKUP(Q$1,INDIRECT("'"&amp;$A67&amp;"'!$A$12:$Z$41"),MATCH("Points (Auto-generate)",INDIRECT("'"&amp;$A67&amp;"'!$A$12:$Z$12"),0),0)="","?",VLOOKUP(Q$1,INDIRECT("'"&amp;$A67&amp;"'!$A$12:$Z$41"),MATCH("Points (Auto-generate)",INDIRECT("'"&amp;$A67&amp;"'!$A$12:$Z$12"),0),0)),"ER"))</f>
        <v>?</v>
      </c>
      <c r="R67" s="83" t="str">
        <f aca="true">IF($H67=0,"NA",IF($A67=INDIRECT("'"&amp;$A67&amp;"'!$B$1"),IF(VLOOKUP(R$1,INDIRECT("'"&amp;$A67&amp;"'!$A$12:$Z$41"),MATCH("Points (Auto-generate)",INDIRECT("'"&amp;$A67&amp;"'!$A$12:$Z$12"),0),0)="","?",VLOOKUP(R$1,INDIRECT("'"&amp;$A67&amp;"'!$A$12:$Z$41"),MATCH("Points (Auto-generate)",INDIRECT("'"&amp;$A67&amp;"'!$A$12:$Z$12"),0),0)),"ER"))</f>
        <v>?</v>
      </c>
      <c r="S67" s="83" t="str">
        <f aca="true">IF($H67=0,"NA",IF($A67=INDIRECT("'"&amp;$A67&amp;"'!$B$1"),IF(VLOOKUP(S$1,INDIRECT("'"&amp;$A67&amp;"'!$A$12:$Z$41"),MATCH("Points (Auto-generate)",INDIRECT("'"&amp;$A67&amp;"'!$A$12:$Z$12"),0),0)="","?",VLOOKUP(S$1,INDIRECT("'"&amp;$A67&amp;"'!$A$12:$Z$41"),MATCH("Points (Auto-generate)",INDIRECT("'"&amp;$A67&amp;"'!$A$12:$Z$12"),0),0)),"ER"))</f>
        <v>?</v>
      </c>
      <c r="T67" s="83" t="str">
        <f aca="true">IF($H67=0,"NA",IF($A67=INDIRECT("'"&amp;$A67&amp;"'!$B$1"),IF(VLOOKUP(T$1,INDIRECT("'"&amp;$A67&amp;"'!$A$12:$Z$41"),MATCH("Points (Auto-generate)",INDIRECT("'"&amp;$A67&amp;"'!$A$12:$Z$12"),0),0)="","?",VLOOKUP(T$1,INDIRECT("'"&amp;$A67&amp;"'!$A$12:$Z$41"),MATCH("Points (Auto-generate)",INDIRECT("'"&amp;$A67&amp;"'!$A$12:$Z$12"),0),0)),"ER"))</f>
        <v>?</v>
      </c>
      <c r="U67" s="83" t="str">
        <f aca="true">IF($H67=0,"NA",IF($A67=INDIRECT("'"&amp;$A67&amp;"'!$B$1"),IF(VLOOKUP(U$1,INDIRECT("'"&amp;$A67&amp;"'!$A$12:$Z$41"),MATCH("Points (Auto-generate)",INDIRECT("'"&amp;$A67&amp;"'!$A$12:$Z$12"),0),0)="","?",VLOOKUP(U$1,INDIRECT("'"&amp;$A67&amp;"'!$A$12:$Z$41"),MATCH("Points (Auto-generate)",INDIRECT("'"&amp;$A67&amp;"'!$A$12:$Z$12"),0),0)),"ER"))</f>
        <v>?</v>
      </c>
      <c r="V67" s="83" t="str">
        <f aca="true">IF($H67=0,"NA",IF($A67=INDIRECT("'"&amp;$A67&amp;"'!$B$1"),IF(VLOOKUP(V$1,INDIRECT("'"&amp;$A67&amp;"'!$A$12:$Z$41"),MATCH("Points (Auto-generate)",INDIRECT("'"&amp;$A67&amp;"'!$A$12:$Z$12"),0),0)="","?",VLOOKUP(V$1,INDIRECT("'"&amp;$A67&amp;"'!$A$12:$Z$41"),MATCH("Points (Auto-generate)",INDIRECT("'"&amp;$A67&amp;"'!$A$12:$Z$12"),0),0)),"ER"))</f>
        <v>?</v>
      </c>
      <c r="W67" s="83" t="str">
        <f aca="true">IF($H67=0,"NA",IF($A67=INDIRECT("'"&amp;$A67&amp;"'!$B$1"),IF(VLOOKUP(W$1,INDIRECT("'"&amp;$A67&amp;"'!$A$12:$Z$41"),MATCH("Points (Auto-generate)",INDIRECT("'"&amp;$A67&amp;"'!$A$12:$Z$12"),0),0)="","?",VLOOKUP(W$1,INDIRECT("'"&amp;$A67&amp;"'!$A$12:$Z$41"),MATCH("Points (Auto-generate)",INDIRECT("'"&amp;$A67&amp;"'!$A$12:$Z$12"),0),0)),"ER"))</f>
        <v>?</v>
      </c>
      <c r="X67" s="83" t="str">
        <f aca="true">IF($H67=0,"NA",IF($A67=INDIRECT("'"&amp;$A67&amp;"'!$B$1"),IF(VLOOKUP(X$1,INDIRECT("'"&amp;$A67&amp;"'!$A$12:$Z$41"),MATCH("Points (Auto-generate)",INDIRECT("'"&amp;$A67&amp;"'!$A$12:$Z$12"),0),0)="","?",VLOOKUP(X$1,INDIRECT("'"&amp;$A67&amp;"'!$A$12:$Z$41"),MATCH("Points (Auto-generate)",INDIRECT("'"&amp;$A67&amp;"'!$A$12:$Z$12"),0),0)),"ER"))</f>
        <v>?</v>
      </c>
      <c r="Y67" s="83" t="str">
        <f aca="true">IF($H67=0,"NA",IF($A67=INDIRECT("'"&amp;$A67&amp;"'!$B$1"),IF(VLOOKUP(Y$1,INDIRECT("'"&amp;$A67&amp;"'!$A$12:$Z$41"),MATCH("Points (Auto-generate)",INDIRECT("'"&amp;$A67&amp;"'!$A$12:$Z$12"),0),0)="","?",VLOOKUP(Y$1,INDIRECT("'"&amp;$A67&amp;"'!$A$12:$Z$41"),MATCH("Points (Auto-generate)",INDIRECT("'"&amp;$A67&amp;"'!$A$12:$Z$12"),0),0)),"ER"))</f>
        <v>?</v>
      </c>
      <c r="Z67" s="83" t="str">
        <f aca="true">IF($H67=0,"NA",IF($A67=INDIRECT("'"&amp;$A67&amp;"'!$B$1"),IF(VLOOKUP(Z$1,INDIRECT("'"&amp;$A67&amp;"'!$A$12:$Z$41"),MATCH("Points (Auto-generate)",INDIRECT("'"&amp;$A67&amp;"'!$A$12:$Z$12"),0),0)="","?",VLOOKUP(Z$1,INDIRECT("'"&amp;$A67&amp;"'!$A$12:$Z$41"),MATCH("Points (Auto-generate)",INDIRECT("'"&amp;$A67&amp;"'!$A$12:$Z$12"),0),0)),"ER"))</f>
        <v>?</v>
      </c>
      <c r="AA67" s="83" t="str">
        <f aca="true">IF($H67=0,"NA",IF($A67=INDIRECT("'"&amp;$A67&amp;"'!$B$1"),IF(VLOOKUP(AA$1,INDIRECT("'"&amp;$A67&amp;"'!$A$12:$Z$41"),MATCH("Points (Auto-generate)",INDIRECT("'"&amp;$A67&amp;"'!$A$12:$Z$12"),0),0)="","?",VLOOKUP(AA$1,INDIRECT("'"&amp;$A67&amp;"'!$A$12:$Z$41"),MATCH("Points (Auto-generate)",INDIRECT("'"&amp;$A67&amp;"'!$A$12:$Z$12"),0),0)),"ER"))</f>
        <v>?</v>
      </c>
      <c r="AB67" s="83" t="str">
        <f aca="true">IF($H67=0,"NA",IF($A67=INDIRECT("'"&amp;$A67&amp;"'!$B$1"),IF(VLOOKUP(AB$1,INDIRECT("'"&amp;$A67&amp;"'!$A$12:$Z$41"),MATCH("Points (Auto-generate)",INDIRECT("'"&amp;$A67&amp;"'!$A$12:$Z$12"),0),0)="","?",VLOOKUP(AB$1,INDIRECT("'"&amp;$A67&amp;"'!$A$12:$Z$41"),MATCH("Points (Auto-generate)",INDIRECT("'"&amp;$A67&amp;"'!$A$12:$Z$12"),0),0)),"ER"))</f>
        <v>?</v>
      </c>
      <c r="AC67" s="83" t="str">
        <f aca="true">IF($H67=0,"NA",IF($A67=INDIRECT("'"&amp;$A67&amp;"'!$B$1"),IF(VLOOKUP(AC$1,INDIRECT("'"&amp;$A67&amp;"'!$A$12:$Z$41"),MATCH("Points (Auto-generate)",INDIRECT("'"&amp;$A67&amp;"'!$A$12:$Z$12"),0),0)="","?",VLOOKUP(AC$1,INDIRECT("'"&amp;$A67&amp;"'!$A$12:$Z$41"),MATCH("Points (Auto-generate)",INDIRECT("'"&amp;$A67&amp;"'!$A$12:$Z$12"),0),0)),"ER"))</f>
        <v>?</v>
      </c>
      <c r="AD67" s="83" t="str">
        <f aca="true">IF($H67=0,"NA",IF($A67=INDIRECT("'"&amp;$A67&amp;"'!$B$1"),IF(VLOOKUP(AD$1,INDIRECT("'"&amp;$A67&amp;"'!$A$12:$Z$41"),MATCH("Points (Auto-generate)",INDIRECT("'"&amp;$A67&amp;"'!$A$12:$Z$12"),0),0)="","?",VLOOKUP(AD$1,INDIRECT("'"&amp;$A67&amp;"'!$A$12:$Z$41"),MATCH("Points (Auto-generate)",INDIRECT("'"&amp;$A67&amp;"'!$A$12:$Z$12"),0),0)),"ER"))</f>
        <v>?</v>
      </c>
      <c r="AE67" s="83" t="str">
        <f aca="true">IF($H67=0,"NA",IF($A67=INDIRECT("'"&amp;$A67&amp;"'!$B$1"),IF(VLOOKUP(AE$1,INDIRECT("'"&amp;$A67&amp;"'!$A$12:$Z$41"),MATCH("Points (Auto-generate)",INDIRECT("'"&amp;$A67&amp;"'!$A$12:$Z$12"),0),0)="","?",VLOOKUP(AE$1,INDIRECT("'"&amp;$A67&amp;"'!$A$12:$Z$41"),MATCH("Points (Auto-generate)",INDIRECT("'"&amp;$A67&amp;"'!$A$12:$Z$12"),0),0)),"ER"))</f>
        <v>?</v>
      </c>
      <c r="AF67" s="83" t="str">
        <f aca="true">IF($H67=0,"NA",IF($A67=INDIRECT("'"&amp;$A67&amp;"'!$B$1"),IF(VLOOKUP(AF$1,INDIRECT("'"&amp;$A67&amp;"'!$A$12:$Z$41"),MATCH("Points (Auto-generate)",INDIRECT("'"&amp;$A67&amp;"'!$A$12:$Z$12"),0),0)="","?",VLOOKUP(AF$1,INDIRECT("'"&amp;$A67&amp;"'!$A$12:$Z$41"),MATCH("Points (Auto-generate)",INDIRECT("'"&amp;$A67&amp;"'!$A$12:$Z$12"),0),0)),"ER"))</f>
        <v>?</v>
      </c>
      <c r="AG67" s="83" t="str">
        <f aca="true">IF($H67=0,"NA",IF($A67=INDIRECT("'"&amp;$A67&amp;"'!$B$1"),IF(VLOOKUP(AG$1,INDIRECT("'"&amp;$A67&amp;"'!$A$12:$Z$41"),MATCH("Points (Auto-generate)",INDIRECT("'"&amp;$A67&amp;"'!$A$12:$Z$12"),0),0)="","?",VLOOKUP(AG$1,INDIRECT("'"&amp;$A67&amp;"'!$A$12:$Z$41"),MATCH("Points (Auto-generate)",INDIRECT("'"&amp;$A67&amp;"'!$A$12:$Z$12"),0),0)),"ER"))</f>
        <v>?</v>
      </c>
      <c r="AH67" s="83" t="str">
        <f aca="true">IF($H67=0,"NA",IF($A67=INDIRECT("'"&amp;$A67&amp;"'!$B$1"),IF(VLOOKUP(AH$1,INDIRECT("'"&amp;$A67&amp;"'!$A$12:$Z$41"),MATCH("Points (Auto-generate)",INDIRECT("'"&amp;$A67&amp;"'!$A$12:$Z$12"),0),0)="","?",VLOOKUP(AH$1,INDIRECT("'"&amp;$A67&amp;"'!$A$12:$Z$41"),MATCH("Points (Auto-generate)",INDIRECT("'"&amp;$A67&amp;"'!$A$12:$Z$12"),0),0)),"ER"))</f>
        <v>?</v>
      </c>
      <c r="AI67" s="83" t="str">
        <f aca="true">IF($H67=0,"NA",IF($A67=INDIRECT("'"&amp;$A67&amp;"'!$B$1"),IF(VLOOKUP(AI$1,INDIRECT("'"&amp;$A67&amp;"'!$A$12:$Z$41"),MATCH("Points (Auto-generate)",INDIRECT("'"&amp;$A67&amp;"'!$A$12:$Z$12"),0),0)="","?",VLOOKUP(AI$1,INDIRECT("'"&amp;$A67&amp;"'!$A$12:$Z$41"),MATCH("Points (Auto-generate)",INDIRECT("'"&amp;$A67&amp;"'!$A$12:$Z$12"),0),0)),"ER"))</f>
        <v>?</v>
      </c>
      <c r="AJ67" s="83" t="str">
        <f aca="true">IF($H67=0,"NA",IF($A67=INDIRECT("'"&amp;$A67&amp;"'!$B$1"),IF(VLOOKUP(AJ$1,INDIRECT("'"&amp;$A67&amp;"'!$A$12:$Z$41"),MATCH("Points (Auto-generate)",INDIRECT("'"&amp;$A67&amp;"'!$A$12:$Z$12"),0),0)="","?",VLOOKUP(AJ$1,INDIRECT("'"&amp;$A67&amp;"'!$A$12:$Z$41"),MATCH("Points (Auto-generate)",INDIRECT("'"&amp;$A67&amp;"'!$A$12:$Z$12"),0),0)),"ER"))</f>
        <v>?</v>
      </c>
      <c r="AK67" s="83" t="str">
        <f aca="true">IF($H67=0,"NA",IF($A67=INDIRECT("'"&amp;$A67&amp;"'!$B$1"),IF(VLOOKUP(AK$1,INDIRECT("'"&amp;$A67&amp;"'!$A$12:$Z$41"),MATCH("Points (Auto-generate)",INDIRECT("'"&amp;$A67&amp;"'!$A$12:$Z$12"),0),0)="","?",VLOOKUP(AK$1,INDIRECT("'"&amp;$A67&amp;"'!$A$12:$Z$41"),MATCH("Points (Auto-generate)",INDIRECT("'"&amp;$A67&amp;"'!$A$12:$Z$12"),0),0)),"ER"))</f>
        <v>?</v>
      </c>
    </row>
    <row r="68" customFormat="false" ht="14.25" hidden="false" customHeight="false" outlineLevel="0" collapsed="false">
      <c r="A68" s="79" t="s">
        <v>661</v>
      </c>
      <c r="B68" s="80" t="str">
        <f aca="false">IF(ISBLANK($A68),"NO_CODE",VLOOKUP($A68,'UPD Questions_290926 '!$E$1:$N$300,MATCH(B$1,'UPD Questions_290926 '!$E$1:$N$1,0),0)&amp;"")</f>
        <v>Implementation</v>
      </c>
      <c r="C68" s="80" t="str">
        <f aca="false">IF(ISBLANK($A68),"NO_CODE",VLOOKUP($A68,'UPD Questions_290926 '!$E$1:$N$300,MATCH(C$1,'UPD Questions_290926 '!$E$1:$N$1,0),0)&amp;"")</f>
        <v>Sectoral planning</v>
      </c>
      <c r="D68" s="80" t="str">
        <f aca="false">IF(ISBLANK($A68),"NO_CODE",VLOOKUP($A68,'UPD Questions_290926 '!$E$1:$N$300,MATCH(D$1,'UPD Questions_290926 '!$E$1:$N$1,0),0)&amp;"")</f>
        <v>Comprehensive mobility planning</v>
      </c>
      <c r="E68" s="80" t="str">
        <f aca="false">IF(ISBLANK($A68),"NO_CODE",VLOOKUP($A68,'UPD Questions_290926 '!$E$1:$N$300,MATCH(E$1,'UPD Questions_290926 '!$E$1:$N$1,0),0)&amp;"")</f>
        <v>MQ</v>
      </c>
      <c r="F68" s="80" t="str">
        <f aca="false">IF(ISBLANK($A68),"NO_CODE",VLOOKUP($A68,'UPD Questions_290926 '!$E$1:$N$300,MATCH(F$1,'UPD Questions_290926 '!$E$1:$N$1,0),0)&amp;"")</f>
        <v>Does your city have a Comprehensive Mobility Plan that clearly articulates development priorities, measurable objectives, and the roles and responsibilities of the ULG?</v>
      </c>
      <c r="G68" s="80" t="str">
        <f aca="false">IF(ISBLANK($A68),"NO_CODE",VLOOKUP($A68,'UPD Questions_290926 '!$E$1:$N$300,MATCH(G$1,'UPD Questions_290926 '!$E$1:$N$1,0),0)&amp;"")</f>
        <v>Implementation</v>
      </c>
      <c r="H68" s="82" t="n">
        <f aca="false">IF(ISBLANK($A68),"NO_CODE",VLOOKUP($A68,'UPD Questions_290926 '!$E$1:$N$300,MATCH(H$1,'UPD Questions_290926 '!$E$1:$N$1,0),0))</f>
        <v>10</v>
      </c>
      <c r="I68" s="83" t="str">
        <f aca="false">IF(OR(I69="ER",I70="ER",I71="ER"),"ER",IF(OR(I69="?",I70="?",I71="?"),"?",IF(AND(I69="NA",I70="NA",I71="NA"),"NA",SUM(I69,I70,I71)/((I69&lt;&gt;"NA")*$H$69+(I70&lt;&gt;"NA")*$H$70+(I71&lt;&gt;"NA")*$H$71)*$H68)))</f>
        <v>?</v>
      </c>
      <c r="J68" s="83" t="n">
        <f aca="false">IF(OR(J69="ER",J70="ER",J71="ER"),"ER",IF(OR(J69="?",J70="?",J71="?"),"?",IF(AND(J69="NA",J70="NA",J71="NA"),"NA",SUM(J69,J70,J71)/((J69&lt;&gt;"NA")*$H$69+(J70&lt;&gt;"NA")*$H$70+(J71&lt;&gt;"NA")*$H$71)*$H68)))</f>
        <v>10</v>
      </c>
      <c r="K68" s="83" t="str">
        <f aca="false">IF(OR(K69="ER",K70="ER",K71="ER"),"ER",IF(OR(K69="?",K70="?",K71="?"),"?",IF(AND(K69="NA",K70="NA",K71="NA"),"NA",SUM(K69,K70,K71)/((K69&lt;&gt;"NA")*$H$69+(K70&lt;&gt;"NA")*$H$70+(K71&lt;&gt;"NA")*$H$71)*$H68)))</f>
        <v>?</v>
      </c>
      <c r="L68" s="83" t="str">
        <f aca="false">IF(OR(L69="ER",L70="ER",L71="ER"),"ER",IF(OR(L69="?",L70="?",L71="?"),"?",IF(AND(L69="NA",L70="NA",L71="NA"),"NA",SUM(L69,L70,L71)/((L69&lt;&gt;"NA")*$H$69+(L70&lt;&gt;"NA")*$H$70+(L71&lt;&gt;"NA")*$H$71)*$H68)))</f>
        <v>?</v>
      </c>
      <c r="M68" s="83" t="str">
        <f aca="false">IF(OR(M69="ER",M70="ER",M71="ER"),"ER",IF(OR(M69="?",M70="?",M71="?"),"?",IF(AND(M69="NA",M70="NA",M71="NA"),"NA",SUM(M69,M70,M71)/((M69&lt;&gt;"NA")*$H$69+(M70&lt;&gt;"NA")*$H$70+(M71&lt;&gt;"NA")*$H$71)*$H68)))</f>
        <v>?</v>
      </c>
      <c r="N68" s="83" t="str">
        <f aca="false">IF(OR(N69="ER",N70="ER",N71="ER"),"ER",IF(OR(N69="?",N70="?",N71="?"),"?",IF(AND(N69="NA",N70="NA",N71="NA"),"NA",SUM(N69,N70,N71)/((N69&lt;&gt;"NA")*$H$69+(N70&lt;&gt;"NA")*$H$70+(N71&lt;&gt;"NA")*$H$71)*$H68)))</f>
        <v>?</v>
      </c>
      <c r="O68" s="83" t="str">
        <f aca="false">IF(OR(O69="ER",O70="ER",O71="ER"),"ER",IF(OR(O69="?",O70="?",O71="?"),"?",IF(AND(O69="NA",O70="NA",O71="NA"),"NA",SUM(O69,O70,O71)/((O69&lt;&gt;"NA")*$H$69+(O70&lt;&gt;"NA")*$H$70+(O71&lt;&gt;"NA")*$H$71)*$H68)))</f>
        <v>?</v>
      </c>
      <c r="P68" s="83" t="str">
        <f aca="false">IF(OR(P69="ER",P70="ER",P71="ER"),"ER",IF(OR(P69="?",P70="?",P71="?"),"?",IF(AND(P69="NA",P70="NA",P71="NA"),"NA",SUM(P69,P70,P71)/((P69&lt;&gt;"NA")*$H$69+(P70&lt;&gt;"NA")*$H$70+(P71&lt;&gt;"NA")*$H$71)*$H68)))</f>
        <v>?</v>
      </c>
      <c r="Q68" s="83" t="str">
        <f aca="false">IF(OR(Q69="ER",Q70="ER",Q71="ER"),"ER",IF(OR(Q69="?",Q70="?",Q71="?"),"?",IF(AND(Q69="NA",Q70="NA",Q71="NA"),"NA",SUM(Q69,Q70,Q71)/((Q69&lt;&gt;"NA")*$H$69+(Q70&lt;&gt;"NA")*$H$70+(Q71&lt;&gt;"NA")*$H$71)*$H68)))</f>
        <v>?</v>
      </c>
      <c r="R68" s="83" t="str">
        <f aca="false">IF(OR(R69="ER",R70="ER",R71="ER"),"ER",IF(OR(R69="?",R70="?",R71="?"),"?",IF(AND(R69="NA",R70="NA",R71="NA"),"NA",SUM(R69,R70,R71)/((R69&lt;&gt;"NA")*$H$69+(R70&lt;&gt;"NA")*$H$70+(R71&lt;&gt;"NA")*$H$71)*$H68)))</f>
        <v>?</v>
      </c>
      <c r="S68" s="83" t="str">
        <f aca="false">IF(OR(S69="ER",S70="ER",S71="ER"),"ER",IF(OR(S69="?",S70="?",S71="?"),"?",IF(AND(S69="NA",S70="NA",S71="NA"),"NA",SUM(S69,S70,S71)/((S69&lt;&gt;"NA")*$H$69+(S70&lt;&gt;"NA")*$H$70+(S71&lt;&gt;"NA")*$H$71)*$H68)))</f>
        <v>?</v>
      </c>
      <c r="T68" s="83" t="str">
        <f aca="false">IF(OR(T69="ER",T70="ER",T71="ER"),"ER",IF(OR(T69="?",T70="?",T71="?"),"?",IF(AND(T69="NA",T70="NA",T71="NA"),"NA",SUM(T69,T70,T71)/((T69&lt;&gt;"NA")*$H$69+(T70&lt;&gt;"NA")*$H$70+(T71&lt;&gt;"NA")*$H$71)*$H68)))</f>
        <v>?</v>
      </c>
      <c r="U68" s="83" t="str">
        <f aca="false">IF(OR(U69="ER",U70="ER",U71="ER"),"ER",IF(OR(U69="?",U70="?",U71="?"),"?",IF(AND(U69="NA",U70="NA",U71="NA"),"NA",SUM(U69,U70,U71)/((U69&lt;&gt;"NA")*$H$69+(U70&lt;&gt;"NA")*$H$70+(U71&lt;&gt;"NA")*$H$71)*$H68)))</f>
        <v>?</v>
      </c>
      <c r="V68" s="83" t="str">
        <f aca="false">IF(OR(V69="ER",V70="ER",V71="ER"),"ER",IF(OR(V69="?",V70="?",V71="?"),"?",IF(AND(V69="NA",V70="NA",V71="NA"),"NA",SUM(V69,V70,V71)/((V69&lt;&gt;"NA")*$H$69+(V70&lt;&gt;"NA")*$H$70+(V71&lt;&gt;"NA")*$H$71)*$H68)))</f>
        <v>?</v>
      </c>
      <c r="W68" s="83" t="str">
        <f aca="false">IF(OR(W69="ER",W70="ER",W71="ER"),"ER",IF(OR(W69="?",W70="?",W71="?"),"?",IF(AND(W69="NA",W70="NA",W71="NA"),"NA",SUM(W69,W70,W71)/((W69&lt;&gt;"NA")*$H$69+(W70&lt;&gt;"NA")*$H$70+(W71&lt;&gt;"NA")*$H$71)*$H68)))</f>
        <v>?</v>
      </c>
      <c r="X68" s="83" t="str">
        <f aca="false">IF(OR(X69="ER",X70="ER",X71="ER"),"ER",IF(OR(X69="?",X70="?",X71="?"),"?",IF(AND(X69="NA",X70="NA",X71="NA"),"NA",SUM(X69,X70,X71)/((X69&lt;&gt;"NA")*$H$69+(X70&lt;&gt;"NA")*$H$70+(X71&lt;&gt;"NA")*$H$71)*$H68)))</f>
        <v>?</v>
      </c>
      <c r="Y68" s="83" t="str">
        <f aca="false">IF(OR(Y69="ER",Y70="ER",Y71="ER"),"ER",IF(OR(Y69="?",Y70="?",Y71="?"),"?",IF(AND(Y69="NA",Y70="NA",Y71="NA"),"NA",SUM(Y69,Y70,Y71)/((Y69&lt;&gt;"NA")*$H$69+(Y70&lt;&gt;"NA")*$H$70+(Y71&lt;&gt;"NA")*$H$71)*$H68)))</f>
        <v>?</v>
      </c>
      <c r="Z68" s="83" t="str">
        <f aca="false">IF(OR(Z69="ER",Z70="ER",Z71="ER"),"ER",IF(OR(Z69="?",Z70="?",Z71="?"),"?",IF(AND(Z69="NA",Z70="NA",Z71="NA"),"NA",SUM(Z69,Z70,Z71)/((Z69&lt;&gt;"NA")*$H$69+(Z70&lt;&gt;"NA")*$H$70+(Z71&lt;&gt;"NA")*$H$71)*$H68)))</f>
        <v>?</v>
      </c>
      <c r="AA68" s="83" t="str">
        <f aca="false">IF(OR(AA69="ER",AA70="ER",AA71="ER"),"ER",IF(OR(AA69="?",AA70="?",AA71="?"),"?",IF(AND(AA69="NA",AA70="NA",AA71="NA"),"NA",SUM(AA69,AA70,AA71)/((AA69&lt;&gt;"NA")*$H$69+(AA70&lt;&gt;"NA")*$H$70+(AA71&lt;&gt;"NA")*$H$71)*$H68)))</f>
        <v>?</v>
      </c>
      <c r="AB68" s="83" t="str">
        <f aca="false">IF(OR(AB69="ER",AB70="ER",AB71="ER"),"ER",IF(OR(AB69="?",AB70="?",AB71="?"),"?",IF(AND(AB69="NA",AB70="NA",AB71="NA"),"NA",SUM(AB69,AB70,AB71)/((AB69&lt;&gt;"NA")*$H$69+(AB70&lt;&gt;"NA")*$H$70+(AB71&lt;&gt;"NA")*$H$71)*$H68)))</f>
        <v>?</v>
      </c>
      <c r="AC68" s="83" t="str">
        <f aca="false">IF(OR(AC69="ER",AC70="ER",AC71="ER"),"ER",IF(OR(AC69="?",AC70="?",AC71="?"),"?",IF(AND(AC69="NA",AC70="NA",AC71="NA"),"NA",SUM(AC69,AC70,AC71)/((AC69&lt;&gt;"NA")*$H$69+(AC70&lt;&gt;"NA")*$H$70+(AC71&lt;&gt;"NA")*$H$71)*$H68)))</f>
        <v>?</v>
      </c>
      <c r="AD68" s="83" t="str">
        <f aca="false">IF(OR(AD69="ER",AD70="ER",AD71="ER"),"ER",IF(OR(AD69="?",AD70="?",AD71="?"),"?",IF(AND(AD69="NA",AD70="NA",AD71="NA"),"NA",SUM(AD69,AD70,AD71)/((AD69&lt;&gt;"NA")*$H$69+(AD70&lt;&gt;"NA")*$H$70+(AD71&lt;&gt;"NA")*$H$71)*$H68)))</f>
        <v>?</v>
      </c>
      <c r="AE68" s="83" t="str">
        <f aca="false">IF(OR(AE69="ER",AE70="ER",AE71="ER"),"ER",IF(OR(AE69="?",AE70="?",AE71="?"),"?",IF(AND(AE69="NA",AE70="NA",AE71="NA"),"NA",SUM(AE69,AE70,AE71)/((AE69&lt;&gt;"NA")*$H$69+(AE70&lt;&gt;"NA")*$H$70+(AE71&lt;&gt;"NA")*$H$71)*$H68)))</f>
        <v>?</v>
      </c>
      <c r="AF68" s="83" t="str">
        <f aca="false">IF(OR(AF69="ER",AF70="ER",AF71="ER"),"ER",IF(OR(AF69="?",AF70="?",AF71="?"),"?",IF(AND(AF69="NA",AF70="NA",AF71="NA"),"NA",SUM(AF69,AF70,AF71)/((AF69&lt;&gt;"NA")*$H$69+(AF70&lt;&gt;"NA")*$H$70+(AF71&lt;&gt;"NA")*$H$71)*$H68)))</f>
        <v>?</v>
      </c>
      <c r="AG68" s="83" t="str">
        <f aca="false">IF(OR(AG69="ER",AG70="ER",AG71="ER"),"ER",IF(OR(AG69="?",AG70="?",AG71="?"),"?",IF(AND(AG69="NA",AG70="NA",AG71="NA"),"NA",SUM(AG69,AG70,AG71)/((AG69&lt;&gt;"NA")*$H$69+(AG70&lt;&gt;"NA")*$H$70+(AG71&lt;&gt;"NA")*$H$71)*$H68)))</f>
        <v>?</v>
      </c>
      <c r="AH68" s="83" t="str">
        <f aca="false">IF(OR(AH69="ER",AH70="ER",AH71="ER"),"ER",IF(OR(AH69="?",AH70="?",AH71="?"),"?",IF(AND(AH69="NA",AH70="NA",AH71="NA"),"NA",SUM(AH69,AH70,AH71)/((AH69&lt;&gt;"NA")*$H$69+(AH70&lt;&gt;"NA")*$H$70+(AH71&lt;&gt;"NA")*$H$71)*$H68)))</f>
        <v>?</v>
      </c>
      <c r="AI68" s="83" t="str">
        <f aca="false">IF(OR(AI69="ER",AI70="ER",AI71="ER"),"ER",IF(OR(AI69="?",AI70="?",AI71="?"),"?",IF(AND(AI69="NA",AI70="NA",AI71="NA"),"NA",SUM(AI69,AI70,AI71)/((AI69&lt;&gt;"NA")*$H$69+(AI70&lt;&gt;"NA")*$H$70+(AI71&lt;&gt;"NA")*$H$71)*$H68)))</f>
        <v>?</v>
      </c>
      <c r="AJ68" s="83" t="str">
        <f aca="false">IF(OR(AJ69="ER",AJ70="ER",AJ71="ER"),"ER",IF(OR(AJ69="?",AJ70="?",AJ71="?"),"?",IF(AND(AJ69="NA",AJ70="NA",AJ71="NA"),"NA",SUM(AJ69,AJ70,AJ71)/((AJ69&lt;&gt;"NA")*$H$69+(AJ70&lt;&gt;"NA")*$H$70+(AJ71&lt;&gt;"NA")*$H$71)*$H68)))</f>
        <v>?</v>
      </c>
      <c r="AK68" s="83" t="str">
        <f aca="false">IF(OR(AK69="ER",AK70="ER",AK71="ER"),"ER",IF(OR(AK69="?",AK70="?",AK71="?"),"?",IF(AND(AK69="NA",AK70="NA",AK71="NA"),"NA",SUM(AK69,AK70,AK71)/((AK69&lt;&gt;"NA")*$H$69+(AK70&lt;&gt;"NA")*$H$70+(AK71&lt;&gt;"NA")*$H$71)*$H68)))</f>
        <v>?</v>
      </c>
    </row>
    <row r="69" customFormat="false" ht="14.25" hidden="false" customHeight="false" outlineLevel="0" collapsed="false">
      <c r="A69" s="79" t="s">
        <v>249</v>
      </c>
      <c r="B69" s="80" t="str">
        <f aca="false">IF(ISBLANK($A69),"NO_CODE",VLOOKUP($A69,'UPD Questions_290926 '!$E$1:$N$300,MATCH(B$1,'UPD Questions_290926 '!$E$1:$N$1,0),0)&amp;"")</f>
        <v>Implementation</v>
      </c>
      <c r="C69" s="80" t="str">
        <f aca="false">IF(ISBLANK($A69),"NO_CODE",VLOOKUP($A69,'UPD Questions_290926 '!$E$1:$N$300,MATCH(C$1,'UPD Questions_290926 '!$E$1:$N$1,0),0)&amp;"")</f>
        <v>Sectoral planning</v>
      </c>
      <c r="D69" s="80" t="str">
        <f aca="false">IF(ISBLANK($A69),"NO_CODE",VLOOKUP($A69,'UPD Questions_290926 '!$E$1:$N$300,MATCH(D$1,'UPD Questions_290926 '!$E$1:$N$1,0),0)&amp;"")</f>
        <v>Comprehensive mobility planning</v>
      </c>
      <c r="E69" s="80" t="str">
        <f aca="false">IF(ISBLANK($A69),"NO_CODE",VLOOKUP($A69,'UPD Questions_290926 '!$E$1:$N$300,MATCH(E$1,'UPD Questions_290926 '!$E$1:$N$1,0),0)&amp;"")</f>
        <v>SQ</v>
      </c>
      <c r="F69" s="80" t="str">
        <f aca="false">IF(ISBLANK($A69),"NO_CODE",VLOOKUP($A69,'UPD Questions_290926 '!$E$1:$N$300,MATCH(F$1,'UPD Questions_290926 '!$E$1:$N$1,0),0)&amp;"")</f>
        <v>Does the city have a notified and active Comprehensive Mobility Plan?</v>
      </c>
      <c r="G69" s="80" t="str">
        <f aca="false">IF(ISBLANK($A69),"NO_CODE",VLOOKUP($A69,'UPD Questions_290926 '!$E$1:$N$300,MATCH(G$1,'UPD Questions_290926 '!$E$1:$N$1,0),0)&amp;"")</f>
        <v>Implementation</v>
      </c>
      <c r="H69" s="82" t="n">
        <f aca="false">IF(ISBLANK($A69),"NO_CODE",VLOOKUP($A69,'UPD Questions_290926 '!$E$1:$N$300,MATCH(H$1,'UPD Questions_290926 '!$E$1:$N$1,0),0))</f>
        <v>3.33</v>
      </c>
      <c r="I69" s="83" t="str">
        <f aca="true">IF($H69=0,"NA",IF($A69=INDIRECT("'"&amp;$A69&amp;"'!$B$1"),IF(VLOOKUP(I$1,INDIRECT("'"&amp;$A69&amp;"'!$A$12:$Z$41"),MATCH("Points (Auto-generate)",INDIRECT("'"&amp;$A69&amp;"'!$A$12:$Z$12"),0),0)="","?",VLOOKUP(I$1,INDIRECT("'"&amp;$A69&amp;"'!$A$12:$Z$41"),MATCH("Points (Auto-generate)",INDIRECT("'"&amp;$A69&amp;"'!$A$12:$Z$12"),0),0)),"ER"))</f>
        <v>?</v>
      </c>
      <c r="J69" s="83" t="n">
        <f aca="true">IF($H69=0,"NA",IF($A69=INDIRECT("'"&amp;$A69&amp;"'!$B$1"),IF(VLOOKUP(J$1,INDIRECT("'"&amp;$A69&amp;"'!$A$12:$Z$41"),MATCH("Points (Auto-generate)",INDIRECT("'"&amp;$A69&amp;"'!$A$12:$Z$12"),0),0)="","?",VLOOKUP(J$1,INDIRECT("'"&amp;$A69&amp;"'!$A$12:$Z$41"),MATCH("Points (Auto-generate)",INDIRECT("'"&amp;$A69&amp;"'!$A$12:$Z$12"),0),0)),"ER"))</f>
        <v>3.33</v>
      </c>
      <c r="K69" s="83" t="str">
        <f aca="true">IF($H69=0,"NA",IF($A69=INDIRECT("'"&amp;$A69&amp;"'!$B$1"),IF(VLOOKUP(K$1,INDIRECT("'"&amp;$A69&amp;"'!$A$12:$Z$41"),MATCH("Points (Auto-generate)",INDIRECT("'"&amp;$A69&amp;"'!$A$12:$Z$12"),0),0)="","?",VLOOKUP(K$1,INDIRECT("'"&amp;$A69&amp;"'!$A$12:$Z$41"),MATCH("Points (Auto-generate)",INDIRECT("'"&amp;$A69&amp;"'!$A$12:$Z$12"),0),0)),"ER"))</f>
        <v>?</v>
      </c>
      <c r="L69" s="83" t="str">
        <f aca="true">IF($H69=0,"NA",IF($A69=INDIRECT("'"&amp;$A69&amp;"'!$B$1"),IF(VLOOKUP(L$1,INDIRECT("'"&amp;$A69&amp;"'!$A$12:$Z$41"),MATCH("Points (Auto-generate)",INDIRECT("'"&amp;$A69&amp;"'!$A$12:$Z$12"),0),0)="","?",VLOOKUP(L$1,INDIRECT("'"&amp;$A69&amp;"'!$A$12:$Z$41"),MATCH("Points (Auto-generate)",INDIRECT("'"&amp;$A69&amp;"'!$A$12:$Z$12"),0),0)),"ER"))</f>
        <v>?</v>
      </c>
      <c r="M69" s="83" t="str">
        <f aca="true">IF($H69=0,"NA",IF($A69=INDIRECT("'"&amp;$A69&amp;"'!$B$1"),IF(VLOOKUP(M$1,INDIRECT("'"&amp;$A69&amp;"'!$A$12:$Z$41"),MATCH("Points (Auto-generate)",INDIRECT("'"&amp;$A69&amp;"'!$A$12:$Z$12"),0),0)="","?",VLOOKUP(M$1,INDIRECT("'"&amp;$A69&amp;"'!$A$12:$Z$41"),MATCH("Points (Auto-generate)",INDIRECT("'"&amp;$A69&amp;"'!$A$12:$Z$12"),0),0)),"ER"))</f>
        <v>?</v>
      </c>
      <c r="N69" s="83" t="str">
        <f aca="true">IF($H69=0,"NA",IF($A69=INDIRECT("'"&amp;$A69&amp;"'!$B$1"),IF(VLOOKUP(N$1,INDIRECT("'"&amp;$A69&amp;"'!$A$12:$Z$41"),MATCH("Points (Auto-generate)",INDIRECT("'"&amp;$A69&amp;"'!$A$12:$Z$12"),0),0)="","?",VLOOKUP(N$1,INDIRECT("'"&amp;$A69&amp;"'!$A$12:$Z$41"),MATCH("Points (Auto-generate)",INDIRECT("'"&amp;$A69&amp;"'!$A$12:$Z$12"),0),0)),"ER"))</f>
        <v>?</v>
      </c>
      <c r="O69" s="83" t="str">
        <f aca="true">IF($H69=0,"NA",IF($A69=INDIRECT("'"&amp;$A69&amp;"'!$B$1"),IF(VLOOKUP(O$1,INDIRECT("'"&amp;$A69&amp;"'!$A$12:$Z$41"),MATCH("Points (Auto-generate)",INDIRECT("'"&amp;$A69&amp;"'!$A$12:$Z$12"),0),0)="","?",VLOOKUP(O$1,INDIRECT("'"&amp;$A69&amp;"'!$A$12:$Z$41"),MATCH("Points (Auto-generate)",INDIRECT("'"&amp;$A69&amp;"'!$A$12:$Z$12"),0),0)),"ER"))</f>
        <v>?</v>
      </c>
      <c r="P69" s="83" t="str">
        <f aca="true">IF($H69=0,"NA",IF($A69=INDIRECT("'"&amp;$A69&amp;"'!$B$1"),IF(VLOOKUP(P$1,INDIRECT("'"&amp;$A69&amp;"'!$A$12:$Z$41"),MATCH("Points (Auto-generate)",INDIRECT("'"&amp;$A69&amp;"'!$A$12:$Z$12"),0),0)="","?",VLOOKUP(P$1,INDIRECT("'"&amp;$A69&amp;"'!$A$12:$Z$41"),MATCH("Points (Auto-generate)",INDIRECT("'"&amp;$A69&amp;"'!$A$12:$Z$12"),0),0)),"ER"))</f>
        <v>?</v>
      </c>
      <c r="Q69" s="83" t="str">
        <f aca="true">IF($H69=0,"NA",IF($A69=INDIRECT("'"&amp;$A69&amp;"'!$B$1"),IF(VLOOKUP(Q$1,INDIRECT("'"&amp;$A69&amp;"'!$A$12:$Z$41"),MATCH("Points (Auto-generate)",INDIRECT("'"&amp;$A69&amp;"'!$A$12:$Z$12"),0),0)="","?",VLOOKUP(Q$1,INDIRECT("'"&amp;$A69&amp;"'!$A$12:$Z$41"),MATCH("Points (Auto-generate)",INDIRECT("'"&amp;$A69&amp;"'!$A$12:$Z$12"),0),0)),"ER"))</f>
        <v>?</v>
      </c>
      <c r="R69" s="83" t="str">
        <f aca="true">IF($H69=0,"NA",IF($A69=INDIRECT("'"&amp;$A69&amp;"'!$B$1"),IF(VLOOKUP(R$1,INDIRECT("'"&amp;$A69&amp;"'!$A$12:$Z$41"),MATCH("Points (Auto-generate)",INDIRECT("'"&amp;$A69&amp;"'!$A$12:$Z$12"),0),0)="","?",VLOOKUP(R$1,INDIRECT("'"&amp;$A69&amp;"'!$A$12:$Z$41"),MATCH("Points (Auto-generate)",INDIRECT("'"&amp;$A69&amp;"'!$A$12:$Z$12"),0),0)),"ER"))</f>
        <v>?</v>
      </c>
      <c r="S69" s="83" t="str">
        <f aca="true">IF($H69=0,"NA",IF($A69=INDIRECT("'"&amp;$A69&amp;"'!$B$1"),IF(VLOOKUP(S$1,INDIRECT("'"&amp;$A69&amp;"'!$A$12:$Z$41"),MATCH("Points (Auto-generate)",INDIRECT("'"&amp;$A69&amp;"'!$A$12:$Z$12"),0),0)="","?",VLOOKUP(S$1,INDIRECT("'"&amp;$A69&amp;"'!$A$12:$Z$41"),MATCH("Points (Auto-generate)",INDIRECT("'"&amp;$A69&amp;"'!$A$12:$Z$12"),0),0)),"ER"))</f>
        <v>?</v>
      </c>
      <c r="T69" s="83" t="str">
        <f aca="true">IF($H69=0,"NA",IF($A69=INDIRECT("'"&amp;$A69&amp;"'!$B$1"),IF(VLOOKUP(T$1,INDIRECT("'"&amp;$A69&amp;"'!$A$12:$Z$41"),MATCH("Points (Auto-generate)",INDIRECT("'"&amp;$A69&amp;"'!$A$12:$Z$12"),0),0)="","?",VLOOKUP(T$1,INDIRECT("'"&amp;$A69&amp;"'!$A$12:$Z$41"),MATCH("Points (Auto-generate)",INDIRECT("'"&amp;$A69&amp;"'!$A$12:$Z$12"),0),0)),"ER"))</f>
        <v>?</v>
      </c>
      <c r="U69" s="83" t="str">
        <f aca="true">IF($H69=0,"NA",IF($A69=INDIRECT("'"&amp;$A69&amp;"'!$B$1"),IF(VLOOKUP(U$1,INDIRECT("'"&amp;$A69&amp;"'!$A$12:$Z$41"),MATCH("Points (Auto-generate)",INDIRECT("'"&amp;$A69&amp;"'!$A$12:$Z$12"),0),0)="","?",VLOOKUP(U$1,INDIRECT("'"&amp;$A69&amp;"'!$A$12:$Z$41"),MATCH("Points (Auto-generate)",INDIRECT("'"&amp;$A69&amp;"'!$A$12:$Z$12"),0),0)),"ER"))</f>
        <v>?</v>
      </c>
      <c r="V69" s="83" t="str">
        <f aca="true">IF($H69=0,"NA",IF($A69=INDIRECT("'"&amp;$A69&amp;"'!$B$1"),IF(VLOOKUP(V$1,INDIRECT("'"&amp;$A69&amp;"'!$A$12:$Z$41"),MATCH("Points (Auto-generate)",INDIRECT("'"&amp;$A69&amp;"'!$A$12:$Z$12"),0),0)="","?",VLOOKUP(V$1,INDIRECT("'"&amp;$A69&amp;"'!$A$12:$Z$41"),MATCH("Points (Auto-generate)",INDIRECT("'"&amp;$A69&amp;"'!$A$12:$Z$12"),0),0)),"ER"))</f>
        <v>?</v>
      </c>
      <c r="W69" s="83" t="str">
        <f aca="true">IF($H69=0,"NA",IF($A69=INDIRECT("'"&amp;$A69&amp;"'!$B$1"),IF(VLOOKUP(W$1,INDIRECT("'"&amp;$A69&amp;"'!$A$12:$Z$41"),MATCH("Points (Auto-generate)",INDIRECT("'"&amp;$A69&amp;"'!$A$12:$Z$12"),0),0)="","?",VLOOKUP(W$1,INDIRECT("'"&amp;$A69&amp;"'!$A$12:$Z$41"),MATCH("Points (Auto-generate)",INDIRECT("'"&amp;$A69&amp;"'!$A$12:$Z$12"),0),0)),"ER"))</f>
        <v>?</v>
      </c>
      <c r="X69" s="83" t="str">
        <f aca="true">IF($H69=0,"NA",IF($A69=INDIRECT("'"&amp;$A69&amp;"'!$B$1"),IF(VLOOKUP(X$1,INDIRECT("'"&amp;$A69&amp;"'!$A$12:$Z$41"),MATCH("Points (Auto-generate)",INDIRECT("'"&amp;$A69&amp;"'!$A$12:$Z$12"),0),0)="","?",VLOOKUP(X$1,INDIRECT("'"&amp;$A69&amp;"'!$A$12:$Z$41"),MATCH("Points (Auto-generate)",INDIRECT("'"&amp;$A69&amp;"'!$A$12:$Z$12"),0),0)),"ER"))</f>
        <v>?</v>
      </c>
      <c r="Y69" s="83" t="str">
        <f aca="true">IF($H69=0,"NA",IF($A69=INDIRECT("'"&amp;$A69&amp;"'!$B$1"),IF(VLOOKUP(Y$1,INDIRECT("'"&amp;$A69&amp;"'!$A$12:$Z$41"),MATCH("Points (Auto-generate)",INDIRECT("'"&amp;$A69&amp;"'!$A$12:$Z$12"),0),0)="","?",VLOOKUP(Y$1,INDIRECT("'"&amp;$A69&amp;"'!$A$12:$Z$41"),MATCH("Points (Auto-generate)",INDIRECT("'"&amp;$A69&amp;"'!$A$12:$Z$12"),0),0)),"ER"))</f>
        <v>?</v>
      </c>
      <c r="Z69" s="83" t="str">
        <f aca="true">IF($H69=0,"NA",IF($A69=INDIRECT("'"&amp;$A69&amp;"'!$B$1"),IF(VLOOKUP(Z$1,INDIRECT("'"&amp;$A69&amp;"'!$A$12:$Z$41"),MATCH("Points (Auto-generate)",INDIRECT("'"&amp;$A69&amp;"'!$A$12:$Z$12"),0),0)="","?",VLOOKUP(Z$1,INDIRECT("'"&amp;$A69&amp;"'!$A$12:$Z$41"),MATCH("Points (Auto-generate)",INDIRECT("'"&amp;$A69&amp;"'!$A$12:$Z$12"),0),0)),"ER"))</f>
        <v>?</v>
      </c>
      <c r="AA69" s="83" t="str">
        <f aca="true">IF($H69=0,"NA",IF($A69=INDIRECT("'"&amp;$A69&amp;"'!$B$1"),IF(VLOOKUP(AA$1,INDIRECT("'"&amp;$A69&amp;"'!$A$12:$Z$41"),MATCH("Points (Auto-generate)",INDIRECT("'"&amp;$A69&amp;"'!$A$12:$Z$12"),0),0)="","?",VLOOKUP(AA$1,INDIRECT("'"&amp;$A69&amp;"'!$A$12:$Z$41"),MATCH("Points (Auto-generate)",INDIRECT("'"&amp;$A69&amp;"'!$A$12:$Z$12"),0),0)),"ER"))</f>
        <v>?</v>
      </c>
      <c r="AB69" s="83" t="str">
        <f aca="true">IF($H69=0,"NA",IF($A69=INDIRECT("'"&amp;$A69&amp;"'!$B$1"),IF(VLOOKUP(AB$1,INDIRECT("'"&amp;$A69&amp;"'!$A$12:$Z$41"),MATCH("Points (Auto-generate)",INDIRECT("'"&amp;$A69&amp;"'!$A$12:$Z$12"),0),0)="","?",VLOOKUP(AB$1,INDIRECT("'"&amp;$A69&amp;"'!$A$12:$Z$41"),MATCH("Points (Auto-generate)",INDIRECT("'"&amp;$A69&amp;"'!$A$12:$Z$12"),0),0)),"ER"))</f>
        <v>?</v>
      </c>
      <c r="AC69" s="83" t="str">
        <f aca="true">IF($H69=0,"NA",IF($A69=INDIRECT("'"&amp;$A69&amp;"'!$B$1"),IF(VLOOKUP(AC$1,INDIRECT("'"&amp;$A69&amp;"'!$A$12:$Z$41"),MATCH("Points (Auto-generate)",INDIRECT("'"&amp;$A69&amp;"'!$A$12:$Z$12"),0),0)="","?",VLOOKUP(AC$1,INDIRECT("'"&amp;$A69&amp;"'!$A$12:$Z$41"),MATCH("Points (Auto-generate)",INDIRECT("'"&amp;$A69&amp;"'!$A$12:$Z$12"),0),0)),"ER"))</f>
        <v>?</v>
      </c>
      <c r="AD69" s="83" t="str">
        <f aca="true">IF($H69=0,"NA",IF($A69=INDIRECT("'"&amp;$A69&amp;"'!$B$1"),IF(VLOOKUP(AD$1,INDIRECT("'"&amp;$A69&amp;"'!$A$12:$Z$41"),MATCH("Points (Auto-generate)",INDIRECT("'"&amp;$A69&amp;"'!$A$12:$Z$12"),0),0)="","?",VLOOKUP(AD$1,INDIRECT("'"&amp;$A69&amp;"'!$A$12:$Z$41"),MATCH("Points (Auto-generate)",INDIRECT("'"&amp;$A69&amp;"'!$A$12:$Z$12"),0),0)),"ER"))</f>
        <v>?</v>
      </c>
      <c r="AE69" s="83" t="str">
        <f aca="true">IF($H69=0,"NA",IF($A69=INDIRECT("'"&amp;$A69&amp;"'!$B$1"),IF(VLOOKUP(AE$1,INDIRECT("'"&amp;$A69&amp;"'!$A$12:$Z$41"),MATCH("Points (Auto-generate)",INDIRECT("'"&amp;$A69&amp;"'!$A$12:$Z$12"),0),0)="","?",VLOOKUP(AE$1,INDIRECT("'"&amp;$A69&amp;"'!$A$12:$Z$41"),MATCH("Points (Auto-generate)",INDIRECT("'"&amp;$A69&amp;"'!$A$12:$Z$12"),0),0)),"ER"))</f>
        <v>?</v>
      </c>
      <c r="AF69" s="83" t="str">
        <f aca="true">IF($H69=0,"NA",IF($A69=INDIRECT("'"&amp;$A69&amp;"'!$B$1"),IF(VLOOKUP(AF$1,INDIRECT("'"&amp;$A69&amp;"'!$A$12:$Z$41"),MATCH("Points (Auto-generate)",INDIRECT("'"&amp;$A69&amp;"'!$A$12:$Z$12"),0),0)="","?",VLOOKUP(AF$1,INDIRECT("'"&amp;$A69&amp;"'!$A$12:$Z$41"),MATCH("Points (Auto-generate)",INDIRECT("'"&amp;$A69&amp;"'!$A$12:$Z$12"),0),0)),"ER"))</f>
        <v>?</v>
      </c>
      <c r="AG69" s="83" t="str">
        <f aca="true">IF($H69=0,"NA",IF($A69=INDIRECT("'"&amp;$A69&amp;"'!$B$1"),IF(VLOOKUP(AG$1,INDIRECT("'"&amp;$A69&amp;"'!$A$12:$Z$41"),MATCH("Points (Auto-generate)",INDIRECT("'"&amp;$A69&amp;"'!$A$12:$Z$12"),0),0)="","?",VLOOKUP(AG$1,INDIRECT("'"&amp;$A69&amp;"'!$A$12:$Z$41"),MATCH("Points (Auto-generate)",INDIRECT("'"&amp;$A69&amp;"'!$A$12:$Z$12"),0),0)),"ER"))</f>
        <v>?</v>
      </c>
      <c r="AH69" s="83" t="str">
        <f aca="true">IF($H69=0,"NA",IF($A69=INDIRECT("'"&amp;$A69&amp;"'!$B$1"),IF(VLOOKUP(AH$1,INDIRECT("'"&amp;$A69&amp;"'!$A$12:$Z$41"),MATCH("Points (Auto-generate)",INDIRECT("'"&amp;$A69&amp;"'!$A$12:$Z$12"),0),0)="","?",VLOOKUP(AH$1,INDIRECT("'"&amp;$A69&amp;"'!$A$12:$Z$41"),MATCH("Points (Auto-generate)",INDIRECT("'"&amp;$A69&amp;"'!$A$12:$Z$12"),0),0)),"ER"))</f>
        <v>?</v>
      </c>
      <c r="AI69" s="83" t="str">
        <f aca="true">IF($H69=0,"NA",IF($A69=INDIRECT("'"&amp;$A69&amp;"'!$B$1"),IF(VLOOKUP(AI$1,INDIRECT("'"&amp;$A69&amp;"'!$A$12:$Z$41"),MATCH("Points (Auto-generate)",INDIRECT("'"&amp;$A69&amp;"'!$A$12:$Z$12"),0),0)="","?",VLOOKUP(AI$1,INDIRECT("'"&amp;$A69&amp;"'!$A$12:$Z$41"),MATCH("Points (Auto-generate)",INDIRECT("'"&amp;$A69&amp;"'!$A$12:$Z$12"),0),0)),"ER"))</f>
        <v>?</v>
      </c>
      <c r="AJ69" s="83" t="str">
        <f aca="true">IF($H69=0,"NA",IF($A69=INDIRECT("'"&amp;$A69&amp;"'!$B$1"),IF(VLOOKUP(AJ$1,INDIRECT("'"&amp;$A69&amp;"'!$A$12:$Z$41"),MATCH("Points (Auto-generate)",INDIRECT("'"&amp;$A69&amp;"'!$A$12:$Z$12"),0),0)="","?",VLOOKUP(AJ$1,INDIRECT("'"&amp;$A69&amp;"'!$A$12:$Z$41"),MATCH("Points (Auto-generate)",INDIRECT("'"&amp;$A69&amp;"'!$A$12:$Z$12"),0),0)),"ER"))</f>
        <v>?</v>
      </c>
      <c r="AK69" s="83" t="str">
        <f aca="true">IF($H69=0,"NA",IF($A69=INDIRECT("'"&amp;$A69&amp;"'!$B$1"),IF(VLOOKUP(AK$1,INDIRECT("'"&amp;$A69&amp;"'!$A$12:$Z$41"),MATCH("Points (Auto-generate)",INDIRECT("'"&amp;$A69&amp;"'!$A$12:$Z$12"),0),0)="","?",VLOOKUP(AK$1,INDIRECT("'"&amp;$A69&amp;"'!$A$12:$Z$41"),MATCH("Points (Auto-generate)",INDIRECT("'"&amp;$A69&amp;"'!$A$12:$Z$12"),0),0)),"ER"))</f>
        <v>?</v>
      </c>
    </row>
    <row r="70" customFormat="false" ht="14.25" hidden="false" customHeight="false" outlineLevel="0" collapsed="false">
      <c r="A70" s="79" t="s">
        <v>252</v>
      </c>
      <c r="B70" s="80" t="str">
        <f aca="false">IF(ISBLANK($A70),"NO_CODE",VLOOKUP($A70,'UPD Questions_290926 '!$E$1:$N$300,MATCH(B$1,'UPD Questions_290926 '!$E$1:$N$1,0),0)&amp;"")</f>
        <v>Implementation</v>
      </c>
      <c r="C70" s="80" t="str">
        <f aca="false">IF(ISBLANK($A70),"NO_CODE",VLOOKUP($A70,'UPD Questions_290926 '!$E$1:$N$300,MATCH(C$1,'UPD Questions_290926 '!$E$1:$N$1,0),0)&amp;"")</f>
        <v>Sectoral planning</v>
      </c>
      <c r="D70" s="80" t="str">
        <f aca="false">IF(ISBLANK($A70),"NO_CODE",VLOOKUP($A70,'UPD Questions_290926 '!$E$1:$N$300,MATCH(D$1,'UPD Questions_290926 '!$E$1:$N$1,0),0)&amp;"")</f>
        <v>Comprehensive mobility planning</v>
      </c>
      <c r="E70" s="80" t="str">
        <f aca="false">IF(ISBLANK($A70),"NO_CODE",VLOOKUP($A70,'UPD Questions_290926 '!$E$1:$N$300,MATCH(E$1,'UPD Questions_290926 '!$E$1:$N$1,0),0)&amp;"")</f>
        <v>SQ</v>
      </c>
      <c r="F70" s="80" t="str">
        <f aca="false">IF(ISBLANK($A70),"NO_CODE",VLOOKUP($A70,'UPD Questions_290926 '!$E$1:$N$300,MATCH(F$1,'UPD Questions_290926 '!$E$1:$N$1,0),0)&amp;"")</f>
        <v>Does the plan have development priorities and measurable objectives?</v>
      </c>
      <c r="G70" s="80" t="str">
        <f aca="false">IF(ISBLANK($A70),"NO_CODE",VLOOKUP($A70,'UPD Questions_290926 '!$E$1:$N$300,MATCH(G$1,'UPD Questions_290926 '!$E$1:$N$1,0),0)&amp;"")</f>
        <v>Implementation</v>
      </c>
      <c r="H70" s="82" t="n">
        <f aca="false">IF(ISBLANK($A70),"NO_CODE",VLOOKUP($A70,'UPD Questions_290926 '!$E$1:$N$300,MATCH(H$1,'UPD Questions_290926 '!$E$1:$N$1,0),0))</f>
        <v>3.33</v>
      </c>
      <c r="I70" s="83" t="str">
        <f aca="true">IF($H70=0,"NA",IF($A70=INDIRECT("'"&amp;$A70&amp;"'!$B$1"),IF(VLOOKUP(I$1,INDIRECT("'"&amp;$A70&amp;"'!$A$12:$Z$41"),MATCH("Points (Auto-generate)",INDIRECT("'"&amp;$A70&amp;"'!$A$12:$Z$12"),0),0)="","?",VLOOKUP(I$1,INDIRECT("'"&amp;$A70&amp;"'!$A$12:$Z$41"),MATCH("Points (Auto-generate)",INDIRECT("'"&amp;$A70&amp;"'!$A$12:$Z$12"),0),0)),"ER"))</f>
        <v>?</v>
      </c>
      <c r="J70" s="83" t="n">
        <f aca="true">IF($H70=0,"NA",IF($A70=INDIRECT("'"&amp;$A70&amp;"'!$B$1"),IF(VLOOKUP(J$1,INDIRECT("'"&amp;$A70&amp;"'!$A$12:$Z$41"),MATCH("Points (Auto-generate)",INDIRECT("'"&amp;$A70&amp;"'!$A$12:$Z$12"),0),0)="","?",VLOOKUP(J$1,INDIRECT("'"&amp;$A70&amp;"'!$A$12:$Z$41"),MATCH("Points (Auto-generate)",INDIRECT("'"&amp;$A70&amp;"'!$A$12:$Z$12"),0),0)),"ER"))</f>
        <v>3.33</v>
      </c>
      <c r="K70" s="83" t="str">
        <f aca="true">IF($H70=0,"NA",IF($A70=INDIRECT("'"&amp;$A70&amp;"'!$B$1"),IF(VLOOKUP(K$1,INDIRECT("'"&amp;$A70&amp;"'!$A$12:$Z$41"),MATCH("Points (Auto-generate)",INDIRECT("'"&amp;$A70&amp;"'!$A$12:$Z$12"),0),0)="","?",VLOOKUP(K$1,INDIRECT("'"&amp;$A70&amp;"'!$A$12:$Z$41"),MATCH("Points (Auto-generate)",INDIRECT("'"&amp;$A70&amp;"'!$A$12:$Z$12"),0),0)),"ER"))</f>
        <v>?</v>
      </c>
      <c r="L70" s="83" t="str">
        <f aca="true">IF($H70=0,"NA",IF($A70=INDIRECT("'"&amp;$A70&amp;"'!$B$1"),IF(VLOOKUP(L$1,INDIRECT("'"&amp;$A70&amp;"'!$A$12:$Z$41"),MATCH("Points (Auto-generate)",INDIRECT("'"&amp;$A70&amp;"'!$A$12:$Z$12"),0),0)="","?",VLOOKUP(L$1,INDIRECT("'"&amp;$A70&amp;"'!$A$12:$Z$41"),MATCH("Points (Auto-generate)",INDIRECT("'"&amp;$A70&amp;"'!$A$12:$Z$12"),0),0)),"ER"))</f>
        <v>?</v>
      </c>
      <c r="M70" s="83" t="str">
        <f aca="true">IF($H70=0,"NA",IF($A70=INDIRECT("'"&amp;$A70&amp;"'!$B$1"),IF(VLOOKUP(M$1,INDIRECT("'"&amp;$A70&amp;"'!$A$12:$Z$41"),MATCH("Points (Auto-generate)",INDIRECT("'"&amp;$A70&amp;"'!$A$12:$Z$12"),0),0)="","?",VLOOKUP(M$1,INDIRECT("'"&amp;$A70&amp;"'!$A$12:$Z$41"),MATCH("Points (Auto-generate)",INDIRECT("'"&amp;$A70&amp;"'!$A$12:$Z$12"),0),0)),"ER"))</f>
        <v>?</v>
      </c>
      <c r="N70" s="83" t="str">
        <f aca="true">IF($H70=0,"NA",IF($A70=INDIRECT("'"&amp;$A70&amp;"'!$B$1"),IF(VLOOKUP(N$1,INDIRECT("'"&amp;$A70&amp;"'!$A$12:$Z$41"),MATCH("Points (Auto-generate)",INDIRECT("'"&amp;$A70&amp;"'!$A$12:$Z$12"),0),0)="","?",VLOOKUP(N$1,INDIRECT("'"&amp;$A70&amp;"'!$A$12:$Z$41"),MATCH("Points (Auto-generate)",INDIRECT("'"&amp;$A70&amp;"'!$A$12:$Z$12"),0),0)),"ER"))</f>
        <v>?</v>
      </c>
      <c r="O70" s="83" t="str">
        <f aca="true">IF($H70=0,"NA",IF($A70=INDIRECT("'"&amp;$A70&amp;"'!$B$1"),IF(VLOOKUP(O$1,INDIRECT("'"&amp;$A70&amp;"'!$A$12:$Z$41"),MATCH("Points (Auto-generate)",INDIRECT("'"&amp;$A70&amp;"'!$A$12:$Z$12"),0),0)="","?",VLOOKUP(O$1,INDIRECT("'"&amp;$A70&amp;"'!$A$12:$Z$41"),MATCH("Points (Auto-generate)",INDIRECT("'"&amp;$A70&amp;"'!$A$12:$Z$12"),0),0)),"ER"))</f>
        <v>?</v>
      </c>
      <c r="P70" s="83" t="str">
        <f aca="true">IF($H70=0,"NA",IF($A70=INDIRECT("'"&amp;$A70&amp;"'!$B$1"),IF(VLOOKUP(P$1,INDIRECT("'"&amp;$A70&amp;"'!$A$12:$Z$41"),MATCH("Points (Auto-generate)",INDIRECT("'"&amp;$A70&amp;"'!$A$12:$Z$12"),0),0)="","?",VLOOKUP(P$1,INDIRECT("'"&amp;$A70&amp;"'!$A$12:$Z$41"),MATCH("Points (Auto-generate)",INDIRECT("'"&amp;$A70&amp;"'!$A$12:$Z$12"),0),0)),"ER"))</f>
        <v>?</v>
      </c>
      <c r="Q70" s="83" t="str">
        <f aca="true">IF($H70=0,"NA",IF($A70=INDIRECT("'"&amp;$A70&amp;"'!$B$1"),IF(VLOOKUP(Q$1,INDIRECT("'"&amp;$A70&amp;"'!$A$12:$Z$41"),MATCH("Points (Auto-generate)",INDIRECT("'"&amp;$A70&amp;"'!$A$12:$Z$12"),0),0)="","?",VLOOKUP(Q$1,INDIRECT("'"&amp;$A70&amp;"'!$A$12:$Z$41"),MATCH("Points (Auto-generate)",INDIRECT("'"&amp;$A70&amp;"'!$A$12:$Z$12"),0),0)),"ER"))</f>
        <v>?</v>
      </c>
      <c r="R70" s="83" t="str">
        <f aca="true">IF($H70=0,"NA",IF($A70=INDIRECT("'"&amp;$A70&amp;"'!$B$1"),IF(VLOOKUP(R$1,INDIRECT("'"&amp;$A70&amp;"'!$A$12:$Z$41"),MATCH("Points (Auto-generate)",INDIRECT("'"&amp;$A70&amp;"'!$A$12:$Z$12"),0),0)="","?",VLOOKUP(R$1,INDIRECT("'"&amp;$A70&amp;"'!$A$12:$Z$41"),MATCH("Points (Auto-generate)",INDIRECT("'"&amp;$A70&amp;"'!$A$12:$Z$12"),0),0)),"ER"))</f>
        <v>?</v>
      </c>
      <c r="S70" s="83" t="str">
        <f aca="true">IF($H70=0,"NA",IF($A70=INDIRECT("'"&amp;$A70&amp;"'!$B$1"),IF(VLOOKUP(S$1,INDIRECT("'"&amp;$A70&amp;"'!$A$12:$Z$41"),MATCH("Points (Auto-generate)",INDIRECT("'"&amp;$A70&amp;"'!$A$12:$Z$12"),0),0)="","?",VLOOKUP(S$1,INDIRECT("'"&amp;$A70&amp;"'!$A$12:$Z$41"),MATCH("Points (Auto-generate)",INDIRECT("'"&amp;$A70&amp;"'!$A$12:$Z$12"),0),0)),"ER"))</f>
        <v>?</v>
      </c>
      <c r="T70" s="83" t="str">
        <f aca="true">IF($H70=0,"NA",IF($A70=INDIRECT("'"&amp;$A70&amp;"'!$B$1"),IF(VLOOKUP(T$1,INDIRECT("'"&amp;$A70&amp;"'!$A$12:$Z$41"),MATCH("Points (Auto-generate)",INDIRECT("'"&amp;$A70&amp;"'!$A$12:$Z$12"),0),0)="","?",VLOOKUP(T$1,INDIRECT("'"&amp;$A70&amp;"'!$A$12:$Z$41"),MATCH("Points (Auto-generate)",INDIRECT("'"&amp;$A70&amp;"'!$A$12:$Z$12"),0),0)),"ER"))</f>
        <v>?</v>
      </c>
      <c r="U70" s="83" t="str">
        <f aca="true">IF($H70=0,"NA",IF($A70=INDIRECT("'"&amp;$A70&amp;"'!$B$1"),IF(VLOOKUP(U$1,INDIRECT("'"&amp;$A70&amp;"'!$A$12:$Z$41"),MATCH("Points (Auto-generate)",INDIRECT("'"&amp;$A70&amp;"'!$A$12:$Z$12"),0),0)="","?",VLOOKUP(U$1,INDIRECT("'"&amp;$A70&amp;"'!$A$12:$Z$41"),MATCH("Points (Auto-generate)",INDIRECT("'"&amp;$A70&amp;"'!$A$12:$Z$12"),0),0)),"ER"))</f>
        <v>?</v>
      </c>
      <c r="V70" s="83" t="str">
        <f aca="true">IF($H70=0,"NA",IF($A70=INDIRECT("'"&amp;$A70&amp;"'!$B$1"),IF(VLOOKUP(V$1,INDIRECT("'"&amp;$A70&amp;"'!$A$12:$Z$41"),MATCH("Points (Auto-generate)",INDIRECT("'"&amp;$A70&amp;"'!$A$12:$Z$12"),0),0)="","?",VLOOKUP(V$1,INDIRECT("'"&amp;$A70&amp;"'!$A$12:$Z$41"),MATCH("Points (Auto-generate)",INDIRECT("'"&amp;$A70&amp;"'!$A$12:$Z$12"),0),0)),"ER"))</f>
        <v>?</v>
      </c>
      <c r="W70" s="83" t="str">
        <f aca="true">IF($H70=0,"NA",IF($A70=INDIRECT("'"&amp;$A70&amp;"'!$B$1"),IF(VLOOKUP(W$1,INDIRECT("'"&amp;$A70&amp;"'!$A$12:$Z$41"),MATCH("Points (Auto-generate)",INDIRECT("'"&amp;$A70&amp;"'!$A$12:$Z$12"),0),0)="","?",VLOOKUP(W$1,INDIRECT("'"&amp;$A70&amp;"'!$A$12:$Z$41"),MATCH("Points (Auto-generate)",INDIRECT("'"&amp;$A70&amp;"'!$A$12:$Z$12"),0),0)),"ER"))</f>
        <v>?</v>
      </c>
      <c r="X70" s="83" t="str">
        <f aca="true">IF($H70=0,"NA",IF($A70=INDIRECT("'"&amp;$A70&amp;"'!$B$1"),IF(VLOOKUP(X$1,INDIRECT("'"&amp;$A70&amp;"'!$A$12:$Z$41"),MATCH("Points (Auto-generate)",INDIRECT("'"&amp;$A70&amp;"'!$A$12:$Z$12"),0),0)="","?",VLOOKUP(X$1,INDIRECT("'"&amp;$A70&amp;"'!$A$12:$Z$41"),MATCH("Points (Auto-generate)",INDIRECT("'"&amp;$A70&amp;"'!$A$12:$Z$12"),0),0)),"ER"))</f>
        <v>?</v>
      </c>
      <c r="Y70" s="83" t="str">
        <f aca="true">IF($H70=0,"NA",IF($A70=INDIRECT("'"&amp;$A70&amp;"'!$B$1"),IF(VLOOKUP(Y$1,INDIRECT("'"&amp;$A70&amp;"'!$A$12:$Z$41"),MATCH("Points (Auto-generate)",INDIRECT("'"&amp;$A70&amp;"'!$A$12:$Z$12"),0),0)="","?",VLOOKUP(Y$1,INDIRECT("'"&amp;$A70&amp;"'!$A$12:$Z$41"),MATCH("Points (Auto-generate)",INDIRECT("'"&amp;$A70&amp;"'!$A$12:$Z$12"),0),0)),"ER"))</f>
        <v>?</v>
      </c>
      <c r="Z70" s="83" t="str">
        <f aca="true">IF($H70=0,"NA",IF($A70=INDIRECT("'"&amp;$A70&amp;"'!$B$1"),IF(VLOOKUP(Z$1,INDIRECT("'"&amp;$A70&amp;"'!$A$12:$Z$41"),MATCH("Points (Auto-generate)",INDIRECT("'"&amp;$A70&amp;"'!$A$12:$Z$12"),0),0)="","?",VLOOKUP(Z$1,INDIRECT("'"&amp;$A70&amp;"'!$A$12:$Z$41"),MATCH("Points (Auto-generate)",INDIRECT("'"&amp;$A70&amp;"'!$A$12:$Z$12"),0),0)),"ER"))</f>
        <v>?</v>
      </c>
      <c r="AA70" s="83" t="str">
        <f aca="true">IF($H70=0,"NA",IF($A70=INDIRECT("'"&amp;$A70&amp;"'!$B$1"),IF(VLOOKUP(AA$1,INDIRECT("'"&amp;$A70&amp;"'!$A$12:$Z$41"),MATCH("Points (Auto-generate)",INDIRECT("'"&amp;$A70&amp;"'!$A$12:$Z$12"),0),0)="","?",VLOOKUP(AA$1,INDIRECT("'"&amp;$A70&amp;"'!$A$12:$Z$41"),MATCH("Points (Auto-generate)",INDIRECT("'"&amp;$A70&amp;"'!$A$12:$Z$12"),0),0)),"ER"))</f>
        <v>?</v>
      </c>
      <c r="AB70" s="83" t="str">
        <f aca="true">IF($H70=0,"NA",IF($A70=INDIRECT("'"&amp;$A70&amp;"'!$B$1"),IF(VLOOKUP(AB$1,INDIRECT("'"&amp;$A70&amp;"'!$A$12:$Z$41"),MATCH("Points (Auto-generate)",INDIRECT("'"&amp;$A70&amp;"'!$A$12:$Z$12"),0),0)="","?",VLOOKUP(AB$1,INDIRECT("'"&amp;$A70&amp;"'!$A$12:$Z$41"),MATCH("Points (Auto-generate)",INDIRECT("'"&amp;$A70&amp;"'!$A$12:$Z$12"),0),0)),"ER"))</f>
        <v>?</v>
      </c>
      <c r="AC70" s="83" t="str">
        <f aca="true">IF($H70=0,"NA",IF($A70=INDIRECT("'"&amp;$A70&amp;"'!$B$1"),IF(VLOOKUP(AC$1,INDIRECT("'"&amp;$A70&amp;"'!$A$12:$Z$41"),MATCH("Points (Auto-generate)",INDIRECT("'"&amp;$A70&amp;"'!$A$12:$Z$12"),0),0)="","?",VLOOKUP(AC$1,INDIRECT("'"&amp;$A70&amp;"'!$A$12:$Z$41"),MATCH("Points (Auto-generate)",INDIRECT("'"&amp;$A70&amp;"'!$A$12:$Z$12"),0),0)),"ER"))</f>
        <v>?</v>
      </c>
      <c r="AD70" s="83" t="str">
        <f aca="true">IF($H70=0,"NA",IF($A70=INDIRECT("'"&amp;$A70&amp;"'!$B$1"),IF(VLOOKUP(AD$1,INDIRECT("'"&amp;$A70&amp;"'!$A$12:$Z$41"),MATCH("Points (Auto-generate)",INDIRECT("'"&amp;$A70&amp;"'!$A$12:$Z$12"),0),0)="","?",VLOOKUP(AD$1,INDIRECT("'"&amp;$A70&amp;"'!$A$12:$Z$41"),MATCH("Points (Auto-generate)",INDIRECT("'"&amp;$A70&amp;"'!$A$12:$Z$12"),0),0)),"ER"))</f>
        <v>?</v>
      </c>
      <c r="AE70" s="83" t="str">
        <f aca="true">IF($H70=0,"NA",IF($A70=INDIRECT("'"&amp;$A70&amp;"'!$B$1"),IF(VLOOKUP(AE$1,INDIRECT("'"&amp;$A70&amp;"'!$A$12:$Z$41"),MATCH("Points (Auto-generate)",INDIRECT("'"&amp;$A70&amp;"'!$A$12:$Z$12"),0),0)="","?",VLOOKUP(AE$1,INDIRECT("'"&amp;$A70&amp;"'!$A$12:$Z$41"),MATCH("Points (Auto-generate)",INDIRECT("'"&amp;$A70&amp;"'!$A$12:$Z$12"),0),0)),"ER"))</f>
        <v>?</v>
      </c>
      <c r="AF70" s="83" t="str">
        <f aca="true">IF($H70=0,"NA",IF($A70=INDIRECT("'"&amp;$A70&amp;"'!$B$1"),IF(VLOOKUP(AF$1,INDIRECT("'"&amp;$A70&amp;"'!$A$12:$Z$41"),MATCH("Points (Auto-generate)",INDIRECT("'"&amp;$A70&amp;"'!$A$12:$Z$12"),0),0)="","?",VLOOKUP(AF$1,INDIRECT("'"&amp;$A70&amp;"'!$A$12:$Z$41"),MATCH("Points (Auto-generate)",INDIRECT("'"&amp;$A70&amp;"'!$A$12:$Z$12"),0),0)),"ER"))</f>
        <v>?</v>
      </c>
      <c r="AG70" s="83" t="str">
        <f aca="true">IF($H70=0,"NA",IF($A70=INDIRECT("'"&amp;$A70&amp;"'!$B$1"),IF(VLOOKUP(AG$1,INDIRECT("'"&amp;$A70&amp;"'!$A$12:$Z$41"),MATCH("Points (Auto-generate)",INDIRECT("'"&amp;$A70&amp;"'!$A$12:$Z$12"),0),0)="","?",VLOOKUP(AG$1,INDIRECT("'"&amp;$A70&amp;"'!$A$12:$Z$41"),MATCH("Points (Auto-generate)",INDIRECT("'"&amp;$A70&amp;"'!$A$12:$Z$12"),0),0)),"ER"))</f>
        <v>?</v>
      </c>
      <c r="AH70" s="83" t="str">
        <f aca="true">IF($H70=0,"NA",IF($A70=INDIRECT("'"&amp;$A70&amp;"'!$B$1"),IF(VLOOKUP(AH$1,INDIRECT("'"&amp;$A70&amp;"'!$A$12:$Z$41"),MATCH("Points (Auto-generate)",INDIRECT("'"&amp;$A70&amp;"'!$A$12:$Z$12"),0),0)="","?",VLOOKUP(AH$1,INDIRECT("'"&amp;$A70&amp;"'!$A$12:$Z$41"),MATCH("Points (Auto-generate)",INDIRECT("'"&amp;$A70&amp;"'!$A$12:$Z$12"),0),0)),"ER"))</f>
        <v>?</v>
      </c>
      <c r="AI70" s="83" t="str">
        <f aca="true">IF($H70=0,"NA",IF($A70=INDIRECT("'"&amp;$A70&amp;"'!$B$1"),IF(VLOOKUP(AI$1,INDIRECT("'"&amp;$A70&amp;"'!$A$12:$Z$41"),MATCH("Points (Auto-generate)",INDIRECT("'"&amp;$A70&amp;"'!$A$12:$Z$12"),0),0)="","?",VLOOKUP(AI$1,INDIRECT("'"&amp;$A70&amp;"'!$A$12:$Z$41"),MATCH("Points (Auto-generate)",INDIRECT("'"&amp;$A70&amp;"'!$A$12:$Z$12"),0),0)),"ER"))</f>
        <v>?</v>
      </c>
      <c r="AJ70" s="83" t="str">
        <f aca="true">IF($H70=0,"NA",IF($A70=INDIRECT("'"&amp;$A70&amp;"'!$B$1"),IF(VLOOKUP(AJ$1,INDIRECT("'"&amp;$A70&amp;"'!$A$12:$Z$41"),MATCH("Points (Auto-generate)",INDIRECT("'"&amp;$A70&amp;"'!$A$12:$Z$12"),0),0)="","?",VLOOKUP(AJ$1,INDIRECT("'"&amp;$A70&amp;"'!$A$12:$Z$41"),MATCH("Points (Auto-generate)",INDIRECT("'"&amp;$A70&amp;"'!$A$12:$Z$12"),0),0)),"ER"))</f>
        <v>?</v>
      </c>
      <c r="AK70" s="83" t="str">
        <f aca="true">IF($H70=0,"NA",IF($A70=INDIRECT("'"&amp;$A70&amp;"'!$B$1"),IF(VLOOKUP(AK$1,INDIRECT("'"&amp;$A70&amp;"'!$A$12:$Z$41"),MATCH("Points (Auto-generate)",INDIRECT("'"&amp;$A70&amp;"'!$A$12:$Z$12"),0),0)="","?",VLOOKUP(AK$1,INDIRECT("'"&amp;$A70&amp;"'!$A$12:$Z$41"),MATCH("Points (Auto-generate)",INDIRECT("'"&amp;$A70&amp;"'!$A$12:$Z$12"),0),0)),"ER"))</f>
        <v>?</v>
      </c>
    </row>
    <row r="71" customFormat="false" ht="14.25" hidden="false" customHeight="false" outlineLevel="0" collapsed="false">
      <c r="A71" s="79" t="s">
        <v>255</v>
      </c>
      <c r="B71" s="80" t="str">
        <f aca="false">IF(ISBLANK($A71),"NO_CODE",VLOOKUP($A71,'UPD Questions_290926 '!$E$1:$N$300,MATCH(B$1,'UPD Questions_290926 '!$E$1:$N$1,0),0)&amp;"")</f>
        <v>Implementation</v>
      </c>
      <c r="C71" s="80" t="str">
        <f aca="false">IF(ISBLANK($A71),"NO_CODE",VLOOKUP($A71,'UPD Questions_290926 '!$E$1:$N$300,MATCH(C$1,'UPD Questions_290926 '!$E$1:$N$1,0),0)&amp;"")</f>
        <v>Sectoral planning</v>
      </c>
      <c r="D71" s="80" t="str">
        <f aca="false">IF(ISBLANK($A71),"NO_CODE",VLOOKUP($A71,'UPD Questions_290926 '!$E$1:$N$300,MATCH(D$1,'UPD Questions_290926 '!$E$1:$N$1,0),0)&amp;"")</f>
        <v>Comprehensive mobility planning</v>
      </c>
      <c r="E71" s="80" t="str">
        <f aca="false">IF(ISBLANK($A71),"NO_CODE",VLOOKUP($A71,'UPD Questions_290926 '!$E$1:$N$300,MATCH(E$1,'UPD Questions_290926 '!$E$1:$N$1,0),0)&amp;"")</f>
        <v>SQ</v>
      </c>
      <c r="F71" s="80" t="str">
        <f aca="false">IF(ISBLANK($A71),"NO_CODE",VLOOKUP($A71,'UPD Questions_290926 '!$E$1:$N$300,MATCH(F$1,'UPD Questions_290926 '!$E$1:$N$1,0),0)&amp;"")</f>
        <v>Does the plan clearly articulate the role of the ULG?</v>
      </c>
      <c r="G71" s="80" t="str">
        <f aca="false">IF(ISBLANK($A71),"NO_CODE",VLOOKUP($A71,'UPD Questions_290926 '!$E$1:$N$300,MATCH(G$1,'UPD Questions_290926 '!$E$1:$N$1,0),0)&amp;"")</f>
        <v>Implementation</v>
      </c>
      <c r="H71" s="82" t="n">
        <f aca="false">IF(ISBLANK($A71),"NO_CODE",VLOOKUP($A71,'UPD Questions_290926 '!$E$1:$N$300,MATCH(H$1,'UPD Questions_290926 '!$E$1:$N$1,0),0))</f>
        <v>3.33</v>
      </c>
      <c r="I71" s="83" t="str">
        <f aca="true">IF($H71=0,"NA",IF($A71=INDIRECT("'"&amp;$A71&amp;"'!$B$1"),IF(VLOOKUP(I$1,INDIRECT("'"&amp;$A71&amp;"'!$A$12:$Z$41"),MATCH("Points (Auto-generate)",INDIRECT("'"&amp;$A71&amp;"'!$A$12:$Z$12"),0),0)="","?",VLOOKUP(I$1,INDIRECT("'"&amp;$A71&amp;"'!$A$12:$Z$41"),MATCH("Points (Auto-generate)",INDIRECT("'"&amp;$A71&amp;"'!$A$12:$Z$12"),0),0)),"ER"))</f>
        <v>?</v>
      </c>
      <c r="J71" s="83" t="n">
        <f aca="true">IF($H71=0,"NA",IF($A71=INDIRECT("'"&amp;$A71&amp;"'!$B$1"),IF(VLOOKUP(J$1,INDIRECT("'"&amp;$A71&amp;"'!$A$12:$Z$41"),MATCH("Points (Auto-generate)",INDIRECT("'"&amp;$A71&amp;"'!$A$12:$Z$12"),0),0)="","?",VLOOKUP(J$1,INDIRECT("'"&amp;$A71&amp;"'!$A$12:$Z$41"),MATCH("Points (Auto-generate)",INDIRECT("'"&amp;$A71&amp;"'!$A$12:$Z$12"),0),0)),"ER"))</f>
        <v>3.33</v>
      </c>
      <c r="K71" s="83" t="str">
        <f aca="true">IF($H71=0,"NA",IF($A71=INDIRECT("'"&amp;$A71&amp;"'!$B$1"),IF(VLOOKUP(K$1,INDIRECT("'"&amp;$A71&amp;"'!$A$12:$Z$41"),MATCH("Points (Auto-generate)",INDIRECT("'"&amp;$A71&amp;"'!$A$12:$Z$12"),0),0)="","?",VLOOKUP(K$1,INDIRECT("'"&amp;$A71&amp;"'!$A$12:$Z$41"),MATCH("Points (Auto-generate)",INDIRECT("'"&amp;$A71&amp;"'!$A$12:$Z$12"),0),0)),"ER"))</f>
        <v>?</v>
      </c>
      <c r="L71" s="83" t="str">
        <f aca="true">IF($H71=0,"NA",IF($A71=INDIRECT("'"&amp;$A71&amp;"'!$B$1"),IF(VLOOKUP(L$1,INDIRECT("'"&amp;$A71&amp;"'!$A$12:$Z$41"),MATCH("Points (Auto-generate)",INDIRECT("'"&amp;$A71&amp;"'!$A$12:$Z$12"),0),0)="","?",VLOOKUP(L$1,INDIRECT("'"&amp;$A71&amp;"'!$A$12:$Z$41"),MATCH("Points (Auto-generate)",INDIRECT("'"&amp;$A71&amp;"'!$A$12:$Z$12"),0),0)),"ER"))</f>
        <v>?</v>
      </c>
      <c r="M71" s="83" t="str">
        <f aca="true">IF($H71=0,"NA",IF($A71=INDIRECT("'"&amp;$A71&amp;"'!$B$1"),IF(VLOOKUP(M$1,INDIRECT("'"&amp;$A71&amp;"'!$A$12:$Z$41"),MATCH("Points (Auto-generate)",INDIRECT("'"&amp;$A71&amp;"'!$A$12:$Z$12"),0),0)="","?",VLOOKUP(M$1,INDIRECT("'"&amp;$A71&amp;"'!$A$12:$Z$41"),MATCH("Points (Auto-generate)",INDIRECT("'"&amp;$A71&amp;"'!$A$12:$Z$12"),0),0)),"ER"))</f>
        <v>?</v>
      </c>
      <c r="N71" s="83" t="str">
        <f aca="true">IF($H71=0,"NA",IF($A71=INDIRECT("'"&amp;$A71&amp;"'!$B$1"),IF(VLOOKUP(N$1,INDIRECT("'"&amp;$A71&amp;"'!$A$12:$Z$41"),MATCH("Points (Auto-generate)",INDIRECT("'"&amp;$A71&amp;"'!$A$12:$Z$12"),0),0)="","?",VLOOKUP(N$1,INDIRECT("'"&amp;$A71&amp;"'!$A$12:$Z$41"),MATCH("Points (Auto-generate)",INDIRECT("'"&amp;$A71&amp;"'!$A$12:$Z$12"),0),0)),"ER"))</f>
        <v>?</v>
      </c>
      <c r="O71" s="83" t="str">
        <f aca="true">IF($H71=0,"NA",IF($A71=INDIRECT("'"&amp;$A71&amp;"'!$B$1"),IF(VLOOKUP(O$1,INDIRECT("'"&amp;$A71&amp;"'!$A$12:$Z$41"),MATCH("Points (Auto-generate)",INDIRECT("'"&amp;$A71&amp;"'!$A$12:$Z$12"),0),0)="","?",VLOOKUP(O$1,INDIRECT("'"&amp;$A71&amp;"'!$A$12:$Z$41"),MATCH("Points (Auto-generate)",INDIRECT("'"&amp;$A71&amp;"'!$A$12:$Z$12"),0),0)),"ER"))</f>
        <v>?</v>
      </c>
      <c r="P71" s="83" t="str">
        <f aca="true">IF($H71=0,"NA",IF($A71=INDIRECT("'"&amp;$A71&amp;"'!$B$1"),IF(VLOOKUP(P$1,INDIRECT("'"&amp;$A71&amp;"'!$A$12:$Z$41"),MATCH("Points (Auto-generate)",INDIRECT("'"&amp;$A71&amp;"'!$A$12:$Z$12"),0),0)="","?",VLOOKUP(P$1,INDIRECT("'"&amp;$A71&amp;"'!$A$12:$Z$41"),MATCH("Points (Auto-generate)",INDIRECT("'"&amp;$A71&amp;"'!$A$12:$Z$12"),0),0)),"ER"))</f>
        <v>?</v>
      </c>
      <c r="Q71" s="83" t="str">
        <f aca="true">IF($H71=0,"NA",IF($A71=INDIRECT("'"&amp;$A71&amp;"'!$B$1"),IF(VLOOKUP(Q$1,INDIRECT("'"&amp;$A71&amp;"'!$A$12:$Z$41"),MATCH("Points (Auto-generate)",INDIRECT("'"&amp;$A71&amp;"'!$A$12:$Z$12"),0),0)="","?",VLOOKUP(Q$1,INDIRECT("'"&amp;$A71&amp;"'!$A$12:$Z$41"),MATCH("Points (Auto-generate)",INDIRECT("'"&amp;$A71&amp;"'!$A$12:$Z$12"),0),0)),"ER"))</f>
        <v>?</v>
      </c>
      <c r="R71" s="83" t="str">
        <f aca="true">IF($H71=0,"NA",IF($A71=INDIRECT("'"&amp;$A71&amp;"'!$B$1"),IF(VLOOKUP(R$1,INDIRECT("'"&amp;$A71&amp;"'!$A$12:$Z$41"),MATCH("Points (Auto-generate)",INDIRECT("'"&amp;$A71&amp;"'!$A$12:$Z$12"),0),0)="","?",VLOOKUP(R$1,INDIRECT("'"&amp;$A71&amp;"'!$A$12:$Z$41"),MATCH("Points (Auto-generate)",INDIRECT("'"&amp;$A71&amp;"'!$A$12:$Z$12"),0),0)),"ER"))</f>
        <v>?</v>
      </c>
      <c r="S71" s="83" t="str">
        <f aca="true">IF($H71=0,"NA",IF($A71=INDIRECT("'"&amp;$A71&amp;"'!$B$1"),IF(VLOOKUP(S$1,INDIRECT("'"&amp;$A71&amp;"'!$A$12:$Z$41"),MATCH("Points (Auto-generate)",INDIRECT("'"&amp;$A71&amp;"'!$A$12:$Z$12"),0),0)="","?",VLOOKUP(S$1,INDIRECT("'"&amp;$A71&amp;"'!$A$12:$Z$41"),MATCH("Points (Auto-generate)",INDIRECT("'"&amp;$A71&amp;"'!$A$12:$Z$12"),0),0)),"ER"))</f>
        <v>?</v>
      </c>
      <c r="T71" s="83" t="str">
        <f aca="true">IF($H71=0,"NA",IF($A71=INDIRECT("'"&amp;$A71&amp;"'!$B$1"),IF(VLOOKUP(T$1,INDIRECT("'"&amp;$A71&amp;"'!$A$12:$Z$41"),MATCH("Points (Auto-generate)",INDIRECT("'"&amp;$A71&amp;"'!$A$12:$Z$12"),0),0)="","?",VLOOKUP(T$1,INDIRECT("'"&amp;$A71&amp;"'!$A$12:$Z$41"),MATCH("Points (Auto-generate)",INDIRECT("'"&amp;$A71&amp;"'!$A$12:$Z$12"),0),0)),"ER"))</f>
        <v>?</v>
      </c>
      <c r="U71" s="83" t="str">
        <f aca="true">IF($H71=0,"NA",IF($A71=INDIRECT("'"&amp;$A71&amp;"'!$B$1"),IF(VLOOKUP(U$1,INDIRECT("'"&amp;$A71&amp;"'!$A$12:$Z$41"),MATCH("Points (Auto-generate)",INDIRECT("'"&amp;$A71&amp;"'!$A$12:$Z$12"),0),0)="","?",VLOOKUP(U$1,INDIRECT("'"&amp;$A71&amp;"'!$A$12:$Z$41"),MATCH("Points (Auto-generate)",INDIRECT("'"&amp;$A71&amp;"'!$A$12:$Z$12"),0),0)),"ER"))</f>
        <v>?</v>
      </c>
      <c r="V71" s="83" t="str">
        <f aca="true">IF($H71=0,"NA",IF($A71=INDIRECT("'"&amp;$A71&amp;"'!$B$1"),IF(VLOOKUP(V$1,INDIRECT("'"&amp;$A71&amp;"'!$A$12:$Z$41"),MATCH("Points (Auto-generate)",INDIRECT("'"&amp;$A71&amp;"'!$A$12:$Z$12"),0),0)="","?",VLOOKUP(V$1,INDIRECT("'"&amp;$A71&amp;"'!$A$12:$Z$41"),MATCH("Points (Auto-generate)",INDIRECT("'"&amp;$A71&amp;"'!$A$12:$Z$12"),0),0)),"ER"))</f>
        <v>?</v>
      </c>
      <c r="W71" s="83" t="str">
        <f aca="true">IF($H71=0,"NA",IF($A71=INDIRECT("'"&amp;$A71&amp;"'!$B$1"),IF(VLOOKUP(W$1,INDIRECT("'"&amp;$A71&amp;"'!$A$12:$Z$41"),MATCH("Points (Auto-generate)",INDIRECT("'"&amp;$A71&amp;"'!$A$12:$Z$12"),0),0)="","?",VLOOKUP(W$1,INDIRECT("'"&amp;$A71&amp;"'!$A$12:$Z$41"),MATCH("Points (Auto-generate)",INDIRECT("'"&amp;$A71&amp;"'!$A$12:$Z$12"),0),0)),"ER"))</f>
        <v>?</v>
      </c>
      <c r="X71" s="83" t="str">
        <f aca="true">IF($H71=0,"NA",IF($A71=INDIRECT("'"&amp;$A71&amp;"'!$B$1"),IF(VLOOKUP(X$1,INDIRECT("'"&amp;$A71&amp;"'!$A$12:$Z$41"),MATCH("Points (Auto-generate)",INDIRECT("'"&amp;$A71&amp;"'!$A$12:$Z$12"),0),0)="","?",VLOOKUP(X$1,INDIRECT("'"&amp;$A71&amp;"'!$A$12:$Z$41"),MATCH("Points (Auto-generate)",INDIRECT("'"&amp;$A71&amp;"'!$A$12:$Z$12"),0),0)),"ER"))</f>
        <v>?</v>
      </c>
      <c r="Y71" s="83" t="str">
        <f aca="true">IF($H71=0,"NA",IF($A71=INDIRECT("'"&amp;$A71&amp;"'!$B$1"),IF(VLOOKUP(Y$1,INDIRECT("'"&amp;$A71&amp;"'!$A$12:$Z$41"),MATCH("Points (Auto-generate)",INDIRECT("'"&amp;$A71&amp;"'!$A$12:$Z$12"),0),0)="","?",VLOOKUP(Y$1,INDIRECT("'"&amp;$A71&amp;"'!$A$12:$Z$41"),MATCH("Points (Auto-generate)",INDIRECT("'"&amp;$A71&amp;"'!$A$12:$Z$12"),0),0)),"ER"))</f>
        <v>?</v>
      </c>
      <c r="Z71" s="83" t="str">
        <f aca="true">IF($H71=0,"NA",IF($A71=INDIRECT("'"&amp;$A71&amp;"'!$B$1"),IF(VLOOKUP(Z$1,INDIRECT("'"&amp;$A71&amp;"'!$A$12:$Z$41"),MATCH("Points (Auto-generate)",INDIRECT("'"&amp;$A71&amp;"'!$A$12:$Z$12"),0),0)="","?",VLOOKUP(Z$1,INDIRECT("'"&amp;$A71&amp;"'!$A$12:$Z$41"),MATCH("Points (Auto-generate)",INDIRECT("'"&amp;$A71&amp;"'!$A$12:$Z$12"),0),0)),"ER"))</f>
        <v>?</v>
      </c>
      <c r="AA71" s="83" t="str">
        <f aca="true">IF($H71=0,"NA",IF($A71=INDIRECT("'"&amp;$A71&amp;"'!$B$1"),IF(VLOOKUP(AA$1,INDIRECT("'"&amp;$A71&amp;"'!$A$12:$Z$41"),MATCH("Points (Auto-generate)",INDIRECT("'"&amp;$A71&amp;"'!$A$12:$Z$12"),0),0)="","?",VLOOKUP(AA$1,INDIRECT("'"&amp;$A71&amp;"'!$A$12:$Z$41"),MATCH("Points (Auto-generate)",INDIRECT("'"&amp;$A71&amp;"'!$A$12:$Z$12"),0),0)),"ER"))</f>
        <v>?</v>
      </c>
      <c r="AB71" s="83" t="str">
        <f aca="true">IF($H71=0,"NA",IF($A71=INDIRECT("'"&amp;$A71&amp;"'!$B$1"),IF(VLOOKUP(AB$1,INDIRECT("'"&amp;$A71&amp;"'!$A$12:$Z$41"),MATCH("Points (Auto-generate)",INDIRECT("'"&amp;$A71&amp;"'!$A$12:$Z$12"),0),0)="","?",VLOOKUP(AB$1,INDIRECT("'"&amp;$A71&amp;"'!$A$12:$Z$41"),MATCH("Points (Auto-generate)",INDIRECT("'"&amp;$A71&amp;"'!$A$12:$Z$12"),0),0)),"ER"))</f>
        <v>?</v>
      </c>
      <c r="AC71" s="83" t="str">
        <f aca="true">IF($H71=0,"NA",IF($A71=INDIRECT("'"&amp;$A71&amp;"'!$B$1"),IF(VLOOKUP(AC$1,INDIRECT("'"&amp;$A71&amp;"'!$A$12:$Z$41"),MATCH("Points (Auto-generate)",INDIRECT("'"&amp;$A71&amp;"'!$A$12:$Z$12"),0),0)="","?",VLOOKUP(AC$1,INDIRECT("'"&amp;$A71&amp;"'!$A$12:$Z$41"),MATCH("Points (Auto-generate)",INDIRECT("'"&amp;$A71&amp;"'!$A$12:$Z$12"),0),0)),"ER"))</f>
        <v>?</v>
      </c>
      <c r="AD71" s="83" t="str">
        <f aca="true">IF($H71=0,"NA",IF($A71=INDIRECT("'"&amp;$A71&amp;"'!$B$1"),IF(VLOOKUP(AD$1,INDIRECT("'"&amp;$A71&amp;"'!$A$12:$Z$41"),MATCH("Points (Auto-generate)",INDIRECT("'"&amp;$A71&amp;"'!$A$12:$Z$12"),0),0)="","?",VLOOKUP(AD$1,INDIRECT("'"&amp;$A71&amp;"'!$A$12:$Z$41"),MATCH("Points (Auto-generate)",INDIRECT("'"&amp;$A71&amp;"'!$A$12:$Z$12"),0),0)),"ER"))</f>
        <v>?</v>
      </c>
      <c r="AE71" s="83" t="str">
        <f aca="true">IF($H71=0,"NA",IF($A71=INDIRECT("'"&amp;$A71&amp;"'!$B$1"),IF(VLOOKUP(AE$1,INDIRECT("'"&amp;$A71&amp;"'!$A$12:$Z$41"),MATCH("Points (Auto-generate)",INDIRECT("'"&amp;$A71&amp;"'!$A$12:$Z$12"),0),0)="","?",VLOOKUP(AE$1,INDIRECT("'"&amp;$A71&amp;"'!$A$12:$Z$41"),MATCH("Points (Auto-generate)",INDIRECT("'"&amp;$A71&amp;"'!$A$12:$Z$12"),0),0)),"ER"))</f>
        <v>?</v>
      </c>
      <c r="AF71" s="83" t="str">
        <f aca="true">IF($H71=0,"NA",IF($A71=INDIRECT("'"&amp;$A71&amp;"'!$B$1"),IF(VLOOKUP(AF$1,INDIRECT("'"&amp;$A71&amp;"'!$A$12:$Z$41"),MATCH("Points (Auto-generate)",INDIRECT("'"&amp;$A71&amp;"'!$A$12:$Z$12"),0),0)="","?",VLOOKUP(AF$1,INDIRECT("'"&amp;$A71&amp;"'!$A$12:$Z$41"),MATCH("Points (Auto-generate)",INDIRECT("'"&amp;$A71&amp;"'!$A$12:$Z$12"),0),0)),"ER"))</f>
        <v>?</v>
      </c>
      <c r="AG71" s="83" t="str">
        <f aca="true">IF($H71=0,"NA",IF($A71=INDIRECT("'"&amp;$A71&amp;"'!$B$1"),IF(VLOOKUP(AG$1,INDIRECT("'"&amp;$A71&amp;"'!$A$12:$Z$41"),MATCH("Points (Auto-generate)",INDIRECT("'"&amp;$A71&amp;"'!$A$12:$Z$12"),0),0)="","?",VLOOKUP(AG$1,INDIRECT("'"&amp;$A71&amp;"'!$A$12:$Z$41"),MATCH("Points (Auto-generate)",INDIRECT("'"&amp;$A71&amp;"'!$A$12:$Z$12"),0),0)),"ER"))</f>
        <v>?</v>
      </c>
      <c r="AH71" s="83" t="str">
        <f aca="true">IF($H71=0,"NA",IF($A71=INDIRECT("'"&amp;$A71&amp;"'!$B$1"),IF(VLOOKUP(AH$1,INDIRECT("'"&amp;$A71&amp;"'!$A$12:$Z$41"),MATCH("Points (Auto-generate)",INDIRECT("'"&amp;$A71&amp;"'!$A$12:$Z$12"),0),0)="","?",VLOOKUP(AH$1,INDIRECT("'"&amp;$A71&amp;"'!$A$12:$Z$41"),MATCH("Points (Auto-generate)",INDIRECT("'"&amp;$A71&amp;"'!$A$12:$Z$12"),0),0)),"ER"))</f>
        <v>?</v>
      </c>
      <c r="AI71" s="83" t="str">
        <f aca="true">IF($H71=0,"NA",IF($A71=INDIRECT("'"&amp;$A71&amp;"'!$B$1"),IF(VLOOKUP(AI$1,INDIRECT("'"&amp;$A71&amp;"'!$A$12:$Z$41"),MATCH("Points (Auto-generate)",INDIRECT("'"&amp;$A71&amp;"'!$A$12:$Z$12"),0),0)="","?",VLOOKUP(AI$1,INDIRECT("'"&amp;$A71&amp;"'!$A$12:$Z$41"),MATCH("Points (Auto-generate)",INDIRECT("'"&amp;$A71&amp;"'!$A$12:$Z$12"),0),0)),"ER"))</f>
        <v>?</v>
      </c>
      <c r="AJ71" s="83" t="str">
        <f aca="true">IF($H71=0,"NA",IF($A71=INDIRECT("'"&amp;$A71&amp;"'!$B$1"),IF(VLOOKUP(AJ$1,INDIRECT("'"&amp;$A71&amp;"'!$A$12:$Z$41"),MATCH("Points (Auto-generate)",INDIRECT("'"&amp;$A71&amp;"'!$A$12:$Z$12"),0),0)="","?",VLOOKUP(AJ$1,INDIRECT("'"&amp;$A71&amp;"'!$A$12:$Z$41"),MATCH("Points (Auto-generate)",INDIRECT("'"&amp;$A71&amp;"'!$A$12:$Z$12"),0),0)),"ER"))</f>
        <v>?</v>
      </c>
      <c r="AK71" s="83" t="str">
        <f aca="true">IF($H71=0,"NA",IF($A71=INDIRECT("'"&amp;$A71&amp;"'!$B$1"),IF(VLOOKUP(AK$1,INDIRECT("'"&amp;$A71&amp;"'!$A$12:$Z$41"),MATCH("Points (Auto-generate)",INDIRECT("'"&amp;$A71&amp;"'!$A$12:$Z$12"),0),0)="","?",VLOOKUP(AK$1,INDIRECT("'"&amp;$A71&amp;"'!$A$12:$Z$41"),MATCH("Points (Auto-generate)",INDIRECT("'"&amp;$A71&amp;"'!$A$12:$Z$12"),0),0)),"ER"))</f>
        <v>?</v>
      </c>
    </row>
    <row r="72" customFormat="false" ht="14.25" hidden="false" customHeight="false" outlineLevel="0" collapsed="false">
      <c r="A72" s="79" t="s">
        <v>672</v>
      </c>
      <c r="B72" s="80" t="str">
        <f aca="false">IF(ISBLANK($A72),"NO_CODE",VLOOKUP($A72,'UPD Questions_290926 '!$E$1:$N$300,MATCH(B$1,'UPD Questions_290926 '!$E$1:$N$1,0),0)&amp;"")</f>
        <v>Implementation</v>
      </c>
      <c r="C72" s="80" t="str">
        <f aca="false">IF(ISBLANK($A72),"NO_CODE",VLOOKUP($A72,'UPD Questions_290926 '!$E$1:$N$300,MATCH(C$1,'UPD Questions_290926 '!$E$1:$N$1,0),0)&amp;"")</f>
        <v>Sectoral planning</v>
      </c>
      <c r="D72" s="80" t="str">
        <f aca="false">IF(ISBLANK($A72),"NO_CODE",VLOOKUP($A72,'UPD Questions_290926 '!$E$1:$N$300,MATCH(D$1,'UPD Questions_290926 '!$E$1:$N$1,0),0)&amp;"")</f>
        <v>Economic development planning</v>
      </c>
      <c r="E72" s="80" t="str">
        <f aca="false">IF(ISBLANK($A72),"NO_CODE",VLOOKUP($A72,'UPD Questions_290926 '!$E$1:$N$300,MATCH(E$1,'UPD Questions_290926 '!$E$1:$N$1,0),0)&amp;"")</f>
        <v>MQ</v>
      </c>
      <c r="F72" s="80" t="str">
        <f aca="false">IF(ISBLANK($A72),"NO_CODE",VLOOKUP($A72,'UPD Questions_290926 '!$E$1:$N$300,MATCH(F$1,'UPD Questions_290926 '!$E$1:$N$1,0),0)&amp;"")</f>
        <v>Does your city have an Economic Vision Plan that clearly articulates development priorities, measurable objectives, and the roles and responsibilities of the ULG?</v>
      </c>
      <c r="G72" s="80" t="str">
        <f aca="false">IF(ISBLANK($A72),"NO_CODE",VLOOKUP($A72,'UPD Questions_290926 '!$E$1:$N$300,MATCH(G$1,'UPD Questions_290926 '!$E$1:$N$1,0),0)&amp;"")</f>
        <v>Implementation</v>
      </c>
      <c r="H72" s="82" t="n">
        <f aca="false">IF(ISBLANK($A72),"NO_CODE",VLOOKUP($A72,'UPD Questions_290926 '!$E$1:$N$300,MATCH(H$1,'UPD Questions_290926 '!$E$1:$N$1,0),0))</f>
        <v>10</v>
      </c>
      <c r="I72" s="83" t="str">
        <f aca="false">IF(OR(I73="ER",I74="ER",I75="ER"),"ER",IF(OR(I73="?",I74="?",I75="?"),"?",IF(AND(I73="NA",I74="NA",I75="NA"),"NA",SUM(I73,I74,I75)/((I73&lt;&gt;"NA")*$H$73+(I74&lt;&gt;"NA")*$H$74+(I75&lt;&gt;"NA")*$H$75)*$H72)))</f>
        <v>?</v>
      </c>
      <c r="J72" s="83" t="n">
        <f aca="false">IF(OR(J73="ER",J74="ER",J75="ER"),"ER",IF(OR(J73="?",J74="?",J75="?"),"?",IF(AND(J73="NA",J74="NA",J75="NA"),"NA",SUM(J73,J74,J75)/((J73&lt;&gt;"NA")*$H$73+(J74&lt;&gt;"NA")*$H$74+(J75&lt;&gt;"NA")*$H$75)*$H72)))</f>
        <v>0</v>
      </c>
      <c r="K72" s="83" t="str">
        <f aca="false">IF(OR(K73="ER",K74="ER",K75="ER"),"ER",IF(OR(K73="?",K74="?",K75="?"),"?",IF(AND(K73="NA",K74="NA",K75="NA"),"NA",SUM(K73,K74,K75)/((K73&lt;&gt;"NA")*$H$73+(K74&lt;&gt;"NA")*$H$74+(K75&lt;&gt;"NA")*$H$75)*$H72)))</f>
        <v>?</v>
      </c>
      <c r="L72" s="83" t="str">
        <f aca="false">IF(OR(L73="ER",L74="ER",L75="ER"),"ER",IF(OR(L73="?",L74="?",L75="?"),"?",IF(AND(L73="NA",L74="NA",L75="NA"),"NA",SUM(L73,L74,L75)/((L73&lt;&gt;"NA")*$H$73+(L74&lt;&gt;"NA")*$H$74+(L75&lt;&gt;"NA")*$H$75)*$H72)))</f>
        <v>?</v>
      </c>
      <c r="M72" s="83" t="str">
        <f aca="false">IF(OR(M73="ER",M74="ER",M75="ER"),"ER",IF(OR(M73="?",M74="?",M75="?"),"?",IF(AND(M73="NA",M74="NA",M75="NA"),"NA",SUM(M73,M74,M75)/((M73&lt;&gt;"NA")*$H$73+(M74&lt;&gt;"NA")*$H$74+(M75&lt;&gt;"NA")*$H$75)*$H72)))</f>
        <v>?</v>
      </c>
      <c r="N72" s="83" t="str">
        <f aca="false">IF(OR(N73="ER",N74="ER",N75="ER"),"ER",IF(OR(N73="?",N74="?",N75="?"),"?",IF(AND(N73="NA",N74="NA",N75="NA"),"NA",SUM(N73,N74,N75)/((N73&lt;&gt;"NA")*$H$73+(N74&lt;&gt;"NA")*$H$74+(N75&lt;&gt;"NA")*$H$75)*$H72)))</f>
        <v>?</v>
      </c>
      <c r="O72" s="83" t="str">
        <f aca="false">IF(OR(O73="ER",O74="ER",O75="ER"),"ER",IF(OR(O73="?",O74="?",O75="?"),"?",IF(AND(O73="NA",O74="NA",O75="NA"),"NA",SUM(O73,O74,O75)/((O73&lt;&gt;"NA")*$H$73+(O74&lt;&gt;"NA")*$H$74+(O75&lt;&gt;"NA")*$H$75)*$H72)))</f>
        <v>?</v>
      </c>
      <c r="P72" s="83" t="str">
        <f aca="false">IF(OR(P73="ER",P74="ER",P75="ER"),"ER",IF(OR(P73="?",P74="?",P75="?"),"?",IF(AND(P73="NA",P74="NA",P75="NA"),"NA",SUM(P73,P74,P75)/((P73&lt;&gt;"NA")*$H$73+(P74&lt;&gt;"NA")*$H$74+(P75&lt;&gt;"NA")*$H$75)*$H72)))</f>
        <v>?</v>
      </c>
      <c r="Q72" s="83" t="str">
        <f aca="false">IF(OR(Q73="ER",Q74="ER",Q75="ER"),"ER",IF(OR(Q73="?",Q74="?",Q75="?"),"?",IF(AND(Q73="NA",Q74="NA",Q75="NA"),"NA",SUM(Q73,Q74,Q75)/((Q73&lt;&gt;"NA")*$H$73+(Q74&lt;&gt;"NA")*$H$74+(Q75&lt;&gt;"NA")*$H$75)*$H72)))</f>
        <v>?</v>
      </c>
      <c r="R72" s="83" t="str">
        <f aca="false">IF(OR(R73="ER",R74="ER",R75="ER"),"ER",IF(OR(R73="?",R74="?",R75="?"),"?",IF(AND(R73="NA",R74="NA",R75="NA"),"NA",SUM(R73,R74,R75)/((R73&lt;&gt;"NA")*$H$73+(R74&lt;&gt;"NA")*$H$74+(R75&lt;&gt;"NA")*$H$75)*$H72)))</f>
        <v>?</v>
      </c>
      <c r="S72" s="83" t="str">
        <f aca="false">IF(OR(S73="ER",S74="ER",S75="ER"),"ER",IF(OR(S73="?",S74="?",S75="?"),"?",IF(AND(S73="NA",S74="NA",S75="NA"),"NA",SUM(S73,S74,S75)/((S73&lt;&gt;"NA")*$H$73+(S74&lt;&gt;"NA")*$H$74+(S75&lt;&gt;"NA")*$H$75)*$H72)))</f>
        <v>?</v>
      </c>
      <c r="T72" s="83" t="str">
        <f aca="false">IF(OR(T73="ER",T74="ER",T75="ER"),"ER",IF(OR(T73="?",T74="?",T75="?"),"?",IF(AND(T73="NA",T74="NA",T75="NA"),"NA",SUM(T73,T74,T75)/((T73&lt;&gt;"NA")*$H$73+(T74&lt;&gt;"NA")*$H$74+(T75&lt;&gt;"NA")*$H$75)*$H72)))</f>
        <v>?</v>
      </c>
      <c r="U72" s="83" t="str">
        <f aca="false">IF(OR(U73="ER",U74="ER",U75="ER"),"ER",IF(OR(U73="?",U74="?",U75="?"),"?",IF(AND(U73="NA",U74="NA",U75="NA"),"NA",SUM(U73,U74,U75)/((U73&lt;&gt;"NA")*$H$73+(U74&lt;&gt;"NA")*$H$74+(U75&lt;&gt;"NA")*$H$75)*$H72)))</f>
        <v>?</v>
      </c>
      <c r="V72" s="83" t="str">
        <f aca="false">IF(OR(V73="ER",V74="ER",V75="ER"),"ER",IF(OR(V73="?",V74="?",V75="?"),"?",IF(AND(V73="NA",V74="NA",V75="NA"),"NA",SUM(V73,V74,V75)/((V73&lt;&gt;"NA")*$H$73+(V74&lt;&gt;"NA")*$H$74+(V75&lt;&gt;"NA")*$H$75)*$H72)))</f>
        <v>?</v>
      </c>
      <c r="W72" s="83" t="str">
        <f aca="false">IF(OR(W73="ER",W74="ER",W75="ER"),"ER",IF(OR(W73="?",W74="?",W75="?"),"?",IF(AND(W73="NA",W74="NA",W75="NA"),"NA",SUM(W73,W74,W75)/((W73&lt;&gt;"NA")*$H$73+(W74&lt;&gt;"NA")*$H$74+(W75&lt;&gt;"NA")*$H$75)*$H72)))</f>
        <v>?</v>
      </c>
      <c r="X72" s="83" t="str">
        <f aca="false">IF(OR(X73="ER",X74="ER",X75="ER"),"ER",IF(OR(X73="?",X74="?",X75="?"),"?",IF(AND(X73="NA",X74="NA",X75="NA"),"NA",SUM(X73,X74,X75)/((X73&lt;&gt;"NA")*$H$73+(X74&lt;&gt;"NA")*$H$74+(X75&lt;&gt;"NA")*$H$75)*$H72)))</f>
        <v>?</v>
      </c>
      <c r="Y72" s="83" t="str">
        <f aca="false">IF(OR(Y73="ER",Y74="ER",Y75="ER"),"ER",IF(OR(Y73="?",Y74="?",Y75="?"),"?",IF(AND(Y73="NA",Y74="NA",Y75="NA"),"NA",SUM(Y73,Y74,Y75)/((Y73&lt;&gt;"NA")*$H$73+(Y74&lt;&gt;"NA")*$H$74+(Y75&lt;&gt;"NA")*$H$75)*$H72)))</f>
        <v>?</v>
      </c>
      <c r="Z72" s="83" t="str">
        <f aca="false">IF(OR(Z73="ER",Z74="ER",Z75="ER"),"ER",IF(OR(Z73="?",Z74="?",Z75="?"),"?",IF(AND(Z73="NA",Z74="NA",Z75="NA"),"NA",SUM(Z73,Z74,Z75)/((Z73&lt;&gt;"NA")*$H$73+(Z74&lt;&gt;"NA")*$H$74+(Z75&lt;&gt;"NA")*$H$75)*$H72)))</f>
        <v>?</v>
      </c>
      <c r="AA72" s="83" t="str">
        <f aca="false">IF(OR(AA73="ER",AA74="ER",AA75="ER"),"ER",IF(OR(AA73="?",AA74="?",AA75="?"),"?",IF(AND(AA73="NA",AA74="NA",AA75="NA"),"NA",SUM(AA73,AA74,AA75)/((AA73&lt;&gt;"NA")*$H$73+(AA74&lt;&gt;"NA")*$H$74+(AA75&lt;&gt;"NA")*$H$75)*$H72)))</f>
        <v>?</v>
      </c>
      <c r="AB72" s="83" t="str">
        <f aca="false">IF(OR(AB73="ER",AB74="ER",AB75="ER"),"ER",IF(OR(AB73="?",AB74="?",AB75="?"),"?",IF(AND(AB73="NA",AB74="NA",AB75="NA"),"NA",SUM(AB73,AB74,AB75)/((AB73&lt;&gt;"NA")*$H$73+(AB74&lt;&gt;"NA")*$H$74+(AB75&lt;&gt;"NA")*$H$75)*$H72)))</f>
        <v>?</v>
      </c>
      <c r="AC72" s="83" t="str">
        <f aca="false">IF(OR(AC73="ER",AC74="ER",AC75="ER"),"ER",IF(OR(AC73="?",AC74="?",AC75="?"),"?",IF(AND(AC73="NA",AC74="NA",AC75="NA"),"NA",SUM(AC73,AC74,AC75)/((AC73&lt;&gt;"NA")*$H$73+(AC74&lt;&gt;"NA")*$H$74+(AC75&lt;&gt;"NA")*$H$75)*$H72)))</f>
        <v>?</v>
      </c>
      <c r="AD72" s="83" t="str">
        <f aca="false">IF(OR(AD73="ER",AD74="ER",AD75="ER"),"ER",IF(OR(AD73="?",AD74="?",AD75="?"),"?",IF(AND(AD73="NA",AD74="NA",AD75="NA"),"NA",SUM(AD73,AD74,AD75)/((AD73&lt;&gt;"NA")*$H$73+(AD74&lt;&gt;"NA")*$H$74+(AD75&lt;&gt;"NA")*$H$75)*$H72)))</f>
        <v>?</v>
      </c>
      <c r="AE72" s="83" t="str">
        <f aca="false">IF(OR(AE73="ER",AE74="ER",AE75="ER"),"ER",IF(OR(AE73="?",AE74="?",AE75="?"),"?",IF(AND(AE73="NA",AE74="NA",AE75="NA"),"NA",SUM(AE73,AE74,AE75)/((AE73&lt;&gt;"NA")*$H$73+(AE74&lt;&gt;"NA")*$H$74+(AE75&lt;&gt;"NA")*$H$75)*$H72)))</f>
        <v>?</v>
      </c>
      <c r="AF72" s="83" t="str">
        <f aca="false">IF(OR(AF73="ER",AF74="ER",AF75="ER"),"ER",IF(OR(AF73="?",AF74="?",AF75="?"),"?",IF(AND(AF73="NA",AF74="NA",AF75="NA"),"NA",SUM(AF73,AF74,AF75)/((AF73&lt;&gt;"NA")*$H$73+(AF74&lt;&gt;"NA")*$H$74+(AF75&lt;&gt;"NA")*$H$75)*$H72)))</f>
        <v>?</v>
      </c>
      <c r="AG72" s="83" t="str">
        <f aca="false">IF(OR(AG73="ER",AG74="ER",AG75="ER"),"ER",IF(OR(AG73="?",AG74="?",AG75="?"),"?",IF(AND(AG73="NA",AG74="NA",AG75="NA"),"NA",SUM(AG73,AG74,AG75)/((AG73&lt;&gt;"NA")*$H$73+(AG74&lt;&gt;"NA")*$H$74+(AG75&lt;&gt;"NA")*$H$75)*$H72)))</f>
        <v>?</v>
      </c>
      <c r="AH72" s="83" t="str">
        <f aca="false">IF(OR(AH73="ER",AH74="ER",AH75="ER"),"ER",IF(OR(AH73="?",AH74="?",AH75="?"),"?",IF(AND(AH73="NA",AH74="NA",AH75="NA"),"NA",SUM(AH73,AH74,AH75)/((AH73&lt;&gt;"NA")*$H$73+(AH74&lt;&gt;"NA")*$H$74+(AH75&lt;&gt;"NA")*$H$75)*$H72)))</f>
        <v>?</v>
      </c>
      <c r="AI72" s="83" t="str">
        <f aca="false">IF(OR(AI73="ER",AI74="ER",AI75="ER"),"ER",IF(OR(AI73="?",AI74="?",AI75="?"),"?",IF(AND(AI73="NA",AI74="NA",AI75="NA"),"NA",SUM(AI73,AI74,AI75)/((AI73&lt;&gt;"NA")*$H$73+(AI74&lt;&gt;"NA")*$H$74+(AI75&lt;&gt;"NA")*$H$75)*$H72)))</f>
        <v>?</v>
      </c>
      <c r="AJ72" s="83" t="str">
        <f aca="false">IF(OR(AJ73="ER",AJ74="ER",AJ75="ER"),"ER",IF(OR(AJ73="?",AJ74="?",AJ75="?"),"?",IF(AND(AJ73="NA",AJ74="NA",AJ75="NA"),"NA",SUM(AJ73,AJ74,AJ75)/((AJ73&lt;&gt;"NA")*$H$73+(AJ74&lt;&gt;"NA")*$H$74+(AJ75&lt;&gt;"NA")*$H$75)*$H72)))</f>
        <v>?</v>
      </c>
      <c r="AK72" s="83" t="str">
        <f aca="false">IF(OR(AK73="ER",AK74="ER",AK75="ER"),"ER",IF(OR(AK73="?",AK74="?",AK75="?"),"?",IF(AND(AK73="NA",AK74="NA",AK75="NA"),"NA",SUM(AK73,AK74,AK75)/((AK73&lt;&gt;"NA")*$H$73+(AK74&lt;&gt;"NA")*$H$74+(AK75&lt;&gt;"NA")*$H$75)*$H72)))</f>
        <v>?</v>
      </c>
    </row>
    <row r="73" customFormat="false" ht="14.25" hidden="false" customHeight="false" outlineLevel="0" collapsed="false">
      <c r="A73" s="79" t="s">
        <v>258</v>
      </c>
      <c r="B73" s="80" t="str">
        <f aca="false">IF(ISBLANK($A73),"NO_CODE",VLOOKUP($A73,'UPD Questions_290926 '!$E$1:$N$300,MATCH(B$1,'UPD Questions_290926 '!$E$1:$N$1,0),0)&amp;"")</f>
        <v>Implementation</v>
      </c>
      <c r="C73" s="80" t="str">
        <f aca="false">IF(ISBLANK($A73),"NO_CODE",VLOOKUP($A73,'UPD Questions_290926 '!$E$1:$N$300,MATCH(C$1,'UPD Questions_290926 '!$E$1:$N$1,0),0)&amp;"")</f>
        <v>Sectoral planning</v>
      </c>
      <c r="D73" s="80" t="str">
        <f aca="false">IF(ISBLANK($A73),"NO_CODE",VLOOKUP($A73,'UPD Questions_290926 '!$E$1:$N$300,MATCH(D$1,'UPD Questions_290926 '!$E$1:$N$1,0),0)&amp;"")</f>
        <v>Economic development planning</v>
      </c>
      <c r="E73" s="80" t="str">
        <f aca="false">IF(ISBLANK($A73),"NO_CODE",VLOOKUP($A73,'UPD Questions_290926 '!$E$1:$N$300,MATCH(E$1,'UPD Questions_290926 '!$E$1:$N$1,0),0)&amp;"")</f>
        <v>SQ</v>
      </c>
      <c r="F73" s="80" t="str">
        <f aca="false">IF(ISBLANK($A73),"NO_CODE",VLOOKUP($A73,'UPD Questions_290926 '!$E$1:$N$300,MATCH(F$1,'UPD Questions_290926 '!$E$1:$N$1,0),0)&amp;"")</f>
        <v>Does the city have a notified and active Economic Vision Plan?</v>
      </c>
      <c r="G73" s="80" t="str">
        <f aca="false">IF(ISBLANK($A73),"NO_CODE",VLOOKUP($A73,'UPD Questions_290926 '!$E$1:$N$300,MATCH(G$1,'UPD Questions_290926 '!$E$1:$N$1,0),0)&amp;"")</f>
        <v>Implementation</v>
      </c>
      <c r="H73" s="82" t="n">
        <f aca="false">IF(ISBLANK($A73),"NO_CODE",VLOOKUP($A73,'UPD Questions_290926 '!$E$1:$N$300,MATCH(H$1,'UPD Questions_290926 '!$E$1:$N$1,0),0))</f>
        <v>3.33</v>
      </c>
      <c r="I73" s="83" t="str">
        <f aca="true">IF($H73=0,"NA",IF($A73=INDIRECT("'"&amp;$A73&amp;"'!$B$1"),IF(VLOOKUP(I$1,INDIRECT("'"&amp;$A73&amp;"'!$A$12:$Z$41"),MATCH("Points (Auto-generate)",INDIRECT("'"&amp;$A73&amp;"'!$A$12:$Z$12"),0),0)="","?",VLOOKUP(I$1,INDIRECT("'"&amp;$A73&amp;"'!$A$12:$Z$41"),MATCH("Points (Auto-generate)",INDIRECT("'"&amp;$A73&amp;"'!$A$12:$Z$12"),0),0)),"ER"))</f>
        <v>?</v>
      </c>
      <c r="J73" s="83" t="n">
        <f aca="true">IF($H73=0,"NA",IF($A73=INDIRECT("'"&amp;$A73&amp;"'!$B$1"),IF(VLOOKUP(J$1,INDIRECT("'"&amp;$A73&amp;"'!$A$12:$Z$41"),MATCH("Points (Auto-generate)",INDIRECT("'"&amp;$A73&amp;"'!$A$12:$Z$12"),0),0)="","?",VLOOKUP(J$1,INDIRECT("'"&amp;$A73&amp;"'!$A$12:$Z$41"),MATCH("Points (Auto-generate)",INDIRECT("'"&amp;$A73&amp;"'!$A$12:$Z$12"),0),0)),"ER"))</f>
        <v>0</v>
      </c>
      <c r="K73" s="83" t="str">
        <f aca="true">IF($H73=0,"NA",IF($A73=INDIRECT("'"&amp;$A73&amp;"'!$B$1"),IF(VLOOKUP(K$1,INDIRECT("'"&amp;$A73&amp;"'!$A$12:$Z$41"),MATCH("Points (Auto-generate)",INDIRECT("'"&amp;$A73&amp;"'!$A$12:$Z$12"),0),0)="","?",VLOOKUP(K$1,INDIRECT("'"&amp;$A73&amp;"'!$A$12:$Z$41"),MATCH("Points (Auto-generate)",INDIRECT("'"&amp;$A73&amp;"'!$A$12:$Z$12"),0),0)),"ER"))</f>
        <v>?</v>
      </c>
      <c r="L73" s="83" t="str">
        <f aca="true">IF($H73=0,"NA",IF($A73=INDIRECT("'"&amp;$A73&amp;"'!$B$1"),IF(VLOOKUP(L$1,INDIRECT("'"&amp;$A73&amp;"'!$A$12:$Z$41"),MATCH("Points (Auto-generate)",INDIRECT("'"&amp;$A73&amp;"'!$A$12:$Z$12"),0),0)="","?",VLOOKUP(L$1,INDIRECT("'"&amp;$A73&amp;"'!$A$12:$Z$41"),MATCH("Points (Auto-generate)",INDIRECT("'"&amp;$A73&amp;"'!$A$12:$Z$12"),0),0)),"ER"))</f>
        <v>?</v>
      </c>
      <c r="M73" s="83" t="str">
        <f aca="true">IF($H73=0,"NA",IF($A73=INDIRECT("'"&amp;$A73&amp;"'!$B$1"),IF(VLOOKUP(M$1,INDIRECT("'"&amp;$A73&amp;"'!$A$12:$Z$41"),MATCH("Points (Auto-generate)",INDIRECT("'"&amp;$A73&amp;"'!$A$12:$Z$12"),0),0)="","?",VLOOKUP(M$1,INDIRECT("'"&amp;$A73&amp;"'!$A$12:$Z$41"),MATCH("Points (Auto-generate)",INDIRECT("'"&amp;$A73&amp;"'!$A$12:$Z$12"),0),0)),"ER"))</f>
        <v>?</v>
      </c>
      <c r="N73" s="83" t="str">
        <f aca="true">IF($H73=0,"NA",IF($A73=INDIRECT("'"&amp;$A73&amp;"'!$B$1"),IF(VLOOKUP(N$1,INDIRECT("'"&amp;$A73&amp;"'!$A$12:$Z$41"),MATCH("Points (Auto-generate)",INDIRECT("'"&amp;$A73&amp;"'!$A$12:$Z$12"),0),0)="","?",VLOOKUP(N$1,INDIRECT("'"&amp;$A73&amp;"'!$A$12:$Z$41"),MATCH("Points (Auto-generate)",INDIRECT("'"&amp;$A73&amp;"'!$A$12:$Z$12"),0),0)),"ER"))</f>
        <v>?</v>
      </c>
      <c r="O73" s="83" t="str">
        <f aca="true">IF($H73=0,"NA",IF($A73=INDIRECT("'"&amp;$A73&amp;"'!$B$1"),IF(VLOOKUP(O$1,INDIRECT("'"&amp;$A73&amp;"'!$A$12:$Z$41"),MATCH("Points (Auto-generate)",INDIRECT("'"&amp;$A73&amp;"'!$A$12:$Z$12"),0),0)="","?",VLOOKUP(O$1,INDIRECT("'"&amp;$A73&amp;"'!$A$12:$Z$41"),MATCH("Points (Auto-generate)",INDIRECT("'"&amp;$A73&amp;"'!$A$12:$Z$12"),0),0)),"ER"))</f>
        <v>?</v>
      </c>
      <c r="P73" s="83" t="str">
        <f aca="true">IF($H73=0,"NA",IF($A73=INDIRECT("'"&amp;$A73&amp;"'!$B$1"),IF(VLOOKUP(P$1,INDIRECT("'"&amp;$A73&amp;"'!$A$12:$Z$41"),MATCH("Points (Auto-generate)",INDIRECT("'"&amp;$A73&amp;"'!$A$12:$Z$12"),0),0)="","?",VLOOKUP(P$1,INDIRECT("'"&amp;$A73&amp;"'!$A$12:$Z$41"),MATCH("Points (Auto-generate)",INDIRECT("'"&amp;$A73&amp;"'!$A$12:$Z$12"),0),0)),"ER"))</f>
        <v>?</v>
      </c>
      <c r="Q73" s="83" t="str">
        <f aca="true">IF($H73=0,"NA",IF($A73=INDIRECT("'"&amp;$A73&amp;"'!$B$1"),IF(VLOOKUP(Q$1,INDIRECT("'"&amp;$A73&amp;"'!$A$12:$Z$41"),MATCH("Points (Auto-generate)",INDIRECT("'"&amp;$A73&amp;"'!$A$12:$Z$12"),0),0)="","?",VLOOKUP(Q$1,INDIRECT("'"&amp;$A73&amp;"'!$A$12:$Z$41"),MATCH("Points (Auto-generate)",INDIRECT("'"&amp;$A73&amp;"'!$A$12:$Z$12"),0),0)),"ER"))</f>
        <v>?</v>
      </c>
      <c r="R73" s="83" t="str">
        <f aca="true">IF($H73=0,"NA",IF($A73=INDIRECT("'"&amp;$A73&amp;"'!$B$1"),IF(VLOOKUP(R$1,INDIRECT("'"&amp;$A73&amp;"'!$A$12:$Z$41"),MATCH("Points (Auto-generate)",INDIRECT("'"&amp;$A73&amp;"'!$A$12:$Z$12"),0),0)="","?",VLOOKUP(R$1,INDIRECT("'"&amp;$A73&amp;"'!$A$12:$Z$41"),MATCH("Points (Auto-generate)",INDIRECT("'"&amp;$A73&amp;"'!$A$12:$Z$12"),0),0)),"ER"))</f>
        <v>?</v>
      </c>
      <c r="S73" s="83" t="str">
        <f aca="true">IF($H73=0,"NA",IF($A73=INDIRECT("'"&amp;$A73&amp;"'!$B$1"),IF(VLOOKUP(S$1,INDIRECT("'"&amp;$A73&amp;"'!$A$12:$Z$41"),MATCH("Points (Auto-generate)",INDIRECT("'"&amp;$A73&amp;"'!$A$12:$Z$12"),0),0)="","?",VLOOKUP(S$1,INDIRECT("'"&amp;$A73&amp;"'!$A$12:$Z$41"),MATCH("Points (Auto-generate)",INDIRECT("'"&amp;$A73&amp;"'!$A$12:$Z$12"),0),0)),"ER"))</f>
        <v>?</v>
      </c>
      <c r="T73" s="83" t="str">
        <f aca="true">IF($H73=0,"NA",IF($A73=INDIRECT("'"&amp;$A73&amp;"'!$B$1"),IF(VLOOKUP(T$1,INDIRECT("'"&amp;$A73&amp;"'!$A$12:$Z$41"),MATCH("Points (Auto-generate)",INDIRECT("'"&amp;$A73&amp;"'!$A$12:$Z$12"),0),0)="","?",VLOOKUP(T$1,INDIRECT("'"&amp;$A73&amp;"'!$A$12:$Z$41"),MATCH("Points (Auto-generate)",INDIRECT("'"&amp;$A73&amp;"'!$A$12:$Z$12"),0),0)),"ER"))</f>
        <v>?</v>
      </c>
      <c r="U73" s="83" t="str">
        <f aca="true">IF($H73=0,"NA",IF($A73=INDIRECT("'"&amp;$A73&amp;"'!$B$1"),IF(VLOOKUP(U$1,INDIRECT("'"&amp;$A73&amp;"'!$A$12:$Z$41"),MATCH("Points (Auto-generate)",INDIRECT("'"&amp;$A73&amp;"'!$A$12:$Z$12"),0),0)="","?",VLOOKUP(U$1,INDIRECT("'"&amp;$A73&amp;"'!$A$12:$Z$41"),MATCH("Points (Auto-generate)",INDIRECT("'"&amp;$A73&amp;"'!$A$12:$Z$12"),0),0)),"ER"))</f>
        <v>?</v>
      </c>
      <c r="V73" s="83" t="str">
        <f aca="true">IF($H73=0,"NA",IF($A73=INDIRECT("'"&amp;$A73&amp;"'!$B$1"),IF(VLOOKUP(V$1,INDIRECT("'"&amp;$A73&amp;"'!$A$12:$Z$41"),MATCH("Points (Auto-generate)",INDIRECT("'"&amp;$A73&amp;"'!$A$12:$Z$12"),0),0)="","?",VLOOKUP(V$1,INDIRECT("'"&amp;$A73&amp;"'!$A$12:$Z$41"),MATCH("Points (Auto-generate)",INDIRECT("'"&amp;$A73&amp;"'!$A$12:$Z$12"),0),0)),"ER"))</f>
        <v>?</v>
      </c>
      <c r="W73" s="83" t="str">
        <f aca="true">IF($H73=0,"NA",IF($A73=INDIRECT("'"&amp;$A73&amp;"'!$B$1"),IF(VLOOKUP(W$1,INDIRECT("'"&amp;$A73&amp;"'!$A$12:$Z$41"),MATCH("Points (Auto-generate)",INDIRECT("'"&amp;$A73&amp;"'!$A$12:$Z$12"),0),0)="","?",VLOOKUP(W$1,INDIRECT("'"&amp;$A73&amp;"'!$A$12:$Z$41"),MATCH("Points (Auto-generate)",INDIRECT("'"&amp;$A73&amp;"'!$A$12:$Z$12"),0),0)),"ER"))</f>
        <v>?</v>
      </c>
      <c r="X73" s="83" t="str">
        <f aca="true">IF($H73=0,"NA",IF($A73=INDIRECT("'"&amp;$A73&amp;"'!$B$1"),IF(VLOOKUP(X$1,INDIRECT("'"&amp;$A73&amp;"'!$A$12:$Z$41"),MATCH("Points (Auto-generate)",INDIRECT("'"&amp;$A73&amp;"'!$A$12:$Z$12"),0),0)="","?",VLOOKUP(X$1,INDIRECT("'"&amp;$A73&amp;"'!$A$12:$Z$41"),MATCH("Points (Auto-generate)",INDIRECT("'"&amp;$A73&amp;"'!$A$12:$Z$12"),0),0)),"ER"))</f>
        <v>?</v>
      </c>
      <c r="Y73" s="83" t="str">
        <f aca="true">IF($H73=0,"NA",IF($A73=INDIRECT("'"&amp;$A73&amp;"'!$B$1"),IF(VLOOKUP(Y$1,INDIRECT("'"&amp;$A73&amp;"'!$A$12:$Z$41"),MATCH("Points (Auto-generate)",INDIRECT("'"&amp;$A73&amp;"'!$A$12:$Z$12"),0),0)="","?",VLOOKUP(Y$1,INDIRECT("'"&amp;$A73&amp;"'!$A$12:$Z$41"),MATCH("Points (Auto-generate)",INDIRECT("'"&amp;$A73&amp;"'!$A$12:$Z$12"),0),0)),"ER"))</f>
        <v>?</v>
      </c>
      <c r="Z73" s="83" t="str">
        <f aca="true">IF($H73=0,"NA",IF($A73=INDIRECT("'"&amp;$A73&amp;"'!$B$1"),IF(VLOOKUP(Z$1,INDIRECT("'"&amp;$A73&amp;"'!$A$12:$Z$41"),MATCH("Points (Auto-generate)",INDIRECT("'"&amp;$A73&amp;"'!$A$12:$Z$12"),0),0)="","?",VLOOKUP(Z$1,INDIRECT("'"&amp;$A73&amp;"'!$A$12:$Z$41"),MATCH("Points (Auto-generate)",INDIRECT("'"&amp;$A73&amp;"'!$A$12:$Z$12"),0),0)),"ER"))</f>
        <v>?</v>
      </c>
      <c r="AA73" s="83" t="str">
        <f aca="true">IF($H73=0,"NA",IF($A73=INDIRECT("'"&amp;$A73&amp;"'!$B$1"),IF(VLOOKUP(AA$1,INDIRECT("'"&amp;$A73&amp;"'!$A$12:$Z$41"),MATCH("Points (Auto-generate)",INDIRECT("'"&amp;$A73&amp;"'!$A$12:$Z$12"),0),0)="","?",VLOOKUP(AA$1,INDIRECT("'"&amp;$A73&amp;"'!$A$12:$Z$41"),MATCH("Points (Auto-generate)",INDIRECT("'"&amp;$A73&amp;"'!$A$12:$Z$12"),0),0)),"ER"))</f>
        <v>?</v>
      </c>
      <c r="AB73" s="83" t="str">
        <f aca="true">IF($H73=0,"NA",IF($A73=INDIRECT("'"&amp;$A73&amp;"'!$B$1"),IF(VLOOKUP(AB$1,INDIRECT("'"&amp;$A73&amp;"'!$A$12:$Z$41"),MATCH("Points (Auto-generate)",INDIRECT("'"&amp;$A73&amp;"'!$A$12:$Z$12"),0),0)="","?",VLOOKUP(AB$1,INDIRECT("'"&amp;$A73&amp;"'!$A$12:$Z$41"),MATCH("Points (Auto-generate)",INDIRECT("'"&amp;$A73&amp;"'!$A$12:$Z$12"),0),0)),"ER"))</f>
        <v>?</v>
      </c>
      <c r="AC73" s="83" t="str">
        <f aca="true">IF($H73=0,"NA",IF($A73=INDIRECT("'"&amp;$A73&amp;"'!$B$1"),IF(VLOOKUP(AC$1,INDIRECT("'"&amp;$A73&amp;"'!$A$12:$Z$41"),MATCH("Points (Auto-generate)",INDIRECT("'"&amp;$A73&amp;"'!$A$12:$Z$12"),0),0)="","?",VLOOKUP(AC$1,INDIRECT("'"&amp;$A73&amp;"'!$A$12:$Z$41"),MATCH("Points (Auto-generate)",INDIRECT("'"&amp;$A73&amp;"'!$A$12:$Z$12"),0),0)),"ER"))</f>
        <v>?</v>
      </c>
      <c r="AD73" s="83" t="str">
        <f aca="true">IF($H73=0,"NA",IF($A73=INDIRECT("'"&amp;$A73&amp;"'!$B$1"),IF(VLOOKUP(AD$1,INDIRECT("'"&amp;$A73&amp;"'!$A$12:$Z$41"),MATCH("Points (Auto-generate)",INDIRECT("'"&amp;$A73&amp;"'!$A$12:$Z$12"),0),0)="","?",VLOOKUP(AD$1,INDIRECT("'"&amp;$A73&amp;"'!$A$12:$Z$41"),MATCH("Points (Auto-generate)",INDIRECT("'"&amp;$A73&amp;"'!$A$12:$Z$12"),0),0)),"ER"))</f>
        <v>?</v>
      </c>
      <c r="AE73" s="83" t="str">
        <f aca="true">IF($H73=0,"NA",IF($A73=INDIRECT("'"&amp;$A73&amp;"'!$B$1"),IF(VLOOKUP(AE$1,INDIRECT("'"&amp;$A73&amp;"'!$A$12:$Z$41"),MATCH("Points (Auto-generate)",INDIRECT("'"&amp;$A73&amp;"'!$A$12:$Z$12"),0),0)="","?",VLOOKUP(AE$1,INDIRECT("'"&amp;$A73&amp;"'!$A$12:$Z$41"),MATCH("Points (Auto-generate)",INDIRECT("'"&amp;$A73&amp;"'!$A$12:$Z$12"),0),0)),"ER"))</f>
        <v>?</v>
      </c>
      <c r="AF73" s="83" t="str">
        <f aca="true">IF($H73=0,"NA",IF($A73=INDIRECT("'"&amp;$A73&amp;"'!$B$1"),IF(VLOOKUP(AF$1,INDIRECT("'"&amp;$A73&amp;"'!$A$12:$Z$41"),MATCH("Points (Auto-generate)",INDIRECT("'"&amp;$A73&amp;"'!$A$12:$Z$12"),0),0)="","?",VLOOKUP(AF$1,INDIRECT("'"&amp;$A73&amp;"'!$A$12:$Z$41"),MATCH("Points (Auto-generate)",INDIRECT("'"&amp;$A73&amp;"'!$A$12:$Z$12"),0),0)),"ER"))</f>
        <v>?</v>
      </c>
      <c r="AG73" s="83" t="str">
        <f aca="true">IF($H73=0,"NA",IF($A73=INDIRECT("'"&amp;$A73&amp;"'!$B$1"),IF(VLOOKUP(AG$1,INDIRECT("'"&amp;$A73&amp;"'!$A$12:$Z$41"),MATCH("Points (Auto-generate)",INDIRECT("'"&amp;$A73&amp;"'!$A$12:$Z$12"),0),0)="","?",VLOOKUP(AG$1,INDIRECT("'"&amp;$A73&amp;"'!$A$12:$Z$41"),MATCH("Points (Auto-generate)",INDIRECT("'"&amp;$A73&amp;"'!$A$12:$Z$12"),0),0)),"ER"))</f>
        <v>?</v>
      </c>
      <c r="AH73" s="83" t="str">
        <f aca="true">IF($H73=0,"NA",IF($A73=INDIRECT("'"&amp;$A73&amp;"'!$B$1"),IF(VLOOKUP(AH$1,INDIRECT("'"&amp;$A73&amp;"'!$A$12:$Z$41"),MATCH("Points (Auto-generate)",INDIRECT("'"&amp;$A73&amp;"'!$A$12:$Z$12"),0),0)="","?",VLOOKUP(AH$1,INDIRECT("'"&amp;$A73&amp;"'!$A$12:$Z$41"),MATCH("Points (Auto-generate)",INDIRECT("'"&amp;$A73&amp;"'!$A$12:$Z$12"),0),0)),"ER"))</f>
        <v>?</v>
      </c>
      <c r="AI73" s="83" t="str">
        <f aca="true">IF($H73=0,"NA",IF($A73=INDIRECT("'"&amp;$A73&amp;"'!$B$1"),IF(VLOOKUP(AI$1,INDIRECT("'"&amp;$A73&amp;"'!$A$12:$Z$41"),MATCH("Points (Auto-generate)",INDIRECT("'"&amp;$A73&amp;"'!$A$12:$Z$12"),0),0)="","?",VLOOKUP(AI$1,INDIRECT("'"&amp;$A73&amp;"'!$A$12:$Z$41"),MATCH("Points (Auto-generate)",INDIRECT("'"&amp;$A73&amp;"'!$A$12:$Z$12"),0),0)),"ER"))</f>
        <v>?</v>
      </c>
      <c r="AJ73" s="83" t="str">
        <f aca="true">IF($H73=0,"NA",IF($A73=INDIRECT("'"&amp;$A73&amp;"'!$B$1"),IF(VLOOKUP(AJ$1,INDIRECT("'"&amp;$A73&amp;"'!$A$12:$Z$41"),MATCH("Points (Auto-generate)",INDIRECT("'"&amp;$A73&amp;"'!$A$12:$Z$12"),0),0)="","?",VLOOKUP(AJ$1,INDIRECT("'"&amp;$A73&amp;"'!$A$12:$Z$41"),MATCH("Points (Auto-generate)",INDIRECT("'"&amp;$A73&amp;"'!$A$12:$Z$12"),0),0)),"ER"))</f>
        <v>?</v>
      </c>
      <c r="AK73" s="83" t="str">
        <f aca="true">IF($H73=0,"NA",IF($A73=INDIRECT("'"&amp;$A73&amp;"'!$B$1"),IF(VLOOKUP(AK$1,INDIRECT("'"&amp;$A73&amp;"'!$A$12:$Z$41"),MATCH("Points (Auto-generate)",INDIRECT("'"&amp;$A73&amp;"'!$A$12:$Z$12"),0),0)="","?",VLOOKUP(AK$1,INDIRECT("'"&amp;$A73&amp;"'!$A$12:$Z$41"),MATCH("Points (Auto-generate)",INDIRECT("'"&amp;$A73&amp;"'!$A$12:$Z$12"),0),0)),"ER"))</f>
        <v>?</v>
      </c>
    </row>
    <row r="74" customFormat="false" ht="14.25" hidden="false" customHeight="false" outlineLevel="0" collapsed="false">
      <c r="A74" s="79" t="s">
        <v>263</v>
      </c>
      <c r="B74" s="80" t="str">
        <f aca="false">IF(ISBLANK($A74),"NO_CODE",VLOOKUP($A74,'UPD Questions_290926 '!$E$1:$N$300,MATCH(B$1,'UPD Questions_290926 '!$E$1:$N$1,0),0)&amp;"")</f>
        <v>Implementation</v>
      </c>
      <c r="C74" s="80" t="str">
        <f aca="false">IF(ISBLANK($A74),"NO_CODE",VLOOKUP($A74,'UPD Questions_290926 '!$E$1:$N$300,MATCH(C$1,'UPD Questions_290926 '!$E$1:$N$1,0),0)&amp;"")</f>
        <v>Sectoral planning</v>
      </c>
      <c r="D74" s="80" t="str">
        <f aca="false">IF(ISBLANK($A74),"NO_CODE",VLOOKUP($A74,'UPD Questions_290926 '!$E$1:$N$300,MATCH(D$1,'UPD Questions_290926 '!$E$1:$N$1,0),0)&amp;"")</f>
        <v>Economic development planning</v>
      </c>
      <c r="E74" s="80" t="str">
        <f aca="false">IF(ISBLANK($A74),"NO_CODE",VLOOKUP($A74,'UPD Questions_290926 '!$E$1:$N$300,MATCH(E$1,'UPD Questions_290926 '!$E$1:$N$1,0),0)&amp;"")</f>
        <v>SQ</v>
      </c>
      <c r="F74" s="80" t="str">
        <f aca="false">IF(ISBLANK($A74),"NO_CODE",VLOOKUP($A74,'UPD Questions_290926 '!$E$1:$N$300,MATCH(F$1,'UPD Questions_290926 '!$E$1:$N$1,0),0)&amp;"")</f>
        <v>Does the plan have development priorities and measurable objectives?</v>
      </c>
      <c r="G74" s="80" t="str">
        <f aca="false">IF(ISBLANK($A74),"NO_CODE",VLOOKUP($A74,'UPD Questions_290926 '!$E$1:$N$300,MATCH(G$1,'UPD Questions_290926 '!$E$1:$N$1,0),0)&amp;"")</f>
        <v>Implementation</v>
      </c>
      <c r="H74" s="82" t="n">
        <f aca="false">IF(ISBLANK($A74),"NO_CODE",VLOOKUP($A74,'UPD Questions_290926 '!$E$1:$N$300,MATCH(H$1,'UPD Questions_290926 '!$E$1:$N$1,0),0))</f>
        <v>3.33</v>
      </c>
      <c r="I74" s="83" t="str">
        <f aca="true">IF($H74=0,"NA",IF($A74=INDIRECT("'"&amp;$A74&amp;"'!$B$1"),IF(VLOOKUP(I$1,INDIRECT("'"&amp;$A74&amp;"'!$A$12:$Z$41"),MATCH("Points (Auto-generate)",INDIRECT("'"&amp;$A74&amp;"'!$A$12:$Z$12"),0),0)="","?",VLOOKUP(I$1,INDIRECT("'"&amp;$A74&amp;"'!$A$12:$Z$41"),MATCH("Points (Auto-generate)",INDIRECT("'"&amp;$A74&amp;"'!$A$12:$Z$12"),0),0)),"ER"))</f>
        <v>?</v>
      </c>
      <c r="J74" s="83" t="n">
        <f aca="true">IF($H74=0,"NA",IF($A74=INDIRECT("'"&amp;$A74&amp;"'!$B$1"),IF(VLOOKUP(J$1,INDIRECT("'"&amp;$A74&amp;"'!$A$12:$Z$41"),MATCH("Points (Auto-generate)",INDIRECT("'"&amp;$A74&amp;"'!$A$12:$Z$12"),0),0)="","?",VLOOKUP(J$1,INDIRECT("'"&amp;$A74&amp;"'!$A$12:$Z$41"),MATCH("Points (Auto-generate)",INDIRECT("'"&amp;$A74&amp;"'!$A$12:$Z$12"),0),0)),"ER"))</f>
        <v>0</v>
      </c>
      <c r="K74" s="83" t="str">
        <f aca="true">IF($H74=0,"NA",IF($A74=INDIRECT("'"&amp;$A74&amp;"'!$B$1"),IF(VLOOKUP(K$1,INDIRECT("'"&amp;$A74&amp;"'!$A$12:$Z$41"),MATCH("Points (Auto-generate)",INDIRECT("'"&amp;$A74&amp;"'!$A$12:$Z$12"),0),0)="","?",VLOOKUP(K$1,INDIRECT("'"&amp;$A74&amp;"'!$A$12:$Z$41"),MATCH("Points (Auto-generate)",INDIRECT("'"&amp;$A74&amp;"'!$A$12:$Z$12"),0),0)),"ER"))</f>
        <v>?</v>
      </c>
      <c r="L74" s="83" t="str">
        <f aca="true">IF($H74=0,"NA",IF($A74=INDIRECT("'"&amp;$A74&amp;"'!$B$1"),IF(VLOOKUP(L$1,INDIRECT("'"&amp;$A74&amp;"'!$A$12:$Z$41"),MATCH("Points (Auto-generate)",INDIRECT("'"&amp;$A74&amp;"'!$A$12:$Z$12"),0),0)="","?",VLOOKUP(L$1,INDIRECT("'"&amp;$A74&amp;"'!$A$12:$Z$41"),MATCH("Points (Auto-generate)",INDIRECT("'"&amp;$A74&amp;"'!$A$12:$Z$12"),0),0)),"ER"))</f>
        <v>?</v>
      </c>
      <c r="M74" s="83" t="str">
        <f aca="true">IF($H74=0,"NA",IF($A74=INDIRECT("'"&amp;$A74&amp;"'!$B$1"),IF(VLOOKUP(M$1,INDIRECT("'"&amp;$A74&amp;"'!$A$12:$Z$41"),MATCH("Points (Auto-generate)",INDIRECT("'"&amp;$A74&amp;"'!$A$12:$Z$12"),0),0)="","?",VLOOKUP(M$1,INDIRECT("'"&amp;$A74&amp;"'!$A$12:$Z$41"),MATCH("Points (Auto-generate)",INDIRECT("'"&amp;$A74&amp;"'!$A$12:$Z$12"),0),0)),"ER"))</f>
        <v>?</v>
      </c>
      <c r="N74" s="83" t="str">
        <f aca="true">IF($H74=0,"NA",IF($A74=INDIRECT("'"&amp;$A74&amp;"'!$B$1"),IF(VLOOKUP(N$1,INDIRECT("'"&amp;$A74&amp;"'!$A$12:$Z$41"),MATCH("Points (Auto-generate)",INDIRECT("'"&amp;$A74&amp;"'!$A$12:$Z$12"),0),0)="","?",VLOOKUP(N$1,INDIRECT("'"&amp;$A74&amp;"'!$A$12:$Z$41"),MATCH("Points (Auto-generate)",INDIRECT("'"&amp;$A74&amp;"'!$A$12:$Z$12"),0),0)),"ER"))</f>
        <v>?</v>
      </c>
      <c r="O74" s="83" t="str">
        <f aca="true">IF($H74=0,"NA",IF($A74=INDIRECT("'"&amp;$A74&amp;"'!$B$1"),IF(VLOOKUP(O$1,INDIRECT("'"&amp;$A74&amp;"'!$A$12:$Z$41"),MATCH("Points (Auto-generate)",INDIRECT("'"&amp;$A74&amp;"'!$A$12:$Z$12"),0),0)="","?",VLOOKUP(O$1,INDIRECT("'"&amp;$A74&amp;"'!$A$12:$Z$41"),MATCH("Points (Auto-generate)",INDIRECT("'"&amp;$A74&amp;"'!$A$12:$Z$12"),0),0)),"ER"))</f>
        <v>?</v>
      </c>
      <c r="P74" s="83" t="str">
        <f aca="true">IF($H74=0,"NA",IF($A74=INDIRECT("'"&amp;$A74&amp;"'!$B$1"),IF(VLOOKUP(P$1,INDIRECT("'"&amp;$A74&amp;"'!$A$12:$Z$41"),MATCH("Points (Auto-generate)",INDIRECT("'"&amp;$A74&amp;"'!$A$12:$Z$12"),0),0)="","?",VLOOKUP(P$1,INDIRECT("'"&amp;$A74&amp;"'!$A$12:$Z$41"),MATCH("Points (Auto-generate)",INDIRECT("'"&amp;$A74&amp;"'!$A$12:$Z$12"),0),0)),"ER"))</f>
        <v>?</v>
      </c>
      <c r="Q74" s="83" t="str">
        <f aca="true">IF($H74=0,"NA",IF($A74=INDIRECT("'"&amp;$A74&amp;"'!$B$1"),IF(VLOOKUP(Q$1,INDIRECT("'"&amp;$A74&amp;"'!$A$12:$Z$41"),MATCH("Points (Auto-generate)",INDIRECT("'"&amp;$A74&amp;"'!$A$12:$Z$12"),0),0)="","?",VLOOKUP(Q$1,INDIRECT("'"&amp;$A74&amp;"'!$A$12:$Z$41"),MATCH("Points (Auto-generate)",INDIRECT("'"&amp;$A74&amp;"'!$A$12:$Z$12"),0),0)),"ER"))</f>
        <v>?</v>
      </c>
      <c r="R74" s="83" t="str">
        <f aca="true">IF($H74=0,"NA",IF($A74=INDIRECT("'"&amp;$A74&amp;"'!$B$1"),IF(VLOOKUP(R$1,INDIRECT("'"&amp;$A74&amp;"'!$A$12:$Z$41"),MATCH("Points (Auto-generate)",INDIRECT("'"&amp;$A74&amp;"'!$A$12:$Z$12"),0),0)="","?",VLOOKUP(R$1,INDIRECT("'"&amp;$A74&amp;"'!$A$12:$Z$41"),MATCH("Points (Auto-generate)",INDIRECT("'"&amp;$A74&amp;"'!$A$12:$Z$12"),0),0)),"ER"))</f>
        <v>?</v>
      </c>
      <c r="S74" s="83" t="str">
        <f aca="true">IF($H74=0,"NA",IF($A74=INDIRECT("'"&amp;$A74&amp;"'!$B$1"),IF(VLOOKUP(S$1,INDIRECT("'"&amp;$A74&amp;"'!$A$12:$Z$41"),MATCH("Points (Auto-generate)",INDIRECT("'"&amp;$A74&amp;"'!$A$12:$Z$12"),0),0)="","?",VLOOKUP(S$1,INDIRECT("'"&amp;$A74&amp;"'!$A$12:$Z$41"),MATCH("Points (Auto-generate)",INDIRECT("'"&amp;$A74&amp;"'!$A$12:$Z$12"),0),0)),"ER"))</f>
        <v>?</v>
      </c>
      <c r="T74" s="83" t="str">
        <f aca="true">IF($H74=0,"NA",IF($A74=INDIRECT("'"&amp;$A74&amp;"'!$B$1"),IF(VLOOKUP(T$1,INDIRECT("'"&amp;$A74&amp;"'!$A$12:$Z$41"),MATCH("Points (Auto-generate)",INDIRECT("'"&amp;$A74&amp;"'!$A$12:$Z$12"),0),0)="","?",VLOOKUP(T$1,INDIRECT("'"&amp;$A74&amp;"'!$A$12:$Z$41"),MATCH("Points (Auto-generate)",INDIRECT("'"&amp;$A74&amp;"'!$A$12:$Z$12"),0),0)),"ER"))</f>
        <v>?</v>
      </c>
      <c r="U74" s="83" t="str">
        <f aca="true">IF($H74=0,"NA",IF($A74=INDIRECT("'"&amp;$A74&amp;"'!$B$1"),IF(VLOOKUP(U$1,INDIRECT("'"&amp;$A74&amp;"'!$A$12:$Z$41"),MATCH("Points (Auto-generate)",INDIRECT("'"&amp;$A74&amp;"'!$A$12:$Z$12"),0),0)="","?",VLOOKUP(U$1,INDIRECT("'"&amp;$A74&amp;"'!$A$12:$Z$41"),MATCH("Points (Auto-generate)",INDIRECT("'"&amp;$A74&amp;"'!$A$12:$Z$12"),0),0)),"ER"))</f>
        <v>?</v>
      </c>
      <c r="V74" s="83" t="str">
        <f aca="true">IF($H74=0,"NA",IF($A74=INDIRECT("'"&amp;$A74&amp;"'!$B$1"),IF(VLOOKUP(V$1,INDIRECT("'"&amp;$A74&amp;"'!$A$12:$Z$41"),MATCH("Points (Auto-generate)",INDIRECT("'"&amp;$A74&amp;"'!$A$12:$Z$12"),0),0)="","?",VLOOKUP(V$1,INDIRECT("'"&amp;$A74&amp;"'!$A$12:$Z$41"),MATCH("Points (Auto-generate)",INDIRECT("'"&amp;$A74&amp;"'!$A$12:$Z$12"),0),0)),"ER"))</f>
        <v>?</v>
      </c>
      <c r="W74" s="83" t="str">
        <f aca="true">IF($H74=0,"NA",IF($A74=INDIRECT("'"&amp;$A74&amp;"'!$B$1"),IF(VLOOKUP(W$1,INDIRECT("'"&amp;$A74&amp;"'!$A$12:$Z$41"),MATCH("Points (Auto-generate)",INDIRECT("'"&amp;$A74&amp;"'!$A$12:$Z$12"),0),0)="","?",VLOOKUP(W$1,INDIRECT("'"&amp;$A74&amp;"'!$A$12:$Z$41"),MATCH("Points (Auto-generate)",INDIRECT("'"&amp;$A74&amp;"'!$A$12:$Z$12"),0),0)),"ER"))</f>
        <v>?</v>
      </c>
      <c r="X74" s="83" t="str">
        <f aca="true">IF($H74=0,"NA",IF($A74=INDIRECT("'"&amp;$A74&amp;"'!$B$1"),IF(VLOOKUP(X$1,INDIRECT("'"&amp;$A74&amp;"'!$A$12:$Z$41"),MATCH("Points (Auto-generate)",INDIRECT("'"&amp;$A74&amp;"'!$A$12:$Z$12"),0),0)="","?",VLOOKUP(X$1,INDIRECT("'"&amp;$A74&amp;"'!$A$12:$Z$41"),MATCH("Points (Auto-generate)",INDIRECT("'"&amp;$A74&amp;"'!$A$12:$Z$12"),0),0)),"ER"))</f>
        <v>?</v>
      </c>
      <c r="Y74" s="83" t="str">
        <f aca="true">IF($H74=0,"NA",IF($A74=INDIRECT("'"&amp;$A74&amp;"'!$B$1"),IF(VLOOKUP(Y$1,INDIRECT("'"&amp;$A74&amp;"'!$A$12:$Z$41"),MATCH("Points (Auto-generate)",INDIRECT("'"&amp;$A74&amp;"'!$A$12:$Z$12"),0),0)="","?",VLOOKUP(Y$1,INDIRECT("'"&amp;$A74&amp;"'!$A$12:$Z$41"),MATCH("Points (Auto-generate)",INDIRECT("'"&amp;$A74&amp;"'!$A$12:$Z$12"),0),0)),"ER"))</f>
        <v>?</v>
      </c>
      <c r="Z74" s="83" t="str">
        <f aca="true">IF($H74=0,"NA",IF($A74=INDIRECT("'"&amp;$A74&amp;"'!$B$1"),IF(VLOOKUP(Z$1,INDIRECT("'"&amp;$A74&amp;"'!$A$12:$Z$41"),MATCH("Points (Auto-generate)",INDIRECT("'"&amp;$A74&amp;"'!$A$12:$Z$12"),0),0)="","?",VLOOKUP(Z$1,INDIRECT("'"&amp;$A74&amp;"'!$A$12:$Z$41"),MATCH("Points (Auto-generate)",INDIRECT("'"&amp;$A74&amp;"'!$A$12:$Z$12"),0),0)),"ER"))</f>
        <v>?</v>
      </c>
      <c r="AA74" s="83" t="str">
        <f aca="true">IF($H74=0,"NA",IF($A74=INDIRECT("'"&amp;$A74&amp;"'!$B$1"),IF(VLOOKUP(AA$1,INDIRECT("'"&amp;$A74&amp;"'!$A$12:$Z$41"),MATCH("Points (Auto-generate)",INDIRECT("'"&amp;$A74&amp;"'!$A$12:$Z$12"),0),0)="","?",VLOOKUP(AA$1,INDIRECT("'"&amp;$A74&amp;"'!$A$12:$Z$41"),MATCH("Points (Auto-generate)",INDIRECT("'"&amp;$A74&amp;"'!$A$12:$Z$12"),0),0)),"ER"))</f>
        <v>?</v>
      </c>
      <c r="AB74" s="83" t="str">
        <f aca="true">IF($H74=0,"NA",IF($A74=INDIRECT("'"&amp;$A74&amp;"'!$B$1"),IF(VLOOKUP(AB$1,INDIRECT("'"&amp;$A74&amp;"'!$A$12:$Z$41"),MATCH("Points (Auto-generate)",INDIRECT("'"&amp;$A74&amp;"'!$A$12:$Z$12"),0),0)="","?",VLOOKUP(AB$1,INDIRECT("'"&amp;$A74&amp;"'!$A$12:$Z$41"),MATCH("Points (Auto-generate)",INDIRECT("'"&amp;$A74&amp;"'!$A$12:$Z$12"),0),0)),"ER"))</f>
        <v>?</v>
      </c>
      <c r="AC74" s="83" t="str">
        <f aca="true">IF($H74=0,"NA",IF($A74=INDIRECT("'"&amp;$A74&amp;"'!$B$1"),IF(VLOOKUP(AC$1,INDIRECT("'"&amp;$A74&amp;"'!$A$12:$Z$41"),MATCH("Points (Auto-generate)",INDIRECT("'"&amp;$A74&amp;"'!$A$12:$Z$12"),0),0)="","?",VLOOKUP(AC$1,INDIRECT("'"&amp;$A74&amp;"'!$A$12:$Z$41"),MATCH("Points (Auto-generate)",INDIRECT("'"&amp;$A74&amp;"'!$A$12:$Z$12"),0),0)),"ER"))</f>
        <v>?</v>
      </c>
      <c r="AD74" s="83" t="str">
        <f aca="true">IF($H74=0,"NA",IF($A74=INDIRECT("'"&amp;$A74&amp;"'!$B$1"),IF(VLOOKUP(AD$1,INDIRECT("'"&amp;$A74&amp;"'!$A$12:$Z$41"),MATCH("Points (Auto-generate)",INDIRECT("'"&amp;$A74&amp;"'!$A$12:$Z$12"),0),0)="","?",VLOOKUP(AD$1,INDIRECT("'"&amp;$A74&amp;"'!$A$12:$Z$41"),MATCH("Points (Auto-generate)",INDIRECT("'"&amp;$A74&amp;"'!$A$12:$Z$12"),0),0)),"ER"))</f>
        <v>?</v>
      </c>
      <c r="AE74" s="83" t="str">
        <f aca="true">IF($H74=0,"NA",IF($A74=INDIRECT("'"&amp;$A74&amp;"'!$B$1"),IF(VLOOKUP(AE$1,INDIRECT("'"&amp;$A74&amp;"'!$A$12:$Z$41"),MATCH("Points (Auto-generate)",INDIRECT("'"&amp;$A74&amp;"'!$A$12:$Z$12"),0),0)="","?",VLOOKUP(AE$1,INDIRECT("'"&amp;$A74&amp;"'!$A$12:$Z$41"),MATCH("Points (Auto-generate)",INDIRECT("'"&amp;$A74&amp;"'!$A$12:$Z$12"),0),0)),"ER"))</f>
        <v>?</v>
      </c>
      <c r="AF74" s="83" t="str">
        <f aca="true">IF($H74=0,"NA",IF($A74=INDIRECT("'"&amp;$A74&amp;"'!$B$1"),IF(VLOOKUP(AF$1,INDIRECT("'"&amp;$A74&amp;"'!$A$12:$Z$41"),MATCH("Points (Auto-generate)",INDIRECT("'"&amp;$A74&amp;"'!$A$12:$Z$12"),0),0)="","?",VLOOKUP(AF$1,INDIRECT("'"&amp;$A74&amp;"'!$A$12:$Z$41"),MATCH("Points (Auto-generate)",INDIRECT("'"&amp;$A74&amp;"'!$A$12:$Z$12"),0),0)),"ER"))</f>
        <v>?</v>
      </c>
      <c r="AG74" s="83" t="str">
        <f aca="true">IF($H74=0,"NA",IF($A74=INDIRECT("'"&amp;$A74&amp;"'!$B$1"),IF(VLOOKUP(AG$1,INDIRECT("'"&amp;$A74&amp;"'!$A$12:$Z$41"),MATCH("Points (Auto-generate)",INDIRECT("'"&amp;$A74&amp;"'!$A$12:$Z$12"),0),0)="","?",VLOOKUP(AG$1,INDIRECT("'"&amp;$A74&amp;"'!$A$12:$Z$41"),MATCH("Points (Auto-generate)",INDIRECT("'"&amp;$A74&amp;"'!$A$12:$Z$12"),0),0)),"ER"))</f>
        <v>?</v>
      </c>
      <c r="AH74" s="83" t="str">
        <f aca="true">IF($H74=0,"NA",IF($A74=INDIRECT("'"&amp;$A74&amp;"'!$B$1"),IF(VLOOKUP(AH$1,INDIRECT("'"&amp;$A74&amp;"'!$A$12:$Z$41"),MATCH("Points (Auto-generate)",INDIRECT("'"&amp;$A74&amp;"'!$A$12:$Z$12"),0),0)="","?",VLOOKUP(AH$1,INDIRECT("'"&amp;$A74&amp;"'!$A$12:$Z$41"),MATCH("Points (Auto-generate)",INDIRECT("'"&amp;$A74&amp;"'!$A$12:$Z$12"),0),0)),"ER"))</f>
        <v>?</v>
      </c>
      <c r="AI74" s="83" t="str">
        <f aca="true">IF($H74=0,"NA",IF($A74=INDIRECT("'"&amp;$A74&amp;"'!$B$1"),IF(VLOOKUP(AI$1,INDIRECT("'"&amp;$A74&amp;"'!$A$12:$Z$41"),MATCH("Points (Auto-generate)",INDIRECT("'"&amp;$A74&amp;"'!$A$12:$Z$12"),0),0)="","?",VLOOKUP(AI$1,INDIRECT("'"&amp;$A74&amp;"'!$A$12:$Z$41"),MATCH("Points (Auto-generate)",INDIRECT("'"&amp;$A74&amp;"'!$A$12:$Z$12"),0),0)),"ER"))</f>
        <v>?</v>
      </c>
      <c r="AJ74" s="83" t="str">
        <f aca="true">IF($H74=0,"NA",IF($A74=INDIRECT("'"&amp;$A74&amp;"'!$B$1"),IF(VLOOKUP(AJ$1,INDIRECT("'"&amp;$A74&amp;"'!$A$12:$Z$41"),MATCH("Points (Auto-generate)",INDIRECT("'"&amp;$A74&amp;"'!$A$12:$Z$12"),0),0)="","?",VLOOKUP(AJ$1,INDIRECT("'"&amp;$A74&amp;"'!$A$12:$Z$41"),MATCH("Points (Auto-generate)",INDIRECT("'"&amp;$A74&amp;"'!$A$12:$Z$12"),0),0)),"ER"))</f>
        <v>?</v>
      </c>
      <c r="AK74" s="83" t="str">
        <f aca="true">IF($H74=0,"NA",IF($A74=INDIRECT("'"&amp;$A74&amp;"'!$B$1"),IF(VLOOKUP(AK$1,INDIRECT("'"&amp;$A74&amp;"'!$A$12:$Z$41"),MATCH("Points (Auto-generate)",INDIRECT("'"&amp;$A74&amp;"'!$A$12:$Z$12"),0),0)="","?",VLOOKUP(AK$1,INDIRECT("'"&amp;$A74&amp;"'!$A$12:$Z$41"),MATCH("Points (Auto-generate)",INDIRECT("'"&amp;$A74&amp;"'!$A$12:$Z$12"),0),0)),"ER"))</f>
        <v>?</v>
      </c>
    </row>
    <row r="75" customFormat="false" ht="14.25" hidden="false" customHeight="false" outlineLevel="0" collapsed="false">
      <c r="A75" s="79" t="s">
        <v>268</v>
      </c>
      <c r="B75" s="80" t="str">
        <f aca="false">IF(ISBLANK($A75),"NO_CODE",VLOOKUP($A75,'UPD Questions_290926 '!$E$1:$N$300,MATCH(B$1,'UPD Questions_290926 '!$E$1:$N$1,0),0)&amp;"")</f>
        <v>Implementation</v>
      </c>
      <c r="C75" s="80" t="str">
        <f aca="false">IF(ISBLANK($A75),"NO_CODE",VLOOKUP($A75,'UPD Questions_290926 '!$E$1:$N$300,MATCH(C$1,'UPD Questions_290926 '!$E$1:$N$1,0),0)&amp;"")</f>
        <v>Sectoral planning</v>
      </c>
      <c r="D75" s="80" t="str">
        <f aca="false">IF(ISBLANK($A75),"NO_CODE",VLOOKUP($A75,'UPD Questions_290926 '!$E$1:$N$300,MATCH(D$1,'UPD Questions_290926 '!$E$1:$N$1,0),0)&amp;"")</f>
        <v>Economic development planning</v>
      </c>
      <c r="E75" s="80" t="str">
        <f aca="false">IF(ISBLANK($A75),"NO_CODE",VLOOKUP($A75,'UPD Questions_290926 '!$E$1:$N$300,MATCH(E$1,'UPD Questions_290926 '!$E$1:$N$1,0),0)&amp;"")</f>
        <v>SQ</v>
      </c>
      <c r="F75" s="80" t="str">
        <f aca="false">IF(ISBLANK($A75),"NO_CODE",VLOOKUP($A75,'UPD Questions_290926 '!$E$1:$N$300,MATCH(F$1,'UPD Questions_290926 '!$E$1:$N$1,0),0)&amp;"")</f>
        <v>Does the plan clearly articulate the role of the ULG?</v>
      </c>
      <c r="G75" s="80" t="str">
        <f aca="false">IF(ISBLANK($A75),"NO_CODE",VLOOKUP($A75,'UPD Questions_290926 '!$E$1:$N$300,MATCH(G$1,'UPD Questions_290926 '!$E$1:$N$1,0),0)&amp;"")</f>
        <v>Implementation</v>
      </c>
      <c r="H75" s="82" t="n">
        <f aca="false">IF(ISBLANK($A75),"NO_CODE",VLOOKUP($A75,'UPD Questions_290926 '!$E$1:$N$300,MATCH(H$1,'UPD Questions_290926 '!$E$1:$N$1,0),0))</f>
        <v>3.33</v>
      </c>
      <c r="I75" s="83" t="str">
        <f aca="true">IF($H75=0,"NA",IF($A75=INDIRECT("'"&amp;$A75&amp;"'!$B$1"),IF(VLOOKUP(I$1,INDIRECT("'"&amp;$A75&amp;"'!$A$12:$Z$41"),MATCH("Points (Auto-generate)",INDIRECT("'"&amp;$A75&amp;"'!$A$12:$Z$12"),0),0)="","?",VLOOKUP(I$1,INDIRECT("'"&amp;$A75&amp;"'!$A$12:$Z$41"),MATCH("Points (Auto-generate)",INDIRECT("'"&amp;$A75&amp;"'!$A$12:$Z$12"),0),0)),"ER"))</f>
        <v>?</v>
      </c>
      <c r="J75" s="83" t="n">
        <f aca="true">IF($H75=0,"NA",IF($A75=INDIRECT("'"&amp;$A75&amp;"'!$B$1"),IF(VLOOKUP(J$1,INDIRECT("'"&amp;$A75&amp;"'!$A$12:$Z$41"),MATCH("Points (Auto-generate)",INDIRECT("'"&amp;$A75&amp;"'!$A$12:$Z$12"),0),0)="","?",VLOOKUP(J$1,INDIRECT("'"&amp;$A75&amp;"'!$A$12:$Z$41"),MATCH("Points (Auto-generate)",INDIRECT("'"&amp;$A75&amp;"'!$A$12:$Z$12"),0),0)),"ER"))</f>
        <v>0</v>
      </c>
      <c r="K75" s="83" t="str">
        <f aca="true">IF($H75=0,"NA",IF($A75=INDIRECT("'"&amp;$A75&amp;"'!$B$1"),IF(VLOOKUP(K$1,INDIRECT("'"&amp;$A75&amp;"'!$A$12:$Z$41"),MATCH("Points (Auto-generate)",INDIRECT("'"&amp;$A75&amp;"'!$A$12:$Z$12"),0),0)="","?",VLOOKUP(K$1,INDIRECT("'"&amp;$A75&amp;"'!$A$12:$Z$41"),MATCH("Points (Auto-generate)",INDIRECT("'"&amp;$A75&amp;"'!$A$12:$Z$12"),0),0)),"ER"))</f>
        <v>?</v>
      </c>
      <c r="L75" s="83" t="str">
        <f aca="true">IF($H75=0,"NA",IF($A75=INDIRECT("'"&amp;$A75&amp;"'!$B$1"),IF(VLOOKUP(L$1,INDIRECT("'"&amp;$A75&amp;"'!$A$12:$Z$41"),MATCH("Points (Auto-generate)",INDIRECT("'"&amp;$A75&amp;"'!$A$12:$Z$12"),0),0)="","?",VLOOKUP(L$1,INDIRECT("'"&amp;$A75&amp;"'!$A$12:$Z$41"),MATCH("Points (Auto-generate)",INDIRECT("'"&amp;$A75&amp;"'!$A$12:$Z$12"),0),0)),"ER"))</f>
        <v>?</v>
      </c>
      <c r="M75" s="83" t="str">
        <f aca="true">IF($H75=0,"NA",IF($A75=INDIRECT("'"&amp;$A75&amp;"'!$B$1"),IF(VLOOKUP(M$1,INDIRECT("'"&amp;$A75&amp;"'!$A$12:$Z$41"),MATCH("Points (Auto-generate)",INDIRECT("'"&amp;$A75&amp;"'!$A$12:$Z$12"),0),0)="","?",VLOOKUP(M$1,INDIRECT("'"&amp;$A75&amp;"'!$A$12:$Z$41"),MATCH("Points (Auto-generate)",INDIRECT("'"&amp;$A75&amp;"'!$A$12:$Z$12"),0),0)),"ER"))</f>
        <v>?</v>
      </c>
      <c r="N75" s="83" t="str">
        <f aca="true">IF($H75=0,"NA",IF($A75=INDIRECT("'"&amp;$A75&amp;"'!$B$1"),IF(VLOOKUP(N$1,INDIRECT("'"&amp;$A75&amp;"'!$A$12:$Z$41"),MATCH("Points (Auto-generate)",INDIRECT("'"&amp;$A75&amp;"'!$A$12:$Z$12"),0),0)="","?",VLOOKUP(N$1,INDIRECT("'"&amp;$A75&amp;"'!$A$12:$Z$41"),MATCH("Points (Auto-generate)",INDIRECT("'"&amp;$A75&amp;"'!$A$12:$Z$12"),0),0)),"ER"))</f>
        <v>?</v>
      </c>
      <c r="O75" s="83" t="str">
        <f aca="true">IF($H75=0,"NA",IF($A75=INDIRECT("'"&amp;$A75&amp;"'!$B$1"),IF(VLOOKUP(O$1,INDIRECT("'"&amp;$A75&amp;"'!$A$12:$Z$41"),MATCH("Points (Auto-generate)",INDIRECT("'"&amp;$A75&amp;"'!$A$12:$Z$12"),0),0)="","?",VLOOKUP(O$1,INDIRECT("'"&amp;$A75&amp;"'!$A$12:$Z$41"),MATCH("Points (Auto-generate)",INDIRECT("'"&amp;$A75&amp;"'!$A$12:$Z$12"),0),0)),"ER"))</f>
        <v>?</v>
      </c>
      <c r="P75" s="83" t="str">
        <f aca="true">IF($H75=0,"NA",IF($A75=INDIRECT("'"&amp;$A75&amp;"'!$B$1"),IF(VLOOKUP(P$1,INDIRECT("'"&amp;$A75&amp;"'!$A$12:$Z$41"),MATCH("Points (Auto-generate)",INDIRECT("'"&amp;$A75&amp;"'!$A$12:$Z$12"),0),0)="","?",VLOOKUP(P$1,INDIRECT("'"&amp;$A75&amp;"'!$A$12:$Z$41"),MATCH("Points (Auto-generate)",INDIRECT("'"&amp;$A75&amp;"'!$A$12:$Z$12"),0),0)),"ER"))</f>
        <v>?</v>
      </c>
      <c r="Q75" s="83" t="str">
        <f aca="true">IF($H75=0,"NA",IF($A75=INDIRECT("'"&amp;$A75&amp;"'!$B$1"),IF(VLOOKUP(Q$1,INDIRECT("'"&amp;$A75&amp;"'!$A$12:$Z$41"),MATCH("Points (Auto-generate)",INDIRECT("'"&amp;$A75&amp;"'!$A$12:$Z$12"),0),0)="","?",VLOOKUP(Q$1,INDIRECT("'"&amp;$A75&amp;"'!$A$12:$Z$41"),MATCH("Points (Auto-generate)",INDIRECT("'"&amp;$A75&amp;"'!$A$12:$Z$12"),0),0)),"ER"))</f>
        <v>?</v>
      </c>
      <c r="R75" s="83" t="str">
        <f aca="true">IF($H75=0,"NA",IF($A75=INDIRECT("'"&amp;$A75&amp;"'!$B$1"),IF(VLOOKUP(R$1,INDIRECT("'"&amp;$A75&amp;"'!$A$12:$Z$41"),MATCH("Points (Auto-generate)",INDIRECT("'"&amp;$A75&amp;"'!$A$12:$Z$12"),0),0)="","?",VLOOKUP(R$1,INDIRECT("'"&amp;$A75&amp;"'!$A$12:$Z$41"),MATCH("Points (Auto-generate)",INDIRECT("'"&amp;$A75&amp;"'!$A$12:$Z$12"),0),0)),"ER"))</f>
        <v>?</v>
      </c>
      <c r="S75" s="83" t="str">
        <f aca="true">IF($H75=0,"NA",IF($A75=INDIRECT("'"&amp;$A75&amp;"'!$B$1"),IF(VLOOKUP(S$1,INDIRECT("'"&amp;$A75&amp;"'!$A$12:$Z$41"),MATCH("Points (Auto-generate)",INDIRECT("'"&amp;$A75&amp;"'!$A$12:$Z$12"),0),0)="","?",VLOOKUP(S$1,INDIRECT("'"&amp;$A75&amp;"'!$A$12:$Z$41"),MATCH("Points (Auto-generate)",INDIRECT("'"&amp;$A75&amp;"'!$A$12:$Z$12"),0),0)),"ER"))</f>
        <v>?</v>
      </c>
      <c r="T75" s="83" t="str">
        <f aca="true">IF($H75=0,"NA",IF($A75=INDIRECT("'"&amp;$A75&amp;"'!$B$1"),IF(VLOOKUP(T$1,INDIRECT("'"&amp;$A75&amp;"'!$A$12:$Z$41"),MATCH("Points (Auto-generate)",INDIRECT("'"&amp;$A75&amp;"'!$A$12:$Z$12"),0),0)="","?",VLOOKUP(T$1,INDIRECT("'"&amp;$A75&amp;"'!$A$12:$Z$41"),MATCH("Points (Auto-generate)",INDIRECT("'"&amp;$A75&amp;"'!$A$12:$Z$12"),0),0)),"ER"))</f>
        <v>?</v>
      </c>
      <c r="U75" s="83" t="str">
        <f aca="true">IF($H75=0,"NA",IF($A75=INDIRECT("'"&amp;$A75&amp;"'!$B$1"),IF(VLOOKUP(U$1,INDIRECT("'"&amp;$A75&amp;"'!$A$12:$Z$41"),MATCH("Points (Auto-generate)",INDIRECT("'"&amp;$A75&amp;"'!$A$12:$Z$12"),0),0)="","?",VLOOKUP(U$1,INDIRECT("'"&amp;$A75&amp;"'!$A$12:$Z$41"),MATCH("Points (Auto-generate)",INDIRECT("'"&amp;$A75&amp;"'!$A$12:$Z$12"),0),0)),"ER"))</f>
        <v>?</v>
      </c>
      <c r="V75" s="83" t="str">
        <f aca="true">IF($H75=0,"NA",IF($A75=INDIRECT("'"&amp;$A75&amp;"'!$B$1"),IF(VLOOKUP(V$1,INDIRECT("'"&amp;$A75&amp;"'!$A$12:$Z$41"),MATCH("Points (Auto-generate)",INDIRECT("'"&amp;$A75&amp;"'!$A$12:$Z$12"),0),0)="","?",VLOOKUP(V$1,INDIRECT("'"&amp;$A75&amp;"'!$A$12:$Z$41"),MATCH("Points (Auto-generate)",INDIRECT("'"&amp;$A75&amp;"'!$A$12:$Z$12"),0),0)),"ER"))</f>
        <v>?</v>
      </c>
      <c r="W75" s="83" t="str">
        <f aca="true">IF($H75=0,"NA",IF($A75=INDIRECT("'"&amp;$A75&amp;"'!$B$1"),IF(VLOOKUP(W$1,INDIRECT("'"&amp;$A75&amp;"'!$A$12:$Z$41"),MATCH("Points (Auto-generate)",INDIRECT("'"&amp;$A75&amp;"'!$A$12:$Z$12"),0),0)="","?",VLOOKUP(W$1,INDIRECT("'"&amp;$A75&amp;"'!$A$12:$Z$41"),MATCH("Points (Auto-generate)",INDIRECT("'"&amp;$A75&amp;"'!$A$12:$Z$12"),0),0)),"ER"))</f>
        <v>?</v>
      </c>
      <c r="X75" s="83" t="str">
        <f aca="true">IF($H75=0,"NA",IF($A75=INDIRECT("'"&amp;$A75&amp;"'!$B$1"),IF(VLOOKUP(X$1,INDIRECT("'"&amp;$A75&amp;"'!$A$12:$Z$41"),MATCH("Points (Auto-generate)",INDIRECT("'"&amp;$A75&amp;"'!$A$12:$Z$12"),0),0)="","?",VLOOKUP(X$1,INDIRECT("'"&amp;$A75&amp;"'!$A$12:$Z$41"),MATCH("Points (Auto-generate)",INDIRECT("'"&amp;$A75&amp;"'!$A$12:$Z$12"),0),0)),"ER"))</f>
        <v>?</v>
      </c>
      <c r="Y75" s="83" t="str">
        <f aca="true">IF($H75=0,"NA",IF($A75=INDIRECT("'"&amp;$A75&amp;"'!$B$1"),IF(VLOOKUP(Y$1,INDIRECT("'"&amp;$A75&amp;"'!$A$12:$Z$41"),MATCH("Points (Auto-generate)",INDIRECT("'"&amp;$A75&amp;"'!$A$12:$Z$12"),0),0)="","?",VLOOKUP(Y$1,INDIRECT("'"&amp;$A75&amp;"'!$A$12:$Z$41"),MATCH("Points (Auto-generate)",INDIRECT("'"&amp;$A75&amp;"'!$A$12:$Z$12"),0),0)),"ER"))</f>
        <v>?</v>
      </c>
      <c r="Z75" s="83" t="str">
        <f aca="true">IF($H75=0,"NA",IF($A75=INDIRECT("'"&amp;$A75&amp;"'!$B$1"),IF(VLOOKUP(Z$1,INDIRECT("'"&amp;$A75&amp;"'!$A$12:$Z$41"),MATCH("Points (Auto-generate)",INDIRECT("'"&amp;$A75&amp;"'!$A$12:$Z$12"),0),0)="","?",VLOOKUP(Z$1,INDIRECT("'"&amp;$A75&amp;"'!$A$12:$Z$41"),MATCH("Points (Auto-generate)",INDIRECT("'"&amp;$A75&amp;"'!$A$12:$Z$12"),0),0)),"ER"))</f>
        <v>?</v>
      </c>
      <c r="AA75" s="83" t="str">
        <f aca="true">IF($H75=0,"NA",IF($A75=INDIRECT("'"&amp;$A75&amp;"'!$B$1"),IF(VLOOKUP(AA$1,INDIRECT("'"&amp;$A75&amp;"'!$A$12:$Z$41"),MATCH("Points (Auto-generate)",INDIRECT("'"&amp;$A75&amp;"'!$A$12:$Z$12"),0),0)="","?",VLOOKUP(AA$1,INDIRECT("'"&amp;$A75&amp;"'!$A$12:$Z$41"),MATCH("Points (Auto-generate)",INDIRECT("'"&amp;$A75&amp;"'!$A$12:$Z$12"),0),0)),"ER"))</f>
        <v>?</v>
      </c>
      <c r="AB75" s="83" t="str">
        <f aca="true">IF($H75=0,"NA",IF($A75=INDIRECT("'"&amp;$A75&amp;"'!$B$1"),IF(VLOOKUP(AB$1,INDIRECT("'"&amp;$A75&amp;"'!$A$12:$Z$41"),MATCH("Points (Auto-generate)",INDIRECT("'"&amp;$A75&amp;"'!$A$12:$Z$12"),0),0)="","?",VLOOKUP(AB$1,INDIRECT("'"&amp;$A75&amp;"'!$A$12:$Z$41"),MATCH("Points (Auto-generate)",INDIRECT("'"&amp;$A75&amp;"'!$A$12:$Z$12"),0),0)),"ER"))</f>
        <v>?</v>
      </c>
      <c r="AC75" s="83" t="n">
        <f aca="true">IF($H75=0,"NA",IF($A75=INDIRECT("'"&amp;$A75&amp;"'!$B$1"),IF(VLOOKUP(AC$1,INDIRECT("'"&amp;$A75&amp;"'!$A$12:$Z$41"),MATCH("Points (Auto-generate)",INDIRECT("'"&amp;$A75&amp;"'!$A$12:$Z$12"),0),0)="","?",VLOOKUP(AC$1,INDIRECT("'"&amp;$A75&amp;"'!$A$12:$Z$41"),MATCH("Points (Auto-generate)",INDIRECT("'"&amp;$A75&amp;"'!$A$12:$Z$12"),0),0)),"ER"))</f>
        <v>0</v>
      </c>
      <c r="AD75" s="83" t="str">
        <f aca="true">IF($H75=0,"NA",IF($A75=INDIRECT("'"&amp;$A75&amp;"'!$B$1"),IF(VLOOKUP(AD$1,INDIRECT("'"&amp;$A75&amp;"'!$A$12:$Z$41"),MATCH("Points (Auto-generate)",INDIRECT("'"&amp;$A75&amp;"'!$A$12:$Z$12"),0),0)="","?",VLOOKUP(AD$1,INDIRECT("'"&amp;$A75&amp;"'!$A$12:$Z$41"),MATCH("Points (Auto-generate)",INDIRECT("'"&amp;$A75&amp;"'!$A$12:$Z$12"),0),0)),"ER"))</f>
        <v>?</v>
      </c>
      <c r="AE75" s="83" t="str">
        <f aca="true">IF($H75=0,"NA",IF($A75=INDIRECT("'"&amp;$A75&amp;"'!$B$1"),IF(VLOOKUP(AE$1,INDIRECT("'"&amp;$A75&amp;"'!$A$12:$Z$41"),MATCH("Points (Auto-generate)",INDIRECT("'"&amp;$A75&amp;"'!$A$12:$Z$12"),0),0)="","?",VLOOKUP(AE$1,INDIRECT("'"&amp;$A75&amp;"'!$A$12:$Z$41"),MATCH("Points (Auto-generate)",INDIRECT("'"&amp;$A75&amp;"'!$A$12:$Z$12"),0),0)),"ER"))</f>
        <v>?</v>
      </c>
      <c r="AF75" s="83" t="str">
        <f aca="true">IF($H75=0,"NA",IF($A75=INDIRECT("'"&amp;$A75&amp;"'!$B$1"),IF(VLOOKUP(AF$1,INDIRECT("'"&amp;$A75&amp;"'!$A$12:$Z$41"),MATCH("Points (Auto-generate)",INDIRECT("'"&amp;$A75&amp;"'!$A$12:$Z$12"),0),0)="","?",VLOOKUP(AF$1,INDIRECT("'"&amp;$A75&amp;"'!$A$12:$Z$41"),MATCH("Points (Auto-generate)",INDIRECT("'"&amp;$A75&amp;"'!$A$12:$Z$12"),0),0)),"ER"))</f>
        <v>?</v>
      </c>
      <c r="AG75" s="83" t="str">
        <f aca="true">IF($H75=0,"NA",IF($A75=INDIRECT("'"&amp;$A75&amp;"'!$B$1"),IF(VLOOKUP(AG$1,INDIRECT("'"&amp;$A75&amp;"'!$A$12:$Z$41"),MATCH("Points (Auto-generate)",INDIRECT("'"&amp;$A75&amp;"'!$A$12:$Z$12"),0),0)="","?",VLOOKUP(AG$1,INDIRECT("'"&amp;$A75&amp;"'!$A$12:$Z$41"),MATCH("Points (Auto-generate)",INDIRECT("'"&amp;$A75&amp;"'!$A$12:$Z$12"),0),0)),"ER"))</f>
        <v>?</v>
      </c>
      <c r="AH75" s="83" t="str">
        <f aca="true">IF($H75=0,"NA",IF($A75=INDIRECT("'"&amp;$A75&amp;"'!$B$1"),IF(VLOOKUP(AH$1,INDIRECT("'"&amp;$A75&amp;"'!$A$12:$Z$41"),MATCH("Points (Auto-generate)",INDIRECT("'"&amp;$A75&amp;"'!$A$12:$Z$12"),0),0)="","?",VLOOKUP(AH$1,INDIRECT("'"&amp;$A75&amp;"'!$A$12:$Z$41"),MATCH("Points (Auto-generate)",INDIRECT("'"&amp;$A75&amp;"'!$A$12:$Z$12"),0),0)),"ER"))</f>
        <v>?</v>
      </c>
      <c r="AI75" s="83" t="str">
        <f aca="true">IF($H75=0,"NA",IF($A75=INDIRECT("'"&amp;$A75&amp;"'!$B$1"),IF(VLOOKUP(AI$1,INDIRECT("'"&amp;$A75&amp;"'!$A$12:$Z$41"),MATCH("Points (Auto-generate)",INDIRECT("'"&amp;$A75&amp;"'!$A$12:$Z$12"),0),0)="","?",VLOOKUP(AI$1,INDIRECT("'"&amp;$A75&amp;"'!$A$12:$Z$41"),MATCH("Points (Auto-generate)",INDIRECT("'"&amp;$A75&amp;"'!$A$12:$Z$12"),0),0)),"ER"))</f>
        <v>?</v>
      </c>
      <c r="AJ75" s="83" t="str">
        <f aca="true">IF($H75=0,"NA",IF($A75=INDIRECT("'"&amp;$A75&amp;"'!$B$1"),IF(VLOOKUP(AJ$1,INDIRECT("'"&amp;$A75&amp;"'!$A$12:$Z$41"),MATCH("Points (Auto-generate)",INDIRECT("'"&amp;$A75&amp;"'!$A$12:$Z$12"),0),0)="","?",VLOOKUP(AJ$1,INDIRECT("'"&amp;$A75&amp;"'!$A$12:$Z$41"),MATCH("Points (Auto-generate)",INDIRECT("'"&amp;$A75&amp;"'!$A$12:$Z$12"),0),0)),"ER"))</f>
        <v>?</v>
      </c>
      <c r="AK75" s="83" t="str">
        <f aca="true">IF($H75=0,"NA",IF($A75=INDIRECT("'"&amp;$A75&amp;"'!$B$1"),IF(VLOOKUP(AK$1,INDIRECT("'"&amp;$A75&amp;"'!$A$12:$Z$41"),MATCH("Points (Auto-generate)",INDIRECT("'"&amp;$A75&amp;"'!$A$12:$Z$12"),0),0)="","?",VLOOKUP(AK$1,INDIRECT("'"&amp;$A75&amp;"'!$A$12:$Z$41"),MATCH("Points (Auto-generate)",INDIRECT("'"&amp;$A75&amp;"'!$A$12:$Z$12"),0),0)),"ER"))</f>
        <v>?</v>
      </c>
    </row>
    <row r="76" customFormat="false" ht="14.25" hidden="false" customHeight="false" outlineLevel="0" collapsed="false">
      <c r="A76" s="79" t="s">
        <v>573</v>
      </c>
      <c r="B76" s="80" t="str">
        <f aca="false">IF(ISBLANK($A76),"NO_CODE",VLOOKUP($A76,'UPD Questions_290926 '!$E$1:$N$300,MATCH(B$1,'UPD Questions_290926 '!$E$1:$N$1,0),0)&amp;"")</f>
        <v>Implementation</v>
      </c>
      <c r="C76" s="80" t="str">
        <f aca="false">IF(ISBLANK($A76),"NO_CODE",VLOOKUP($A76,'UPD Questions_290926 '!$E$1:$N$300,MATCH(C$1,'UPD Questions_290926 '!$E$1:$N$1,0),0)&amp;"")</f>
        <v>Specialised institutional capacity</v>
      </c>
      <c r="D76" s="80" t="str">
        <f aca="false">IF(ISBLANK($A76),"NO_CODE",VLOOKUP($A76,'UPD Questions_290926 '!$E$1:$N$300,MATCH(D$1,'UPD Questions_290926 '!$E$1:$N$1,0),0)&amp;"")</f>
        <v>Specialised institutional capacity</v>
      </c>
      <c r="E76" s="80" t="str">
        <f aca="false">IF(ISBLANK($A76),"NO_CODE",VLOOKUP($A76,'UPD Questions_290926 '!$E$1:$N$300,MATCH(E$1,'UPD Questions_290926 '!$E$1:$N$1,0),0)&amp;"")</f>
        <v>MQ</v>
      </c>
      <c r="F76" s="80" t="str">
        <f aca="false">IF(ISBLANK($A76),"NO_CODE",VLOOKUP($A76,'UPD Questions_290926 '!$E$1:$N$300,MATCH(F$1,'UPD Questions_290926 '!$E$1:$N$1,0),0)&amp;"")</f>
        <v>Does the city have adequate and representative professional town-planning capacity?</v>
      </c>
      <c r="G76" s="80" t="str">
        <f aca="false">IF(ISBLANK($A76),"NO_CODE",VLOOKUP($A76,'UPD Questions_290926 '!$E$1:$N$300,MATCH(G$1,'UPD Questions_290926 '!$E$1:$N$1,0),0)&amp;"")</f>
        <v>Implementation</v>
      </c>
      <c r="H76" s="82" t="n">
        <f aca="false">IF(ISBLANK($A76),"NO_CODE",VLOOKUP($A76,'UPD Questions_290926 '!$E$1:$N$300,MATCH(H$1,'UPD Questions_290926 '!$E$1:$N$1,0),0))</f>
        <v>10</v>
      </c>
      <c r="I76" s="83" t="str">
        <f aca="false">IF(OR(I77="ER",I78="ER"),"ER",IF(OR(I77="?",I78="?"),"?",IF(AND(I77="NA",I78="NA"),"NA",SUM(I77,I78)/((I77&lt;&gt;"NA")*$H$77+(I78&lt;&gt;"NA")*$H$78)*$H76)))</f>
        <v>?</v>
      </c>
      <c r="J76" s="83" t="str">
        <f aca="false">IF(OR(J77="ER",J78="ER"),"ER",IF(OR(J77="?",J78="?"),"?",IF(AND(J77="NA",J78="NA"),"NA",SUM(J77,J78)/((J77&lt;&gt;"NA")*$H$77+(J78&lt;&gt;"NA")*$H$78)*$H76)))</f>
        <v>?</v>
      </c>
      <c r="K76" s="83" t="str">
        <f aca="false">IF(OR(K77="ER",K78="ER"),"ER",IF(OR(K77="?",K78="?"),"?",IF(AND(K77="NA",K78="NA"),"NA",SUM(K77,K78)/((K77&lt;&gt;"NA")*$H$77+(K78&lt;&gt;"NA")*$H$78)*$H76)))</f>
        <v>?</v>
      </c>
      <c r="L76" s="83" t="str">
        <f aca="false">IF(OR(L77="ER",L78="ER"),"ER",IF(OR(L77="?",L78="?"),"?",IF(AND(L77="NA",L78="NA"),"NA",SUM(L77,L78)/((L77&lt;&gt;"NA")*$H$77+(L78&lt;&gt;"NA")*$H$78)*$H76)))</f>
        <v>?</v>
      </c>
      <c r="M76" s="83" t="str">
        <f aca="false">IF(OR(M77="ER",M78="ER"),"ER",IF(OR(M77="?",M78="?"),"?",IF(AND(M77="NA",M78="NA"),"NA",SUM(M77,M78)/((M77&lt;&gt;"NA")*$H$77+(M78&lt;&gt;"NA")*$H$78)*$H76)))</f>
        <v>?</v>
      </c>
      <c r="N76" s="83" t="str">
        <f aca="false">IF(OR(N77="ER",N78="ER"),"ER",IF(OR(N77="?",N78="?"),"?",IF(AND(N77="NA",N78="NA"),"NA",SUM(N77,N78)/((N77&lt;&gt;"NA")*$H$77+(N78&lt;&gt;"NA")*$H$78)*$H76)))</f>
        <v>?</v>
      </c>
      <c r="O76" s="83" t="str">
        <f aca="false">IF(OR(O77="ER",O78="ER"),"ER",IF(OR(O77="?",O78="?"),"?",IF(AND(O77="NA",O78="NA"),"NA",SUM(O77,O78)/((O77&lt;&gt;"NA")*$H$77+(O78&lt;&gt;"NA")*$H$78)*$H76)))</f>
        <v>?</v>
      </c>
      <c r="P76" s="83" t="str">
        <f aca="false">IF(OR(P77="ER",P78="ER"),"ER",IF(OR(P77="?",P78="?"),"?",IF(AND(P77="NA",P78="NA"),"NA",SUM(P77,P78)/((P77&lt;&gt;"NA")*$H$77+(P78&lt;&gt;"NA")*$H$78)*$H76)))</f>
        <v>?</v>
      </c>
      <c r="Q76" s="83" t="str">
        <f aca="false">IF(OR(Q77="ER",Q78="ER"),"ER",IF(OR(Q77="?",Q78="?"),"?",IF(AND(Q77="NA",Q78="NA"),"NA",SUM(Q77,Q78)/((Q77&lt;&gt;"NA")*$H$77+(Q78&lt;&gt;"NA")*$H$78)*$H76)))</f>
        <v>?</v>
      </c>
      <c r="R76" s="83" t="str">
        <f aca="false">IF(OR(R77="ER",R78="ER"),"ER",IF(OR(R77="?",R78="?"),"?",IF(AND(R77="NA",R78="NA"),"NA",SUM(R77,R78)/((R77&lt;&gt;"NA")*$H$77+(R78&lt;&gt;"NA")*$H$78)*$H76)))</f>
        <v>?</v>
      </c>
      <c r="S76" s="83" t="str">
        <f aca="false">IF(OR(S77="ER",S78="ER"),"ER",IF(OR(S77="?",S78="?"),"?",IF(AND(S77="NA",S78="NA"),"NA",SUM(S77,S78)/((S77&lt;&gt;"NA")*$H$77+(S78&lt;&gt;"NA")*$H$78)*$H76)))</f>
        <v>?</v>
      </c>
      <c r="T76" s="83" t="str">
        <f aca="false">IF(OR(T77="ER",T78="ER"),"ER",IF(OR(T77="?",T78="?"),"?",IF(AND(T77="NA",T78="NA"),"NA",SUM(T77,T78)/((T77&lt;&gt;"NA")*$H$77+(T78&lt;&gt;"NA")*$H$78)*$H76)))</f>
        <v>?</v>
      </c>
      <c r="U76" s="83" t="str">
        <f aca="false">IF(OR(U77="ER",U78="ER"),"ER",IF(OR(U77="?",U78="?"),"?",IF(AND(U77="NA",U78="NA"),"NA",SUM(U77,U78)/((U77&lt;&gt;"NA")*$H$77+(U78&lt;&gt;"NA")*$H$78)*$H76)))</f>
        <v>?</v>
      </c>
      <c r="V76" s="83" t="str">
        <f aca="false">IF(OR(V77="ER",V78="ER"),"ER",IF(OR(V77="?",V78="?"),"?",IF(AND(V77="NA",V78="NA"),"NA",SUM(V77,V78)/((V77&lt;&gt;"NA")*$H$77+(V78&lt;&gt;"NA")*$H$78)*$H76)))</f>
        <v>?</v>
      </c>
      <c r="W76" s="83" t="str">
        <f aca="false">IF(OR(W77="ER",W78="ER"),"ER",IF(OR(W77="?",W78="?"),"?",IF(AND(W77="NA",W78="NA"),"NA",SUM(W77,W78)/((W77&lt;&gt;"NA")*$H$77+(W78&lt;&gt;"NA")*$H$78)*$H76)))</f>
        <v>?</v>
      </c>
      <c r="X76" s="83" t="str">
        <f aca="false">IF(OR(X77="ER",X78="ER"),"ER",IF(OR(X77="?",X78="?"),"?",IF(AND(X77="NA",X78="NA"),"NA",SUM(X77,X78)/((X77&lt;&gt;"NA")*$H$77+(X78&lt;&gt;"NA")*$H$78)*$H76)))</f>
        <v>?</v>
      </c>
      <c r="Y76" s="83" t="str">
        <f aca="false">IF(OR(Y77="ER",Y78="ER"),"ER",IF(OR(Y77="?",Y78="?"),"?",IF(AND(Y77="NA",Y78="NA"),"NA",SUM(Y77,Y78)/((Y77&lt;&gt;"NA")*$H$77+(Y78&lt;&gt;"NA")*$H$78)*$H76)))</f>
        <v>?</v>
      </c>
      <c r="Z76" s="83" t="str">
        <f aca="false">IF(OR(Z77="ER",Z78="ER"),"ER",IF(OR(Z77="?",Z78="?"),"?",IF(AND(Z77="NA",Z78="NA"),"NA",SUM(Z77,Z78)/((Z77&lt;&gt;"NA")*$H$77+(Z78&lt;&gt;"NA")*$H$78)*$H76)))</f>
        <v>?</v>
      </c>
      <c r="AA76" s="83" t="str">
        <f aca="false">IF(OR(AA77="ER",AA78="ER"),"ER",IF(OR(AA77="?",AA78="?"),"?",IF(AND(AA77="NA",AA78="NA"),"NA",SUM(AA77,AA78)/((AA77&lt;&gt;"NA")*$H$77+(AA78&lt;&gt;"NA")*$H$78)*$H76)))</f>
        <v>?</v>
      </c>
      <c r="AB76" s="83" t="str">
        <f aca="false">IF(OR(AB77="ER",AB78="ER"),"ER",IF(OR(AB77="?",AB78="?"),"?",IF(AND(AB77="NA",AB78="NA"),"NA",SUM(AB77,AB78)/((AB77&lt;&gt;"NA")*$H$77+(AB78&lt;&gt;"NA")*$H$78)*$H76)))</f>
        <v>?</v>
      </c>
      <c r="AC76" s="83" t="str">
        <f aca="false">IF(OR(AC77="ER",AC78="ER"),"ER",IF(OR(AC77="?",AC78="?"),"?",IF(AND(AC77="NA",AC78="NA"),"NA",SUM(AC77,AC78)/((AC77&lt;&gt;"NA")*$H$77+(AC78&lt;&gt;"NA")*$H$78)*$H76)))</f>
        <v>?</v>
      </c>
      <c r="AD76" s="83" t="str">
        <f aca="false">IF(OR(AD77="ER",AD78="ER"),"ER",IF(OR(AD77="?",AD78="?"),"?",IF(AND(AD77="NA",AD78="NA"),"NA",SUM(AD77,AD78)/((AD77&lt;&gt;"NA")*$H$77+(AD78&lt;&gt;"NA")*$H$78)*$H76)))</f>
        <v>?</v>
      </c>
      <c r="AE76" s="83" t="str">
        <f aca="false">IF(OR(AE77="ER",AE78="ER"),"ER",IF(OR(AE77="?",AE78="?"),"?",IF(AND(AE77="NA",AE78="NA"),"NA",SUM(AE77,AE78)/((AE77&lt;&gt;"NA")*$H$77+(AE78&lt;&gt;"NA")*$H$78)*$H76)))</f>
        <v>?</v>
      </c>
      <c r="AF76" s="83" t="str">
        <f aca="false">IF(OR(AF77="ER",AF78="ER"),"ER",IF(OR(AF77="?",AF78="?"),"?",IF(AND(AF77="NA",AF78="NA"),"NA",SUM(AF77,AF78)/((AF77&lt;&gt;"NA")*$H$77+(AF78&lt;&gt;"NA")*$H$78)*$H76)))</f>
        <v>?</v>
      </c>
      <c r="AG76" s="83" t="str">
        <f aca="false">IF(OR(AG77="ER",AG78="ER"),"ER",IF(OR(AG77="?",AG78="?"),"?",IF(AND(AG77="NA",AG78="NA"),"NA",SUM(AG77,AG78)/((AG77&lt;&gt;"NA")*$H$77+(AG78&lt;&gt;"NA")*$H$78)*$H76)))</f>
        <v>?</v>
      </c>
      <c r="AH76" s="83" t="str">
        <f aca="false">IF(OR(AH77="ER",AH78="ER"),"ER",IF(OR(AH77="?",AH78="?"),"?",IF(AND(AH77="NA",AH78="NA"),"NA",SUM(AH77,AH78)/((AH77&lt;&gt;"NA")*$H$77+(AH78&lt;&gt;"NA")*$H$78)*$H76)))</f>
        <v>?</v>
      </c>
      <c r="AI76" s="83" t="str">
        <f aca="false">IF(OR(AI77="ER",AI78="ER"),"ER",IF(OR(AI77="?",AI78="?"),"?",IF(AND(AI77="NA",AI78="NA"),"NA",SUM(AI77,AI78)/((AI77&lt;&gt;"NA")*$H$77+(AI78&lt;&gt;"NA")*$H$78)*$H76)))</f>
        <v>?</v>
      </c>
      <c r="AJ76" s="83" t="str">
        <f aca="false">IF(OR(AJ77="ER",AJ78="ER"),"ER",IF(OR(AJ77="?",AJ78="?"),"?",IF(AND(AJ77="NA",AJ78="NA"),"NA",SUM(AJ77,AJ78)/((AJ77&lt;&gt;"NA")*$H$77+(AJ78&lt;&gt;"NA")*$H$78)*$H76)))</f>
        <v>?</v>
      </c>
      <c r="AK76" s="83" t="str">
        <f aca="false">IF(OR(AK77="ER",AK78="ER"),"ER",IF(OR(AK77="?",AK78="?"),"?",IF(AND(AK77="NA",AK78="NA"),"NA",SUM(AK77,AK78)/((AK77&lt;&gt;"NA")*$H$77+(AK78&lt;&gt;"NA")*$H$78)*$H76)))</f>
        <v>?</v>
      </c>
    </row>
    <row r="77" customFormat="false" ht="14.25" hidden="false" customHeight="false" outlineLevel="0" collapsed="false">
      <c r="A77" s="79" t="s">
        <v>273</v>
      </c>
      <c r="B77" s="80" t="str">
        <f aca="false">IF(ISBLANK($A77),"NO_CODE",VLOOKUP($A77,'UPD Questions_290926 '!$E$1:$N$300,MATCH(B$1,'UPD Questions_290926 '!$E$1:$N$1,0),0)&amp;"")</f>
        <v>Implementation</v>
      </c>
      <c r="C77" s="80" t="str">
        <f aca="false">IF(ISBLANK($A77),"NO_CODE",VLOOKUP($A77,'UPD Questions_290926 '!$E$1:$N$300,MATCH(C$1,'UPD Questions_290926 '!$E$1:$N$1,0),0)&amp;"")</f>
        <v>Specialised institutional capacity</v>
      </c>
      <c r="D77" s="80" t="str">
        <f aca="false">IF(ISBLANK($A77),"NO_CODE",VLOOKUP($A77,'UPD Questions_290926 '!$E$1:$N$300,MATCH(D$1,'UPD Questions_290926 '!$E$1:$N$1,0),0)&amp;"")</f>
        <v>Specialised institutional capacity</v>
      </c>
      <c r="E77" s="80" t="str">
        <f aca="false">IF(ISBLANK($A77),"NO_CODE",VLOOKUP($A77,'UPD Questions_290926 '!$E$1:$N$300,MATCH(E$1,'UPD Questions_290926 '!$E$1:$N$1,0),0)&amp;"")</f>
        <v>SQ</v>
      </c>
      <c r="F77" s="80" t="str">
        <f aca="false">IF(ISBLANK($A77),"NO_CODE",VLOOKUP($A77,'UPD Questions_290926 '!$E$1:$N$300,MATCH(F$1,'UPD Questions_290926 '!$E$1:$N$1,0),0)&amp;"")</f>
        <v>Does the city have adequate professional town-planning capacity?</v>
      </c>
      <c r="G77" s="80" t="str">
        <f aca="false">IF(ISBLANK($A77),"NO_CODE",VLOOKUP($A77,'UPD Questions_290926 '!$E$1:$N$300,MATCH(G$1,'UPD Questions_290926 '!$E$1:$N$1,0),0)&amp;"")</f>
        <v>Implementation</v>
      </c>
      <c r="H77" s="82" t="n">
        <f aca="false">IF(ISBLANK($A77),"NO_CODE",VLOOKUP($A77,'UPD Questions_290926 '!$E$1:$N$300,MATCH(H$1,'UPD Questions_290926 '!$E$1:$N$1,0),0))</f>
        <v>5</v>
      </c>
      <c r="I77" s="83" t="str">
        <f aca="true">IF($H77=0,"NA",IF($A77=INDIRECT("'"&amp;$A77&amp;"'!$B$1"),IF(VLOOKUP(I$1,INDIRECT("'"&amp;$A77&amp;"'!$A$12:$Z$41"),MATCH("Points (Auto-generate)",INDIRECT("'"&amp;$A77&amp;"'!$A$12:$Z$12"),0),0)="","?",VLOOKUP(I$1,INDIRECT("'"&amp;$A77&amp;"'!$A$12:$Z$41"),MATCH("Points (Auto-generate)",INDIRECT("'"&amp;$A77&amp;"'!$A$12:$Z$12"),0),0)),"ER"))</f>
        <v>?</v>
      </c>
      <c r="J77" s="83" t="str">
        <f aca="true">IF($H77=0,"NA",IF($A77=INDIRECT("'"&amp;$A77&amp;"'!$B$1"),IF(VLOOKUP(J$1,INDIRECT("'"&amp;$A77&amp;"'!$A$12:$Z$41"),MATCH("Points (Auto-generate)",INDIRECT("'"&amp;$A77&amp;"'!$A$12:$Z$12"),0),0)="","?",VLOOKUP(J$1,INDIRECT("'"&amp;$A77&amp;"'!$A$12:$Z$41"),MATCH("Points (Auto-generate)",INDIRECT("'"&amp;$A77&amp;"'!$A$12:$Z$12"),0),0)),"ER"))</f>
        <v>?</v>
      </c>
      <c r="K77" s="83" t="str">
        <f aca="true">IF($H77=0,"NA",IF($A77=INDIRECT("'"&amp;$A77&amp;"'!$B$1"),IF(VLOOKUP(K$1,INDIRECT("'"&amp;$A77&amp;"'!$A$12:$Z$41"),MATCH("Points (Auto-generate)",INDIRECT("'"&amp;$A77&amp;"'!$A$12:$Z$12"),0),0)="","?",VLOOKUP(K$1,INDIRECT("'"&amp;$A77&amp;"'!$A$12:$Z$41"),MATCH("Points (Auto-generate)",INDIRECT("'"&amp;$A77&amp;"'!$A$12:$Z$12"),0),0)),"ER"))</f>
        <v>?</v>
      </c>
      <c r="L77" s="83" t="str">
        <f aca="true">IF($H77=0,"NA",IF($A77=INDIRECT("'"&amp;$A77&amp;"'!$B$1"),IF(VLOOKUP(L$1,INDIRECT("'"&amp;$A77&amp;"'!$A$12:$Z$41"),MATCH("Points (Auto-generate)",INDIRECT("'"&amp;$A77&amp;"'!$A$12:$Z$12"),0),0)="","?",VLOOKUP(L$1,INDIRECT("'"&amp;$A77&amp;"'!$A$12:$Z$41"),MATCH("Points (Auto-generate)",INDIRECT("'"&amp;$A77&amp;"'!$A$12:$Z$12"),0),0)),"ER"))</f>
        <v>?</v>
      </c>
      <c r="M77" s="83" t="str">
        <f aca="true">IF($H77=0,"NA",IF($A77=INDIRECT("'"&amp;$A77&amp;"'!$B$1"),IF(VLOOKUP(M$1,INDIRECT("'"&amp;$A77&amp;"'!$A$12:$Z$41"),MATCH("Points (Auto-generate)",INDIRECT("'"&amp;$A77&amp;"'!$A$12:$Z$12"),0),0)="","?",VLOOKUP(M$1,INDIRECT("'"&amp;$A77&amp;"'!$A$12:$Z$41"),MATCH("Points (Auto-generate)",INDIRECT("'"&amp;$A77&amp;"'!$A$12:$Z$12"),0),0)),"ER"))</f>
        <v>?</v>
      </c>
      <c r="N77" s="83" t="str">
        <f aca="true">IF($H77=0,"NA",IF($A77=INDIRECT("'"&amp;$A77&amp;"'!$B$1"),IF(VLOOKUP(N$1,INDIRECT("'"&amp;$A77&amp;"'!$A$12:$Z$41"),MATCH("Points (Auto-generate)",INDIRECT("'"&amp;$A77&amp;"'!$A$12:$Z$12"),0),0)="","?",VLOOKUP(N$1,INDIRECT("'"&amp;$A77&amp;"'!$A$12:$Z$41"),MATCH("Points (Auto-generate)",INDIRECT("'"&amp;$A77&amp;"'!$A$12:$Z$12"),0),0)),"ER"))</f>
        <v>?</v>
      </c>
      <c r="O77" s="83" t="str">
        <f aca="true">IF($H77=0,"NA",IF($A77=INDIRECT("'"&amp;$A77&amp;"'!$B$1"),IF(VLOOKUP(O$1,INDIRECT("'"&amp;$A77&amp;"'!$A$12:$Z$41"),MATCH("Points (Auto-generate)",INDIRECT("'"&amp;$A77&amp;"'!$A$12:$Z$12"),0),0)="","?",VLOOKUP(O$1,INDIRECT("'"&amp;$A77&amp;"'!$A$12:$Z$41"),MATCH("Points (Auto-generate)",INDIRECT("'"&amp;$A77&amp;"'!$A$12:$Z$12"),0),0)),"ER"))</f>
        <v>?</v>
      </c>
      <c r="P77" s="83" t="str">
        <f aca="true">IF($H77=0,"NA",IF($A77=INDIRECT("'"&amp;$A77&amp;"'!$B$1"),IF(VLOOKUP(P$1,INDIRECT("'"&amp;$A77&amp;"'!$A$12:$Z$41"),MATCH("Points (Auto-generate)",INDIRECT("'"&amp;$A77&amp;"'!$A$12:$Z$12"),0),0)="","?",VLOOKUP(P$1,INDIRECT("'"&amp;$A77&amp;"'!$A$12:$Z$41"),MATCH("Points (Auto-generate)",INDIRECT("'"&amp;$A77&amp;"'!$A$12:$Z$12"),0),0)),"ER"))</f>
        <v>?</v>
      </c>
      <c r="Q77" s="83" t="str">
        <f aca="true">IF($H77=0,"NA",IF($A77=INDIRECT("'"&amp;$A77&amp;"'!$B$1"),IF(VLOOKUP(Q$1,INDIRECT("'"&amp;$A77&amp;"'!$A$12:$Z$41"),MATCH("Points (Auto-generate)",INDIRECT("'"&amp;$A77&amp;"'!$A$12:$Z$12"),0),0)="","?",VLOOKUP(Q$1,INDIRECT("'"&amp;$A77&amp;"'!$A$12:$Z$41"),MATCH("Points (Auto-generate)",INDIRECT("'"&amp;$A77&amp;"'!$A$12:$Z$12"),0),0)),"ER"))</f>
        <v>?</v>
      </c>
      <c r="R77" s="83" t="str">
        <f aca="true">IF($H77=0,"NA",IF($A77=INDIRECT("'"&amp;$A77&amp;"'!$B$1"),IF(VLOOKUP(R$1,INDIRECT("'"&amp;$A77&amp;"'!$A$12:$Z$41"),MATCH("Points (Auto-generate)",INDIRECT("'"&amp;$A77&amp;"'!$A$12:$Z$12"),0),0)="","?",VLOOKUP(R$1,INDIRECT("'"&amp;$A77&amp;"'!$A$12:$Z$41"),MATCH("Points (Auto-generate)",INDIRECT("'"&amp;$A77&amp;"'!$A$12:$Z$12"),0),0)),"ER"))</f>
        <v>?</v>
      </c>
      <c r="S77" s="83" t="str">
        <f aca="true">IF($H77=0,"NA",IF($A77=INDIRECT("'"&amp;$A77&amp;"'!$B$1"),IF(VLOOKUP(S$1,INDIRECT("'"&amp;$A77&amp;"'!$A$12:$Z$41"),MATCH("Points (Auto-generate)",INDIRECT("'"&amp;$A77&amp;"'!$A$12:$Z$12"),0),0)="","?",VLOOKUP(S$1,INDIRECT("'"&amp;$A77&amp;"'!$A$12:$Z$41"),MATCH("Points (Auto-generate)",INDIRECT("'"&amp;$A77&amp;"'!$A$12:$Z$12"),0),0)),"ER"))</f>
        <v>?</v>
      </c>
      <c r="T77" s="83" t="str">
        <f aca="true">IF($H77=0,"NA",IF($A77=INDIRECT("'"&amp;$A77&amp;"'!$B$1"),IF(VLOOKUP(T$1,INDIRECT("'"&amp;$A77&amp;"'!$A$12:$Z$41"),MATCH("Points (Auto-generate)",INDIRECT("'"&amp;$A77&amp;"'!$A$12:$Z$12"),0),0)="","?",VLOOKUP(T$1,INDIRECT("'"&amp;$A77&amp;"'!$A$12:$Z$41"),MATCH("Points (Auto-generate)",INDIRECT("'"&amp;$A77&amp;"'!$A$12:$Z$12"),0),0)),"ER"))</f>
        <v>?</v>
      </c>
      <c r="U77" s="83" t="str">
        <f aca="true">IF($H77=0,"NA",IF($A77=INDIRECT("'"&amp;$A77&amp;"'!$B$1"),IF(VLOOKUP(U$1,INDIRECT("'"&amp;$A77&amp;"'!$A$12:$Z$41"),MATCH("Points (Auto-generate)",INDIRECT("'"&amp;$A77&amp;"'!$A$12:$Z$12"),0),0)="","?",VLOOKUP(U$1,INDIRECT("'"&amp;$A77&amp;"'!$A$12:$Z$41"),MATCH("Points (Auto-generate)",INDIRECT("'"&amp;$A77&amp;"'!$A$12:$Z$12"),0),0)),"ER"))</f>
        <v>?</v>
      </c>
      <c r="V77" s="83" t="str">
        <f aca="true">IF($H77=0,"NA",IF($A77=INDIRECT("'"&amp;$A77&amp;"'!$B$1"),IF(VLOOKUP(V$1,INDIRECT("'"&amp;$A77&amp;"'!$A$12:$Z$41"),MATCH("Points (Auto-generate)",INDIRECT("'"&amp;$A77&amp;"'!$A$12:$Z$12"),0),0)="","?",VLOOKUP(V$1,INDIRECT("'"&amp;$A77&amp;"'!$A$12:$Z$41"),MATCH("Points (Auto-generate)",INDIRECT("'"&amp;$A77&amp;"'!$A$12:$Z$12"),0),0)),"ER"))</f>
        <v>?</v>
      </c>
      <c r="W77" s="83" t="str">
        <f aca="true">IF($H77=0,"NA",IF($A77=INDIRECT("'"&amp;$A77&amp;"'!$B$1"),IF(VLOOKUP(W$1,INDIRECT("'"&amp;$A77&amp;"'!$A$12:$Z$41"),MATCH("Points (Auto-generate)",INDIRECT("'"&amp;$A77&amp;"'!$A$12:$Z$12"),0),0)="","?",VLOOKUP(W$1,INDIRECT("'"&amp;$A77&amp;"'!$A$12:$Z$41"),MATCH("Points (Auto-generate)",INDIRECT("'"&amp;$A77&amp;"'!$A$12:$Z$12"),0),0)),"ER"))</f>
        <v>?</v>
      </c>
      <c r="X77" s="83" t="str">
        <f aca="true">IF($H77=0,"NA",IF($A77=INDIRECT("'"&amp;$A77&amp;"'!$B$1"),IF(VLOOKUP(X$1,INDIRECT("'"&amp;$A77&amp;"'!$A$12:$Z$41"),MATCH("Points (Auto-generate)",INDIRECT("'"&amp;$A77&amp;"'!$A$12:$Z$12"),0),0)="","?",VLOOKUP(X$1,INDIRECT("'"&amp;$A77&amp;"'!$A$12:$Z$41"),MATCH("Points (Auto-generate)",INDIRECT("'"&amp;$A77&amp;"'!$A$12:$Z$12"),0),0)),"ER"))</f>
        <v>?</v>
      </c>
      <c r="Y77" s="83" t="str">
        <f aca="true">IF($H77=0,"NA",IF($A77=INDIRECT("'"&amp;$A77&amp;"'!$B$1"),IF(VLOOKUP(Y$1,INDIRECT("'"&amp;$A77&amp;"'!$A$12:$Z$41"),MATCH("Points (Auto-generate)",INDIRECT("'"&amp;$A77&amp;"'!$A$12:$Z$12"),0),0)="","?",VLOOKUP(Y$1,INDIRECT("'"&amp;$A77&amp;"'!$A$12:$Z$41"),MATCH("Points (Auto-generate)",INDIRECT("'"&amp;$A77&amp;"'!$A$12:$Z$12"),0),0)),"ER"))</f>
        <v>?</v>
      </c>
      <c r="Z77" s="83" t="str">
        <f aca="true">IF($H77=0,"NA",IF($A77=INDIRECT("'"&amp;$A77&amp;"'!$B$1"),IF(VLOOKUP(Z$1,INDIRECT("'"&amp;$A77&amp;"'!$A$12:$Z$41"),MATCH("Points (Auto-generate)",INDIRECT("'"&amp;$A77&amp;"'!$A$12:$Z$12"),0),0)="","?",VLOOKUP(Z$1,INDIRECT("'"&amp;$A77&amp;"'!$A$12:$Z$41"),MATCH("Points (Auto-generate)",INDIRECT("'"&amp;$A77&amp;"'!$A$12:$Z$12"),0),0)),"ER"))</f>
        <v>?</v>
      </c>
      <c r="AA77" s="83" t="str">
        <f aca="true">IF($H77=0,"NA",IF($A77=INDIRECT("'"&amp;$A77&amp;"'!$B$1"),IF(VLOOKUP(AA$1,INDIRECT("'"&amp;$A77&amp;"'!$A$12:$Z$41"),MATCH("Points (Auto-generate)",INDIRECT("'"&amp;$A77&amp;"'!$A$12:$Z$12"),0),0)="","?",VLOOKUP(AA$1,INDIRECT("'"&amp;$A77&amp;"'!$A$12:$Z$41"),MATCH("Points (Auto-generate)",INDIRECT("'"&amp;$A77&amp;"'!$A$12:$Z$12"),0),0)),"ER"))</f>
        <v>?</v>
      </c>
      <c r="AB77" s="83" t="str">
        <f aca="true">IF($H77=0,"NA",IF($A77=INDIRECT("'"&amp;$A77&amp;"'!$B$1"),IF(VLOOKUP(AB$1,INDIRECT("'"&amp;$A77&amp;"'!$A$12:$Z$41"),MATCH("Points (Auto-generate)",INDIRECT("'"&amp;$A77&amp;"'!$A$12:$Z$12"),0),0)="","?",VLOOKUP(AB$1,INDIRECT("'"&amp;$A77&amp;"'!$A$12:$Z$41"),MATCH("Points (Auto-generate)",INDIRECT("'"&amp;$A77&amp;"'!$A$12:$Z$12"),0),0)),"ER"))</f>
        <v>?</v>
      </c>
      <c r="AC77" s="83" t="str">
        <f aca="true">IF($H77=0,"NA",IF($A77=INDIRECT("'"&amp;$A77&amp;"'!$B$1"),IF(VLOOKUP(AC$1,INDIRECT("'"&amp;$A77&amp;"'!$A$12:$Z$41"),MATCH("Points (Auto-generate)",INDIRECT("'"&amp;$A77&amp;"'!$A$12:$Z$12"),0),0)="","?",VLOOKUP(AC$1,INDIRECT("'"&amp;$A77&amp;"'!$A$12:$Z$41"),MATCH("Points (Auto-generate)",INDIRECT("'"&amp;$A77&amp;"'!$A$12:$Z$12"),0),0)),"ER"))</f>
        <v>?</v>
      </c>
      <c r="AD77" s="83" t="str">
        <f aca="true">IF($H77=0,"NA",IF($A77=INDIRECT("'"&amp;$A77&amp;"'!$B$1"),IF(VLOOKUP(AD$1,INDIRECT("'"&amp;$A77&amp;"'!$A$12:$Z$41"),MATCH("Points (Auto-generate)",INDIRECT("'"&amp;$A77&amp;"'!$A$12:$Z$12"),0),0)="","?",VLOOKUP(AD$1,INDIRECT("'"&amp;$A77&amp;"'!$A$12:$Z$41"),MATCH("Points (Auto-generate)",INDIRECT("'"&amp;$A77&amp;"'!$A$12:$Z$12"),0),0)),"ER"))</f>
        <v>?</v>
      </c>
      <c r="AE77" s="83" t="str">
        <f aca="true">IF($H77=0,"NA",IF($A77=INDIRECT("'"&amp;$A77&amp;"'!$B$1"),IF(VLOOKUP(AE$1,INDIRECT("'"&amp;$A77&amp;"'!$A$12:$Z$41"),MATCH("Points (Auto-generate)",INDIRECT("'"&amp;$A77&amp;"'!$A$12:$Z$12"),0),0)="","?",VLOOKUP(AE$1,INDIRECT("'"&amp;$A77&amp;"'!$A$12:$Z$41"),MATCH("Points (Auto-generate)",INDIRECT("'"&amp;$A77&amp;"'!$A$12:$Z$12"),0),0)),"ER"))</f>
        <v>?</v>
      </c>
      <c r="AF77" s="83" t="str">
        <f aca="true">IF($H77=0,"NA",IF($A77=INDIRECT("'"&amp;$A77&amp;"'!$B$1"),IF(VLOOKUP(AF$1,INDIRECT("'"&amp;$A77&amp;"'!$A$12:$Z$41"),MATCH("Points (Auto-generate)",INDIRECT("'"&amp;$A77&amp;"'!$A$12:$Z$12"),0),0)="","?",VLOOKUP(AF$1,INDIRECT("'"&amp;$A77&amp;"'!$A$12:$Z$41"),MATCH("Points (Auto-generate)",INDIRECT("'"&amp;$A77&amp;"'!$A$12:$Z$12"),0),0)),"ER"))</f>
        <v>?</v>
      </c>
      <c r="AG77" s="83" t="str">
        <f aca="true">IF($H77=0,"NA",IF($A77=INDIRECT("'"&amp;$A77&amp;"'!$B$1"),IF(VLOOKUP(AG$1,INDIRECT("'"&amp;$A77&amp;"'!$A$12:$Z$41"),MATCH("Points (Auto-generate)",INDIRECT("'"&amp;$A77&amp;"'!$A$12:$Z$12"),0),0)="","?",VLOOKUP(AG$1,INDIRECT("'"&amp;$A77&amp;"'!$A$12:$Z$41"),MATCH("Points (Auto-generate)",INDIRECT("'"&amp;$A77&amp;"'!$A$12:$Z$12"),0),0)),"ER"))</f>
        <v>?</v>
      </c>
      <c r="AH77" s="83" t="str">
        <f aca="true">IF($H77=0,"NA",IF($A77=INDIRECT("'"&amp;$A77&amp;"'!$B$1"),IF(VLOOKUP(AH$1,INDIRECT("'"&amp;$A77&amp;"'!$A$12:$Z$41"),MATCH("Points (Auto-generate)",INDIRECT("'"&amp;$A77&amp;"'!$A$12:$Z$12"),0),0)="","?",VLOOKUP(AH$1,INDIRECT("'"&amp;$A77&amp;"'!$A$12:$Z$41"),MATCH("Points (Auto-generate)",INDIRECT("'"&amp;$A77&amp;"'!$A$12:$Z$12"),0),0)),"ER"))</f>
        <v>?</v>
      </c>
      <c r="AI77" s="83" t="str">
        <f aca="true">IF($H77=0,"NA",IF($A77=INDIRECT("'"&amp;$A77&amp;"'!$B$1"),IF(VLOOKUP(AI$1,INDIRECT("'"&amp;$A77&amp;"'!$A$12:$Z$41"),MATCH("Points (Auto-generate)",INDIRECT("'"&amp;$A77&amp;"'!$A$12:$Z$12"),0),0)="","?",VLOOKUP(AI$1,INDIRECT("'"&amp;$A77&amp;"'!$A$12:$Z$41"),MATCH("Points (Auto-generate)",INDIRECT("'"&amp;$A77&amp;"'!$A$12:$Z$12"),0),0)),"ER"))</f>
        <v>?</v>
      </c>
      <c r="AJ77" s="83" t="str">
        <f aca="true">IF($H77=0,"NA",IF($A77=INDIRECT("'"&amp;$A77&amp;"'!$B$1"),IF(VLOOKUP(AJ$1,INDIRECT("'"&amp;$A77&amp;"'!$A$12:$Z$41"),MATCH("Points (Auto-generate)",INDIRECT("'"&amp;$A77&amp;"'!$A$12:$Z$12"),0),0)="","?",VLOOKUP(AJ$1,INDIRECT("'"&amp;$A77&amp;"'!$A$12:$Z$41"),MATCH("Points (Auto-generate)",INDIRECT("'"&amp;$A77&amp;"'!$A$12:$Z$12"),0),0)),"ER"))</f>
        <v>?</v>
      </c>
      <c r="AK77" s="83" t="str">
        <f aca="true">IF($H77=0,"NA",IF($A77=INDIRECT("'"&amp;$A77&amp;"'!$B$1"),IF(VLOOKUP(AK$1,INDIRECT("'"&amp;$A77&amp;"'!$A$12:$Z$41"),MATCH("Points (Auto-generate)",INDIRECT("'"&amp;$A77&amp;"'!$A$12:$Z$12"),0),0)="","?",VLOOKUP(AK$1,INDIRECT("'"&amp;$A77&amp;"'!$A$12:$Z$41"),MATCH("Points (Auto-generate)",INDIRECT("'"&amp;$A77&amp;"'!$A$12:$Z$12"),0),0)),"ER"))</f>
        <v>?</v>
      </c>
    </row>
    <row r="78" customFormat="false" ht="14.25" hidden="false" customHeight="false" outlineLevel="0" collapsed="false">
      <c r="A78" s="79" t="s">
        <v>281</v>
      </c>
      <c r="B78" s="80" t="str">
        <f aca="false">IF(ISBLANK($A78),"NO_CODE",VLOOKUP($A78,'UPD Questions_290926 '!$E$1:$N$300,MATCH(B$1,'UPD Questions_290926 '!$E$1:$N$1,0),0)&amp;"")</f>
        <v>Implementation</v>
      </c>
      <c r="C78" s="80" t="str">
        <f aca="false">IF(ISBLANK($A78),"NO_CODE",VLOOKUP($A78,'UPD Questions_290926 '!$E$1:$N$300,MATCH(C$1,'UPD Questions_290926 '!$E$1:$N$1,0),0)&amp;"")</f>
        <v>Specialised institutional capacity</v>
      </c>
      <c r="D78" s="80" t="str">
        <f aca="false">IF(ISBLANK($A78),"NO_CODE",VLOOKUP($A78,'UPD Questions_290926 '!$E$1:$N$300,MATCH(D$1,'UPD Questions_290926 '!$E$1:$N$1,0),0)&amp;"")</f>
        <v>Specialised institutional capacity</v>
      </c>
      <c r="E78" s="80" t="str">
        <f aca="false">IF(ISBLANK($A78),"NO_CODE",VLOOKUP($A78,'UPD Questions_290926 '!$E$1:$N$300,MATCH(E$1,'UPD Questions_290926 '!$E$1:$N$1,0),0)&amp;"")</f>
        <v>SQ</v>
      </c>
      <c r="F78" s="80" t="str">
        <f aca="false">IF(ISBLANK($A78),"NO_CODE",VLOOKUP($A78,'UPD Questions_290926 '!$E$1:$N$300,MATCH(F$1,'UPD Questions_290926 '!$E$1:$N$1,0),0)&amp;"")</f>
        <v>What proportion of the city's professional town-planning workforce is women?</v>
      </c>
      <c r="G78" s="80" t="str">
        <f aca="false">IF(ISBLANK($A78),"NO_CODE",VLOOKUP($A78,'UPD Questions_290926 '!$E$1:$N$300,MATCH(G$1,'UPD Questions_290926 '!$E$1:$N$1,0),0)&amp;"")</f>
        <v>Implementation</v>
      </c>
      <c r="H78" s="82" t="n">
        <f aca="false">IF(ISBLANK($A78),"NO_CODE",VLOOKUP($A78,'UPD Questions_290926 '!$E$1:$N$300,MATCH(H$1,'UPD Questions_290926 '!$E$1:$N$1,0),0))</f>
        <v>5</v>
      </c>
      <c r="I78" s="83" t="str">
        <f aca="true">IF($H78=0,"NA",IF($A78=INDIRECT("'"&amp;$A78&amp;"'!$B$1"),IF(VLOOKUP(I$1,INDIRECT("'"&amp;$A78&amp;"'!$A$12:$Z$41"),MATCH("Points (Auto-generate)",INDIRECT("'"&amp;$A78&amp;"'!$A$12:$Z$12"),0),0)="","?",VLOOKUP(I$1,INDIRECT("'"&amp;$A78&amp;"'!$A$12:$Z$41"),MATCH("Points (Auto-generate)",INDIRECT("'"&amp;$A78&amp;"'!$A$12:$Z$12"),0),0)),"ER"))</f>
        <v>?</v>
      </c>
      <c r="J78" s="83" t="str">
        <f aca="true">IF($H78=0,"NA",IF($A78=INDIRECT("'"&amp;$A78&amp;"'!$B$1"),IF(VLOOKUP(J$1,INDIRECT("'"&amp;$A78&amp;"'!$A$12:$Z$41"),MATCH("Points (Auto-generate)",INDIRECT("'"&amp;$A78&amp;"'!$A$12:$Z$12"),0),0)="","?",VLOOKUP(J$1,INDIRECT("'"&amp;$A78&amp;"'!$A$12:$Z$41"),MATCH("Points (Auto-generate)",INDIRECT("'"&amp;$A78&amp;"'!$A$12:$Z$12"),0),0)),"ER"))</f>
        <v>?</v>
      </c>
      <c r="K78" s="83" t="str">
        <f aca="true">IF($H78=0,"NA",IF($A78=INDIRECT("'"&amp;$A78&amp;"'!$B$1"),IF(VLOOKUP(K$1,INDIRECT("'"&amp;$A78&amp;"'!$A$12:$Z$41"),MATCH("Points (Auto-generate)",INDIRECT("'"&amp;$A78&amp;"'!$A$12:$Z$12"),0),0)="","?",VLOOKUP(K$1,INDIRECT("'"&amp;$A78&amp;"'!$A$12:$Z$41"),MATCH("Points (Auto-generate)",INDIRECT("'"&amp;$A78&amp;"'!$A$12:$Z$12"),0),0)),"ER"))</f>
        <v>?</v>
      </c>
      <c r="L78" s="83" t="str">
        <f aca="true">IF($H78=0,"NA",IF($A78=INDIRECT("'"&amp;$A78&amp;"'!$B$1"),IF(VLOOKUP(L$1,INDIRECT("'"&amp;$A78&amp;"'!$A$12:$Z$41"),MATCH("Points (Auto-generate)",INDIRECT("'"&amp;$A78&amp;"'!$A$12:$Z$12"),0),0)="","?",VLOOKUP(L$1,INDIRECT("'"&amp;$A78&amp;"'!$A$12:$Z$41"),MATCH("Points (Auto-generate)",INDIRECT("'"&amp;$A78&amp;"'!$A$12:$Z$12"),0),0)),"ER"))</f>
        <v>?</v>
      </c>
      <c r="M78" s="83" t="str">
        <f aca="true">IF($H78=0,"NA",IF($A78=INDIRECT("'"&amp;$A78&amp;"'!$B$1"),IF(VLOOKUP(M$1,INDIRECT("'"&amp;$A78&amp;"'!$A$12:$Z$41"),MATCH("Points (Auto-generate)",INDIRECT("'"&amp;$A78&amp;"'!$A$12:$Z$12"),0),0)="","?",VLOOKUP(M$1,INDIRECT("'"&amp;$A78&amp;"'!$A$12:$Z$41"),MATCH("Points (Auto-generate)",INDIRECT("'"&amp;$A78&amp;"'!$A$12:$Z$12"),0),0)),"ER"))</f>
        <v>?</v>
      </c>
      <c r="N78" s="83" t="str">
        <f aca="true">IF($H78=0,"NA",IF($A78=INDIRECT("'"&amp;$A78&amp;"'!$B$1"),IF(VLOOKUP(N$1,INDIRECT("'"&amp;$A78&amp;"'!$A$12:$Z$41"),MATCH("Points (Auto-generate)",INDIRECT("'"&amp;$A78&amp;"'!$A$12:$Z$12"),0),0)="","?",VLOOKUP(N$1,INDIRECT("'"&amp;$A78&amp;"'!$A$12:$Z$41"),MATCH("Points (Auto-generate)",INDIRECT("'"&amp;$A78&amp;"'!$A$12:$Z$12"),0),0)),"ER"))</f>
        <v>?</v>
      </c>
      <c r="O78" s="83" t="str">
        <f aca="true">IF($H78=0,"NA",IF($A78=INDIRECT("'"&amp;$A78&amp;"'!$B$1"),IF(VLOOKUP(O$1,INDIRECT("'"&amp;$A78&amp;"'!$A$12:$Z$41"),MATCH("Points (Auto-generate)",INDIRECT("'"&amp;$A78&amp;"'!$A$12:$Z$12"),0),0)="","?",VLOOKUP(O$1,INDIRECT("'"&amp;$A78&amp;"'!$A$12:$Z$41"),MATCH("Points (Auto-generate)",INDIRECT("'"&amp;$A78&amp;"'!$A$12:$Z$12"),0),0)),"ER"))</f>
        <v>?</v>
      </c>
      <c r="P78" s="83" t="str">
        <f aca="true">IF($H78=0,"NA",IF($A78=INDIRECT("'"&amp;$A78&amp;"'!$B$1"),IF(VLOOKUP(P$1,INDIRECT("'"&amp;$A78&amp;"'!$A$12:$Z$41"),MATCH("Points (Auto-generate)",INDIRECT("'"&amp;$A78&amp;"'!$A$12:$Z$12"),0),0)="","?",VLOOKUP(P$1,INDIRECT("'"&amp;$A78&amp;"'!$A$12:$Z$41"),MATCH("Points (Auto-generate)",INDIRECT("'"&amp;$A78&amp;"'!$A$12:$Z$12"),0),0)),"ER"))</f>
        <v>?</v>
      </c>
      <c r="Q78" s="83" t="str">
        <f aca="true">IF($H78=0,"NA",IF($A78=INDIRECT("'"&amp;$A78&amp;"'!$B$1"),IF(VLOOKUP(Q$1,INDIRECT("'"&amp;$A78&amp;"'!$A$12:$Z$41"),MATCH("Points (Auto-generate)",INDIRECT("'"&amp;$A78&amp;"'!$A$12:$Z$12"),0),0)="","?",VLOOKUP(Q$1,INDIRECT("'"&amp;$A78&amp;"'!$A$12:$Z$41"),MATCH("Points (Auto-generate)",INDIRECT("'"&amp;$A78&amp;"'!$A$12:$Z$12"),0),0)),"ER"))</f>
        <v>?</v>
      </c>
      <c r="R78" s="83" t="str">
        <f aca="true">IF($H78=0,"NA",IF($A78=INDIRECT("'"&amp;$A78&amp;"'!$B$1"),IF(VLOOKUP(R$1,INDIRECT("'"&amp;$A78&amp;"'!$A$12:$Z$41"),MATCH("Points (Auto-generate)",INDIRECT("'"&amp;$A78&amp;"'!$A$12:$Z$12"),0),0)="","?",VLOOKUP(R$1,INDIRECT("'"&amp;$A78&amp;"'!$A$12:$Z$41"),MATCH("Points (Auto-generate)",INDIRECT("'"&amp;$A78&amp;"'!$A$12:$Z$12"),0),0)),"ER"))</f>
        <v>?</v>
      </c>
      <c r="S78" s="83" t="str">
        <f aca="true">IF($H78=0,"NA",IF($A78=INDIRECT("'"&amp;$A78&amp;"'!$B$1"),IF(VLOOKUP(S$1,INDIRECT("'"&amp;$A78&amp;"'!$A$12:$Z$41"),MATCH("Points (Auto-generate)",INDIRECT("'"&amp;$A78&amp;"'!$A$12:$Z$12"),0),0)="","?",VLOOKUP(S$1,INDIRECT("'"&amp;$A78&amp;"'!$A$12:$Z$41"),MATCH("Points (Auto-generate)",INDIRECT("'"&amp;$A78&amp;"'!$A$12:$Z$12"),0),0)),"ER"))</f>
        <v>?</v>
      </c>
      <c r="T78" s="83" t="str">
        <f aca="true">IF($H78=0,"NA",IF($A78=INDIRECT("'"&amp;$A78&amp;"'!$B$1"),IF(VLOOKUP(T$1,INDIRECT("'"&amp;$A78&amp;"'!$A$12:$Z$41"),MATCH("Points (Auto-generate)",INDIRECT("'"&amp;$A78&amp;"'!$A$12:$Z$12"),0),0)="","?",VLOOKUP(T$1,INDIRECT("'"&amp;$A78&amp;"'!$A$12:$Z$41"),MATCH("Points (Auto-generate)",INDIRECT("'"&amp;$A78&amp;"'!$A$12:$Z$12"),0),0)),"ER"))</f>
        <v>?</v>
      </c>
      <c r="U78" s="83" t="str">
        <f aca="true">IF($H78=0,"NA",IF($A78=INDIRECT("'"&amp;$A78&amp;"'!$B$1"),IF(VLOOKUP(U$1,INDIRECT("'"&amp;$A78&amp;"'!$A$12:$Z$41"),MATCH("Points (Auto-generate)",INDIRECT("'"&amp;$A78&amp;"'!$A$12:$Z$12"),0),0)="","?",VLOOKUP(U$1,INDIRECT("'"&amp;$A78&amp;"'!$A$12:$Z$41"),MATCH("Points (Auto-generate)",INDIRECT("'"&amp;$A78&amp;"'!$A$12:$Z$12"),0),0)),"ER"))</f>
        <v>?</v>
      </c>
      <c r="V78" s="83" t="str">
        <f aca="true">IF($H78=0,"NA",IF($A78=INDIRECT("'"&amp;$A78&amp;"'!$B$1"),IF(VLOOKUP(V$1,INDIRECT("'"&amp;$A78&amp;"'!$A$12:$Z$41"),MATCH("Points (Auto-generate)",INDIRECT("'"&amp;$A78&amp;"'!$A$12:$Z$12"),0),0)="","?",VLOOKUP(V$1,INDIRECT("'"&amp;$A78&amp;"'!$A$12:$Z$41"),MATCH("Points (Auto-generate)",INDIRECT("'"&amp;$A78&amp;"'!$A$12:$Z$12"),0),0)),"ER"))</f>
        <v>?</v>
      </c>
      <c r="W78" s="83" t="str">
        <f aca="true">IF($H78=0,"NA",IF($A78=INDIRECT("'"&amp;$A78&amp;"'!$B$1"),IF(VLOOKUP(W$1,INDIRECT("'"&amp;$A78&amp;"'!$A$12:$Z$41"),MATCH("Points (Auto-generate)",INDIRECT("'"&amp;$A78&amp;"'!$A$12:$Z$12"),0),0)="","?",VLOOKUP(W$1,INDIRECT("'"&amp;$A78&amp;"'!$A$12:$Z$41"),MATCH("Points (Auto-generate)",INDIRECT("'"&amp;$A78&amp;"'!$A$12:$Z$12"),0),0)),"ER"))</f>
        <v>?</v>
      </c>
      <c r="X78" s="83" t="str">
        <f aca="true">IF($H78=0,"NA",IF($A78=INDIRECT("'"&amp;$A78&amp;"'!$B$1"),IF(VLOOKUP(X$1,INDIRECT("'"&amp;$A78&amp;"'!$A$12:$Z$41"),MATCH("Points (Auto-generate)",INDIRECT("'"&amp;$A78&amp;"'!$A$12:$Z$12"),0),0)="","?",VLOOKUP(X$1,INDIRECT("'"&amp;$A78&amp;"'!$A$12:$Z$41"),MATCH("Points (Auto-generate)",INDIRECT("'"&amp;$A78&amp;"'!$A$12:$Z$12"),0),0)),"ER"))</f>
        <v>?</v>
      </c>
      <c r="Y78" s="83" t="str">
        <f aca="true">IF($H78=0,"NA",IF($A78=INDIRECT("'"&amp;$A78&amp;"'!$B$1"),IF(VLOOKUP(Y$1,INDIRECT("'"&amp;$A78&amp;"'!$A$12:$Z$41"),MATCH("Points (Auto-generate)",INDIRECT("'"&amp;$A78&amp;"'!$A$12:$Z$12"),0),0)="","?",VLOOKUP(Y$1,INDIRECT("'"&amp;$A78&amp;"'!$A$12:$Z$41"),MATCH("Points (Auto-generate)",INDIRECT("'"&amp;$A78&amp;"'!$A$12:$Z$12"),0),0)),"ER"))</f>
        <v>?</v>
      </c>
      <c r="Z78" s="83" t="str">
        <f aca="true">IF($H78=0,"NA",IF($A78=INDIRECT("'"&amp;$A78&amp;"'!$B$1"),IF(VLOOKUP(Z$1,INDIRECT("'"&amp;$A78&amp;"'!$A$12:$Z$41"),MATCH("Points (Auto-generate)",INDIRECT("'"&amp;$A78&amp;"'!$A$12:$Z$12"),0),0)="","?",VLOOKUP(Z$1,INDIRECT("'"&amp;$A78&amp;"'!$A$12:$Z$41"),MATCH("Points (Auto-generate)",INDIRECT("'"&amp;$A78&amp;"'!$A$12:$Z$12"),0),0)),"ER"))</f>
        <v>?</v>
      </c>
      <c r="AA78" s="83" t="str">
        <f aca="true">IF($H78=0,"NA",IF($A78=INDIRECT("'"&amp;$A78&amp;"'!$B$1"),IF(VLOOKUP(AA$1,INDIRECT("'"&amp;$A78&amp;"'!$A$12:$Z$41"),MATCH("Points (Auto-generate)",INDIRECT("'"&amp;$A78&amp;"'!$A$12:$Z$12"),0),0)="","?",VLOOKUP(AA$1,INDIRECT("'"&amp;$A78&amp;"'!$A$12:$Z$41"),MATCH("Points (Auto-generate)",INDIRECT("'"&amp;$A78&amp;"'!$A$12:$Z$12"),0),0)),"ER"))</f>
        <v>?</v>
      </c>
      <c r="AB78" s="83" t="str">
        <f aca="true">IF($H78=0,"NA",IF($A78=INDIRECT("'"&amp;$A78&amp;"'!$B$1"),IF(VLOOKUP(AB$1,INDIRECT("'"&amp;$A78&amp;"'!$A$12:$Z$41"),MATCH("Points (Auto-generate)",INDIRECT("'"&amp;$A78&amp;"'!$A$12:$Z$12"),0),0)="","?",VLOOKUP(AB$1,INDIRECT("'"&amp;$A78&amp;"'!$A$12:$Z$41"),MATCH("Points (Auto-generate)",INDIRECT("'"&amp;$A78&amp;"'!$A$12:$Z$12"),0),0)),"ER"))</f>
        <v>?</v>
      </c>
      <c r="AC78" s="83" t="str">
        <f aca="true">IF($H78=0,"NA",IF($A78=INDIRECT("'"&amp;$A78&amp;"'!$B$1"),IF(VLOOKUP(AC$1,INDIRECT("'"&amp;$A78&amp;"'!$A$12:$Z$41"),MATCH("Points (Auto-generate)",INDIRECT("'"&amp;$A78&amp;"'!$A$12:$Z$12"),0),0)="","?",VLOOKUP(AC$1,INDIRECT("'"&amp;$A78&amp;"'!$A$12:$Z$41"),MATCH("Points (Auto-generate)",INDIRECT("'"&amp;$A78&amp;"'!$A$12:$Z$12"),0),0)),"ER"))</f>
        <v>?</v>
      </c>
      <c r="AD78" s="83" t="str">
        <f aca="true">IF($H78=0,"NA",IF($A78=INDIRECT("'"&amp;$A78&amp;"'!$B$1"),IF(VLOOKUP(AD$1,INDIRECT("'"&amp;$A78&amp;"'!$A$12:$Z$41"),MATCH("Points (Auto-generate)",INDIRECT("'"&amp;$A78&amp;"'!$A$12:$Z$12"),0),0)="","?",VLOOKUP(AD$1,INDIRECT("'"&amp;$A78&amp;"'!$A$12:$Z$41"),MATCH("Points (Auto-generate)",INDIRECT("'"&amp;$A78&amp;"'!$A$12:$Z$12"),0),0)),"ER"))</f>
        <v>?</v>
      </c>
      <c r="AE78" s="83" t="str">
        <f aca="true">IF($H78=0,"NA",IF($A78=INDIRECT("'"&amp;$A78&amp;"'!$B$1"),IF(VLOOKUP(AE$1,INDIRECT("'"&amp;$A78&amp;"'!$A$12:$Z$41"),MATCH("Points (Auto-generate)",INDIRECT("'"&amp;$A78&amp;"'!$A$12:$Z$12"),0),0)="","?",VLOOKUP(AE$1,INDIRECT("'"&amp;$A78&amp;"'!$A$12:$Z$41"),MATCH("Points (Auto-generate)",INDIRECT("'"&amp;$A78&amp;"'!$A$12:$Z$12"),0),0)),"ER"))</f>
        <v>?</v>
      </c>
      <c r="AF78" s="83" t="str">
        <f aca="true">IF($H78=0,"NA",IF($A78=INDIRECT("'"&amp;$A78&amp;"'!$B$1"),IF(VLOOKUP(AF$1,INDIRECT("'"&amp;$A78&amp;"'!$A$12:$Z$41"),MATCH("Points (Auto-generate)",INDIRECT("'"&amp;$A78&amp;"'!$A$12:$Z$12"),0),0)="","?",VLOOKUP(AF$1,INDIRECT("'"&amp;$A78&amp;"'!$A$12:$Z$41"),MATCH("Points (Auto-generate)",INDIRECT("'"&amp;$A78&amp;"'!$A$12:$Z$12"),0),0)),"ER"))</f>
        <v>?</v>
      </c>
      <c r="AG78" s="83" t="str">
        <f aca="true">IF($H78=0,"NA",IF($A78=INDIRECT("'"&amp;$A78&amp;"'!$B$1"),IF(VLOOKUP(AG$1,INDIRECT("'"&amp;$A78&amp;"'!$A$12:$Z$41"),MATCH("Points (Auto-generate)",INDIRECT("'"&amp;$A78&amp;"'!$A$12:$Z$12"),0),0)="","?",VLOOKUP(AG$1,INDIRECT("'"&amp;$A78&amp;"'!$A$12:$Z$41"),MATCH("Points (Auto-generate)",INDIRECT("'"&amp;$A78&amp;"'!$A$12:$Z$12"),0),0)),"ER"))</f>
        <v>?</v>
      </c>
      <c r="AH78" s="83" t="str">
        <f aca="true">IF($H78=0,"NA",IF($A78=INDIRECT("'"&amp;$A78&amp;"'!$B$1"),IF(VLOOKUP(AH$1,INDIRECT("'"&amp;$A78&amp;"'!$A$12:$Z$41"),MATCH("Points (Auto-generate)",INDIRECT("'"&amp;$A78&amp;"'!$A$12:$Z$12"),0),0)="","?",VLOOKUP(AH$1,INDIRECT("'"&amp;$A78&amp;"'!$A$12:$Z$41"),MATCH("Points (Auto-generate)",INDIRECT("'"&amp;$A78&amp;"'!$A$12:$Z$12"),0),0)),"ER"))</f>
        <v>?</v>
      </c>
      <c r="AI78" s="83" t="str">
        <f aca="true">IF($H78=0,"NA",IF($A78=INDIRECT("'"&amp;$A78&amp;"'!$B$1"),IF(VLOOKUP(AI$1,INDIRECT("'"&amp;$A78&amp;"'!$A$12:$Z$41"),MATCH("Points (Auto-generate)",INDIRECT("'"&amp;$A78&amp;"'!$A$12:$Z$12"),0),0)="","?",VLOOKUP(AI$1,INDIRECT("'"&amp;$A78&amp;"'!$A$12:$Z$41"),MATCH("Points (Auto-generate)",INDIRECT("'"&amp;$A78&amp;"'!$A$12:$Z$12"),0),0)),"ER"))</f>
        <v>?</v>
      </c>
      <c r="AJ78" s="83" t="str">
        <f aca="true">IF($H78=0,"NA",IF($A78=INDIRECT("'"&amp;$A78&amp;"'!$B$1"),IF(VLOOKUP(AJ$1,INDIRECT("'"&amp;$A78&amp;"'!$A$12:$Z$41"),MATCH("Points (Auto-generate)",INDIRECT("'"&amp;$A78&amp;"'!$A$12:$Z$12"),0),0)="","?",VLOOKUP(AJ$1,INDIRECT("'"&amp;$A78&amp;"'!$A$12:$Z$41"),MATCH("Points (Auto-generate)",INDIRECT("'"&amp;$A78&amp;"'!$A$12:$Z$12"),0),0)),"ER"))</f>
        <v>?</v>
      </c>
      <c r="AK78" s="83" t="str">
        <f aca="true">IF($H78=0,"NA",IF($A78=INDIRECT("'"&amp;$A78&amp;"'!$B$1"),IF(VLOOKUP(AK$1,INDIRECT("'"&amp;$A78&amp;"'!$A$12:$Z$41"),MATCH("Points (Auto-generate)",INDIRECT("'"&amp;$A78&amp;"'!$A$12:$Z$12"),0),0)="","?",VLOOKUP(AK$1,INDIRECT("'"&amp;$A78&amp;"'!$A$12:$Z$41"),MATCH("Points (Auto-generate)",INDIRECT("'"&amp;$A78&amp;"'!$A$12:$Z$12"),0),0)),"ER"))</f>
        <v>?</v>
      </c>
    </row>
    <row r="79" customFormat="false" ht="14.25" hidden="false" customHeight="false" outlineLevel="0" collapsed="false">
      <c r="A79" s="79" t="s">
        <v>577</v>
      </c>
      <c r="B79" s="80" t="str">
        <f aca="false">IF(ISBLANK($A79),"NO_CODE",VLOOKUP($A79,'UPD Questions_290926 '!$E$1:$N$300,MATCH(B$1,'UPD Questions_290926 '!$E$1:$N$1,0),0)&amp;"")</f>
        <v>Implementation</v>
      </c>
      <c r="C79" s="80" t="str">
        <f aca="false">IF(ISBLANK($A79),"NO_CODE",VLOOKUP($A79,'UPD Questions_290926 '!$E$1:$N$300,MATCH(C$1,'UPD Questions_290926 '!$E$1:$N$1,0),0)&amp;"")</f>
        <v>Specialised institutional capacity</v>
      </c>
      <c r="D79" s="80" t="str">
        <f aca="false">IF(ISBLANK($A79),"NO_CODE",VLOOKUP($A79,'UPD Questions_290926 '!$E$1:$N$300,MATCH(D$1,'UPD Questions_290926 '!$E$1:$N$1,0),0)&amp;"")</f>
        <v>Specialised institutional capacity</v>
      </c>
      <c r="E79" s="80" t="str">
        <f aca="false">IF(ISBLANK($A79),"NO_CODE",VLOOKUP($A79,'UPD Questions_290926 '!$E$1:$N$300,MATCH(E$1,'UPD Questions_290926 '!$E$1:$N$1,0),0)&amp;"")</f>
        <v>MQ</v>
      </c>
      <c r="F79" s="80" t="str">
        <f aca="false">IF(ISBLANK($A79),"NO_CODE",VLOOKUP($A79,'UPD Questions_290926 '!$E$1:$N$300,MATCH(F$1,'UPD Questions_290926 '!$E$1:$N$1,0),0)&amp;"")</f>
        <v>Does the city have dedicated institutional cells/units for specialised functions?</v>
      </c>
      <c r="G79" s="80" t="str">
        <f aca="false">IF(ISBLANK($A79),"NO_CODE",VLOOKUP($A79,'UPD Questions_290926 '!$E$1:$N$300,MATCH(G$1,'UPD Questions_290926 '!$E$1:$N$1,0),0)&amp;"")</f>
        <v>Implementation</v>
      </c>
      <c r="H79" s="82" t="n">
        <f aca="false">IF(ISBLANK($A79),"NO_CODE",VLOOKUP($A79,'UPD Questions_290926 '!$E$1:$N$300,MATCH(H$1,'UPD Questions_290926 '!$E$1:$N$1,0),0))</f>
        <v>10</v>
      </c>
      <c r="I79" s="83" t="str">
        <f aca="false">IF(OR(I80="ER",I81="ER",I82="ER",I83="ER"),"ER",IF(OR(I80="?",I81="?",I82="?",I83="?"),"?",IF(AND(I80="NA",I81="NA",I82="NA",I83="NA"),"NA",SUM(I80,I81,I82,I83)/((I80&lt;&gt;"NA")*$H$80+(I81&lt;&gt;"NA")*$H$81+(I82&lt;&gt;"NA")*$H$82+(I83&lt;&gt;"NA")*$H$83)*$H79)))</f>
        <v>?</v>
      </c>
      <c r="J79" s="83" t="str">
        <f aca="false">IF(OR(J80="ER",J81="ER",J82="ER",J83="ER"),"ER",IF(OR(J80="?",J81="?",J82="?",J83="?"),"?",IF(AND(J80="NA",J81="NA",J82="NA",J83="NA"),"NA",SUM(J80,J81,J82,J83)/((J80&lt;&gt;"NA")*$H$80+(J81&lt;&gt;"NA")*$H$81+(J82&lt;&gt;"NA")*$H$82+(J83&lt;&gt;"NA")*$H$83)*$H79)))</f>
        <v>?</v>
      </c>
      <c r="K79" s="83" t="str">
        <f aca="false">IF(OR(K80="ER",K81="ER",K82="ER",K83="ER"),"ER",IF(OR(K80="?",K81="?",K82="?",K83="?"),"?",IF(AND(K80="NA",K81="NA",K82="NA",K83="NA"),"NA",SUM(K80,K81,K82,K83)/((K80&lt;&gt;"NA")*$H$80+(K81&lt;&gt;"NA")*$H$81+(K82&lt;&gt;"NA")*$H$82+(K83&lt;&gt;"NA")*$H$83)*$H79)))</f>
        <v>?</v>
      </c>
      <c r="L79" s="83" t="str">
        <f aca="false">IF(OR(L80="ER",L81="ER",L82="ER",L83="ER"),"ER",IF(OR(L80="?",L81="?",L82="?",L83="?"),"?",IF(AND(L80="NA",L81="NA",L82="NA",L83="NA"),"NA",SUM(L80,L81,L82,L83)/((L80&lt;&gt;"NA")*$H$80+(L81&lt;&gt;"NA")*$H$81+(L82&lt;&gt;"NA")*$H$82+(L83&lt;&gt;"NA")*$H$83)*$H79)))</f>
        <v>?</v>
      </c>
      <c r="M79" s="83" t="str">
        <f aca="false">IF(OR(M80="ER",M81="ER",M82="ER",M83="ER"),"ER",IF(OR(M80="?",M81="?",M82="?",M83="?"),"?",IF(AND(M80="NA",M81="NA",M82="NA",M83="NA"),"NA",SUM(M80,M81,M82,M83)/((M80&lt;&gt;"NA")*$H$80+(M81&lt;&gt;"NA")*$H$81+(M82&lt;&gt;"NA")*$H$82+(M83&lt;&gt;"NA")*$H$83)*$H79)))</f>
        <v>?</v>
      </c>
      <c r="N79" s="83" t="str">
        <f aca="false">IF(OR(N80="ER",N81="ER",N82="ER",N83="ER"),"ER",IF(OR(N80="?",N81="?",N82="?",N83="?"),"?",IF(AND(N80="NA",N81="NA",N82="NA",N83="NA"),"NA",SUM(N80,N81,N82,N83)/((N80&lt;&gt;"NA")*$H$80+(N81&lt;&gt;"NA")*$H$81+(N82&lt;&gt;"NA")*$H$82+(N83&lt;&gt;"NA")*$H$83)*$H79)))</f>
        <v>?</v>
      </c>
      <c r="O79" s="83" t="str">
        <f aca="false">IF(OR(O80="ER",O81="ER",O82="ER",O83="ER"),"ER",IF(OR(O80="?",O81="?",O82="?",O83="?"),"?",IF(AND(O80="NA",O81="NA",O82="NA",O83="NA"),"NA",SUM(O80,O81,O82,O83)/((O80&lt;&gt;"NA")*$H$80+(O81&lt;&gt;"NA")*$H$81+(O82&lt;&gt;"NA")*$H$82+(O83&lt;&gt;"NA")*$H$83)*$H79)))</f>
        <v>?</v>
      </c>
      <c r="P79" s="83" t="str">
        <f aca="false">IF(OR(P80="ER",P81="ER",P82="ER",P83="ER"),"ER",IF(OR(P80="?",P81="?",P82="?",P83="?"),"?",IF(AND(P80="NA",P81="NA",P82="NA",P83="NA"),"NA",SUM(P80,P81,P82,P83)/((P80&lt;&gt;"NA")*$H$80+(P81&lt;&gt;"NA")*$H$81+(P82&lt;&gt;"NA")*$H$82+(P83&lt;&gt;"NA")*$H$83)*$H79)))</f>
        <v>?</v>
      </c>
      <c r="Q79" s="83" t="str">
        <f aca="false">IF(OR(Q80="ER",Q81="ER",Q82="ER",Q83="ER"),"ER",IF(OR(Q80="?",Q81="?",Q82="?",Q83="?"),"?",IF(AND(Q80="NA",Q81="NA",Q82="NA",Q83="NA"),"NA",SUM(Q80,Q81,Q82,Q83)/((Q80&lt;&gt;"NA")*$H$80+(Q81&lt;&gt;"NA")*$H$81+(Q82&lt;&gt;"NA")*$H$82+(Q83&lt;&gt;"NA")*$H$83)*$H79)))</f>
        <v>?</v>
      </c>
      <c r="R79" s="83" t="str">
        <f aca="false">IF(OR(R80="ER",R81="ER",R82="ER",R83="ER"),"ER",IF(OR(R80="?",R81="?",R82="?",R83="?"),"?",IF(AND(R80="NA",R81="NA",R82="NA",R83="NA"),"NA",SUM(R80,R81,R82,R83)/((R80&lt;&gt;"NA")*$H$80+(R81&lt;&gt;"NA")*$H$81+(R82&lt;&gt;"NA")*$H$82+(R83&lt;&gt;"NA")*$H$83)*$H79)))</f>
        <v>?</v>
      </c>
      <c r="S79" s="83" t="str">
        <f aca="false">IF(OR(S80="ER",S81="ER",S82="ER",S83="ER"),"ER",IF(OR(S80="?",S81="?",S82="?",S83="?"),"?",IF(AND(S80="NA",S81="NA",S82="NA",S83="NA"),"NA",SUM(S80,S81,S82,S83)/((S80&lt;&gt;"NA")*$H$80+(S81&lt;&gt;"NA")*$H$81+(S82&lt;&gt;"NA")*$H$82+(S83&lt;&gt;"NA")*$H$83)*$H79)))</f>
        <v>?</v>
      </c>
      <c r="T79" s="83" t="str">
        <f aca="false">IF(OR(T80="ER",T81="ER",T82="ER",T83="ER"),"ER",IF(OR(T80="?",T81="?",T82="?",T83="?"),"?",IF(AND(T80="NA",T81="NA",T82="NA",T83="NA"),"NA",SUM(T80,T81,T82,T83)/((T80&lt;&gt;"NA")*$H$80+(T81&lt;&gt;"NA")*$H$81+(T82&lt;&gt;"NA")*$H$82+(T83&lt;&gt;"NA")*$H$83)*$H79)))</f>
        <v>?</v>
      </c>
      <c r="U79" s="83" t="str">
        <f aca="false">IF(OR(U80="ER",U81="ER",U82="ER",U83="ER"),"ER",IF(OR(U80="?",U81="?",U82="?",U83="?"),"?",IF(AND(U80="NA",U81="NA",U82="NA",U83="NA"),"NA",SUM(U80,U81,U82,U83)/((U80&lt;&gt;"NA")*$H$80+(U81&lt;&gt;"NA")*$H$81+(U82&lt;&gt;"NA")*$H$82+(U83&lt;&gt;"NA")*$H$83)*$H79)))</f>
        <v>?</v>
      </c>
      <c r="V79" s="83" t="str">
        <f aca="false">IF(OR(V80="ER",V81="ER",V82="ER",V83="ER"),"ER",IF(OR(V80="?",V81="?",V82="?",V83="?"),"?",IF(AND(V80="NA",V81="NA",V82="NA",V83="NA"),"NA",SUM(V80,V81,V82,V83)/((V80&lt;&gt;"NA")*$H$80+(V81&lt;&gt;"NA")*$H$81+(V82&lt;&gt;"NA")*$H$82+(V83&lt;&gt;"NA")*$H$83)*$H79)))</f>
        <v>?</v>
      </c>
      <c r="W79" s="83" t="str">
        <f aca="false">IF(OR(W80="ER",W81="ER",W82="ER",W83="ER"),"ER",IF(OR(W80="?",W81="?",W82="?",W83="?"),"?",IF(AND(W80="NA",W81="NA",W82="NA",W83="NA"),"NA",SUM(W80,W81,W82,W83)/((W80&lt;&gt;"NA")*$H$80+(W81&lt;&gt;"NA")*$H$81+(W82&lt;&gt;"NA")*$H$82+(W83&lt;&gt;"NA")*$H$83)*$H79)))</f>
        <v>?</v>
      </c>
      <c r="X79" s="83" t="str">
        <f aca="false">IF(OR(X80="ER",X81="ER",X82="ER",X83="ER"),"ER",IF(OR(X80="?",X81="?",X82="?",X83="?"),"?",IF(AND(X80="NA",X81="NA",X82="NA",X83="NA"),"NA",SUM(X80,X81,X82,X83)/((X80&lt;&gt;"NA")*$H$80+(X81&lt;&gt;"NA")*$H$81+(X82&lt;&gt;"NA")*$H$82+(X83&lt;&gt;"NA")*$H$83)*$H79)))</f>
        <v>?</v>
      </c>
      <c r="Y79" s="83" t="str">
        <f aca="false">IF(OR(Y80="ER",Y81="ER",Y82="ER",Y83="ER"),"ER",IF(OR(Y80="?",Y81="?",Y82="?",Y83="?"),"?",IF(AND(Y80="NA",Y81="NA",Y82="NA",Y83="NA"),"NA",SUM(Y80,Y81,Y82,Y83)/((Y80&lt;&gt;"NA")*$H$80+(Y81&lt;&gt;"NA")*$H$81+(Y82&lt;&gt;"NA")*$H$82+(Y83&lt;&gt;"NA")*$H$83)*$H79)))</f>
        <v>?</v>
      </c>
      <c r="Z79" s="83" t="str">
        <f aca="false">IF(OR(Z80="ER",Z81="ER",Z82="ER",Z83="ER"),"ER",IF(OR(Z80="?",Z81="?",Z82="?",Z83="?"),"?",IF(AND(Z80="NA",Z81="NA",Z82="NA",Z83="NA"),"NA",SUM(Z80,Z81,Z82,Z83)/((Z80&lt;&gt;"NA")*$H$80+(Z81&lt;&gt;"NA")*$H$81+(Z82&lt;&gt;"NA")*$H$82+(Z83&lt;&gt;"NA")*$H$83)*$H79)))</f>
        <v>?</v>
      </c>
      <c r="AA79" s="83" t="str">
        <f aca="false">IF(OR(AA80="ER",AA81="ER",AA82="ER",AA83="ER"),"ER",IF(OR(AA80="?",AA81="?",AA82="?",AA83="?"),"?",IF(AND(AA80="NA",AA81="NA",AA82="NA",AA83="NA"),"NA",SUM(AA80,AA81,AA82,AA83)/((AA80&lt;&gt;"NA")*$H$80+(AA81&lt;&gt;"NA")*$H$81+(AA82&lt;&gt;"NA")*$H$82+(AA83&lt;&gt;"NA")*$H$83)*$H79)))</f>
        <v>?</v>
      </c>
      <c r="AB79" s="83" t="str">
        <f aca="false">IF(OR(AB80="ER",AB81="ER",AB82="ER",AB83="ER"),"ER",IF(OR(AB80="?",AB81="?",AB82="?",AB83="?"),"?",IF(AND(AB80="NA",AB81="NA",AB82="NA",AB83="NA"),"NA",SUM(AB80,AB81,AB82,AB83)/((AB80&lt;&gt;"NA")*$H$80+(AB81&lt;&gt;"NA")*$H$81+(AB82&lt;&gt;"NA")*$H$82+(AB83&lt;&gt;"NA")*$H$83)*$H79)))</f>
        <v>?</v>
      </c>
      <c r="AC79" s="83" t="str">
        <f aca="false">IF(OR(AC80="ER",AC81="ER",AC82="ER",AC83="ER"),"ER",IF(OR(AC80="?",AC81="?",AC82="?",AC83="?"),"?",IF(AND(AC80="NA",AC81="NA",AC82="NA",AC83="NA"),"NA",SUM(AC80,AC81,AC82,AC83)/((AC80&lt;&gt;"NA")*$H$80+(AC81&lt;&gt;"NA")*$H$81+(AC82&lt;&gt;"NA")*$H$82+(AC83&lt;&gt;"NA")*$H$83)*$H79)))</f>
        <v>?</v>
      </c>
      <c r="AD79" s="83" t="str">
        <f aca="false">IF(OR(AD80="ER",AD81="ER",AD82="ER",AD83="ER"),"ER",IF(OR(AD80="?",AD81="?",AD82="?",AD83="?"),"?",IF(AND(AD80="NA",AD81="NA",AD82="NA",AD83="NA"),"NA",SUM(AD80,AD81,AD82,AD83)/((AD80&lt;&gt;"NA")*$H$80+(AD81&lt;&gt;"NA")*$H$81+(AD82&lt;&gt;"NA")*$H$82+(AD83&lt;&gt;"NA")*$H$83)*$H79)))</f>
        <v>?</v>
      </c>
      <c r="AE79" s="83" t="str">
        <f aca="false">IF(OR(AE80="ER",AE81="ER",AE82="ER",AE83="ER"),"ER",IF(OR(AE80="?",AE81="?",AE82="?",AE83="?"),"?",IF(AND(AE80="NA",AE81="NA",AE82="NA",AE83="NA"),"NA",SUM(AE80,AE81,AE82,AE83)/((AE80&lt;&gt;"NA")*$H$80+(AE81&lt;&gt;"NA")*$H$81+(AE82&lt;&gt;"NA")*$H$82+(AE83&lt;&gt;"NA")*$H$83)*$H79)))</f>
        <v>?</v>
      </c>
      <c r="AF79" s="83" t="str">
        <f aca="false">IF(OR(AF80="ER",AF81="ER",AF82="ER",AF83="ER"),"ER",IF(OR(AF80="?",AF81="?",AF82="?",AF83="?"),"?",IF(AND(AF80="NA",AF81="NA",AF82="NA",AF83="NA"),"NA",SUM(AF80,AF81,AF82,AF83)/((AF80&lt;&gt;"NA")*$H$80+(AF81&lt;&gt;"NA")*$H$81+(AF82&lt;&gt;"NA")*$H$82+(AF83&lt;&gt;"NA")*$H$83)*$H79)))</f>
        <v>?</v>
      </c>
      <c r="AG79" s="83" t="str">
        <f aca="false">IF(OR(AG80="ER",AG81="ER",AG82="ER",AG83="ER"),"ER",IF(OR(AG80="?",AG81="?",AG82="?",AG83="?"),"?",IF(AND(AG80="NA",AG81="NA",AG82="NA",AG83="NA"),"NA",SUM(AG80,AG81,AG82,AG83)/((AG80&lt;&gt;"NA")*$H$80+(AG81&lt;&gt;"NA")*$H$81+(AG82&lt;&gt;"NA")*$H$82+(AG83&lt;&gt;"NA")*$H$83)*$H79)))</f>
        <v>?</v>
      </c>
      <c r="AH79" s="83" t="str">
        <f aca="false">IF(OR(AH80="ER",AH81="ER",AH82="ER",AH83="ER"),"ER",IF(OR(AH80="?",AH81="?",AH82="?",AH83="?"),"?",IF(AND(AH80="NA",AH81="NA",AH82="NA",AH83="NA"),"NA",SUM(AH80,AH81,AH82,AH83)/((AH80&lt;&gt;"NA")*$H$80+(AH81&lt;&gt;"NA")*$H$81+(AH82&lt;&gt;"NA")*$H$82+(AH83&lt;&gt;"NA")*$H$83)*$H79)))</f>
        <v>?</v>
      </c>
      <c r="AI79" s="83" t="str">
        <f aca="false">IF(OR(AI80="ER",AI81="ER",AI82="ER",AI83="ER"),"ER",IF(OR(AI80="?",AI81="?",AI82="?",AI83="?"),"?",IF(AND(AI80="NA",AI81="NA",AI82="NA",AI83="NA"),"NA",SUM(AI80,AI81,AI82,AI83)/((AI80&lt;&gt;"NA")*$H$80+(AI81&lt;&gt;"NA")*$H$81+(AI82&lt;&gt;"NA")*$H$82+(AI83&lt;&gt;"NA")*$H$83)*$H79)))</f>
        <v>?</v>
      </c>
      <c r="AJ79" s="83" t="str">
        <f aca="false">IF(OR(AJ80="ER",AJ81="ER",AJ82="ER",AJ83="ER"),"ER",IF(OR(AJ80="?",AJ81="?",AJ82="?",AJ83="?"),"?",IF(AND(AJ80="NA",AJ81="NA",AJ82="NA",AJ83="NA"),"NA",SUM(AJ80,AJ81,AJ82,AJ83)/((AJ80&lt;&gt;"NA")*$H$80+(AJ81&lt;&gt;"NA")*$H$81+(AJ82&lt;&gt;"NA")*$H$82+(AJ83&lt;&gt;"NA")*$H$83)*$H79)))</f>
        <v>?</v>
      </c>
      <c r="AK79" s="83" t="str">
        <f aca="false">IF(OR(AK80="ER",AK81="ER",AK82="ER",AK83="ER"),"ER",IF(OR(AK80="?",AK81="?",AK82="?",AK83="?"),"?",IF(AND(AK80="NA",AK81="NA",AK82="NA",AK83="NA"),"NA",SUM(AK80,AK81,AK82,AK83)/((AK80&lt;&gt;"NA")*$H$80+(AK81&lt;&gt;"NA")*$H$81+(AK82&lt;&gt;"NA")*$H$82+(AK83&lt;&gt;"NA")*$H$83)*$H79)))</f>
        <v>?</v>
      </c>
    </row>
    <row r="80" customFormat="false" ht="14.25" hidden="false" customHeight="false" outlineLevel="0" collapsed="false">
      <c r="A80" s="79" t="s">
        <v>287</v>
      </c>
      <c r="B80" s="80" t="str">
        <f aca="false">IF(ISBLANK($A80),"NO_CODE",VLOOKUP($A80,'UPD Questions_290926 '!$E$1:$N$300,MATCH(B$1,'UPD Questions_290926 '!$E$1:$N$1,0),0)&amp;"")</f>
        <v>Implementation</v>
      </c>
      <c r="C80" s="80" t="str">
        <f aca="false">IF(ISBLANK($A80),"NO_CODE",VLOOKUP($A80,'UPD Questions_290926 '!$E$1:$N$300,MATCH(C$1,'UPD Questions_290926 '!$E$1:$N$1,0),0)&amp;"")</f>
        <v>Specialised institutional capacity</v>
      </c>
      <c r="D80" s="80" t="str">
        <f aca="false">IF(ISBLANK($A80),"NO_CODE",VLOOKUP($A80,'UPD Questions_290926 '!$E$1:$N$300,MATCH(D$1,'UPD Questions_290926 '!$E$1:$N$1,0),0)&amp;"")</f>
        <v>Urban design</v>
      </c>
      <c r="E80" s="80" t="str">
        <f aca="false">IF(ISBLANK($A80),"NO_CODE",VLOOKUP($A80,'UPD Questions_290926 '!$E$1:$N$300,MATCH(E$1,'UPD Questions_290926 '!$E$1:$N$1,0),0)&amp;"")</f>
        <v>SQ</v>
      </c>
      <c r="F80" s="80" t="str">
        <f aca="false">IF(ISBLANK($A80),"NO_CODE",VLOOKUP($A80,'UPD Questions_290926 '!$E$1:$N$300,MATCH(F$1,'UPD Questions_290926 '!$E$1:$N$1,0),0)&amp;"")</f>
        <v>Does the city have an Urban Design Cell?</v>
      </c>
      <c r="G80" s="80" t="str">
        <f aca="false">IF(ISBLANK($A80),"NO_CODE",VLOOKUP($A80,'UPD Questions_290926 '!$E$1:$N$300,MATCH(G$1,'UPD Questions_290926 '!$E$1:$N$1,0),0)&amp;"")</f>
        <v>Implementation</v>
      </c>
      <c r="H80" s="82" t="n">
        <f aca="false">IF(ISBLANK($A80),"NO_CODE",VLOOKUP($A80,'UPD Questions_290926 '!$E$1:$N$300,MATCH(H$1,'UPD Questions_290926 '!$E$1:$N$1,0),0))</f>
        <v>2.5</v>
      </c>
      <c r="I80" s="83" t="str">
        <f aca="true">IF($H80=0,"NA",IF($A80=INDIRECT("'"&amp;$A80&amp;"'!$B$1"),IF(VLOOKUP(I$1,INDIRECT("'"&amp;$A80&amp;"'!$A$12:$Z$41"),MATCH("Points (Auto-generate)",INDIRECT("'"&amp;$A80&amp;"'!$A$12:$Z$12"),0),0)="","?",VLOOKUP(I$1,INDIRECT("'"&amp;$A80&amp;"'!$A$12:$Z$41"),MATCH("Points (Auto-generate)",INDIRECT("'"&amp;$A80&amp;"'!$A$12:$Z$12"),0),0)),"ER"))</f>
        <v>?</v>
      </c>
      <c r="J80" s="83" t="str">
        <f aca="true">IF($H80=0,"NA",IF($A80=INDIRECT("'"&amp;$A80&amp;"'!$B$1"),IF(VLOOKUP(J$1,INDIRECT("'"&amp;$A80&amp;"'!$A$12:$Z$41"),MATCH("Points (Auto-generate)",INDIRECT("'"&amp;$A80&amp;"'!$A$12:$Z$12"),0),0)="","?",VLOOKUP(J$1,INDIRECT("'"&amp;$A80&amp;"'!$A$12:$Z$41"),MATCH("Points (Auto-generate)",INDIRECT("'"&amp;$A80&amp;"'!$A$12:$Z$12"),0),0)),"ER"))</f>
        <v>?</v>
      </c>
      <c r="K80" s="83" t="str">
        <f aca="true">IF($H80=0,"NA",IF($A80=INDIRECT("'"&amp;$A80&amp;"'!$B$1"),IF(VLOOKUP(K$1,INDIRECT("'"&amp;$A80&amp;"'!$A$12:$Z$41"),MATCH("Points (Auto-generate)",INDIRECT("'"&amp;$A80&amp;"'!$A$12:$Z$12"),0),0)="","?",VLOOKUP(K$1,INDIRECT("'"&amp;$A80&amp;"'!$A$12:$Z$41"),MATCH("Points (Auto-generate)",INDIRECT("'"&amp;$A80&amp;"'!$A$12:$Z$12"),0),0)),"ER"))</f>
        <v>?</v>
      </c>
      <c r="L80" s="83" t="str">
        <f aca="true">IF($H80=0,"NA",IF($A80=INDIRECT("'"&amp;$A80&amp;"'!$B$1"),IF(VLOOKUP(L$1,INDIRECT("'"&amp;$A80&amp;"'!$A$12:$Z$41"),MATCH("Points (Auto-generate)",INDIRECT("'"&amp;$A80&amp;"'!$A$12:$Z$12"),0),0)="","?",VLOOKUP(L$1,INDIRECT("'"&amp;$A80&amp;"'!$A$12:$Z$41"),MATCH("Points (Auto-generate)",INDIRECT("'"&amp;$A80&amp;"'!$A$12:$Z$12"),0),0)),"ER"))</f>
        <v>?</v>
      </c>
      <c r="M80" s="83" t="str">
        <f aca="true">IF($H80=0,"NA",IF($A80=INDIRECT("'"&amp;$A80&amp;"'!$B$1"),IF(VLOOKUP(M$1,INDIRECT("'"&amp;$A80&amp;"'!$A$12:$Z$41"),MATCH("Points (Auto-generate)",INDIRECT("'"&amp;$A80&amp;"'!$A$12:$Z$12"),0),0)="","?",VLOOKUP(M$1,INDIRECT("'"&amp;$A80&amp;"'!$A$12:$Z$41"),MATCH("Points (Auto-generate)",INDIRECT("'"&amp;$A80&amp;"'!$A$12:$Z$12"),0),0)),"ER"))</f>
        <v>?</v>
      </c>
      <c r="N80" s="83" t="str">
        <f aca="true">IF($H80=0,"NA",IF($A80=INDIRECT("'"&amp;$A80&amp;"'!$B$1"),IF(VLOOKUP(N$1,INDIRECT("'"&amp;$A80&amp;"'!$A$12:$Z$41"),MATCH("Points (Auto-generate)",INDIRECT("'"&amp;$A80&amp;"'!$A$12:$Z$12"),0),0)="","?",VLOOKUP(N$1,INDIRECT("'"&amp;$A80&amp;"'!$A$12:$Z$41"),MATCH("Points (Auto-generate)",INDIRECT("'"&amp;$A80&amp;"'!$A$12:$Z$12"),0),0)),"ER"))</f>
        <v>?</v>
      </c>
      <c r="O80" s="83" t="str">
        <f aca="true">IF($H80=0,"NA",IF($A80=INDIRECT("'"&amp;$A80&amp;"'!$B$1"),IF(VLOOKUP(O$1,INDIRECT("'"&amp;$A80&amp;"'!$A$12:$Z$41"),MATCH("Points (Auto-generate)",INDIRECT("'"&amp;$A80&amp;"'!$A$12:$Z$12"),0),0)="","?",VLOOKUP(O$1,INDIRECT("'"&amp;$A80&amp;"'!$A$12:$Z$41"),MATCH("Points (Auto-generate)",INDIRECT("'"&amp;$A80&amp;"'!$A$12:$Z$12"),0),0)),"ER"))</f>
        <v>?</v>
      </c>
      <c r="P80" s="83" t="str">
        <f aca="true">IF($H80=0,"NA",IF($A80=INDIRECT("'"&amp;$A80&amp;"'!$B$1"),IF(VLOOKUP(P$1,INDIRECT("'"&amp;$A80&amp;"'!$A$12:$Z$41"),MATCH("Points (Auto-generate)",INDIRECT("'"&amp;$A80&amp;"'!$A$12:$Z$12"),0),0)="","?",VLOOKUP(P$1,INDIRECT("'"&amp;$A80&amp;"'!$A$12:$Z$41"),MATCH("Points (Auto-generate)",INDIRECT("'"&amp;$A80&amp;"'!$A$12:$Z$12"),0),0)),"ER"))</f>
        <v>?</v>
      </c>
      <c r="Q80" s="83" t="str">
        <f aca="true">IF($H80=0,"NA",IF($A80=INDIRECT("'"&amp;$A80&amp;"'!$B$1"),IF(VLOOKUP(Q$1,INDIRECT("'"&amp;$A80&amp;"'!$A$12:$Z$41"),MATCH("Points (Auto-generate)",INDIRECT("'"&amp;$A80&amp;"'!$A$12:$Z$12"),0),0)="","?",VLOOKUP(Q$1,INDIRECT("'"&amp;$A80&amp;"'!$A$12:$Z$41"),MATCH("Points (Auto-generate)",INDIRECT("'"&amp;$A80&amp;"'!$A$12:$Z$12"),0),0)),"ER"))</f>
        <v>?</v>
      </c>
      <c r="R80" s="83" t="str">
        <f aca="true">IF($H80=0,"NA",IF($A80=INDIRECT("'"&amp;$A80&amp;"'!$B$1"),IF(VLOOKUP(R$1,INDIRECT("'"&amp;$A80&amp;"'!$A$12:$Z$41"),MATCH("Points (Auto-generate)",INDIRECT("'"&amp;$A80&amp;"'!$A$12:$Z$12"),0),0)="","?",VLOOKUP(R$1,INDIRECT("'"&amp;$A80&amp;"'!$A$12:$Z$41"),MATCH("Points (Auto-generate)",INDIRECT("'"&amp;$A80&amp;"'!$A$12:$Z$12"),0),0)),"ER"))</f>
        <v>?</v>
      </c>
      <c r="S80" s="83" t="str">
        <f aca="true">IF($H80=0,"NA",IF($A80=INDIRECT("'"&amp;$A80&amp;"'!$B$1"),IF(VLOOKUP(S$1,INDIRECT("'"&amp;$A80&amp;"'!$A$12:$Z$41"),MATCH("Points (Auto-generate)",INDIRECT("'"&amp;$A80&amp;"'!$A$12:$Z$12"),0),0)="","?",VLOOKUP(S$1,INDIRECT("'"&amp;$A80&amp;"'!$A$12:$Z$41"),MATCH("Points (Auto-generate)",INDIRECT("'"&amp;$A80&amp;"'!$A$12:$Z$12"),0),0)),"ER"))</f>
        <v>?</v>
      </c>
      <c r="T80" s="83" t="str">
        <f aca="true">IF($H80=0,"NA",IF($A80=INDIRECT("'"&amp;$A80&amp;"'!$B$1"),IF(VLOOKUP(T$1,INDIRECT("'"&amp;$A80&amp;"'!$A$12:$Z$41"),MATCH("Points (Auto-generate)",INDIRECT("'"&amp;$A80&amp;"'!$A$12:$Z$12"),0),0)="","?",VLOOKUP(T$1,INDIRECT("'"&amp;$A80&amp;"'!$A$12:$Z$41"),MATCH("Points (Auto-generate)",INDIRECT("'"&amp;$A80&amp;"'!$A$12:$Z$12"),0),0)),"ER"))</f>
        <v>?</v>
      </c>
      <c r="U80" s="83" t="str">
        <f aca="true">IF($H80=0,"NA",IF($A80=INDIRECT("'"&amp;$A80&amp;"'!$B$1"),IF(VLOOKUP(U$1,INDIRECT("'"&amp;$A80&amp;"'!$A$12:$Z$41"),MATCH("Points (Auto-generate)",INDIRECT("'"&amp;$A80&amp;"'!$A$12:$Z$12"),0),0)="","?",VLOOKUP(U$1,INDIRECT("'"&amp;$A80&amp;"'!$A$12:$Z$41"),MATCH("Points (Auto-generate)",INDIRECT("'"&amp;$A80&amp;"'!$A$12:$Z$12"),0),0)),"ER"))</f>
        <v>?</v>
      </c>
      <c r="V80" s="83" t="str">
        <f aca="true">IF($H80=0,"NA",IF($A80=INDIRECT("'"&amp;$A80&amp;"'!$B$1"),IF(VLOOKUP(V$1,INDIRECT("'"&amp;$A80&amp;"'!$A$12:$Z$41"),MATCH("Points (Auto-generate)",INDIRECT("'"&amp;$A80&amp;"'!$A$12:$Z$12"),0),0)="","?",VLOOKUP(V$1,INDIRECT("'"&amp;$A80&amp;"'!$A$12:$Z$41"),MATCH("Points (Auto-generate)",INDIRECT("'"&amp;$A80&amp;"'!$A$12:$Z$12"),0),0)),"ER"))</f>
        <v>?</v>
      </c>
      <c r="W80" s="83" t="str">
        <f aca="true">IF($H80=0,"NA",IF($A80=INDIRECT("'"&amp;$A80&amp;"'!$B$1"),IF(VLOOKUP(W$1,INDIRECT("'"&amp;$A80&amp;"'!$A$12:$Z$41"),MATCH("Points (Auto-generate)",INDIRECT("'"&amp;$A80&amp;"'!$A$12:$Z$12"),0),0)="","?",VLOOKUP(W$1,INDIRECT("'"&amp;$A80&amp;"'!$A$12:$Z$41"),MATCH("Points (Auto-generate)",INDIRECT("'"&amp;$A80&amp;"'!$A$12:$Z$12"),0),0)),"ER"))</f>
        <v>?</v>
      </c>
      <c r="X80" s="83" t="str">
        <f aca="true">IF($H80=0,"NA",IF($A80=INDIRECT("'"&amp;$A80&amp;"'!$B$1"),IF(VLOOKUP(X$1,INDIRECT("'"&amp;$A80&amp;"'!$A$12:$Z$41"),MATCH("Points (Auto-generate)",INDIRECT("'"&amp;$A80&amp;"'!$A$12:$Z$12"),0),0)="","?",VLOOKUP(X$1,INDIRECT("'"&amp;$A80&amp;"'!$A$12:$Z$41"),MATCH("Points (Auto-generate)",INDIRECT("'"&amp;$A80&amp;"'!$A$12:$Z$12"),0),0)),"ER"))</f>
        <v>?</v>
      </c>
      <c r="Y80" s="83" t="str">
        <f aca="true">IF($H80=0,"NA",IF($A80=INDIRECT("'"&amp;$A80&amp;"'!$B$1"),IF(VLOOKUP(Y$1,INDIRECT("'"&amp;$A80&amp;"'!$A$12:$Z$41"),MATCH("Points (Auto-generate)",INDIRECT("'"&amp;$A80&amp;"'!$A$12:$Z$12"),0),0)="","?",VLOOKUP(Y$1,INDIRECT("'"&amp;$A80&amp;"'!$A$12:$Z$41"),MATCH("Points (Auto-generate)",INDIRECT("'"&amp;$A80&amp;"'!$A$12:$Z$12"),0),0)),"ER"))</f>
        <v>?</v>
      </c>
      <c r="Z80" s="83" t="str">
        <f aca="true">IF($H80=0,"NA",IF($A80=INDIRECT("'"&amp;$A80&amp;"'!$B$1"),IF(VLOOKUP(Z$1,INDIRECT("'"&amp;$A80&amp;"'!$A$12:$Z$41"),MATCH("Points (Auto-generate)",INDIRECT("'"&amp;$A80&amp;"'!$A$12:$Z$12"),0),0)="","?",VLOOKUP(Z$1,INDIRECT("'"&amp;$A80&amp;"'!$A$12:$Z$41"),MATCH("Points (Auto-generate)",INDIRECT("'"&amp;$A80&amp;"'!$A$12:$Z$12"),0),0)),"ER"))</f>
        <v>?</v>
      </c>
      <c r="AA80" s="83" t="str">
        <f aca="true">IF($H80=0,"NA",IF($A80=INDIRECT("'"&amp;$A80&amp;"'!$B$1"),IF(VLOOKUP(AA$1,INDIRECT("'"&amp;$A80&amp;"'!$A$12:$Z$41"),MATCH("Points (Auto-generate)",INDIRECT("'"&amp;$A80&amp;"'!$A$12:$Z$12"),0),0)="","?",VLOOKUP(AA$1,INDIRECT("'"&amp;$A80&amp;"'!$A$12:$Z$41"),MATCH("Points (Auto-generate)",INDIRECT("'"&amp;$A80&amp;"'!$A$12:$Z$12"),0),0)),"ER"))</f>
        <v>?</v>
      </c>
      <c r="AB80" s="83" t="str">
        <f aca="true">IF($H80=0,"NA",IF($A80=INDIRECT("'"&amp;$A80&amp;"'!$B$1"),IF(VLOOKUP(AB$1,INDIRECT("'"&amp;$A80&amp;"'!$A$12:$Z$41"),MATCH("Points (Auto-generate)",INDIRECT("'"&amp;$A80&amp;"'!$A$12:$Z$12"),0),0)="","?",VLOOKUP(AB$1,INDIRECT("'"&amp;$A80&amp;"'!$A$12:$Z$41"),MATCH("Points (Auto-generate)",INDIRECT("'"&amp;$A80&amp;"'!$A$12:$Z$12"),0),0)),"ER"))</f>
        <v>?</v>
      </c>
      <c r="AC80" s="83" t="str">
        <f aca="true">IF($H80=0,"NA",IF($A80=INDIRECT("'"&amp;$A80&amp;"'!$B$1"),IF(VLOOKUP(AC$1,INDIRECT("'"&amp;$A80&amp;"'!$A$12:$Z$41"),MATCH("Points (Auto-generate)",INDIRECT("'"&amp;$A80&amp;"'!$A$12:$Z$12"),0),0)="","?",VLOOKUP(AC$1,INDIRECT("'"&amp;$A80&amp;"'!$A$12:$Z$41"),MATCH("Points (Auto-generate)",INDIRECT("'"&amp;$A80&amp;"'!$A$12:$Z$12"),0),0)),"ER"))</f>
        <v>?</v>
      </c>
      <c r="AD80" s="83" t="str">
        <f aca="true">IF($H80=0,"NA",IF($A80=INDIRECT("'"&amp;$A80&amp;"'!$B$1"),IF(VLOOKUP(AD$1,INDIRECT("'"&amp;$A80&amp;"'!$A$12:$Z$41"),MATCH("Points (Auto-generate)",INDIRECT("'"&amp;$A80&amp;"'!$A$12:$Z$12"),0),0)="","?",VLOOKUP(AD$1,INDIRECT("'"&amp;$A80&amp;"'!$A$12:$Z$41"),MATCH("Points (Auto-generate)",INDIRECT("'"&amp;$A80&amp;"'!$A$12:$Z$12"),0),0)),"ER"))</f>
        <v>?</v>
      </c>
      <c r="AE80" s="83" t="str">
        <f aca="true">IF($H80=0,"NA",IF($A80=INDIRECT("'"&amp;$A80&amp;"'!$B$1"),IF(VLOOKUP(AE$1,INDIRECT("'"&amp;$A80&amp;"'!$A$12:$Z$41"),MATCH("Points (Auto-generate)",INDIRECT("'"&amp;$A80&amp;"'!$A$12:$Z$12"),0),0)="","?",VLOOKUP(AE$1,INDIRECT("'"&amp;$A80&amp;"'!$A$12:$Z$41"),MATCH("Points (Auto-generate)",INDIRECT("'"&amp;$A80&amp;"'!$A$12:$Z$12"),0),0)),"ER"))</f>
        <v>?</v>
      </c>
      <c r="AF80" s="83" t="str">
        <f aca="true">IF($H80=0,"NA",IF($A80=INDIRECT("'"&amp;$A80&amp;"'!$B$1"),IF(VLOOKUP(AF$1,INDIRECT("'"&amp;$A80&amp;"'!$A$12:$Z$41"),MATCH("Points (Auto-generate)",INDIRECT("'"&amp;$A80&amp;"'!$A$12:$Z$12"),0),0)="","?",VLOOKUP(AF$1,INDIRECT("'"&amp;$A80&amp;"'!$A$12:$Z$41"),MATCH("Points (Auto-generate)",INDIRECT("'"&amp;$A80&amp;"'!$A$12:$Z$12"),0),0)),"ER"))</f>
        <v>?</v>
      </c>
      <c r="AG80" s="83" t="str">
        <f aca="true">IF($H80=0,"NA",IF($A80=INDIRECT("'"&amp;$A80&amp;"'!$B$1"),IF(VLOOKUP(AG$1,INDIRECT("'"&amp;$A80&amp;"'!$A$12:$Z$41"),MATCH("Points (Auto-generate)",INDIRECT("'"&amp;$A80&amp;"'!$A$12:$Z$12"),0),0)="","?",VLOOKUP(AG$1,INDIRECT("'"&amp;$A80&amp;"'!$A$12:$Z$41"),MATCH("Points (Auto-generate)",INDIRECT("'"&amp;$A80&amp;"'!$A$12:$Z$12"),0),0)),"ER"))</f>
        <v>?</v>
      </c>
      <c r="AH80" s="83" t="str">
        <f aca="true">IF($H80=0,"NA",IF($A80=INDIRECT("'"&amp;$A80&amp;"'!$B$1"),IF(VLOOKUP(AH$1,INDIRECT("'"&amp;$A80&amp;"'!$A$12:$Z$41"),MATCH("Points (Auto-generate)",INDIRECT("'"&amp;$A80&amp;"'!$A$12:$Z$12"),0),0)="","?",VLOOKUP(AH$1,INDIRECT("'"&amp;$A80&amp;"'!$A$12:$Z$41"),MATCH("Points (Auto-generate)",INDIRECT("'"&amp;$A80&amp;"'!$A$12:$Z$12"),0),0)),"ER"))</f>
        <v>?</v>
      </c>
      <c r="AI80" s="83" t="str">
        <f aca="true">IF($H80=0,"NA",IF($A80=INDIRECT("'"&amp;$A80&amp;"'!$B$1"),IF(VLOOKUP(AI$1,INDIRECT("'"&amp;$A80&amp;"'!$A$12:$Z$41"),MATCH("Points (Auto-generate)",INDIRECT("'"&amp;$A80&amp;"'!$A$12:$Z$12"),0),0)="","?",VLOOKUP(AI$1,INDIRECT("'"&amp;$A80&amp;"'!$A$12:$Z$41"),MATCH("Points (Auto-generate)",INDIRECT("'"&amp;$A80&amp;"'!$A$12:$Z$12"),0),0)),"ER"))</f>
        <v>?</v>
      </c>
      <c r="AJ80" s="83" t="str">
        <f aca="true">IF($H80=0,"NA",IF($A80=INDIRECT("'"&amp;$A80&amp;"'!$B$1"),IF(VLOOKUP(AJ$1,INDIRECT("'"&amp;$A80&amp;"'!$A$12:$Z$41"),MATCH("Points (Auto-generate)",INDIRECT("'"&amp;$A80&amp;"'!$A$12:$Z$12"),0),0)="","?",VLOOKUP(AJ$1,INDIRECT("'"&amp;$A80&amp;"'!$A$12:$Z$41"),MATCH("Points (Auto-generate)",INDIRECT("'"&amp;$A80&amp;"'!$A$12:$Z$12"),0),0)),"ER"))</f>
        <v>?</v>
      </c>
      <c r="AK80" s="83" t="str">
        <f aca="true">IF($H80=0,"NA",IF($A80=INDIRECT("'"&amp;$A80&amp;"'!$B$1"),IF(VLOOKUP(AK$1,INDIRECT("'"&amp;$A80&amp;"'!$A$12:$Z$41"),MATCH("Points (Auto-generate)",INDIRECT("'"&amp;$A80&amp;"'!$A$12:$Z$12"),0),0)="","?",VLOOKUP(AK$1,INDIRECT("'"&amp;$A80&amp;"'!$A$12:$Z$41"),MATCH("Points (Auto-generate)",INDIRECT("'"&amp;$A80&amp;"'!$A$12:$Z$12"),0),0)),"ER"))</f>
        <v>?</v>
      </c>
    </row>
    <row r="81" customFormat="false" ht="14.25" hidden="false" customHeight="false" outlineLevel="0" collapsed="false">
      <c r="A81" s="79" t="s">
        <v>295</v>
      </c>
      <c r="B81" s="80" t="str">
        <f aca="false">IF(ISBLANK($A81),"NO_CODE",VLOOKUP($A81,'UPD Questions_290926 '!$E$1:$N$300,MATCH(B$1,'UPD Questions_290926 '!$E$1:$N$1,0),0)&amp;"")</f>
        <v>Implementation</v>
      </c>
      <c r="C81" s="80" t="str">
        <f aca="false">IF(ISBLANK($A81),"NO_CODE",VLOOKUP($A81,'UPD Questions_290926 '!$E$1:$N$300,MATCH(C$1,'UPD Questions_290926 '!$E$1:$N$1,0),0)&amp;"")</f>
        <v>Does the city have dedicated institutional capacity to undertake specialised planning and development functions?</v>
      </c>
      <c r="D81" s="80" t="str">
        <f aca="false">IF(ISBLANK($A81),"NO_CODE",VLOOKUP($A81,'UPD Questions_290926 '!$E$1:$N$300,MATCH(D$1,'UPD Questions_290926 '!$E$1:$N$1,0),0)&amp;"")</f>
        <v>Climate</v>
      </c>
      <c r="E81" s="80" t="str">
        <f aca="false">IF(ISBLANK($A81),"NO_CODE",VLOOKUP($A81,'UPD Questions_290926 '!$E$1:$N$300,MATCH(E$1,'UPD Questions_290926 '!$E$1:$N$1,0),0)&amp;"")</f>
        <v>SQ</v>
      </c>
      <c r="F81" s="80" t="str">
        <f aca="false">IF(ISBLANK($A81),"NO_CODE",VLOOKUP($A81,'UPD Questions_290926 '!$E$1:$N$300,MATCH(F$1,'UPD Questions_290926 '!$E$1:$N$1,0),0)&amp;"")</f>
        <v>Does the city have a Climate Action/Sustainability/Disaster Management Cell?</v>
      </c>
      <c r="G81" s="80" t="str">
        <f aca="false">IF(ISBLANK($A81),"NO_CODE",VLOOKUP($A81,'UPD Questions_290926 '!$E$1:$N$300,MATCH(G$1,'UPD Questions_290926 '!$E$1:$N$1,0),0)&amp;"")</f>
        <v>Implementation</v>
      </c>
      <c r="H81" s="82" t="n">
        <f aca="false">IF(ISBLANK($A81),"NO_CODE",VLOOKUP($A81,'UPD Questions_290926 '!$E$1:$N$300,MATCH(H$1,'UPD Questions_290926 '!$E$1:$N$1,0),0))</f>
        <v>2.5</v>
      </c>
      <c r="I81" s="83" t="str">
        <f aca="true">IF($H81=0,"NA",IF($A81=INDIRECT("'"&amp;$A81&amp;"'!$B$1"),IF(VLOOKUP(I$1,INDIRECT("'"&amp;$A81&amp;"'!$A$12:$Z$41"),MATCH("Points (Auto-generate)",INDIRECT("'"&amp;$A81&amp;"'!$A$12:$Z$12"),0),0)="","?",VLOOKUP(I$1,INDIRECT("'"&amp;$A81&amp;"'!$A$12:$Z$41"),MATCH("Points (Auto-generate)",INDIRECT("'"&amp;$A81&amp;"'!$A$12:$Z$12"),0),0)),"ER"))</f>
        <v>?</v>
      </c>
      <c r="J81" s="83" t="str">
        <f aca="true">IF($H81=0,"NA",IF($A81=INDIRECT("'"&amp;$A81&amp;"'!$B$1"),IF(VLOOKUP(J$1,INDIRECT("'"&amp;$A81&amp;"'!$A$12:$Z$41"),MATCH("Points (Auto-generate)",INDIRECT("'"&amp;$A81&amp;"'!$A$12:$Z$12"),0),0)="","?",VLOOKUP(J$1,INDIRECT("'"&amp;$A81&amp;"'!$A$12:$Z$41"),MATCH("Points (Auto-generate)",INDIRECT("'"&amp;$A81&amp;"'!$A$12:$Z$12"),0),0)),"ER"))</f>
        <v>?</v>
      </c>
      <c r="K81" s="83" t="str">
        <f aca="true">IF($H81=0,"NA",IF($A81=INDIRECT("'"&amp;$A81&amp;"'!$B$1"),IF(VLOOKUP(K$1,INDIRECT("'"&amp;$A81&amp;"'!$A$12:$Z$41"),MATCH("Points (Auto-generate)",INDIRECT("'"&amp;$A81&amp;"'!$A$12:$Z$12"),0),0)="","?",VLOOKUP(K$1,INDIRECT("'"&amp;$A81&amp;"'!$A$12:$Z$41"),MATCH("Points (Auto-generate)",INDIRECT("'"&amp;$A81&amp;"'!$A$12:$Z$12"),0),0)),"ER"))</f>
        <v>?</v>
      </c>
      <c r="L81" s="83" t="str">
        <f aca="true">IF($H81=0,"NA",IF($A81=INDIRECT("'"&amp;$A81&amp;"'!$B$1"),IF(VLOOKUP(L$1,INDIRECT("'"&amp;$A81&amp;"'!$A$12:$Z$41"),MATCH("Points (Auto-generate)",INDIRECT("'"&amp;$A81&amp;"'!$A$12:$Z$12"),0),0)="","?",VLOOKUP(L$1,INDIRECT("'"&amp;$A81&amp;"'!$A$12:$Z$41"),MATCH("Points (Auto-generate)",INDIRECT("'"&amp;$A81&amp;"'!$A$12:$Z$12"),0),0)),"ER"))</f>
        <v>?</v>
      </c>
      <c r="M81" s="83" t="str">
        <f aca="true">IF($H81=0,"NA",IF($A81=INDIRECT("'"&amp;$A81&amp;"'!$B$1"),IF(VLOOKUP(M$1,INDIRECT("'"&amp;$A81&amp;"'!$A$12:$Z$41"),MATCH("Points (Auto-generate)",INDIRECT("'"&amp;$A81&amp;"'!$A$12:$Z$12"),0),0)="","?",VLOOKUP(M$1,INDIRECT("'"&amp;$A81&amp;"'!$A$12:$Z$41"),MATCH("Points (Auto-generate)",INDIRECT("'"&amp;$A81&amp;"'!$A$12:$Z$12"),0),0)),"ER"))</f>
        <v>?</v>
      </c>
      <c r="N81" s="83" t="str">
        <f aca="true">IF($H81=0,"NA",IF($A81=INDIRECT("'"&amp;$A81&amp;"'!$B$1"),IF(VLOOKUP(N$1,INDIRECT("'"&amp;$A81&amp;"'!$A$12:$Z$41"),MATCH("Points (Auto-generate)",INDIRECT("'"&amp;$A81&amp;"'!$A$12:$Z$12"),0),0)="","?",VLOOKUP(N$1,INDIRECT("'"&amp;$A81&amp;"'!$A$12:$Z$41"),MATCH("Points (Auto-generate)",INDIRECT("'"&amp;$A81&amp;"'!$A$12:$Z$12"),0),0)),"ER"))</f>
        <v>?</v>
      </c>
      <c r="O81" s="83" t="str">
        <f aca="true">IF($H81=0,"NA",IF($A81=INDIRECT("'"&amp;$A81&amp;"'!$B$1"),IF(VLOOKUP(O$1,INDIRECT("'"&amp;$A81&amp;"'!$A$12:$Z$41"),MATCH("Points (Auto-generate)",INDIRECT("'"&amp;$A81&amp;"'!$A$12:$Z$12"),0),0)="","?",VLOOKUP(O$1,INDIRECT("'"&amp;$A81&amp;"'!$A$12:$Z$41"),MATCH("Points (Auto-generate)",INDIRECT("'"&amp;$A81&amp;"'!$A$12:$Z$12"),0),0)),"ER"))</f>
        <v>?</v>
      </c>
      <c r="P81" s="83" t="str">
        <f aca="true">IF($H81=0,"NA",IF($A81=INDIRECT("'"&amp;$A81&amp;"'!$B$1"),IF(VLOOKUP(P$1,INDIRECT("'"&amp;$A81&amp;"'!$A$12:$Z$41"),MATCH("Points (Auto-generate)",INDIRECT("'"&amp;$A81&amp;"'!$A$12:$Z$12"),0),0)="","?",VLOOKUP(P$1,INDIRECT("'"&amp;$A81&amp;"'!$A$12:$Z$41"),MATCH("Points (Auto-generate)",INDIRECT("'"&amp;$A81&amp;"'!$A$12:$Z$12"),0),0)),"ER"))</f>
        <v>?</v>
      </c>
      <c r="Q81" s="83" t="str">
        <f aca="true">IF($H81=0,"NA",IF($A81=INDIRECT("'"&amp;$A81&amp;"'!$B$1"),IF(VLOOKUP(Q$1,INDIRECT("'"&amp;$A81&amp;"'!$A$12:$Z$41"),MATCH("Points (Auto-generate)",INDIRECT("'"&amp;$A81&amp;"'!$A$12:$Z$12"),0),0)="","?",VLOOKUP(Q$1,INDIRECT("'"&amp;$A81&amp;"'!$A$12:$Z$41"),MATCH("Points (Auto-generate)",INDIRECT("'"&amp;$A81&amp;"'!$A$12:$Z$12"),0),0)),"ER"))</f>
        <v>?</v>
      </c>
      <c r="R81" s="83" t="str">
        <f aca="true">IF($H81=0,"NA",IF($A81=INDIRECT("'"&amp;$A81&amp;"'!$B$1"),IF(VLOOKUP(R$1,INDIRECT("'"&amp;$A81&amp;"'!$A$12:$Z$41"),MATCH("Points (Auto-generate)",INDIRECT("'"&amp;$A81&amp;"'!$A$12:$Z$12"),0),0)="","?",VLOOKUP(R$1,INDIRECT("'"&amp;$A81&amp;"'!$A$12:$Z$41"),MATCH("Points (Auto-generate)",INDIRECT("'"&amp;$A81&amp;"'!$A$12:$Z$12"),0),0)),"ER"))</f>
        <v>?</v>
      </c>
      <c r="S81" s="83" t="str">
        <f aca="true">IF($H81=0,"NA",IF($A81=INDIRECT("'"&amp;$A81&amp;"'!$B$1"),IF(VLOOKUP(S$1,INDIRECT("'"&amp;$A81&amp;"'!$A$12:$Z$41"),MATCH("Points (Auto-generate)",INDIRECT("'"&amp;$A81&amp;"'!$A$12:$Z$12"),0),0)="","?",VLOOKUP(S$1,INDIRECT("'"&amp;$A81&amp;"'!$A$12:$Z$41"),MATCH("Points (Auto-generate)",INDIRECT("'"&amp;$A81&amp;"'!$A$12:$Z$12"),0),0)),"ER"))</f>
        <v>?</v>
      </c>
      <c r="T81" s="83" t="str">
        <f aca="true">IF($H81=0,"NA",IF($A81=INDIRECT("'"&amp;$A81&amp;"'!$B$1"),IF(VLOOKUP(T$1,INDIRECT("'"&amp;$A81&amp;"'!$A$12:$Z$41"),MATCH("Points (Auto-generate)",INDIRECT("'"&amp;$A81&amp;"'!$A$12:$Z$12"),0),0)="","?",VLOOKUP(T$1,INDIRECT("'"&amp;$A81&amp;"'!$A$12:$Z$41"),MATCH("Points (Auto-generate)",INDIRECT("'"&amp;$A81&amp;"'!$A$12:$Z$12"),0),0)),"ER"))</f>
        <v>?</v>
      </c>
      <c r="U81" s="83" t="str">
        <f aca="true">IF($H81=0,"NA",IF($A81=INDIRECT("'"&amp;$A81&amp;"'!$B$1"),IF(VLOOKUP(U$1,INDIRECT("'"&amp;$A81&amp;"'!$A$12:$Z$41"),MATCH("Points (Auto-generate)",INDIRECT("'"&amp;$A81&amp;"'!$A$12:$Z$12"),0),0)="","?",VLOOKUP(U$1,INDIRECT("'"&amp;$A81&amp;"'!$A$12:$Z$41"),MATCH("Points (Auto-generate)",INDIRECT("'"&amp;$A81&amp;"'!$A$12:$Z$12"),0),0)),"ER"))</f>
        <v>?</v>
      </c>
      <c r="V81" s="83" t="str">
        <f aca="true">IF($H81=0,"NA",IF($A81=INDIRECT("'"&amp;$A81&amp;"'!$B$1"),IF(VLOOKUP(V$1,INDIRECT("'"&amp;$A81&amp;"'!$A$12:$Z$41"),MATCH("Points (Auto-generate)",INDIRECT("'"&amp;$A81&amp;"'!$A$12:$Z$12"),0),0)="","?",VLOOKUP(V$1,INDIRECT("'"&amp;$A81&amp;"'!$A$12:$Z$41"),MATCH("Points (Auto-generate)",INDIRECT("'"&amp;$A81&amp;"'!$A$12:$Z$12"),0),0)),"ER"))</f>
        <v>?</v>
      </c>
      <c r="W81" s="83" t="str">
        <f aca="true">IF($H81=0,"NA",IF($A81=INDIRECT("'"&amp;$A81&amp;"'!$B$1"),IF(VLOOKUP(W$1,INDIRECT("'"&amp;$A81&amp;"'!$A$12:$Z$41"),MATCH("Points (Auto-generate)",INDIRECT("'"&amp;$A81&amp;"'!$A$12:$Z$12"),0),0)="","?",VLOOKUP(W$1,INDIRECT("'"&amp;$A81&amp;"'!$A$12:$Z$41"),MATCH("Points (Auto-generate)",INDIRECT("'"&amp;$A81&amp;"'!$A$12:$Z$12"),0),0)),"ER"))</f>
        <v>?</v>
      </c>
      <c r="X81" s="83" t="str">
        <f aca="true">IF($H81=0,"NA",IF($A81=INDIRECT("'"&amp;$A81&amp;"'!$B$1"),IF(VLOOKUP(X$1,INDIRECT("'"&amp;$A81&amp;"'!$A$12:$Z$41"),MATCH("Points (Auto-generate)",INDIRECT("'"&amp;$A81&amp;"'!$A$12:$Z$12"),0),0)="","?",VLOOKUP(X$1,INDIRECT("'"&amp;$A81&amp;"'!$A$12:$Z$41"),MATCH("Points (Auto-generate)",INDIRECT("'"&amp;$A81&amp;"'!$A$12:$Z$12"),0),0)),"ER"))</f>
        <v>?</v>
      </c>
      <c r="Y81" s="83" t="str">
        <f aca="true">IF($H81=0,"NA",IF($A81=INDIRECT("'"&amp;$A81&amp;"'!$B$1"),IF(VLOOKUP(Y$1,INDIRECT("'"&amp;$A81&amp;"'!$A$12:$Z$41"),MATCH("Points (Auto-generate)",INDIRECT("'"&amp;$A81&amp;"'!$A$12:$Z$12"),0),0)="","?",VLOOKUP(Y$1,INDIRECT("'"&amp;$A81&amp;"'!$A$12:$Z$41"),MATCH("Points (Auto-generate)",INDIRECT("'"&amp;$A81&amp;"'!$A$12:$Z$12"),0),0)),"ER"))</f>
        <v>?</v>
      </c>
      <c r="Z81" s="83" t="str">
        <f aca="true">IF($H81=0,"NA",IF($A81=INDIRECT("'"&amp;$A81&amp;"'!$B$1"),IF(VLOOKUP(Z$1,INDIRECT("'"&amp;$A81&amp;"'!$A$12:$Z$41"),MATCH("Points (Auto-generate)",INDIRECT("'"&amp;$A81&amp;"'!$A$12:$Z$12"),0),0)="","?",VLOOKUP(Z$1,INDIRECT("'"&amp;$A81&amp;"'!$A$12:$Z$41"),MATCH("Points (Auto-generate)",INDIRECT("'"&amp;$A81&amp;"'!$A$12:$Z$12"),0),0)),"ER"))</f>
        <v>?</v>
      </c>
      <c r="AA81" s="83" t="str">
        <f aca="true">IF($H81=0,"NA",IF($A81=INDIRECT("'"&amp;$A81&amp;"'!$B$1"),IF(VLOOKUP(AA$1,INDIRECT("'"&amp;$A81&amp;"'!$A$12:$Z$41"),MATCH("Points (Auto-generate)",INDIRECT("'"&amp;$A81&amp;"'!$A$12:$Z$12"),0),0)="","?",VLOOKUP(AA$1,INDIRECT("'"&amp;$A81&amp;"'!$A$12:$Z$41"),MATCH("Points (Auto-generate)",INDIRECT("'"&amp;$A81&amp;"'!$A$12:$Z$12"),0),0)),"ER"))</f>
        <v>?</v>
      </c>
      <c r="AB81" s="83" t="str">
        <f aca="true">IF($H81=0,"NA",IF($A81=INDIRECT("'"&amp;$A81&amp;"'!$B$1"),IF(VLOOKUP(AB$1,INDIRECT("'"&amp;$A81&amp;"'!$A$12:$Z$41"),MATCH("Points (Auto-generate)",INDIRECT("'"&amp;$A81&amp;"'!$A$12:$Z$12"),0),0)="","?",VLOOKUP(AB$1,INDIRECT("'"&amp;$A81&amp;"'!$A$12:$Z$41"),MATCH("Points (Auto-generate)",INDIRECT("'"&amp;$A81&amp;"'!$A$12:$Z$12"),0),0)),"ER"))</f>
        <v>?</v>
      </c>
      <c r="AC81" s="83" t="n">
        <f aca="true">IF($H81=0,"NA",IF($A81=INDIRECT("'"&amp;$A81&amp;"'!$B$1"),IF(VLOOKUP(AC$1,INDIRECT("'"&amp;$A81&amp;"'!$A$12:$Z$41"),MATCH("Points (Auto-generate)",INDIRECT("'"&amp;$A81&amp;"'!$A$12:$Z$12"),0),0)="","?",VLOOKUP(AC$1,INDIRECT("'"&amp;$A81&amp;"'!$A$12:$Z$41"),MATCH("Points (Auto-generate)",INDIRECT("'"&amp;$A81&amp;"'!$A$12:$Z$12"),0),0)),"ER"))</f>
        <v>2.5</v>
      </c>
      <c r="AD81" s="83" t="str">
        <f aca="true">IF($H81=0,"NA",IF($A81=INDIRECT("'"&amp;$A81&amp;"'!$B$1"),IF(VLOOKUP(AD$1,INDIRECT("'"&amp;$A81&amp;"'!$A$12:$Z$41"),MATCH("Points (Auto-generate)",INDIRECT("'"&amp;$A81&amp;"'!$A$12:$Z$12"),0),0)="","?",VLOOKUP(AD$1,INDIRECT("'"&amp;$A81&amp;"'!$A$12:$Z$41"),MATCH("Points (Auto-generate)",INDIRECT("'"&amp;$A81&amp;"'!$A$12:$Z$12"),0),0)),"ER"))</f>
        <v>?</v>
      </c>
      <c r="AE81" s="83" t="str">
        <f aca="true">IF($H81=0,"NA",IF($A81=INDIRECT("'"&amp;$A81&amp;"'!$B$1"),IF(VLOOKUP(AE$1,INDIRECT("'"&amp;$A81&amp;"'!$A$12:$Z$41"),MATCH("Points (Auto-generate)",INDIRECT("'"&amp;$A81&amp;"'!$A$12:$Z$12"),0),0)="","?",VLOOKUP(AE$1,INDIRECT("'"&amp;$A81&amp;"'!$A$12:$Z$41"),MATCH("Points (Auto-generate)",INDIRECT("'"&amp;$A81&amp;"'!$A$12:$Z$12"),0),0)),"ER"))</f>
        <v>?</v>
      </c>
      <c r="AF81" s="83" t="str">
        <f aca="true">IF($H81=0,"NA",IF($A81=INDIRECT("'"&amp;$A81&amp;"'!$B$1"),IF(VLOOKUP(AF$1,INDIRECT("'"&amp;$A81&amp;"'!$A$12:$Z$41"),MATCH("Points (Auto-generate)",INDIRECT("'"&amp;$A81&amp;"'!$A$12:$Z$12"),0),0)="","?",VLOOKUP(AF$1,INDIRECT("'"&amp;$A81&amp;"'!$A$12:$Z$41"),MATCH("Points (Auto-generate)",INDIRECT("'"&amp;$A81&amp;"'!$A$12:$Z$12"),0),0)),"ER"))</f>
        <v>?</v>
      </c>
      <c r="AG81" s="83" t="str">
        <f aca="true">IF($H81=0,"NA",IF($A81=INDIRECT("'"&amp;$A81&amp;"'!$B$1"),IF(VLOOKUP(AG$1,INDIRECT("'"&amp;$A81&amp;"'!$A$12:$Z$41"),MATCH("Points (Auto-generate)",INDIRECT("'"&amp;$A81&amp;"'!$A$12:$Z$12"),0),0)="","?",VLOOKUP(AG$1,INDIRECT("'"&amp;$A81&amp;"'!$A$12:$Z$41"),MATCH("Points (Auto-generate)",INDIRECT("'"&amp;$A81&amp;"'!$A$12:$Z$12"),0),0)),"ER"))</f>
        <v>?</v>
      </c>
      <c r="AH81" s="83" t="str">
        <f aca="true">IF($H81=0,"NA",IF($A81=INDIRECT("'"&amp;$A81&amp;"'!$B$1"),IF(VLOOKUP(AH$1,INDIRECT("'"&amp;$A81&amp;"'!$A$12:$Z$41"),MATCH("Points (Auto-generate)",INDIRECT("'"&amp;$A81&amp;"'!$A$12:$Z$12"),0),0)="","?",VLOOKUP(AH$1,INDIRECT("'"&amp;$A81&amp;"'!$A$12:$Z$41"),MATCH("Points (Auto-generate)",INDIRECT("'"&amp;$A81&amp;"'!$A$12:$Z$12"),0),0)),"ER"))</f>
        <v>?</v>
      </c>
      <c r="AI81" s="83" t="str">
        <f aca="true">IF($H81=0,"NA",IF($A81=INDIRECT("'"&amp;$A81&amp;"'!$B$1"),IF(VLOOKUP(AI$1,INDIRECT("'"&amp;$A81&amp;"'!$A$12:$Z$41"),MATCH("Points (Auto-generate)",INDIRECT("'"&amp;$A81&amp;"'!$A$12:$Z$12"),0),0)="","?",VLOOKUP(AI$1,INDIRECT("'"&amp;$A81&amp;"'!$A$12:$Z$41"),MATCH("Points (Auto-generate)",INDIRECT("'"&amp;$A81&amp;"'!$A$12:$Z$12"),0),0)),"ER"))</f>
        <v>?</v>
      </c>
      <c r="AJ81" s="83" t="str">
        <f aca="true">IF($H81=0,"NA",IF($A81=INDIRECT("'"&amp;$A81&amp;"'!$B$1"),IF(VLOOKUP(AJ$1,INDIRECT("'"&amp;$A81&amp;"'!$A$12:$Z$41"),MATCH("Points (Auto-generate)",INDIRECT("'"&amp;$A81&amp;"'!$A$12:$Z$12"),0),0)="","?",VLOOKUP(AJ$1,INDIRECT("'"&amp;$A81&amp;"'!$A$12:$Z$41"),MATCH("Points (Auto-generate)",INDIRECT("'"&amp;$A81&amp;"'!$A$12:$Z$12"),0),0)),"ER"))</f>
        <v>?</v>
      </c>
      <c r="AK81" s="83" t="str">
        <f aca="true">IF($H81=0,"NA",IF($A81=INDIRECT("'"&amp;$A81&amp;"'!$B$1"),IF(VLOOKUP(AK$1,INDIRECT("'"&amp;$A81&amp;"'!$A$12:$Z$41"),MATCH("Points (Auto-generate)",INDIRECT("'"&amp;$A81&amp;"'!$A$12:$Z$12"),0),0)="","?",VLOOKUP(AK$1,INDIRECT("'"&amp;$A81&amp;"'!$A$12:$Z$41"),MATCH("Points (Auto-generate)",INDIRECT("'"&amp;$A81&amp;"'!$A$12:$Z$12"),0),0)),"ER"))</f>
        <v>?</v>
      </c>
    </row>
    <row r="82" customFormat="false" ht="14.25" hidden="false" customHeight="false" outlineLevel="0" collapsed="false">
      <c r="A82" s="79" t="s">
        <v>300</v>
      </c>
      <c r="B82" s="80" t="str">
        <f aca="false">IF(ISBLANK($A82),"NO_CODE",VLOOKUP($A82,'UPD Questions_290926 '!$E$1:$N$300,MATCH(B$1,'UPD Questions_290926 '!$E$1:$N$1,0),0)&amp;"")</f>
        <v>Implementation</v>
      </c>
      <c r="C82" s="80" t="str">
        <f aca="false">IF(ISBLANK($A82),"NO_CODE",VLOOKUP($A82,'UPD Questions_290926 '!$E$1:$N$300,MATCH(C$1,'UPD Questions_290926 '!$E$1:$N$1,0),0)&amp;"")</f>
        <v>Does the city have dedicated institutional capacity to undertake specialised planning and development functions?</v>
      </c>
      <c r="D82" s="80" t="str">
        <f aca="false">IF(ISBLANK($A82),"NO_CODE",VLOOKUP($A82,'UPD Questions_290926 '!$E$1:$N$300,MATCH(D$1,'UPD Questions_290926 '!$E$1:$N$1,0),0)&amp;"")</f>
        <v>Economic development</v>
      </c>
      <c r="E82" s="80" t="str">
        <f aca="false">IF(ISBLANK($A82),"NO_CODE",VLOOKUP($A82,'UPD Questions_290926 '!$E$1:$N$300,MATCH(E$1,'UPD Questions_290926 '!$E$1:$N$1,0),0)&amp;"")</f>
        <v>SQ</v>
      </c>
      <c r="F82" s="80" t="str">
        <f aca="false">IF(ISBLANK($A82),"NO_CODE",VLOOKUP($A82,'UPD Questions_290926 '!$E$1:$N$300,MATCH(F$1,'UPD Questions_290926 '!$E$1:$N$1,0),0)&amp;"")</f>
        <v>Does the city have an Economic Develepment Cell ?</v>
      </c>
      <c r="G82" s="80" t="str">
        <f aca="false">IF(ISBLANK($A82),"NO_CODE",VLOOKUP($A82,'UPD Questions_290926 '!$E$1:$N$300,MATCH(G$1,'UPD Questions_290926 '!$E$1:$N$1,0),0)&amp;"")</f>
        <v>Implementation</v>
      </c>
      <c r="H82" s="82" t="n">
        <f aca="false">IF(ISBLANK($A82),"NO_CODE",VLOOKUP($A82,'UPD Questions_290926 '!$E$1:$N$300,MATCH(H$1,'UPD Questions_290926 '!$E$1:$N$1,0),0))</f>
        <v>2.5</v>
      </c>
      <c r="I82" s="83" t="str">
        <f aca="true">IF($H82=0,"NA",IF($A82=INDIRECT("'"&amp;$A82&amp;"'!$B$1"),IF(VLOOKUP(I$1,INDIRECT("'"&amp;$A82&amp;"'!$A$12:$Z$41"),MATCH("Points (Auto-generate)",INDIRECT("'"&amp;$A82&amp;"'!$A$12:$Z$12"),0),0)="","?",VLOOKUP(I$1,INDIRECT("'"&amp;$A82&amp;"'!$A$12:$Z$41"),MATCH("Points (Auto-generate)",INDIRECT("'"&amp;$A82&amp;"'!$A$12:$Z$12"),0),0)),"ER"))</f>
        <v>?</v>
      </c>
      <c r="J82" s="83" t="str">
        <f aca="true">IF($H82=0,"NA",IF($A82=INDIRECT("'"&amp;$A82&amp;"'!$B$1"),IF(VLOOKUP(J$1,INDIRECT("'"&amp;$A82&amp;"'!$A$12:$Z$41"),MATCH("Points (Auto-generate)",INDIRECT("'"&amp;$A82&amp;"'!$A$12:$Z$12"),0),0)="","?",VLOOKUP(J$1,INDIRECT("'"&amp;$A82&amp;"'!$A$12:$Z$41"),MATCH("Points (Auto-generate)",INDIRECT("'"&amp;$A82&amp;"'!$A$12:$Z$12"),0),0)),"ER"))</f>
        <v>?</v>
      </c>
      <c r="K82" s="83" t="str">
        <f aca="true">IF($H82=0,"NA",IF($A82=INDIRECT("'"&amp;$A82&amp;"'!$B$1"),IF(VLOOKUP(K$1,INDIRECT("'"&amp;$A82&amp;"'!$A$12:$Z$41"),MATCH("Points (Auto-generate)",INDIRECT("'"&amp;$A82&amp;"'!$A$12:$Z$12"),0),0)="","?",VLOOKUP(K$1,INDIRECT("'"&amp;$A82&amp;"'!$A$12:$Z$41"),MATCH("Points (Auto-generate)",INDIRECT("'"&amp;$A82&amp;"'!$A$12:$Z$12"),0),0)),"ER"))</f>
        <v>?</v>
      </c>
      <c r="L82" s="83" t="str">
        <f aca="true">IF($H82=0,"NA",IF($A82=INDIRECT("'"&amp;$A82&amp;"'!$B$1"),IF(VLOOKUP(L$1,INDIRECT("'"&amp;$A82&amp;"'!$A$12:$Z$41"),MATCH("Points (Auto-generate)",INDIRECT("'"&amp;$A82&amp;"'!$A$12:$Z$12"),0),0)="","?",VLOOKUP(L$1,INDIRECT("'"&amp;$A82&amp;"'!$A$12:$Z$41"),MATCH("Points (Auto-generate)",INDIRECT("'"&amp;$A82&amp;"'!$A$12:$Z$12"),0),0)),"ER"))</f>
        <v>?</v>
      </c>
      <c r="M82" s="83" t="str">
        <f aca="true">IF($H82=0,"NA",IF($A82=INDIRECT("'"&amp;$A82&amp;"'!$B$1"),IF(VLOOKUP(M$1,INDIRECT("'"&amp;$A82&amp;"'!$A$12:$Z$41"),MATCH("Points (Auto-generate)",INDIRECT("'"&amp;$A82&amp;"'!$A$12:$Z$12"),0),0)="","?",VLOOKUP(M$1,INDIRECT("'"&amp;$A82&amp;"'!$A$12:$Z$41"),MATCH("Points (Auto-generate)",INDIRECT("'"&amp;$A82&amp;"'!$A$12:$Z$12"),0),0)),"ER"))</f>
        <v>?</v>
      </c>
      <c r="N82" s="83" t="str">
        <f aca="true">IF($H82=0,"NA",IF($A82=INDIRECT("'"&amp;$A82&amp;"'!$B$1"),IF(VLOOKUP(N$1,INDIRECT("'"&amp;$A82&amp;"'!$A$12:$Z$41"),MATCH("Points (Auto-generate)",INDIRECT("'"&amp;$A82&amp;"'!$A$12:$Z$12"),0),0)="","?",VLOOKUP(N$1,INDIRECT("'"&amp;$A82&amp;"'!$A$12:$Z$41"),MATCH("Points (Auto-generate)",INDIRECT("'"&amp;$A82&amp;"'!$A$12:$Z$12"),0),0)),"ER"))</f>
        <v>?</v>
      </c>
      <c r="O82" s="83" t="str">
        <f aca="true">IF($H82=0,"NA",IF($A82=INDIRECT("'"&amp;$A82&amp;"'!$B$1"),IF(VLOOKUP(O$1,INDIRECT("'"&amp;$A82&amp;"'!$A$12:$Z$41"),MATCH("Points (Auto-generate)",INDIRECT("'"&amp;$A82&amp;"'!$A$12:$Z$12"),0),0)="","?",VLOOKUP(O$1,INDIRECT("'"&amp;$A82&amp;"'!$A$12:$Z$41"),MATCH("Points (Auto-generate)",INDIRECT("'"&amp;$A82&amp;"'!$A$12:$Z$12"),0),0)),"ER"))</f>
        <v>?</v>
      </c>
      <c r="P82" s="83" t="str">
        <f aca="true">IF($H82=0,"NA",IF($A82=INDIRECT("'"&amp;$A82&amp;"'!$B$1"),IF(VLOOKUP(P$1,INDIRECT("'"&amp;$A82&amp;"'!$A$12:$Z$41"),MATCH("Points (Auto-generate)",INDIRECT("'"&amp;$A82&amp;"'!$A$12:$Z$12"),0),0)="","?",VLOOKUP(P$1,INDIRECT("'"&amp;$A82&amp;"'!$A$12:$Z$41"),MATCH("Points (Auto-generate)",INDIRECT("'"&amp;$A82&amp;"'!$A$12:$Z$12"),0),0)),"ER"))</f>
        <v>?</v>
      </c>
      <c r="Q82" s="83" t="str">
        <f aca="true">IF($H82=0,"NA",IF($A82=INDIRECT("'"&amp;$A82&amp;"'!$B$1"),IF(VLOOKUP(Q$1,INDIRECT("'"&amp;$A82&amp;"'!$A$12:$Z$41"),MATCH("Points (Auto-generate)",INDIRECT("'"&amp;$A82&amp;"'!$A$12:$Z$12"),0),0)="","?",VLOOKUP(Q$1,INDIRECT("'"&amp;$A82&amp;"'!$A$12:$Z$41"),MATCH("Points (Auto-generate)",INDIRECT("'"&amp;$A82&amp;"'!$A$12:$Z$12"),0),0)),"ER"))</f>
        <v>?</v>
      </c>
      <c r="R82" s="83" t="str">
        <f aca="true">IF($H82=0,"NA",IF($A82=INDIRECT("'"&amp;$A82&amp;"'!$B$1"),IF(VLOOKUP(R$1,INDIRECT("'"&amp;$A82&amp;"'!$A$12:$Z$41"),MATCH("Points (Auto-generate)",INDIRECT("'"&amp;$A82&amp;"'!$A$12:$Z$12"),0),0)="","?",VLOOKUP(R$1,INDIRECT("'"&amp;$A82&amp;"'!$A$12:$Z$41"),MATCH("Points (Auto-generate)",INDIRECT("'"&amp;$A82&amp;"'!$A$12:$Z$12"),0),0)),"ER"))</f>
        <v>?</v>
      </c>
      <c r="S82" s="83" t="str">
        <f aca="true">IF($H82=0,"NA",IF($A82=INDIRECT("'"&amp;$A82&amp;"'!$B$1"),IF(VLOOKUP(S$1,INDIRECT("'"&amp;$A82&amp;"'!$A$12:$Z$41"),MATCH("Points (Auto-generate)",INDIRECT("'"&amp;$A82&amp;"'!$A$12:$Z$12"),0),0)="","?",VLOOKUP(S$1,INDIRECT("'"&amp;$A82&amp;"'!$A$12:$Z$41"),MATCH("Points (Auto-generate)",INDIRECT("'"&amp;$A82&amp;"'!$A$12:$Z$12"),0),0)),"ER"))</f>
        <v>?</v>
      </c>
      <c r="T82" s="83" t="str">
        <f aca="true">IF($H82=0,"NA",IF($A82=INDIRECT("'"&amp;$A82&amp;"'!$B$1"),IF(VLOOKUP(T$1,INDIRECT("'"&amp;$A82&amp;"'!$A$12:$Z$41"),MATCH("Points (Auto-generate)",INDIRECT("'"&amp;$A82&amp;"'!$A$12:$Z$12"),0),0)="","?",VLOOKUP(T$1,INDIRECT("'"&amp;$A82&amp;"'!$A$12:$Z$41"),MATCH("Points (Auto-generate)",INDIRECT("'"&amp;$A82&amp;"'!$A$12:$Z$12"),0),0)),"ER"))</f>
        <v>?</v>
      </c>
      <c r="U82" s="83" t="str">
        <f aca="true">IF($H82=0,"NA",IF($A82=INDIRECT("'"&amp;$A82&amp;"'!$B$1"),IF(VLOOKUP(U$1,INDIRECT("'"&amp;$A82&amp;"'!$A$12:$Z$41"),MATCH("Points (Auto-generate)",INDIRECT("'"&amp;$A82&amp;"'!$A$12:$Z$12"),0),0)="","?",VLOOKUP(U$1,INDIRECT("'"&amp;$A82&amp;"'!$A$12:$Z$41"),MATCH("Points (Auto-generate)",INDIRECT("'"&amp;$A82&amp;"'!$A$12:$Z$12"),0),0)),"ER"))</f>
        <v>?</v>
      </c>
      <c r="V82" s="83" t="str">
        <f aca="true">IF($H82=0,"NA",IF($A82=INDIRECT("'"&amp;$A82&amp;"'!$B$1"),IF(VLOOKUP(V$1,INDIRECT("'"&amp;$A82&amp;"'!$A$12:$Z$41"),MATCH("Points (Auto-generate)",INDIRECT("'"&amp;$A82&amp;"'!$A$12:$Z$12"),0),0)="","?",VLOOKUP(V$1,INDIRECT("'"&amp;$A82&amp;"'!$A$12:$Z$41"),MATCH("Points (Auto-generate)",INDIRECT("'"&amp;$A82&amp;"'!$A$12:$Z$12"),0),0)),"ER"))</f>
        <v>?</v>
      </c>
      <c r="W82" s="83" t="str">
        <f aca="true">IF($H82=0,"NA",IF($A82=INDIRECT("'"&amp;$A82&amp;"'!$B$1"),IF(VLOOKUP(W$1,INDIRECT("'"&amp;$A82&amp;"'!$A$12:$Z$41"),MATCH("Points (Auto-generate)",INDIRECT("'"&amp;$A82&amp;"'!$A$12:$Z$12"),0),0)="","?",VLOOKUP(W$1,INDIRECT("'"&amp;$A82&amp;"'!$A$12:$Z$41"),MATCH("Points (Auto-generate)",INDIRECT("'"&amp;$A82&amp;"'!$A$12:$Z$12"),0),0)),"ER"))</f>
        <v>?</v>
      </c>
      <c r="X82" s="83" t="str">
        <f aca="true">IF($H82=0,"NA",IF($A82=INDIRECT("'"&amp;$A82&amp;"'!$B$1"),IF(VLOOKUP(X$1,INDIRECT("'"&amp;$A82&amp;"'!$A$12:$Z$41"),MATCH("Points (Auto-generate)",INDIRECT("'"&amp;$A82&amp;"'!$A$12:$Z$12"),0),0)="","?",VLOOKUP(X$1,INDIRECT("'"&amp;$A82&amp;"'!$A$12:$Z$41"),MATCH("Points (Auto-generate)",INDIRECT("'"&amp;$A82&amp;"'!$A$12:$Z$12"),0),0)),"ER"))</f>
        <v>?</v>
      </c>
      <c r="Y82" s="83" t="str">
        <f aca="true">IF($H82=0,"NA",IF($A82=INDIRECT("'"&amp;$A82&amp;"'!$B$1"),IF(VLOOKUP(Y$1,INDIRECT("'"&amp;$A82&amp;"'!$A$12:$Z$41"),MATCH("Points (Auto-generate)",INDIRECT("'"&amp;$A82&amp;"'!$A$12:$Z$12"),0),0)="","?",VLOOKUP(Y$1,INDIRECT("'"&amp;$A82&amp;"'!$A$12:$Z$41"),MATCH("Points (Auto-generate)",INDIRECT("'"&amp;$A82&amp;"'!$A$12:$Z$12"),0),0)),"ER"))</f>
        <v>?</v>
      </c>
      <c r="Z82" s="83" t="str">
        <f aca="true">IF($H82=0,"NA",IF($A82=INDIRECT("'"&amp;$A82&amp;"'!$B$1"),IF(VLOOKUP(Z$1,INDIRECT("'"&amp;$A82&amp;"'!$A$12:$Z$41"),MATCH("Points (Auto-generate)",INDIRECT("'"&amp;$A82&amp;"'!$A$12:$Z$12"),0),0)="","?",VLOOKUP(Z$1,INDIRECT("'"&amp;$A82&amp;"'!$A$12:$Z$41"),MATCH("Points (Auto-generate)",INDIRECT("'"&amp;$A82&amp;"'!$A$12:$Z$12"),0),0)),"ER"))</f>
        <v>?</v>
      </c>
      <c r="AA82" s="83" t="str">
        <f aca="true">IF($H82=0,"NA",IF($A82=INDIRECT("'"&amp;$A82&amp;"'!$B$1"),IF(VLOOKUP(AA$1,INDIRECT("'"&amp;$A82&amp;"'!$A$12:$Z$41"),MATCH("Points (Auto-generate)",INDIRECT("'"&amp;$A82&amp;"'!$A$12:$Z$12"),0),0)="","?",VLOOKUP(AA$1,INDIRECT("'"&amp;$A82&amp;"'!$A$12:$Z$41"),MATCH("Points (Auto-generate)",INDIRECT("'"&amp;$A82&amp;"'!$A$12:$Z$12"),0),0)),"ER"))</f>
        <v>?</v>
      </c>
      <c r="AB82" s="83" t="str">
        <f aca="true">IF($H82=0,"NA",IF($A82=INDIRECT("'"&amp;$A82&amp;"'!$B$1"),IF(VLOOKUP(AB$1,INDIRECT("'"&amp;$A82&amp;"'!$A$12:$Z$41"),MATCH("Points (Auto-generate)",INDIRECT("'"&amp;$A82&amp;"'!$A$12:$Z$12"),0),0)="","?",VLOOKUP(AB$1,INDIRECT("'"&amp;$A82&amp;"'!$A$12:$Z$41"),MATCH("Points (Auto-generate)",INDIRECT("'"&amp;$A82&amp;"'!$A$12:$Z$12"),0),0)),"ER"))</f>
        <v>?</v>
      </c>
      <c r="AC82" s="83" t="str">
        <f aca="true">IF($H82=0,"NA",IF($A82=INDIRECT("'"&amp;$A82&amp;"'!$B$1"),IF(VLOOKUP(AC$1,INDIRECT("'"&amp;$A82&amp;"'!$A$12:$Z$41"),MATCH("Points (Auto-generate)",INDIRECT("'"&amp;$A82&amp;"'!$A$12:$Z$12"),0),0)="","?",VLOOKUP(AC$1,INDIRECT("'"&amp;$A82&amp;"'!$A$12:$Z$41"),MATCH("Points (Auto-generate)",INDIRECT("'"&amp;$A82&amp;"'!$A$12:$Z$12"),0),0)),"ER"))</f>
        <v>?</v>
      </c>
      <c r="AD82" s="83" t="str">
        <f aca="true">IF($H82=0,"NA",IF($A82=INDIRECT("'"&amp;$A82&amp;"'!$B$1"),IF(VLOOKUP(AD$1,INDIRECT("'"&amp;$A82&amp;"'!$A$12:$Z$41"),MATCH("Points (Auto-generate)",INDIRECT("'"&amp;$A82&amp;"'!$A$12:$Z$12"),0),0)="","?",VLOOKUP(AD$1,INDIRECT("'"&amp;$A82&amp;"'!$A$12:$Z$41"),MATCH("Points (Auto-generate)",INDIRECT("'"&amp;$A82&amp;"'!$A$12:$Z$12"),0),0)),"ER"))</f>
        <v>?</v>
      </c>
      <c r="AE82" s="83" t="str">
        <f aca="true">IF($H82=0,"NA",IF($A82=INDIRECT("'"&amp;$A82&amp;"'!$B$1"),IF(VLOOKUP(AE$1,INDIRECT("'"&amp;$A82&amp;"'!$A$12:$Z$41"),MATCH("Points (Auto-generate)",INDIRECT("'"&amp;$A82&amp;"'!$A$12:$Z$12"),0),0)="","?",VLOOKUP(AE$1,INDIRECT("'"&amp;$A82&amp;"'!$A$12:$Z$41"),MATCH("Points (Auto-generate)",INDIRECT("'"&amp;$A82&amp;"'!$A$12:$Z$12"),0),0)),"ER"))</f>
        <v>?</v>
      </c>
      <c r="AF82" s="83" t="str">
        <f aca="true">IF($H82=0,"NA",IF($A82=INDIRECT("'"&amp;$A82&amp;"'!$B$1"),IF(VLOOKUP(AF$1,INDIRECT("'"&amp;$A82&amp;"'!$A$12:$Z$41"),MATCH("Points (Auto-generate)",INDIRECT("'"&amp;$A82&amp;"'!$A$12:$Z$12"),0),0)="","?",VLOOKUP(AF$1,INDIRECT("'"&amp;$A82&amp;"'!$A$12:$Z$41"),MATCH("Points (Auto-generate)",INDIRECT("'"&amp;$A82&amp;"'!$A$12:$Z$12"),0),0)),"ER"))</f>
        <v>?</v>
      </c>
      <c r="AG82" s="83" t="str">
        <f aca="true">IF($H82=0,"NA",IF($A82=INDIRECT("'"&amp;$A82&amp;"'!$B$1"),IF(VLOOKUP(AG$1,INDIRECT("'"&amp;$A82&amp;"'!$A$12:$Z$41"),MATCH("Points (Auto-generate)",INDIRECT("'"&amp;$A82&amp;"'!$A$12:$Z$12"),0),0)="","?",VLOOKUP(AG$1,INDIRECT("'"&amp;$A82&amp;"'!$A$12:$Z$41"),MATCH("Points (Auto-generate)",INDIRECT("'"&amp;$A82&amp;"'!$A$12:$Z$12"),0),0)),"ER"))</f>
        <v>?</v>
      </c>
      <c r="AH82" s="83" t="str">
        <f aca="true">IF($H82=0,"NA",IF($A82=INDIRECT("'"&amp;$A82&amp;"'!$B$1"),IF(VLOOKUP(AH$1,INDIRECT("'"&amp;$A82&amp;"'!$A$12:$Z$41"),MATCH("Points (Auto-generate)",INDIRECT("'"&amp;$A82&amp;"'!$A$12:$Z$12"),0),0)="","?",VLOOKUP(AH$1,INDIRECT("'"&amp;$A82&amp;"'!$A$12:$Z$41"),MATCH("Points (Auto-generate)",INDIRECT("'"&amp;$A82&amp;"'!$A$12:$Z$12"),0),0)),"ER"))</f>
        <v>?</v>
      </c>
      <c r="AI82" s="83" t="str">
        <f aca="true">IF($H82=0,"NA",IF($A82=INDIRECT("'"&amp;$A82&amp;"'!$B$1"),IF(VLOOKUP(AI$1,INDIRECT("'"&amp;$A82&amp;"'!$A$12:$Z$41"),MATCH("Points (Auto-generate)",INDIRECT("'"&amp;$A82&amp;"'!$A$12:$Z$12"),0),0)="","?",VLOOKUP(AI$1,INDIRECT("'"&amp;$A82&amp;"'!$A$12:$Z$41"),MATCH("Points (Auto-generate)",INDIRECT("'"&amp;$A82&amp;"'!$A$12:$Z$12"),0),0)),"ER"))</f>
        <v>?</v>
      </c>
      <c r="AJ82" s="83" t="str">
        <f aca="true">IF($H82=0,"NA",IF($A82=INDIRECT("'"&amp;$A82&amp;"'!$B$1"),IF(VLOOKUP(AJ$1,INDIRECT("'"&amp;$A82&amp;"'!$A$12:$Z$41"),MATCH("Points (Auto-generate)",INDIRECT("'"&amp;$A82&amp;"'!$A$12:$Z$12"),0),0)="","?",VLOOKUP(AJ$1,INDIRECT("'"&amp;$A82&amp;"'!$A$12:$Z$41"),MATCH("Points (Auto-generate)",INDIRECT("'"&amp;$A82&amp;"'!$A$12:$Z$12"),0),0)),"ER"))</f>
        <v>?</v>
      </c>
      <c r="AK82" s="83" t="str">
        <f aca="true">IF($H82=0,"NA",IF($A82=INDIRECT("'"&amp;$A82&amp;"'!$B$1"),IF(VLOOKUP(AK$1,INDIRECT("'"&amp;$A82&amp;"'!$A$12:$Z$41"),MATCH("Points (Auto-generate)",INDIRECT("'"&amp;$A82&amp;"'!$A$12:$Z$12"),0),0)="","?",VLOOKUP(AK$1,INDIRECT("'"&amp;$A82&amp;"'!$A$12:$Z$41"),MATCH("Points (Auto-generate)",INDIRECT("'"&amp;$A82&amp;"'!$A$12:$Z$12"),0),0)),"ER"))</f>
        <v>?</v>
      </c>
    </row>
    <row r="83" customFormat="false" ht="14.25" hidden="false" customHeight="false" outlineLevel="0" collapsed="false">
      <c r="A83" s="79" t="s">
        <v>305</v>
      </c>
      <c r="B83" s="80" t="str">
        <f aca="false">IF(ISBLANK($A83),"NO_CODE",VLOOKUP($A83,'UPD Questions_290926 '!$E$1:$N$300,MATCH(B$1,'UPD Questions_290926 '!$E$1:$N$1,0),0)&amp;"")</f>
        <v>Implementation</v>
      </c>
      <c r="C83" s="80" t="str">
        <f aca="false">IF(ISBLANK($A83),"NO_CODE",VLOOKUP($A83,'UPD Questions_290926 '!$E$1:$N$300,MATCH(C$1,'UPD Questions_290926 '!$E$1:$N$1,0),0)&amp;"")</f>
        <v>Does the city have dedicated institutional capacity to undertake specialised planning and development functions?</v>
      </c>
      <c r="D83" s="80" t="str">
        <f aca="false">IF(ISBLANK($A83),"NO_CODE",VLOOKUP($A83,'UPD Questions_290926 '!$E$1:$N$300,MATCH(D$1,'UPD Questions_290926 '!$E$1:$N$1,0),0)&amp;"")</f>
        <v>Women's welfare or development</v>
      </c>
      <c r="E83" s="80" t="str">
        <f aca="false">IF(ISBLANK($A83),"NO_CODE",VLOOKUP($A83,'UPD Questions_290926 '!$E$1:$N$300,MATCH(E$1,'UPD Questions_290926 '!$E$1:$N$1,0),0)&amp;"")</f>
        <v>SQ</v>
      </c>
      <c r="F83" s="80" t="str">
        <f aca="false">IF(ISBLANK($A83),"NO_CODE",VLOOKUP($A83,'UPD Questions_290926 '!$E$1:$N$300,MATCH(F$1,'UPD Questions_290926 '!$E$1:$N$1,0),0)&amp;"")</f>
        <v>Does the city have a dedicated Women's Welfare/Development Cell?</v>
      </c>
      <c r="G83" s="80" t="str">
        <f aca="false">IF(ISBLANK($A83),"NO_CODE",VLOOKUP($A83,'UPD Questions_290926 '!$E$1:$N$300,MATCH(G$1,'UPD Questions_290926 '!$E$1:$N$1,0),0)&amp;"")</f>
        <v>Implementation</v>
      </c>
      <c r="H83" s="82" t="n">
        <f aca="false">IF(ISBLANK($A83),"NO_CODE",VLOOKUP($A83,'UPD Questions_290926 '!$E$1:$N$300,MATCH(H$1,'UPD Questions_290926 '!$E$1:$N$1,0),0))</f>
        <v>2.5</v>
      </c>
      <c r="I83" s="83" t="str">
        <f aca="true">IF($H83=0,"NA",IF($A83=INDIRECT("'"&amp;$A83&amp;"'!$B$1"),IF(VLOOKUP(I$1,INDIRECT("'"&amp;$A83&amp;"'!$A$12:$Z$41"),MATCH("Points (Auto-generate)",INDIRECT("'"&amp;$A83&amp;"'!$A$12:$Z$12"),0),0)="","?",VLOOKUP(I$1,INDIRECT("'"&amp;$A83&amp;"'!$A$12:$Z$41"),MATCH("Points (Auto-generate)",INDIRECT("'"&amp;$A83&amp;"'!$A$12:$Z$12"),0),0)),"ER"))</f>
        <v>?</v>
      </c>
      <c r="J83" s="83" t="str">
        <f aca="true">IF($H83=0,"NA",IF($A83=INDIRECT("'"&amp;$A83&amp;"'!$B$1"),IF(VLOOKUP(J$1,INDIRECT("'"&amp;$A83&amp;"'!$A$12:$Z$41"),MATCH("Points (Auto-generate)",INDIRECT("'"&amp;$A83&amp;"'!$A$12:$Z$12"),0),0)="","?",VLOOKUP(J$1,INDIRECT("'"&amp;$A83&amp;"'!$A$12:$Z$41"),MATCH("Points (Auto-generate)",INDIRECT("'"&amp;$A83&amp;"'!$A$12:$Z$12"),0),0)),"ER"))</f>
        <v>?</v>
      </c>
      <c r="K83" s="83" t="str">
        <f aca="true">IF($H83=0,"NA",IF($A83=INDIRECT("'"&amp;$A83&amp;"'!$B$1"),IF(VLOOKUP(K$1,INDIRECT("'"&amp;$A83&amp;"'!$A$12:$Z$41"),MATCH("Points (Auto-generate)",INDIRECT("'"&amp;$A83&amp;"'!$A$12:$Z$12"),0),0)="","?",VLOOKUP(K$1,INDIRECT("'"&amp;$A83&amp;"'!$A$12:$Z$41"),MATCH("Points (Auto-generate)",INDIRECT("'"&amp;$A83&amp;"'!$A$12:$Z$12"),0),0)),"ER"))</f>
        <v>?</v>
      </c>
      <c r="L83" s="83" t="str">
        <f aca="true">IF($H83=0,"NA",IF($A83=INDIRECT("'"&amp;$A83&amp;"'!$B$1"),IF(VLOOKUP(L$1,INDIRECT("'"&amp;$A83&amp;"'!$A$12:$Z$41"),MATCH("Points (Auto-generate)",INDIRECT("'"&amp;$A83&amp;"'!$A$12:$Z$12"),0),0)="","?",VLOOKUP(L$1,INDIRECT("'"&amp;$A83&amp;"'!$A$12:$Z$41"),MATCH("Points (Auto-generate)",INDIRECT("'"&amp;$A83&amp;"'!$A$12:$Z$12"),0),0)),"ER"))</f>
        <v>?</v>
      </c>
      <c r="M83" s="83" t="str">
        <f aca="true">IF($H83=0,"NA",IF($A83=INDIRECT("'"&amp;$A83&amp;"'!$B$1"),IF(VLOOKUP(M$1,INDIRECT("'"&amp;$A83&amp;"'!$A$12:$Z$41"),MATCH("Points (Auto-generate)",INDIRECT("'"&amp;$A83&amp;"'!$A$12:$Z$12"),0),0)="","?",VLOOKUP(M$1,INDIRECT("'"&amp;$A83&amp;"'!$A$12:$Z$41"),MATCH("Points (Auto-generate)",INDIRECT("'"&amp;$A83&amp;"'!$A$12:$Z$12"),0),0)),"ER"))</f>
        <v>?</v>
      </c>
      <c r="N83" s="83" t="str">
        <f aca="true">IF($H83=0,"NA",IF($A83=INDIRECT("'"&amp;$A83&amp;"'!$B$1"),IF(VLOOKUP(N$1,INDIRECT("'"&amp;$A83&amp;"'!$A$12:$Z$41"),MATCH("Points (Auto-generate)",INDIRECT("'"&amp;$A83&amp;"'!$A$12:$Z$12"),0),0)="","?",VLOOKUP(N$1,INDIRECT("'"&amp;$A83&amp;"'!$A$12:$Z$41"),MATCH("Points (Auto-generate)",INDIRECT("'"&amp;$A83&amp;"'!$A$12:$Z$12"),0),0)),"ER"))</f>
        <v>?</v>
      </c>
      <c r="O83" s="83" t="str">
        <f aca="true">IF($H83=0,"NA",IF($A83=INDIRECT("'"&amp;$A83&amp;"'!$B$1"),IF(VLOOKUP(O$1,INDIRECT("'"&amp;$A83&amp;"'!$A$12:$Z$41"),MATCH("Points (Auto-generate)",INDIRECT("'"&amp;$A83&amp;"'!$A$12:$Z$12"),0),0)="","?",VLOOKUP(O$1,INDIRECT("'"&amp;$A83&amp;"'!$A$12:$Z$41"),MATCH("Points (Auto-generate)",INDIRECT("'"&amp;$A83&amp;"'!$A$12:$Z$12"),0),0)),"ER"))</f>
        <v>?</v>
      </c>
      <c r="P83" s="83" t="str">
        <f aca="true">IF($H83=0,"NA",IF($A83=INDIRECT("'"&amp;$A83&amp;"'!$B$1"),IF(VLOOKUP(P$1,INDIRECT("'"&amp;$A83&amp;"'!$A$12:$Z$41"),MATCH("Points (Auto-generate)",INDIRECT("'"&amp;$A83&amp;"'!$A$12:$Z$12"),0),0)="","?",VLOOKUP(P$1,INDIRECT("'"&amp;$A83&amp;"'!$A$12:$Z$41"),MATCH("Points (Auto-generate)",INDIRECT("'"&amp;$A83&amp;"'!$A$12:$Z$12"),0),0)),"ER"))</f>
        <v>?</v>
      </c>
      <c r="Q83" s="83" t="str">
        <f aca="true">IF($H83=0,"NA",IF($A83=INDIRECT("'"&amp;$A83&amp;"'!$B$1"),IF(VLOOKUP(Q$1,INDIRECT("'"&amp;$A83&amp;"'!$A$12:$Z$41"),MATCH("Points (Auto-generate)",INDIRECT("'"&amp;$A83&amp;"'!$A$12:$Z$12"),0),0)="","?",VLOOKUP(Q$1,INDIRECT("'"&amp;$A83&amp;"'!$A$12:$Z$41"),MATCH("Points (Auto-generate)",INDIRECT("'"&amp;$A83&amp;"'!$A$12:$Z$12"),0),0)),"ER"))</f>
        <v>?</v>
      </c>
      <c r="R83" s="83" t="str">
        <f aca="true">IF($H83=0,"NA",IF($A83=INDIRECT("'"&amp;$A83&amp;"'!$B$1"),IF(VLOOKUP(R$1,INDIRECT("'"&amp;$A83&amp;"'!$A$12:$Z$41"),MATCH("Points (Auto-generate)",INDIRECT("'"&amp;$A83&amp;"'!$A$12:$Z$12"),0),0)="","?",VLOOKUP(R$1,INDIRECT("'"&amp;$A83&amp;"'!$A$12:$Z$41"),MATCH("Points (Auto-generate)",INDIRECT("'"&amp;$A83&amp;"'!$A$12:$Z$12"),0),0)),"ER"))</f>
        <v>?</v>
      </c>
      <c r="S83" s="83" t="str">
        <f aca="true">IF($H83=0,"NA",IF($A83=INDIRECT("'"&amp;$A83&amp;"'!$B$1"),IF(VLOOKUP(S$1,INDIRECT("'"&amp;$A83&amp;"'!$A$12:$Z$41"),MATCH("Points (Auto-generate)",INDIRECT("'"&amp;$A83&amp;"'!$A$12:$Z$12"),0),0)="","?",VLOOKUP(S$1,INDIRECT("'"&amp;$A83&amp;"'!$A$12:$Z$41"),MATCH("Points (Auto-generate)",INDIRECT("'"&amp;$A83&amp;"'!$A$12:$Z$12"),0),0)),"ER"))</f>
        <v>?</v>
      </c>
      <c r="T83" s="83" t="str">
        <f aca="true">IF($H83=0,"NA",IF($A83=INDIRECT("'"&amp;$A83&amp;"'!$B$1"),IF(VLOOKUP(T$1,INDIRECT("'"&amp;$A83&amp;"'!$A$12:$Z$41"),MATCH("Points (Auto-generate)",INDIRECT("'"&amp;$A83&amp;"'!$A$12:$Z$12"),0),0)="","?",VLOOKUP(T$1,INDIRECT("'"&amp;$A83&amp;"'!$A$12:$Z$41"),MATCH("Points (Auto-generate)",INDIRECT("'"&amp;$A83&amp;"'!$A$12:$Z$12"),0),0)),"ER"))</f>
        <v>?</v>
      </c>
      <c r="U83" s="83" t="str">
        <f aca="true">IF($H83=0,"NA",IF($A83=INDIRECT("'"&amp;$A83&amp;"'!$B$1"),IF(VLOOKUP(U$1,INDIRECT("'"&amp;$A83&amp;"'!$A$12:$Z$41"),MATCH("Points (Auto-generate)",INDIRECT("'"&amp;$A83&amp;"'!$A$12:$Z$12"),0),0)="","?",VLOOKUP(U$1,INDIRECT("'"&amp;$A83&amp;"'!$A$12:$Z$41"),MATCH("Points (Auto-generate)",INDIRECT("'"&amp;$A83&amp;"'!$A$12:$Z$12"),0),0)),"ER"))</f>
        <v>?</v>
      </c>
      <c r="V83" s="83" t="str">
        <f aca="true">IF($H83=0,"NA",IF($A83=INDIRECT("'"&amp;$A83&amp;"'!$B$1"),IF(VLOOKUP(V$1,INDIRECT("'"&amp;$A83&amp;"'!$A$12:$Z$41"),MATCH("Points (Auto-generate)",INDIRECT("'"&amp;$A83&amp;"'!$A$12:$Z$12"),0),0)="","?",VLOOKUP(V$1,INDIRECT("'"&amp;$A83&amp;"'!$A$12:$Z$41"),MATCH("Points (Auto-generate)",INDIRECT("'"&amp;$A83&amp;"'!$A$12:$Z$12"),0),0)),"ER"))</f>
        <v>?</v>
      </c>
      <c r="W83" s="83" t="str">
        <f aca="true">IF($H83=0,"NA",IF($A83=INDIRECT("'"&amp;$A83&amp;"'!$B$1"),IF(VLOOKUP(W$1,INDIRECT("'"&amp;$A83&amp;"'!$A$12:$Z$41"),MATCH("Points (Auto-generate)",INDIRECT("'"&amp;$A83&amp;"'!$A$12:$Z$12"),0),0)="","?",VLOOKUP(W$1,INDIRECT("'"&amp;$A83&amp;"'!$A$12:$Z$41"),MATCH("Points (Auto-generate)",INDIRECT("'"&amp;$A83&amp;"'!$A$12:$Z$12"),0),0)),"ER"))</f>
        <v>?</v>
      </c>
      <c r="X83" s="83" t="str">
        <f aca="true">IF($H83=0,"NA",IF($A83=INDIRECT("'"&amp;$A83&amp;"'!$B$1"),IF(VLOOKUP(X$1,INDIRECT("'"&amp;$A83&amp;"'!$A$12:$Z$41"),MATCH("Points (Auto-generate)",INDIRECT("'"&amp;$A83&amp;"'!$A$12:$Z$12"),0),0)="","?",VLOOKUP(X$1,INDIRECT("'"&amp;$A83&amp;"'!$A$12:$Z$41"),MATCH("Points (Auto-generate)",INDIRECT("'"&amp;$A83&amp;"'!$A$12:$Z$12"),0),0)),"ER"))</f>
        <v>?</v>
      </c>
      <c r="Y83" s="83" t="str">
        <f aca="true">IF($H83=0,"NA",IF($A83=INDIRECT("'"&amp;$A83&amp;"'!$B$1"),IF(VLOOKUP(Y$1,INDIRECT("'"&amp;$A83&amp;"'!$A$12:$Z$41"),MATCH("Points (Auto-generate)",INDIRECT("'"&amp;$A83&amp;"'!$A$12:$Z$12"),0),0)="","?",VLOOKUP(Y$1,INDIRECT("'"&amp;$A83&amp;"'!$A$12:$Z$41"),MATCH("Points (Auto-generate)",INDIRECT("'"&amp;$A83&amp;"'!$A$12:$Z$12"),0),0)),"ER"))</f>
        <v>?</v>
      </c>
      <c r="Z83" s="83" t="str">
        <f aca="true">IF($H83=0,"NA",IF($A83=INDIRECT("'"&amp;$A83&amp;"'!$B$1"),IF(VLOOKUP(Z$1,INDIRECT("'"&amp;$A83&amp;"'!$A$12:$Z$41"),MATCH("Points (Auto-generate)",INDIRECT("'"&amp;$A83&amp;"'!$A$12:$Z$12"),0),0)="","?",VLOOKUP(Z$1,INDIRECT("'"&amp;$A83&amp;"'!$A$12:$Z$41"),MATCH("Points (Auto-generate)",INDIRECT("'"&amp;$A83&amp;"'!$A$12:$Z$12"),0),0)),"ER"))</f>
        <v>?</v>
      </c>
      <c r="AA83" s="83" t="str">
        <f aca="true">IF($H83=0,"NA",IF($A83=INDIRECT("'"&amp;$A83&amp;"'!$B$1"),IF(VLOOKUP(AA$1,INDIRECT("'"&amp;$A83&amp;"'!$A$12:$Z$41"),MATCH("Points (Auto-generate)",INDIRECT("'"&amp;$A83&amp;"'!$A$12:$Z$12"),0),0)="","?",VLOOKUP(AA$1,INDIRECT("'"&amp;$A83&amp;"'!$A$12:$Z$41"),MATCH("Points (Auto-generate)",INDIRECT("'"&amp;$A83&amp;"'!$A$12:$Z$12"),0),0)),"ER"))</f>
        <v>?</v>
      </c>
      <c r="AB83" s="83" t="str">
        <f aca="true">IF($H83=0,"NA",IF($A83=INDIRECT("'"&amp;$A83&amp;"'!$B$1"),IF(VLOOKUP(AB$1,INDIRECT("'"&amp;$A83&amp;"'!$A$12:$Z$41"),MATCH("Points (Auto-generate)",INDIRECT("'"&amp;$A83&amp;"'!$A$12:$Z$12"),0),0)="","?",VLOOKUP(AB$1,INDIRECT("'"&amp;$A83&amp;"'!$A$12:$Z$41"),MATCH("Points (Auto-generate)",INDIRECT("'"&amp;$A83&amp;"'!$A$12:$Z$12"),0),0)),"ER"))</f>
        <v>?</v>
      </c>
      <c r="AC83" s="83" t="str">
        <f aca="true">IF($H83=0,"NA",IF($A83=INDIRECT("'"&amp;$A83&amp;"'!$B$1"),IF(VLOOKUP(AC$1,INDIRECT("'"&amp;$A83&amp;"'!$A$12:$Z$41"),MATCH("Points (Auto-generate)",INDIRECT("'"&amp;$A83&amp;"'!$A$12:$Z$12"),0),0)="","?",VLOOKUP(AC$1,INDIRECT("'"&amp;$A83&amp;"'!$A$12:$Z$41"),MATCH("Points (Auto-generate)",INDIRECT("'"&amp;$A83&amp;"'!$A$12:$Z$12"),0),0)),"ER"))</f>
        <v>?</v>
      </c>
      <c r="AD83" s="83" t="str">
        <f aca="true">IF($H83=0,"NA",IF($A83=INDIRECT("'"&amp;$A83&amp;"'!$B$1"),IF(VLOOKUP(AD$1,INDIRECT("'"&amp;$A83&amp;"'!$A$12:$Z$41"),MATCH("Points (Auto-generate)",INDIRECT("'"&amp;$A83&amp;"'!$A$12:$Z$12"),0),0)="","?",VLOOKUP(AD$1,INDIRECT("'"&amp;$A83&amp;"'!$A$12:$Z$41"),MATCH("Points (Auto-generate)",INDIRECT("'"&amp;$A83&amp;"'!$A$12:$Z$12"),0),0)),"ER"))</f>
        <v>?</v>
      </c>
      <c r="AE83" s="83" t="str">
        <f aca="true">IF($H83=0,"NA",IF($A83=INDIRECT("'"&amp;$A83&amp;"'!$B$1"),IF(VLOOKUP(AE$1,INDIRECT("'"&amp;$A83&amp;"'!$A$12:$Z$41"),MATCH("Points (Auto-generate)",INDIRECT("'"&amp;$A83&amp;"'!$A$12:$Z$12"),0),0)="","?",VLOOKUP(AE$1,INDIRECT("'"&amp;$A83&amp;"'!$A$12:$Z$41"),MATCH("Points (Auto-generate)",INDIRECT("'"&amp;$A83&amp;"'!$A$12:$Z$12"),0),0)),"ER"))</f>
        <v>?</v>
      </c>
      <c r="AF83" s="83" t="str">
        <f aca="true">IF($H83=0,"NA",IF($A83=INDIRECT("'"&amp;$A83&amp;"'!$B$1"),IF(VLOOKUP(AF$1,INDIRECT("'"&amp;$A83&amp;"'!$A$12:$Z$41"),MATCH("Points (Auto-generate)",INDIRECT("'"&amp;$A83&amp;"'!$A$12:$Z$12"),0),0)="","?",VLOOKUP(AF$1,INDIRECT("'"&amp;$A83&amp;"'!$A$12:$Z$41"),MATCH("Points (Auto-generate)",INDIRECT("'"&amp;$A83&amp;"'!$A$12:$Z$12"),0),0)),"ER"))</f>
        <v>?</v>
      </c>
      <c r="AG83" s="83" t="str">
        <f aca="true">IF($H83=0,"NA",IF($A83=INDIRECT("'"&amp;$A83&amp;"'!$B$1"),IF(VLOOKUP(AG$1,INDIRECT("'"&amp;$A83&amp;"'!$A$12:$Z$41"),MATCH("Points (Auto-generate)",INDIRECT("'"&amp;$A83&amp;"'!$A$12:$Z$12"),0),0)="","?",VLOOKUP(AG$1,INDIRECT("'"&amp;$A83&amp;"'!$A$12:$Z$41"),MATCH("Points (Auto-generate)",INDIRECT("'"&amp;$A83&amp;"'!$A$12:$Z$12"),0),0)),"ER"))</f>
        <v>?</v>
      </c>
      <c r="AH83" s="83" t="str">
        <f aca="true">IF($H83=0,"NA",IF($A83=INDIRECT("'"&amp;$A83&amp;"'!$B$1"),IF(VLOOKUP(AH$1,INDIRECT("'"&amp;$A83&amp;"'!$A$12:$Z$41"),MATCH("Points (Auto-generate)",INDIRECT("'"&amp;$A83&amp;"'!$A$12:$Z$12"),0),0)="","?",VLOOKUP(AH$1,INDIRECT("'"&amp;$A83&amp;"'!$A$12:$Z$41"),MATCH("Points (Auto-generate)",INDIRECT("'"&amp;$A83&amp;"'!$A$12:$Z$12"),0),0)),"ER"))</f>
        <v>?</v>
      </c>
      <c r="AI83" s="83" t="str">
        <f aca="true">IF($H83=0,"NA",IF($A83=INDIRECT("'"&amp;$A83&amp;"'!$B$1"),IF(VLOOKUP(AI$1,INDIRECT("'"&amp;$A83&amp;"'!$A$12:$Z$41"),MATCH("Points (Auto-generate)",INDIRECT("'"&amp;$A83&amp;"'!$A$12:$Z$12"),0),0)="","?",VLOOKUP(AI$1,INDIRECT("'"&amp;$A83&amp;"'!$A$12:$Z$41"),MATCH("Points (Auto-generate)",INDIRECT("'"&amp;$A83&amp;"'!$A$12:$Z$12"),0),0)),"ER"))</f>
        <v>?</v>
      </c>
      <c r="AJ83" s="83" t="str">
        <f aca="true">IF($H83=0,"NA",IF($A83=INDIRECT("'"&amp;$A83&amp;"'!$B$1"),IF(VLOOKUP(AJ$1,INDIRECT("'"&amp;$A83&amp;"'!$A$12:$Z$41"),MATCH("Points (Auto-generate)",INDIRECT("'"&amp;$A83&amp;"'!$A$12:$Z$12"),0),0)="","?",VLOOKUP(AJ$1,INDIRECT("'"&amp;$A83&amp;"'!$A$12:$Z$41"),MATCH("Points (Auto-generate)",INDIRECT("'"&amp;$A83&amp;"'!$A$12:$Z$12"),0),0)),"ER"))</f>
        <v>?</v>
      </c>
      <c r="AK83" s="83" t="str">
        <f aca="true">IF($H83=0,"NA",IF($A83=INDIRECT("'"&amp;$A83&amp;"'!$B$1"),IF(VLOOKUP(AK$1,INDIRECT("'"&amp;$A83&amp;"'!$A$12:$Z$41"),MATCH("Points (Auto-generate)",INDIRECT("'"&amp;$A83&amp;"'!$A$12:$Z$12"),0),0)="","?",VLOOKUP(AK$1,INDIRECT("'"&amp;$A83&amp;"'!$A$12:$Z$41"),MATCH("Points (Auto-generate)",INDIRECT("'"&amp;$A83&amp;"'!$A$12:$Z$12"),0),0)),"ER"))</f>
        <v>?</v>
      </c>
    </row>
    <row r="84" customFormat="false" ht="14.25" hidden="false" customHeight="false" outlineLevel="0" collapsed="false">
      <c r="A84" s="79" t="s">
        <v>587</v>
      </c>
      <c r="B84" s="80" t="str">
        <f aca="false">IF(ISBLANK($A84),"NO_CODE",VLOOKUP($A84,'UPD Questions_290926 '!$E$1:$N$300,MATCH(B$1,'UPD Questions_290926 '!$E$1:$N$1,0),0)&amp;"")</f>
        <v>Implementation</v>
      </c>
      <c r="C84" s="80" t="str">
        <f aca="false">IF(ISBLANK($A84),"NO_CODE",VLOOKUP($A84,'UPD Questions_290926 '!$E$1:$N$300,MATCH(C$1,'UPD Questions_290926 '!$E$1:$N$1,0),0)&amp;"")</f>
        <v>Urban design, accessibility and parking</v>
      </c>
      <c r="D84" s="80" t="str">
        <f aca="false">IF(ISBLANK($A84),"NO_CODE",VLOOKUP($A84,'UPD Questions_290926 '!$E$1:$N$300,MATCH(D$1,'UPD Questions_290926 '!$E$1:$N$1,0),0)&amp;"")</f>
        <v>Urban design standards and universal accessibility</v>
      </c>
      <c r="E84" s="80" t="str">
        <f aca="false">IF(ISBLANK($A84),"NO_CODE",VLOOKUP($A84,'UPD Questions_290926 '!$E$1:$N$300,MATCH(E$1,'UPD Questions_290926 '!$E$1:$N$1,0),0)&amp;"")</f>
        <v>MQ</v>
      </c>
      <c r="F84" s="80" t="str">
        <f aca="false">IF(ISBLANK($A84),"NO_CODE",VLOOKUP($A84,'UPD Questions_290926 '!$E$1:$N$300,MATCH(F$1,'UPD Questions_290926 '!$E$1:$N$1,0),0)&amp;"")</f>
        <v>Are there prescribed urban design standards to guide the execution of urban projects, including standards for universal accessibility?</v>
      </c>
      <c r="G84" s="80" t="str">
        <f aca="false">IF(ISBLANK($A84),"NO_CODE",VLOOKUP($A84,'UPD Questions_290926 '!$E$1:$N$300,MATCH(G$1,'UPD Questions_290926 '!$E$1:$N$1,0),0)&amp;"")</f>
        <v>Law or Policy</v>
      </c>
      <c r="H84" s="82" t="n">
        <f aca="false">IF(ISBLANK($A84),"NO_CODE",VLOOKUP($A84,'UPD Questions_290926 '!$E$1:$N$300,MATCH(H$1,'UPD Questions_290926 '!$E$1:$N$1,0),0))</f>
        <v>10</v>
      </c>
      <c r="I84" s="83" t="str">
        <f aca="false">IF(OR(I85="ER",I86="ER"),"ER",IF(OR(I85="?",I86="?"),"?",IF(AND(I85="NA",I86="NA"),"NA",SUM(I85,I86)/((I85&lt;&gt;"NA")*$H$85+(I86&lt;&gt;"NA")*$H$86)*$H84)))</f>
        <v>?</v>
      </c>
      <c r="J84" s="83" t="str">
        <f aca="false">IF(OR(J85="ER",J86="ER"),"ER",IF(OR(J85="?",J86="?"),"?",IF(AND(J85="NA",J86="NA"),"NA",SUM(J85,J86)/((J85&lt;&gt;"NA")*$H$85+(J86&lt;&gt;"NA")*$H$86)*$H84)))</f>
        <v>?</v>
      </c>
      <c r="K84" s="83" t="str">
        <f aca="false">IF(OR(K85="ER",K86="ER"),"ER",IF(OR(K85="?",K86="?"),"?",IF(AND(K85="NA",K86="NA"),"NA",SUM(K85,K86)/((K85&lt;&gt;"NA")*$H$85+(K86&lt;&gt;"NA")*$H$86)*$H84)))</f>
        <v>?</v>
      </c>
      <c r="L84" s="83" t="str">
        <f aca="false">IF(OR(L85="ER",L86="ER"),"ER",IF(OR(L85="?",L86="?"),"?",IF(AND(L85="NA",L86="NA"),"NA",SUM(L85,L86)/((L85&lt;&gt;"NA")*$H$85+(L86&lt;&gt;"NA")*$H$86)*$H84)))</f>
        <v>?</v>
      </c>
      <c r="M84" s="83" t="str">
        <f aca="false">IF(OR(M85="ER",M86="ER"),"ER",IF(OR(M85="?",M86="?"),"?",IF(AND(M85="NA",M86="NA"),"NA",SUM(M85,M86)/((M85&lt;&gt;"NA")*$H$85+(M86&lt;&gt;"NA")*$H$86)*$H84)))</f>
        <v>?</v>
      </c>
      <c r="N84" s="83" t="str">
        <f aca="false">IF(OR(N85="ER",N86="ER"),"ER",IF(OR(N85="?",N86="?"),"?",IF(AND(N85="NA",N86="NA"),"NA",SUM(N85,N86)/((N85&lt;&gt;"NA")*$H$85+(N86&lt;&gt;"NA")*$H$86)*$H84)))</f>
        <v>?</v>
      </c>
      <c r="O84" s="83" t="str">
        <f aca="false">IF(OR(O85="ER",O86="ER"),"ER",IF(OR(O85="?",O86="?"),"?",IF(AND(O85="NA",O86="NA"),"NA",SUM(O85,O86)/((O85&lt;&gt;"NA")*$H$85+(O86&lt;&gt;"NA")*$H$86)*$H84)))</f>
        <v>?</v>
      </c>
      <c r="P84" s="83" t="str">
        <f aca="false">IF(OR(P85="ER",P86="ER"),"ER",IF(OR(P85="?",P86="?"),"?",IF(AND(P85="NA",P86="NA"),"NA",SUM(P85,P86)/((P85&lt;&gt;"NA")*$H$85+(P86&lt;&gt;"NA")*$H$86)*$H84)))</f>
        <v>?</v>
      </c>
      <c r="Q84" s="83" t="str">
        <f aca="false">IF(OR(Q85="ER",Q86="ER"),"ER",IF(OR(Q85="?",Q86="?"),"?",IF(AND(Q85="NA",Q86="NA"),"NA",SUM(Q85,Q86)/((Q85&lt;&gt;"NA")*$H$85+(Q86&lt;&gt;"NA")*$H$86)*$H84)))</f>
        <v>?</v>
      </c>
      <c r="R84" s="83" t="str">
        <f aca="false">IF(OR(R85="ER",R86="ER"),"ER",IF(OR(R85="?",R86="?"),"?",IF(AND(R85="NA",R86="NA"),"NA",SUM(R85,R86)/((R85&lt;&gt;"NA")*$H$85+(R86&lt;&gt;"NA")*$H$86)*$H84)))</f>
        <v>?</v>
      </c>
      <c r="S84" s="83" t="str">
        <f aca="false">IF(OR(S85="ER",S86="ER"),"ER",IF(OR(S85="?",S86="?"),"?",IF(AND(S85="NA",S86="NA"),"NA",SUM(S85,S86)/((S85&lt;&gt;"NA")*$H$85+(S86&lt;&gt;"NA")*$H$86)*$H84)))</f>
        <v>?</v>
      </c>
      <c r="T84" s="83" t="str">
        <f aca="false">IF(OR(T85="ER",T86="ER"),"ER",IF(OR(T85="?",T86="?"),"?",IF(AND(T85="NA",T86="NA"),"NA",SUM(T85,T86)/((T85&lt;&gt;"NA")*$H$85+(T86&lt;&gt;"NA")*$H$86)*$H84)))</f>
        <v>?</v>
      </c>
      <c r="U84" s="83" t="str">
        <f aca="false">IF(OR(U85="ER",U86="ER"),"ER",IF(OR(U85="?",U86="?"),"?",IF(AND(U85="NA",U86="NA"),"NA",SUM(U85,U86)/((U85&lt;&gt;"NA")*$H$85+(U86&lt;&gt;"NA")*$H$86)*$H84)))</f>
        <v>?</v>
      </c>
      <c r="V84" s="83" t="str">
        <f aca="false">IF(OR(V85="ER",V86="ER"),"ER",IF(OR(V85="?",V86="?"),"?",IF(AND(V85="NA",V86="NA"),"NA",SUM(V85,V86)/((V85&lt;&gt;"NA")*$H$85+(V86&lt;&gt;"NA")*$H$86)*$H84)))</f>
        <v>?</v>
      </c>
      <c r="W84" s="83" t="str">
        <f aca="false">IF(OR(W85="ER",W86="ER"),"ER",IF(OR(W85="?",W86="?"),"?",IF(AND(W85="NA",W86="NA"),"NA",SUM(W85,W86)/((W85&lt;&gt;"NA")*$H$85+(W86&lt;&gt;"NA")*$H$86)*$H84)))</f>
        <v>?</v>
      </c>
      <c r="X84" s="83" t="str">
        <f aca="false">IF(OR(X85="ER",X86="ER"),"ER",IF(OR(X85="?",X86="?"),"?",IF(AND(X85="NA",X86="NA"),"NA",SUM(X85,X86)/((X85&lt;&gt;"NA")*$H$85+(X86&lt;&gt;"NA")*$H$86)*$H84)))</f>
        <v>?</v>
      </c>
      <c r="Y84" s="83" t="str">
        <f aca="false">IF(OR(Y85="ER",Y86="ER"),"ER",IF(OR(Y85="?",Y86="?"),"?",IF(AND(Y85="NA",Y86="NA"),"NA",SUM(Y85,Y86)/((Y85&lt;&gt;"NA")*$H$85+(Y86&lt;&gt;"NA")*$H$86)*$H84)))</f>
        <v>?</v>
      </c>
      <c r="Z84" s="83" t="str">
        <f aca="false">IF(OR(Z85="ER",Z86="ER"),"ER",IF(OR(Z85="?",Z86="?"),"?",IF(AND(Z85="NA",Z86="NA"),"NA",SUM(Z85,Z86)/((Z85&lt;&gt;"NA")*$H$85+(Z86&lt;&gt;"NA")*$H$86)*$H84)))</f>
        <v>?</v>
      </c>
      <c r="AA84" s="83" t="str">
        <f aca="false">IF(OR(AA85="ER",AA86="ER"),"ER",IF(OR(AA85="?",AA86="?"),"?",IF(AND(AA85="NA",AA86="NA"),"NA",SUM(AA85,AA86)/((AA85&lt;&gt;"NA")*$H$85+(AA86&lt;&gt;"NA")*$H$86)*$H84)))</f>
        <v>?</v>
      </c>
      <c r="AB84" s="83" t="str">
        <f aca="false">IF(OR(AB85="ER",AB86="ER"),"ER",IF(OR(AB85="?",AB86="?"),"?",IF(AND(AB85="NA",AB86="NA"),"NA",SUM(AB85,AB86)/((AB85&lt;&gt;"NA")*$H$85+(AB86&lt;&gt;"NA")*$H$86)*$H84)))</f>
        <v>?</v>
      </c>
      <c r="AC84" s="83" t="str">
        <f aca="false">IF(OR(AC85="ER",AC86="ER"),"ER",IF(OR(AC85="?",AC86="?"),"?",IF(AND(AC85="NA",AC86="NA"),"NA",SUM(AC85,AC86)/((AC85&lt;&gt;"NA")*$H$85+(AC86&lt;&gt;"NA")*$H$86)*$H84)))</f>
        <v>?</v>
      </c>
      <c r="AD84" s="83" t="str">
        <f aca="false">IF(OR(AD85="ER",AD86="ER"),"ER",IF(OR(AD85="?",AD86="?"),"?",IF(AND(AD85="NA",AD86="NA"),"NA",SUM(AD85,AD86)/((AD85&lt;&gt;"NA")*$H$85+(AD86&lt;&gt;"NA")*$H$86)*$H84)))</f>
        <v>?</v>
      </c>
      <c r="AE84" s="83" t="str">
        <f aca="false">IF(OR(AE85="ER",AE86="ER"),"ER",IF(OR(AE85="?",AE86="?"),"?",IF(AND(AE85="NA",AE86="NA"),"NA",SUM(AE85,AE86)/((AE85&lt;&gt;"NA")*$H$85+(AE86&lt;&gt;"NA")*$H$86)*$H84)))</f>
        <v>?</v>
      </c>
      <c r="AF84" s="83" t="str">
        <f aca="false">IF(OR(AF85="ER",AF86="ER"),"ER",IF(OR(AF85="?",AF86="?"),"?",IF(AND(AF85="NA",AF86="NA"),"NA",SUM(AF85,AF86)/((AF85&lt;&gt;"NA")*$H$85+(AF86&lt;&gt;"NA")*$H$86)*$H84)))</f>
        <v>?</v>
      </c>
      <c r="AG84" s="83" t="str">
        <f aca="false">IF(OR(AG85="ER",AG86="ER"),"ER",IF(OR(AG85="?",AG86="?"),"?",IF(AND(AG85="NA",AG86="NA"),"NA",SUM(AG85,AG86)/((AG85&lt;&gt;"NA")*$H$85+(AG86&lt;&gt;"NA")*$H$86)*$H84)))</f>
        <v>?</v>
      </c>
      <c r="AH84" s="83" t="str">
        <f aca="false">IF(OR(AH85="ER",AH86="ER"),"ER",IF(OR(AH85="?",AH86="?"),"?",IF(AND(AH85="NA",AH86="NA"),"NA",SUM(AH85,AH86)/((AH85&lt;&gt;"NA")*$H$85+(AH86&lt;&gt;"NA")*$H$86)*$H84)))</f>
        <v>?</v>
      </c>
      <c r="AI84" s="83" t="str">
        <f aca="false">IF(OR(AI85="ER",AI86="ER"),"ER",IF(OR(AI85="?",AI86="?"),"?",IF(AND(AI85="NA",AI86="NA"),"NA",SUM(AI85,AI86)/((AI85&lt;&gt;"NA")*$H$85+(AI86&lt;&gt;"NA")*$H$86)*$H84)))</f>
        <v>?</v>
      </c>
      <c r="AJ84" s="83" t="str">
        <f aca="false">IF(OR(AJ85="ER",AJ86="ER"),"ER",IF(OR(AJ85="?",AJ86="?"),"?",IF(AND(AJ85="NA",AJ86="NA"),"NA",SUM(AJ85,AJ86)/((AJ85&lt;&gt;"NA")*$H$85+(AJ86&lt;&gt;"NA")*$H$86)*$H84)))</f>
        <v>?</v>
      </c>
      <c r="AK84" s="83" t="str">
        <f aca="false">IF(OR(AK85="ER",AK86="ER"),"ER",IF(OR(AK85="?",AK86="?"),"?",IF(AND(AK85="NA",AK86="NA"),"NA",SUM(AK85,AK86)/((AK85&lt;&gt;"NA")*$H$85+(AK86&lt;&gt;"NA")*$H$86)*$H84)))</f>
        <v>?</v>
      </c>
    </row>
    <row r="85" customFormat="false" ht="14.25" hidden="false" customHeight="false" outlineLevel="0" collapsed="false">
      <c r="A85" s="79" t="s">
        <v>310</v>
      </c>
      <c r="B85" s="80" t="str">
        <f aca="false">IF(ISBLANK($A85),"NO_CODE",VLOOKUP($A85,'UPD Questions_290926 '!$E$1:$N$300,MATCH(B$1,'UPD Questions_290926 '!$E$1:$N$1,0),0)&amp;"")</f>
        <v>Implementation</v>
      </c>
      <c r="C85" s="80" t="str">
        <f aca="false">IF(ISBLANK($A85),"NO_CODE",VLOOKUP($A85,'UPD Questions_290926 '!$E$1:$N$300,MATCH(C$1,'UPD Questions_290926 '!$E$1:$N$1,0),0)&amp;"")</f>
        <v>Urban design, accessibility and parking</v>
      </c>
      <c r="D85" s="80" t="str">
        <f aca="false">IF(ISBLANK($A85),"NO_CODE",VLOOKUP($A85,'UPD Questions_290926 '!$E$1:$N$300,MATCH(D$1,'UPD Questions_290926 '!$E$1:$N$1,0),0)&amp;"")</f>
        <v>Urban design standards and universal accessibility</v>
      </c>
      <c r="E85" s="80" t="str">
        <f aca="false">IF(ISBLANK($A85),"NO_CODE",VLOOKUP($A85,'UPD Questions_290926 '!$E$1:$N$300,MATCH(E$1,'UPD Questions_290926 '!$E$1:$N$1,0),0)&amp;"")</f>
        <v>SQ</v>
      </c>
      <c r="F85" s="80" t="str">
        <f aca="false">IF(ISBLANK($A85),"NO_CODE",VLOOKUP($A85,'UPD Questions_290926 '!$E$1:$N$300,MATCH(F$1,'UPD Questions_290926 '!$E$1:$N$1,0),0)&amp;"")</f>
        <v>Does the law mandate comprehensive urban design standards and universal accessibility?</v>
      </c>
      <c r="G85" s="80" t="str">
        <f aca="false">IF(ISBLANK($A85),"NO_CODE",VLOOKUP($A85,'UPD Questions_290926 '!$E$1:$N$300,MATCH(G$1,'UPD Questions_290926 '!$E$1:$N$1,0),0)&amp;"")</f>
        <v>Law or Policy</v>
      </c>
      <c r="H85" s="82" t="n">
        <f aca="false">IF(ISBLANK($A85),"NO_CODE",VLOOKUP($A85,'UPD Questions_290926 '!$E$1:$N$300,MATCH(H$1,'UPD Questions_290926 '!$E$1:$N$1,0),0))</f>
        <v>5</v>
      </c>
      <c r="I85" s="83" t="str">
        <f aca="true">IF($H85=0,"NA",IF($A85=INDIRECT("'"&amp;$A85&amp;"'!$B$1"),IF(VLOOKUP(I$1,INDIRECT("'"&amp;$A85&amp;"'!$A$12:$Z$41"),MATCH("Points (Auto-generate)",INDIRECT("'"&amp;$A85&amp;"'!$A$12:$Z$12"),0),0)="","?",VLOOKUP(I$1,INDIRECT("'"&amp;$A85&amp;"'!$A$12:$Z$41"),MATCH("Points (Auto-generate)",INDIRECT("'"&amp;$A85&amp;"'!$A$12:$Z$12"),0),0)),"ER"))</f>
        <v>?</v>
      </c>
      <c r="J85" s="83" t="str">
        <f aca="true">IF($H85=0,"NA",IF($A85=INDIRECT("'"&amp;$A85&amp;"'!$B$1"),IF(VLOOKUP(J$1,INDIRECT("'"&amp;$A85&amp;"'!$A$12:$Z$41"),MATCH("Points (Auto-generate)",INDIRECT("'"&amp;$A85&amp;"'!$A$12:$Z$12"),0),0)="","?",VLOOKUP(J$1,INDIRECT("'"&amp;$A85&amp;"'!$A$12:$Z$41"),MATCH("Points (Auto-generate)",INDIRECT("'"&amp;$A85&amp;"'!$A$12:$Z$12"),0),0)),"ER"))</f>
        <v>?</v>
      </c>
      <c r="K85" s="83" t="str">
        <f aca="true">IF($H85=0,"NA",IF($A85=INDIRECT("'"&amp;$A85&amp;"'!$B$1"),IF(VLOOKUP(K$1,INDIRECT("'"&amp;$A85&amp;"'!$A$12:$Z$41"),MATCH("Points (Auto-generate)",INDIRECT("'"&amp;$A85&amp;"'!$A$12:$Z$12"),0),0)="","?",VLOOKUP(K$1,INDIRECT("'"&amp;$A85&amp;"'!$A$12:$Z$41"),MATCH("Points (Auto-generate)",INDIRECT("'"&amp;$A85&amp;"'!$A$12:$Z$12"),0),0)),"ER"))</f>
        <v>?</v>
      </c>
      <c r="L85" s="83" t="str">
        <f aca="true">IF($H85=0,"NA",IF($A85=INDIRECT("'"&amp;$A85&amp;"'!$B$1"),IF(VLOOKUP(L$1,INDIRECT("'"&amp;$A85&amp;"'!$A$12:$Z$41"),MATCH("Points (Auto-generate)",INDIRECT("'"&amp;$A85&amp;"'!$A$12:$Z$12"),0),0)="","?",VLOOKUP(L$1,INDIRECT("'"&amp;$A85&amp;"'!$A$12:$Z$41"),MATCH("Points (Auto-generate)",INDIRECT("'"&amp;$A85&amp;"'!$A$12:$Z$12"),0),0)),"ER"))</f>
        <v>?</v>
      </c>
      <c r="M85" s="83" t="str">
        <f aca="true">IF($H85=0,"NA",IF($A85=INDIRECT("'"&amp;$A85&amp;"'!$B$1"),IF(VLOOKUP(M$1,INDIRECT("'"&amp;$A85&amp;"'!$A$12:$Z$41"),MATCH("Points (Auto-generate)",INDIRECT("'"&amp;$A85&amp;"'!$A$12:$Z$12"),0),0)="","?",VLOOKUP(M$1,INDIRECT("'"&amp;$A85&amp;"'!$A$12:$Z$41"),MATCH("Points (Auto-generate)",INDIRECT("'"&amp;$A85&amp;"'!$A$12:$Z$12"),0),0)),"ER"))</f>
        <v>?</v>
      </c>
      <c r="N85" s="83" t="str">
        <f aca="true">IF($H85=0,"NA",IF($A85=INDIRECT("'"&amp;$A85&amp;"'!$B$1"),IF(VLOOKUP(N$1,INDIRECT("'"&amp;$A85&amp;"'!$A$12:$Z$41"),MATCH("Points (Auto-generate)",INDIRECT("'"&amp;$A85&amp;"'!$A$12:$Z$12"),0),0)="","?",VLOOKUP(N$1,INDIRECT("'"&amp;$A85&amp;"'!$A$12:$Z$41"),MATCH("Points (Auto-generate)",INDIRECT("'"&amp;$A85&amp;"'!$A$12:$Z$12"),0),0)),"ER"))</f>
        <v>?</v>
      </c>
      <c r="O85" s="83" t="str">
        <f aca="true">IF($H85=0,"NA",IF($A85=INDIRECT("'"&amp;$A85&amp;"'!$B$1"),IF(VLOOKUP(O$1,INDIRECT("'"&amp;$A85&amp;"'!$A$12:$Z$41"),MATCH("Points (Auto-generate)",INDIRECT("'"&amp;$A85&amp;"'!$A$12:$Z$12"),0),0)="","?",VLOOKUP(O$1,INDIRECT("'"&amp;$A85&amp;"'!$A$12:$Z$41"),MATCH("Points (Auto-generate)",INDIRECT("'"&amp;$A85&amp;"'!$A$12:$Z$12"),0),0)),"ER"))</f>
        <v>?</v>
      </c>
      <c r="P85" s="83" t="str">
        <f aca="true">IF($H85=0,"NA",IF($A85=INDIRECT("'"&amp;$A85&amp;"'!$B$1"),IF(VLOOKUP(P$1,INDIRECT("'"&amp;$A85&amp;"'!$A$12:$Z$41"),MATCH("Points (Auto-generate)",INDIRECT("'"&amp;$A85&amp;"'!$A$12:$Z$12"),0),0)="","?",VLOOKUP(P$1,INDIRECT("'"&amp;$A85&amp;"'!$A$12:$Z$41"),MATCH("Points (Auto-generate)",INDIRECT("'"&amp;$A85&amp;"'!$A$12:$Z$12"),0),0)),"ER"))</f>
        <v>?</v>
      </c>
      <c r="Q85" s="83" t="str">
        <f aca="true">IF($H85=0,"NA",IF($A85=INDIRECT("'"&amp;$A85&amp;"'!$B$1"),IF(VLOOKUP(Q$1,INDIRECT("'"&amp;$A85&amp;"'!$A$12:$Z$41"),MATCH("Points (Auto-generate)",INDIRECT("'"&amp;$A85&amp;"'!$A$12:$Z$12"),0),0)="","?",VLOOKUP(Q$1,INDIRECT("'"&amp;$A85&amp;"'!$A$12:$Z$41"),MATCH("Points (Auto-generate)",INDIRECT("'"&amp;$A85&amp;"'!$A$12:$Z$12"),0),0)),"ER"))</f>
        <v>?</v>
      </c>
      <c r="R85" s="83" t="str">
        <f aca="true">IF($H85=0,"NA",IF($A85=INDIRECT("'"&amp;$A85&amp;"'!$B$1"),IF(VLOOKUP(R$1,INDIRECT("'"&amp;$A85&amp;"'!$A$12:$Z$41"),MATCH("Points (Auto-generate)",INDIRECT("'"&amp;$A85&amp;"'!$A$12:$Z$12"),0),0)="","?",VLOOKUP(R$1,INDIRECT("'"&amp;$A85&amp;"'!$A$12:$Z$41"),MATCH("Points (Auto-generate)",INDIRECT("'"&amp;$A85&amp;"'!$A$12:$Z$12"),0),0)),"ER"))</f>
        <v>?</v>
      </c>
      <c r="S85" s="83" t="str">
        <f aca="true">IF($H85=0,"NA",IF($A85=INDIRECT("'"&amp;$A85&amp;"'!$B$1"),IF(VLOOKUP(S$1,INDIRECT("'"&amp;$A85&amp;"'!$A$12:$Z$41"),MATCH("Points (Auto-generate)",INDIRECT("'"&amp;$A85&amp;"'!$A$12:$Z$12"),0),0)="","?",VLOOKUP(S$1,INDIRECT("'"&amp;$A85&amp;"'!$A$12:$Z$41"),MATCH("Points (Auto-generate)",INDIRECT("'"&amp;$A85&amp;"'!$A$12:$Z$12"),0),0)),"ER"))</f>
        <v>?</v>
      </c>
      <c r="T85" s="83" t="str">
        <f aca="true">IF($H85=0,"NA",IF($A85=INDIRECT("'"&amp;$A85&amp;"'!$B$1"),IF(VLOOKUP(T$1,INDIRECT("'"&amp;$A85&amp;"'!$A$12:$Z$41"),MATCH("Points (Auto-generate)",INDIRECT("'"&amp;$A85&amp;"'!$A$12:$Z$12"),0),0)="","?",VLOOKUP(T$1,INDIRECT("'"&amp;$A85&amp;"'!$A$12:$Z$41"),MATCH("Points (Auto-generate)",INDIRECT("'"&amp;$A85&amp;"'!$A$12:$Z$12"),0),0)),"ER"))</f>
        <v>?</v>
      </c>
      <c r="U85" s="83" t="str">
        <f aca="true">IF($H85=0,"NA",IF($A85=INDIRECT("'"&amp;$A85&amp;"'!$B$1"),IF(VLOOKUP(U$1,INDIRECT("'"&amp;$A85&amp;"'!$A$12:$Z$41"),MATCH("Points (Auto-generate)",INDIRECT("'"&amp;$A85&amp;"'!$A$12:$Z$12"),0),0)="","?",VLOOKUP(U$1,INDIRECT("'"&amp;$A85&amp;"'!$A$12:$Z$41"),MATCH("Points (Auto-generate)",INDIRECT("'"&amp;$A85&amp;"'!$A$12:$Z$12"),0),0)),"ER"))</f>
        <v>?</v>
      </c>
      <c r="V85" s="83" t="str">
        <f aca="true">IF($H85=0,"NA",IF($A85=INDIRECT("'"&amp;$A85&amp;"'!$B$1"),IF(VLOOKUP(V$1,INDIRECT("'"&amp;$A85&amp;"'!$A$12:$Z$41"),MATCH("Points (Auto-generate)",INDIRECT("'"&amp;$A85&amp;"'!$A$12:$Z$12"),0),0)="","?",VLOOKUP(V$1,INDIRECT("'"&amp;$A85&amp;"'!$A$12:$Z$41"),MATCH("Points (Auto-generate)",INDIRECT("'"&amp;$A85&amp;"'!$A$12:$Z$12"),0),0)),"ER"))</f>
        <v>?</v>
      </c>
      <c r="W85" s="83" t="str">
        <f aca="true">IF($H85=0,"NA",IF($A85=INDIRECT("'"&amp;$A85&amp;"'!$B$1"),IF(VLOOKUP(W$1,INDIRECT("'"&amp;$A85&amp;"'!$A$12:$Z$41"),MATCH("Points (Auto-generate)",INDIRECT("'"&amp;$A85&amp;"'!$A$12:$Z$12"),0),0)="","?",VLOOKUP(W$1,INDIRECT("'"&amp;$A85&amp;"'!$A$12:$Z$41"),MATCH("Points (Auto-generate)",INDIRECT("'"&amp;$A85&amp;"'!$A$12:$Z$12"),0),0)),"ER"))</f>
        <v>?</v>
      </c>
      <c r="X85" s="83" t="str">
        <f aca="true">IF($H85=0,"NA",IF($A85=INDIRECT("'"&amp;$A85&amp;"'!$B$1"),IF(VLOOKUP(X$1,INDIRECT("'"&amp;$A85&amp;"'!$A$12:$Z$41"),MATCH("Points (Auto-generate)",INDIRECT("'"&amp;$A85&amp;"'!$A$12:$Z$12"),0),0)="","?",VLOOKUP(X$1,INDIRECT("'"&amp;$A85&amp;"'!$A$12:$Z$41"),MATCH("Points (Auto-generate)",INDIRECT("'"&amp;$A85&amp;"'!$A$12:$Z$12"),0),0)),"ER"))</f>
        <v>?</v>
      </c>
      <c r="Y85" s="83" t="str">
        <f aca="true">IF($H85=0,"NA",IF($A85=INDIRECT("'"&amp;$A85&amp;"'!$B$1"),IF(VLOOKUP(Y$1,INDIRECT("'"&amp;$A85&amp;"'!$A$12:$Z$41"),MATCH("Points (Auto-generate)",INDIRECT("'"&amp;$A85&amp;"'!$A$12:$Z$12"),0),0)="","?",VLOOKUP(Y$1,INDIRECT("'"&amp;$A85&amp;"'!$A$12:$Z$41"),MATCH("Points (Auto-generate)",INDIRECT("'"&amp;$A85&amp;"'!$A$12:$Z$12"),0),0)),"ER"))</f>
        <v>?</v>
      </c>
      <c r="Z85" s="83" t="str">
        <f aca="true">IF($H85=0,"NA",IF($A85=INDIRECT("'"&amp;$A85&amp;"'!$B$1"),IF(VLOOKUP(Z$1,INDIRECT("'"&amp;$A85&amp;"'!$A$12:$Z$41"),MATCH("Points (Auto-generate)",INDIRECT("'"&amp;$A85&amp;"'!$A$12:$Z$12"),0),0)="","?",VLOOKUP(Z$1,INDIRECT("'"&amp;$A85&amp;"'!$A$12:$Z$41"),MATCH("Points (Auto-generate)",INDIRECT("'"&amp;$A85&amp;"'!$A$12:$Z$12"),0),0)),"ER"))</f>
        <v>?</v>
      </c>
      <c r="AA85" s="83" t="str">
        <f aca="true">IF($H85=0,"NA",IF($A85=INDIRECT("'"&amp;$A85&amp;"'!$B$1"),IF(VLOOKUP(AA$1,INDIRECT("'"&amp;$A85&amp;"'!$A$12:$Z$41"),MATCH("Points (Auto-generate)",INDIRECT("'"&amp;$A85&amp;"'!$A$12:$Z$12"),0),0)="","?",VLOOKUP(AA$1,INDIRECT("'"&amp;$A85&amp;"'!$A$12:$Z$41"),MATCH("Points (Auto-generate)",INDIRECT("'"&amp;$A85&amp;"'!$A$12:$Z$12"),0),0)),"ER"))</f>
        <v>?</v>
      </c>
      <c r="AB85" s="83" t="str">
        <f aca="true">IF($H85=0,"NA",IF($A85=INDIRECT("'"&amp;$A85&amp;"'!$B$1"),IF(VLOOKUP(AB$1,INDIRECT("'"&amp;$A85&amp;"'!$A$12:$Z$41"),MATCH("Points (Auto-generate)",INDIRECT("'"&amp;$A85&amp;"'!$A$12:$Z$12"),0),0)="","?",VLOOKUP(AB$1,INDIRECT("'"&amp;$A85&amp;"'!$A$12:$Z$41"),MATCH("Points (Auto-generate)",INDIRECT("'"&amp;$A85&amp;"'!$A$12:$Z$12"),0),0)),"ER"))</f>
        <v>?</v>
      </c>
      <c r="AC85" s="83" t="str">
        <f aca="true">IF($H85=0,"NA",IF($A85=INDIRECT("'"&amp;$A85&amp;"'!$B$1"),IF(VLOOKUP(AC$1,INDIRECT("'"&amp;$A85&amp;"'!$A$12:$Z$41"),MATCH("Points (Auto-generate)",INDIRECT("'"&amp;$A85&amp;"'!$A$12:$Z$12"),0),0)="","?",VLOOKUP(AC$1,INDIRECT("'"&amp;$A85&amp;"'!$A$12:$Z$41"),MATCH("Points (Auto-generate)",INDIRECT("'"&amp;$A85&amp;"'!$A$12:$Z$12"),0),0)),"ER"))</f>
        <v>?</v>
      </c>
      <c r="AD85" s="83" t="str">
        <f aca="true">IF($H85=0,"NA",IF($A85=INDIRECT("'"&amp;$A85&amp;"'!$B$1"),IF(VLOOKUP(AD$1,INDIRECT("'"&amp;$A85&amp;"'!$A$12:$Z$41"),MATCH("Points (Auto-generate)",INDIRECT("'"&amp;$A85&amp;"'!$A$12:$Z$12"),0),0)="","?",VLOOKUP(AD$1,INDIRECT("'"&amp;$A85&amp;"'!$A$12:$Z$41"),MATCH("Points (Auto-generate)",INDIRECT("'"&amp;$A85&amp;"'!$A$12:$Z$12"),0),0)),"ER"))</f>
        <v>?</v>
      </c>
      <c r="AE85" s="83" t="str">
        <f aca="true">IF($H85=0,"NA",IF($A85=INDIRECT("'"&amp;$A85&amp;"'!$B$1"),IF(VLOOKUP(AE$1,INDIRECT("'"&amp;$A85&amp;"'!$A$12:$Z$41"),MATCH("Points (Auto-generate)",INDIRECT("'"&amp;$A85&amp;"'!$A$12:$Z$12"),0),0)="","?",VLOOKUP(AE$1,INDIRECT("'"&amp;$A85&amp;"'!$A$12:$Z$41"),MATCH("Points (Auto-generate)",INDIRECT("'"&amp;$A85&amp;"'!$A$12:$Z$12"),0),0)),"ER"))</f>
        <v>?</v>
      </c>
      <c r="AF85" s="83" t="str">
        <f aca="true">IF($H85=0,"NA",IF($A85=INDIRECT("'"&amp;$A85&amp;"'!$B$1"),IF(VLOOKUP(AF$1,INDIRECT("'"&amp;$A85&amp;"'!$A$12:$Z$41"),MATCH("Points (Auto-generate)",INDIRECT("'"&amp;$A85&amp;"'!$A$12:$Z$12"),0),0)="","?",VLOOKUP(AF$1,INDIRECT("'"&amp;$A85&amp;"'!$A$12:$Z$41"),MATCH("Points (Auto-generate)",INDIRECT("'"&amp;$A85&amp;"'!$A$12:$Z$12"),0),0)),"ER"))</f>
        <v>?</v>
      </c>
      <c r="AG85" s="83" t="str">
        <f aca="true">IF($H85=0,"NA",IF($A85=INDIRECT("'"&amp;$A85&amp;"'!$B$1"),IF(VLOOKUP(AG$1,INDIRECT("'"&amp;$A85&amp;"'!$A$12:$Z$41"),MATCH("Points (Auto-generate)",INDIRECT("'"&amp;$A85&amp;"'!$A$12:$Z$12"),0),0)="","?",VLOOKUP(AG$1,INDIRECT("'"&amp;$A85&amp;"'!$A$12:$Z$41"),MATCH("Points (Auto-generate)",INDIRECT("'"&amp;$A85&amp;"'!$A$12:$Z$12"),0),0)),"ER"))</f>
        <v>?</v>
      </c>
      <c r="AH85" s="83" t="str">
        <f aca="true">IF($H85=0,"NA",IF($A85=INDIRECT("'"&amp;$A85&amp;"'!$B$1"),IF(VLOOKUP(AH$1,INDIRECT("'"&amp;$A85&amp;"'!$A$12:$Z$41"),MATCH("Points (Auto-generate)",INDIRECT("'"&amp;$A85&amp;"'!$A$12:$Z$12"),0),0)="","?",VLOOKUP(AH$1,INDIRECT("'"&amp;$A85&amp;"'!$A$12:$Z$41"),MATCH("Points (Auto-generate)",INDIRECT("'"&amp;$A85&amp;"'!$A$12:$Z$12"),0),0)),"ER"))</f>
        <v>?</v>
      </c>
      <c r="AI85" s="83" t="str">
        <f aca="true">IF($H85=0,"NA",IF($A85=INDIRECT("'"&amp;$A85&amp;"'!$B$1"),IF(VLOOKUP(AI$1,INDIRECT("'"&amp;$A85&amp;"'!$A$12:$Z$41"),MATCH("Points (Auto-generate)",INDIRECT("'"&amp;$A85&amp;"'!$A$12:$Z$12"),0),0)="","?",VLOOKUP(AI$1,INDIRECT("'"&amp;$A85&amp;"'!$A$12:$Z$41"),MATCH("Points (Auto-generate)",INDIRECT("'"&amp;$A85&amp;"'!$A$12:$Z$12"),0),0)),"ER"))</f>
        <v>?</v>
      </c>
      <c r="AJ85" s="83" t="str">
        <f aca="true">IF($H85=0,"NA",IF($A85=INDIRECT("'"&amp;$A85&amp;"'!$B$1"),IF(VLOOKUP(AJ$1,INDIRECT("'"&amp;$A85&amp;"'!$A$12:$Z$41"),MATCH("Points (Auto-generate)",INDIRECT("'"&amp;$A85&amp;"'!$A$12:$Z$12"),0),0)="","?",VLOOKUP(AJ$1,INDIRECT("'"&amp;$A85&amp;"'!$A$12:$Z$41"),MATCH("Points (Auto-generate)",INDIRECT("'"&amp;$A85&amp;"'!$A$12:$Z$12"),0),0)),"ER"))</f>
        <v>?</v>
      </c>
      <c r="AK85" s="83" t="str">
        <f aca="true">IF($H85=0,"NA",IF($A85=INDIRECT("'"&amp;$A85&amp;"'!$B$1"),IF(VLOOKUP(AK$1,INDIRECT("'"&amp;$A85&amp;"'!$A$12:$Z$41"),MATCH("Points (Auto-generate)",INDIRECT("'"&amp;$A85&amp;"'!$A$12:$Z$12"),0),0)="","?",VLOOKUP(AK$1,INDIRECT("'"&amp;$A85&amp;"'!$A$12:$Z$41"),MATCH("Points (Auto-generate)",INDIRECT("'"&amp;$A85&amp;"'!$A$12:$Z$12"),0),0)),"ER"))</f>
        <v>?</v>
      </c>
    </row>
    <row r="86" customFormat="false" ht="14.25" hidden="false" customHeight="false" outlineLevel="0" collapsed="false">
      <c r="A86" s="79" t="s">
        <v>318</v>
      </c>
      <c r="B86" s="80" t="str">
        <f aca="false">IF(ISBLANK($A86),"NO_CODE",VLOOKUP($A86,'UPD Questions_290926 '!$E$1:$N$300,MATCH(B$1,'UPD Questions_290926 '!$E$1:$N$1,0),0)&amp;"")</f>
        <v>Implementation</v>
      </c>
      <c r="C86" s="80" t="str">
        <f aca="false">IF(ISBLANK($A86),"NO_CODE",VLOOKUP($A86,'UPD Questions_290926 '!$E$1:$N$300,MATCH(C$1,'UPD Questions_290926 '!$E$1:$N$1,0),0)&amp;"")</f>
        <v>Urban design, accessibility and parking</v>
      </c>
      <c r="D86" s="80" t="str">
        <f aca="false">IF(ISBLANK($A86),"NO_CODE",VLOOKUP($A86,'UPD Questions_290926 '!$E$1:$N$300,MATCH(D$1,'UPD Questions_290926 '!$E$1:$N$1,0),0)&amp;"")</f>
        <v>Urban design standards and universal accessibility</v>
      </c>
      <c r="E86" s="80" t="str">
        <f aca="false">IF(ISBLANK($A86),"NO_CODE",VLOOKUP($A86,'UPD Questions_290926 '!$E$1:$N$300,MATCH(E$1,'UPD Questions_290926 '!$E$1:$N$1,0),0)&amp;"")</f>
        <v>SQ</v>
      </c>
      <c r="F86" s="80" t="str">
        <f aca="false">IF(ISBLANK($A86),"NO_CODE",VLOOKUP($A86,'UPD Questions_290926 '!$E$1:$N$300,MATCH(F$1,'UPD Questions_290926 '!$E$1:$N$1,0),0)&amp;"")</f>
        <v>Does the city have urban design standards to guide the execution of urban projects?</v>
      </c>
      <c r="G86" s="80" t="str">
        <f aca="false">IF(ISBLANK($A86),"NO_CODE",VLOOKUP($A86,'UPD Questions_290926 '!$E$1:$N$300,MATCH(G$1,'UPD Questions_290926 '!$E$1:$N$1,0),0)&amp;"")</f>
        <v>Implementation</v>
      </c>
      <c r="H86" s="82" t="n">
        <f aca="false">IF(ISBLANK($A86),"NO_CODE",VLOOKUP($A86,'UPD Questions_290926 '!$E$1:$N$300,MATCH(H$1,'UPD Questions_290926 '!$E$1:$N$1,0),0))</f>
        <v>5</v>
      </c>
      <c r="I86" s="83" t="str">
        <f aca="true">IF($H86=0,"NA",IF($A86=INDIRECT("'"&amp;$A86&amp;"'!$B$1"),IF(VLOOKUP(I$1,INDIRECT("'"&amp;$A86&amp;"'!$A$12:$Z$41"),MATCH("Points (Auto-generate)",INDIRECT("'"&amp;$A86&amp;"'!$A$12:$Z$12"),0),0)="","?",VLOOKUP(I$1,INDIRECT("'"&amp;$A86&amp;"'!$A$12:$Z$41"),MATCH("Points (Auto-generate)",INDIRECT("'"&amp;$A86&amp;"'!$A$12:$Z$12"),0),0)),"ER"))</f>
        <v>?</v>
      </c>
      <c r="J86" s="83" t="str">
        <f aca="true">IF($H86=0,"NA",IF($A86=INDIRECT("'"&amp;$A86&amp;"'!$B$1"),IF(VLOOKUP(J$1,INDIRECT("'"&amp;$A86&amp;"'!$A$12:$Z$41"),MATCH("Points (Auto-generate)",INDIRECT("'"&amp;$A86&amp;"'!$A$12:$Z$12"),0),0)="","?",VLOOKUP(J$1,INDIRECT("'"&amp;$A86&amp;"'!$A$12:$Z$41"),MATCH("Points (Auto-generate)",INDIRECT("'"&amp;$A86&amp;"'!$A$12:$Z$12"),0),0)),"ER"))</f>
        <v>?</v>
      </c>
      <c r="K86" s="83" t="str">
        <f aca="true">IF($H86=0,"NA",IF($A86=INDIRECT("'"&amp;$A86&amp;"'!$B$1"),IF(VLOOKUP(K$1,INDIRECT("'"&amp;$A86&amp;"'!$A$12:$Z$41"),MATCH("Points (Auto-generate)",INDIRECT("'"&amp;$A86&amp;"'!$A$12:$Z$12"),0),0)="","?",VLOOKUP(K$1,INDIRECT("'"&amp;$A86&amp;"'!$A$12:$Z$41"),MATCH("Points (Auto-generate)",INDIRECT("'"&amp;$A86&amp;"'!$A$12:$Z$12"),0),0)),"ER"))</f>
        <v>?</v>
      </c>
      <c r="L86" s="83" t="str">
        <f aca="true">IF($H86=0,"NA",IF($A86=INDIRECT("'"&amp;$A86&amp;"'!$B$1"),IF(VLOOKUP(L$1,INDIRECT("'"&amp;$A86&amp;"'!$A$12:$Z$41"),MATCH("Points (Auto-generate)",INDIRECT("'"&amp;$A86&amp;"'!$A$12:$Z$12"),0),0)="","?",VLOOKUP(L$1,INDIRECT("'"&amp;$A86&amp;"'!$A$12:$Z$41"),MATCH("Points (Auto-generate)",INDIRECT("'"&amp;$A86&amp;"'!$A$12:$Z$12"),0),0)),"ER"))</f>
        <v>?</v>
      </c>
      <c r="M86" s="83" t="str">
        <f aca="true">IF($H86=0,"NA",IF($A86=INDIRECT("'"&amp;$A86&amp;"'!$B$1"),IF(VLOOKUP(M$1,INDIRECT("'"&amp;$A86&amp;"'!$A$12:$Z$41"),MATCH("Points (Auto-generate)",INDIRECT("'"&amp;$A86&amp;"'!$A$12:$Z$12"),0),0)="","?",VLOOKUP(M$1,INDIRECT("'"&amp;$A86&amp;"'!$A$12:$Z$41"),MATCH("Points (Auto-generate)",INDIRECT("'"&amp;$A86&amp;"'!$A$12:$Z$12"),0),0)),"ER"))</f>
        <v>?</v>
      </c>
      <c r="N86" s="83" t="str">
        <f aca="true">IF($H86=0,"NA",IF($A86=INDIRECT("'"&amp;$A86&amp;"'!$B$1"),IF(VLOOKUP(N$1,INDIRECT("'"&amp;$A86&amp;"'!$A$12:$Z$41"),MATCH("Points (Auto-generate)",INDIRECT("'"&amp;$A86&amp;"'!$A$12:$Z$12"),0),0)="","?",VLOOKUP(N$1,INDIRECT("'"&amp;$A86&amp;"'!$A$12:$Z$41"),MATCH("Points (Auto-generate)",INDIRECT("'"&amp;$A86&amp;"'!$A$12:$Z$12"),0),0)),"ER"))</f>
        <v>?</v>
      </c>
      <c r="O86" s="83" t="str">
        <f aca="true">IF($H86=0,"NA",IF($A86=INDIRECT("'"&amp;$A86&amp;"'!$B$1"),IF(VLOOKUP(O$1,INDIRECT("'"&amp;$A86&amp;"'!$A$12:$Z$41"),MATCH("Points (Auto-generate)",INDIRECT("'"&amp;$A86&amp;"'!$A$12:$Z$12"),0),0)="","?",VLOOKUP(O$1,INDIRECT("'"&amp;$A86&amp;"'!$A$12:$Z$41"),MATCH("Points (Auto-generate)",INDIRECT("'"&amp;$A86&amp;"'!$A$12:$Z$12"),0),0)),"ER"))</f>
        <v>?</v>
      </c>
      <c r="P86" s="83" t="str">
        <f aca="true">IF($H86=0,"NA",IF($A86=INDIRECT("'"&amp;$A86&amp;"'!$B$1"),IF(VLOOKUP(P$1,INDIRECT("'"&amp;$A86&amp;"'!$A$12:$Z$41"),MATCH("Points (Auto-generate)",INDIRECT("'"&amp;$A86&amp;"'!$A$12:$Z$12"),0),0)="","?",VLOOKUP(P$1,INDIRECT("'"&amp;$A86&amp;"'!$A$12:$Z$41"),MATCH("Points (Auto-generate)",INDIRECT("'"&amp;$A86&amp;"'!$A$12:$Z$12"),0),0)),"ER"))</f>
        <v>?</v>
      </c>
      <c r="Q86" s="83" t="str">
        <f aca="true">IF($H86=0,"NA",IF($A86=INDIRECT("'"&amp;$A86&amp;"'!$B$1"),IF(VLOOKUP(Q$1,INDIRECT("'"&amp;$A86&amp;"'!$A$12:$Z$41"),MATCH("Points (Auto-generate)",INDIRECT("'"&amp;$A86&amp;"'!$A$12:$Z$12"),0),0)="","?",VLOOKUP(Q$1,INDIRECT("'"&amp;$A86&amp;"'!$A$12:$Z$41"),MATCH("Points (Auto-generate)",INDIRECT("'"&amp;$A86&amp;"'!$A$12:$Z$12"),0),0)),"ER"))</f>
        <v>?</v>
      </c>
      <c r="R86" s="83" t="str">
        <f aca="true">IF($H86=0,"NA",IF($A86=INDIRECT("'"&amp;$A86&amp;"'!$B$1"),IF(VLOOKUP(R$1,INDIRECT("'"&amp;$A86&amp;"'!$A$12:$Z$41"),MATCH("Points (Auto-generate)",INDIRECT("'"&amp;$A86&amp;"'!$A$12:$Z$12"),0),0)="","?",VLOOKUP(R$1,INDIRECT("'"&amp;$A86&amp;"'!$A$12:$Z$41"),MATCH("Points (Auto-generate)",INDIRECT("'"&amp;$A86&amp;"'!$A$12:$Z$12"),0),0)),"ER"))</f>
        <v>?</v>
      </c>
      <c r="S86" s="83" t="str">
        <f aca="true">IF($H86=0,"NA",IF($A86=INDIRECT("'"&amp;$A86&amp;"'!$B$1"),IF(VLOOKUP(S$1,INDIRECT("'"&amp;$A86&amp;"'!$A$12:$Z$41"),MATCH("Points (Auto-generate)",INDIRECT("'"&amp;$A86&amp;"'!$A$12:$Z$12"),0),0)="","?",VLOOKUP(S$1,INDIRECT("'"&amp;$A86&amp;"'!$A$12:$Z$41"),MATCH("Points (Auto-generate)",INDIRECT("'"&amp;$A86&amp;"'!$A$12:$Z$12"),0),0)),"ER"))</f>
        <v>?</v>
      </c>
      <c r="T86" s="83" t="str">
        <f aca="true">IF($H86=0,"NA",IF($A86=INDIRECT("'"&amp;$A86&amp;"'!$B$1"),IF(VLOOKUP(T$1,INDIRECT("'"&amp;$A86&amp;"'!$A$12:$Z$41"),MATCH("Points (Auto-generate)",INDIRECT("'"&amp;$A86&amp;"'!$A$12:$Z$12"),0),0)="","?",VLOOKUP(T$1,INDIRECT("'"&amp;$A86&amp;"'!$A$12:$Z$41"),MATCH("Points (Auto-generate)",INDIRECT("'"&amp;$A86&amp;"'!$A$12:$Z$12"),0),0)),"ER"))</f>
        <v>?</v>
      </c>
      <c r="U86" s="83" t="str">
        <f aca="true">IF($H86=0,"NA",IF($A86=INDIRECT("'"&amp;$A86&amp;"'!$B$1"),IF(VLOOKUP(U$1,INDIRECT("'"&amp;$A86&amp;"'!$A$12:$Z$41"),MATCH("Points (Auto-generate)",INDIRECT("'"&amp;$A86&amp;"'!$A$12:$Z$12"),0),0)="","?",VLOOKUP(U$1,INDIRECT("'"&amp;$A86&amp;"'!$A$12:$Z$41"),MATCH("Points (Auto-generate)",INDIRECT("'"&amp;$A86&amp;"'!$A$12:$Z$12"),0),0)),"ER"))</f>
        <v>?</v>
      </c>
      <c r="V86" s="83" t="str">
        <f aca="true">IF($H86=0,"NA",IF($A86=INDIRECT("'"&amp;$A86&amp;"'!$B$1"),IF(VLOOKUP(V$1,INDIRECT("'"&amp;$A86&amp;"'!$A$12:$Z$41"),MATCH("Points (Auto-generate)",INDIRECT("'"&amp;$A86&amp;"'!$A$12:$Z$12"),0),0)="","?",VLOOKUP(V$1,INDIRECT("'"&amp;$A86&amp;"'!$A$12:$Z$41"),MATCH("Points (Auto-generate)",INDIRECT("'"&amp;$A86&amp;"'!$A$12:$Z$12"),0),0)),"ER"))</f>
        <v>?</v>
      </c>
      <c r="W86" s="83" t="str">
        <f aca="true">IF($H86=0,"NA",IF($A86=INDIRECT("'"&amp;$A86&amp;"'!$B$1"),IF(VLOOKUP(W$1,INDIRECT("'"&amp;$A86&amp;"'!$A$12:$Z$41"),MATCH("Points (Auto-generate)",INDIRECT("'"&amp;$A86&amp;"'!$A$12:$Z$12"),0),0)="","?",VLOOKUP(W$1,INDIRECT("'"&amp;$A86&amp;"'!$A$12:$Z$41"),MATCH("Points (Auto-generate)",INDIRECT("'"&amp;$A86&amp;"'!$A$12:$Z$12"),0),0)),"ER"))</f>
        <v>?</v>
      </c>
      <c r="X86" s="83" t="str">
        <f aca="true">IF($H86=0,"NA",IF($A86=INDIRECT("'"&amp;$A86&amp;"'!$B$1"),IF(VLOOKUP(X$1,INDIRECT("'"&amp;$A86&amp;"'!$A$12:$Z$41"),MATCH("Points (Auto-generate)",INDIRECT("'"&amp;$A86&amp;"'!$A$12:$Z$12"),0),0)="","?",VLOOKUP(X$1,INDIRECT("'"&amp;$A86&amp;"'!$A$12:$Z$41"),MATCH("Points (Auto-generate)",INDIRECT("'"&amp;$A86&amp;"'!$A$12:$Z$12"),0),0)),"ER"))</f>
        <v>?</v>
      </c>
      <c r="Y86" s="83" t="str">
        <f aca="true">IF($H86=0,"NA",IF($A86=INDIRECT("'"&amp;$A86&amp;"'!$B$1"),IF(VLOOKUP(Y$1,INDIRECT("'"&amp;$A86&amp;"'!$A$12:$Z$41"),MATCH("Points (Auto-generate)",INDIRECT("'"&amp;$A86&amp;"'!$A$12:$Z$12"),0),0)="","?",VLOOKUP(Y$1,INDIRECT("'"&amp;$A86&amp;"'!$A$12:$Z$41"),MATCH("Points (Auto-generate)",INDIRECT("'"&amp;$A86&amp;"'!$A$12:$Z$12"),0),0)),"ER"))</f>
        <v>?</v>
      </c>
      <c r="Z86" s="83" t="str">
        <f aca="true">IF($H86=0,"NA",IF($A86=INDIRECT("'"&amp;$A86&amp;"'!$B$1"),IF(VLOOKUP(Z$1,INDIRECT("'"&amp;$A86&amp;"'!$A$12:$Z$41"),MATCH("Points (Auto-generate)",INDIRECT("'"&amp;$A86&amp;"'!$A$12:$Z$12"),0),0)="","?",VLOOKUP(Z$1,INDIRECT("'"&amp;$A86&amp;"'!$A$12:$Z$41"),MATCH("Points (Auto-generate)",INDIRECT("'"&amp;$A86&amp;"'!$A$12:$Z$12"),0),0)),"ER"))</f>
        <v>?</v>
      </c>
      <c r="AA86" s="83" t="str">
        <f aca="true">IF($H86=0,"NA",IF($A86=INDIRECT("'"&amp;$A86&amp;"'!$B$1"),IF(VLOOKUP(AA$1,INDIRECT("'"&amp;$A86&amp;"'!$A$12:$Z$41"),MATCH("Points (Auto-generate)",INDIRECT("'"&amp;$A86&amp;"'!$A$12:$Z$12"),0),0)="","?",VLOOKUP(AA$1,INDIRECT("'"&amp;$A86&amp;"'!$A$12:$Z$41"),MATCH("Points (Auto-generate)",INDIRECT("'"&amp;$A86&amp;"'!$A$12:$Z$12"),0),0)),"ER"))</f>
        <v>?</v>
      </c>
      <c r="AB86" s="83" t="str">
        <f aca="true">IF($H86=0,"NA",IF($A86=INDIRECT("'"&amp;$A86&amp;"'!$B$1"),IF(VLOOKUP(AB$1,INDIRECT("'"&amp;$A86&amp;"'!$A$12:$Z$41"),MATCH("Points (Auto-generate)",INDIRECT("'"&amp;$A86&amp;"'!$A$12:$Z$12"),0),0)="","?",VLOOKUP(AB$1,INDIRECT("'"&amp;$A86&amp;"'!$A$12:$Z$41"),MATCH("Points (Auto-generate)",INDIRECT("'"&amp;$A86&amp;"'!$A$12:$Z$12"),0),0)),"ER"))</f>
        <v>?</v>
      </c>
      <c r="AC86" s="83" t="str">
        <f aca="true">IF($H86=0,"NA",IF($A86=INDIRECT("'"&amp;$A86&amp;"'!$B$1"),IF(VLOOKUP(AC$1,INDIRECT("'"&amp;$A86&amp;"'!$A$12:$Z$41"),MATCH("Points (Auto-generate)",INDIRECT("'"&amp;$A86&amp;"'!$A$12:$Z$12"),0),0)="","?",VLOOKUP(AC$1,INDIRECT("'"&amp;$A86&amp;"'!$A$12:$Z$41"),MATCH("Points (Auto-generate)",INDIRECT("'"&amp;$A86&amp;"'!$A$12:$Z$12"),0),0)),"ER"))</f>
        <v>?</v>
      </c>
      <c r="AD86" s="83" t="str">
        <f aca="true">IF($H86=0,"NA",IF($A86=INDIRECT("'"&amp;$A86&amp;"'!$B$1"),IF(VLOOKUP(AD$1,INDIRECT("'"&amp;$A86&amp;"'!$A$12:$Z$41"),MATCH("Points (Auto-generate)",INDIRECT("'"&amp;$A86&amp;"'!$A$12:$Z$12"),0),0)="","?",VLOOKUP(AD$1,INDIRECT("'"&amp;$A86&amp;"'!$A$12:$Z$41"),MATCH("Points (Auto-generate)",INDIRECT("'"&amp;$A86&amp;"'!$A$12:$Z$12"),0),0)),"ER"))</f>
        <v>?</v>
      </c>
      <c r="AE86" s="83" t="str">
        <f aca="true">IF($H86=0,"NA",IF($A86=INDIRECT("'"&amp;$A86&amp;"'!$B$1"),IF(VLOOKUP(AE$1,INDIRECT("'"&amp;$A86&amp;"'!$A$12:$Z$41"),MATCH("Points (Auto-generate)",INDIRECT("'"&amp;$A86&amp;"'!$A$12:$Z$12"),0),0)="","?",VLOOKUP(AE$1,INDIRECT("'"&amp;$A86&amp;"'!$A$12:$Z$41"),MATCH("Points (Auto-generate)",INDIRECT("'"&amp;$A86&amp;"'!$A$12:$Z$12"),0),0)),"ER"))</f>
        <v>?</v>
      </c>
      <c r="AF86" s="83" t="str">
        <f aca="true">IF($H86=0,"NA",IF($A86=INDIRECT("'"&amp;$A86&amp;"'!$B$1"),IF(VLOOKUP(AF$1,INDIRECT("'"&amp;$A86&amp;"'!$A$12:$Z$41"),MATCH("Points (Auto-generate)",INDIRECT("'"&amp;$A86&amp;"'!$A$12:$Z$12"),0),0)="","?",VLOOKUP(AF$1,INDIRECT("'"&amp;$A86&amp;"'!$A$12:$Z$41"),MATCH("Points (Auto-generate)",INDIRECT("'"&amp;$A86&amp;"'!$A$12:$Z$12"),0),0)),"ER"))</f>
        <v>?</v>
      </c>
      <c r="AG86" s="83" t="str">
        <f aca="true">IF($H86=0,"NA",IF($A86=INDIRECT("'"&amp;$A86&amp;"'!$B$1"),IF(VLOOKUP(AG$1,INDIRECT("'"&amp;$A86&amp;"'!$A$12:$Z$41"),MATCH("Points (Auto-generate)",INDIRECT("'"&amp;$A86&amp;"'!$A$12:$Z$12"),0),0)="","?",VLOOKUP(AG$1,INDIRECT("'"&amp;$A86&amp;"'!$A$12:$Z$41"),MATCH("Points (Auto-generate)",INDIRECT("'"&amp;$A86&amp;"'!$A$12:$Z$12"),0),0)),"ER"))</f>
        <v>?</v>
      </c>
      <c r="AH86" s="83" t="str">
        <f aca="true">IF($H86=0,"NA",IF($A86=INDIRECT("'"&amp;$A86&amp;"'!$B$1"),IF(VLOOKUP(AH$1,INDIRECT("'"&amp;$A86&amp;"'!$A$12:$Z$41"),MATCH("Points (Auto-generate)",INDIRECT("'"&amp;$A86&amp;"'!$A$12:$Z$12"),0),0)="","?",VLOOKUP(AH$1,INDIRECT("'"&amp;$A86&amp;"'!$A$12:$Z$41"),MATCH("Points (Auto-generate)",INDIRECT("'"&amp;$A86&amp;"'!$A$12:$Z$12"),0),0)),"ER"))</f>
        <v>?</v>
      </c>
      <c r="AI86" s="83" t="str">
        <f aca="true">IF($H86=0,"NA",IF($A86=INDIRECT("'"&amp;$A86&amp;"'!$B$1"),IF(VLOOKUP(AI$1,INDIRECT("'"&amp;$A86&amp;"'!$A$12:$Z$41"),MATCH("Points (Auto-generate)",INDIRECT("'"&amp;$A86&amp;"'!$A$12:$Z$12"),0),0)="","?",VLOOKUP(AI$1,INDIRECT("'"&amp;$A86&amp;"'!$A$12:$Z$41"),MATCH("Points (Auto-generate)",INDIRECT("'"&amp;$A86&amp;"'!$A$12:$Z$12"),0),0)),"ER"))</f>
        <v>?</v>
      </c>
      <c r="AJ86" s="83" t="str">
        <f aca="true">IF($H86=0,"NA",IF($A86=INDIRECT("'"&amp;$A86&amp;"'!$B$1"),IF(VLOOKUP(AJ$1,INDIRECT("'"&amp;$A86&amp;"'!$A$12:$Z$41"),MATCH("Points (Auto-generate)",INDIRECT("'"&amp;$A86&amp;"'!$A$12:$Z$12"),0),0)="","?",VLOOKUP(AJ$1,INDIRECT("'"&amp;$A86&amp;"'!$A$12:$Z$41"),MATCH("Points (Auto-generate)",INDIRECT("'"&amp;$A86&amp;"'!$A$12:$Z$12"),0),0)),"ER"))</f>
        <v>?</v>
      </c>
      <c r="AK86" s="83" t="str">
        <f aca="true">IF($H86=0,"NA",IF($A86=INDIRECT("'"&amp;$A86&amp;"'!$B$1"),IF(VLOOKUP(AK$1,INDIRECT("'"&amp;$A86&amp;"'!$A$12:$Z$41"),MATCH("Points (Auto-generate)",INDIRECT("'"&amp;$A86&amp;"'!$A$12:$Z$12"),0),0)="","?",VLOOKUP(AK$1,INDIRECT("'"&amp;$A86&amp;"'!$A$12:$Z$41"),MATCH("Points (Auto-generate)",INDIRECT("'"&amp;$A86&amp;"'!$A$12:$Z$12"),0),0)),"ER"))</f>
        <v>?</v>
      </c>
    </row>
    <row r="87" customFormat="false" ht="14.25" hidden="false" customHeight="false" outlineLevel="0" collapsed="false">
      <c r="A87" s="79" t="s">
        <v>724</v>
      </c>
      <c r="B87" s="80" t="str">
        <f aca="false">IF(ISBLANK($A87),"NO_CODE",VLOOKUP($A87,'UPD Questions_290926 '!$E$1:$N$300,MATCH(B$1,'UPD Questions_290926 '!$E$1:$N$1,0),0)&amp;"")</f>
        <v>Implementation</v>
      </c>
      <c r="C87" s="80" t="str">
        <f aca="false">IF(ISBLANK($A87),"NO_CODE",VLOOKUP($A87,'UPD Questions_290926 '!$E$1:$N$300,MATCH(C$1,'UPD Questions_290926 '!$E$1:$N$1,0),0)&amp;"")</f>
        <v>Urban design, accessibility and parking</v>
      </c>
      <c r="D87" s="80" t="str">
        <f aca="false">IF(ISBLANK($A87),"NO_CODE",VLOOKUP($A87,'UPD Questions_290926 '!$E$1:$N$300,MATCH(D$1,'UPD Questions_290926 '!$E$1:$N$1,0),0)&amp;"")</f>
        <v>Parking policy</v>
      </c>
      <c r="E87" s="80" t="str">
        <f aca="false">IF(ISBLANK($A87),"NO_CODE",VLOOKUP($A87,'UPD Questions_290926 '!$E$1:$N$300,MATCH(E$1,'UPD Questions_290926 '!$E$1:$N$1,0),0)&amp;"")</f>
        <v>MQ</v>
      </c>
      <c r="F87" s="80" t="str">
        <f aca="false">IF(ISBLANK($A87),"NO_CODE",VLOOKUP($A87,'UPD Questions_290926 '!$E$1:$N$300,MATCH(F$1,'UPD Questions_290926 '!$E$1:$N$1,0),0)&amp;"")</f>
        <v>Does the city have a parking policy? </v>
      </c>
      <c r="G87" s="80" t="str">
        <f aca="false">IF(ISBLANK($A87),"NO_CODE",VLOOKUP($A87,'UPD Questions_290926 '!$E$1:$N$300,MATCH(G$1,'UPD Questions_290926 '!$E$1:$N$1,0),0)&amp;"")</f>
        <v>Implementation</v>
      </c>
      <c r="H87" s="82" t="n">
        <f aca="false">IF(ISBLANK($A87),"NO_CODE",VLOOKUP($A87,'UPD Questions_290926 '!$E$1:$N$300,MATCH(H$1,'UPD Questions_290926 '!$E$1:$N$1,0),0))</f>
        <v>10</v>
      </c>
      <c r="I87" s="83" t="str">
        <f aca="false">IF(OR(I88="ER",I89="ER"),"ER",IF(OR(I88="?",I89="?"),"?",IF(AND(I88="NA",I89="NA"),"NA",SUM(I88,I89)/((I88&lt;&gt;"NA")*$H$88+(I89&lt;&gt;"NA")*$H$89)*$H87)))</f>
        <v>?</v>
      </c>
      <c r="J87" s="83" t="str">
        <f aca="false">IF(OR(J88="ER",J89="ER"),"ER",IF(OR(J88="?",J89="?"),"?",IF(AND(J88="NA",J89="NA"),"NA",SUM(J88,J89)/((J88&lt;&gt;"NA")*$H$88+(J89&lt;&gt;"NA")*$H$89)*$H87)))</f>
        <v>?</v>
      </c>
      <c r="K87" s="83" t="str">
        <f aca="false">IF(OR(K88="ER",K89="ER"),"ER",IF(OR(K88="?",K89="?"),"?",IF(AND(K88="NA",K89="NA"),"NA",SUM(K88,K89)/((K88&lt;&gt;"NA")*$H$88+(K89&lt;&gt;"NA")*$H$89)*$H87)))</f>
        <v>?</v>
      </c>
      <c r="L87" s="83" t="str">
        <f aca="false">IF(OR(L88="ER",L89="ER"),"ER",IF(OR(L88="?",L89="?"),"?",IF(AND(L88="NA",L89="NA"),"NA",SUM(L88,L89)/((L88&lt;&gt;"NA")*$H$88+(L89&lt;&gt;"NA")*$H$89)*$H87)))</f>
        <v>?</v>
      </c>
      <c r="M87" s="83" t="str">
        <f aca="false">IF(OR(M88="ER",M89="ER"),"ER",IF(OR(M88="?",M89="?"),"?",IF(AND(M88="NA",M89="NA"),"NA",SUM(M88,M89)/((M88&lt;&gt;"NA")*$H$88+(M89&lt;&gt;"NA")*$H$89)*$H87)))</f>
        <v>?</v>
      </c>
      <c r="N87" s="83" t="str">
        <f aca="false">IF(OR(N88="ER",N89="ER"),"ER",IF(OR(N88="?",N89="?"),"?",IF(AND(N88="NA",N89="NA"),"NA",SUM(N88,N89)/((N88&lt;&gt;"NA")*$H$88+(N89&lt;&gt;"NA")*$H$89)*$H87)))</f>
        <v>?</v>
      </c>
      <c r="O87" s="83" t="str">
        <f aca="false">IF(OR(O88="ER",O89="ER"),"ER",IF(OR(O88="?",O89="?"),"?",IF(AND(O88="NA",O89="NA"),"NA",SUM(O88,O89)/((O88&lt;&gt;"NA")*$H$88+(O89&lt;&gt;"NA")*$H$89)*$H87)))</f>
        <v>?</v>
      </c>
      <c r="P87" s="83" t="str">
        <f aca="false">IF(OR(P88="ER",P89="ER"),"ER",IF(OR(P88="?",P89="?"),"?",IF(AND(P88="NA",P89="NA"),"NA",SUM(P88,P89)/((P88&lt;&gt;"NA")*$H$88+(P89&lt;&gt;"NA")*$H$89)*$H87)))</f>
        <v>?</v>
      </c>
      <c r="Q87" s="83" t="str">
        <f aca="false">IF(OR(Q88="ER",Q89="ER"),"ER",IF(OR(Q88="?",Q89="?"),"?",IF(AND(Q88="NA",Q89="NA"),"NA",SUM(Q88,Q89)/((Q88&lt;&gt;"NA")*$H$88+(Q89&lt;&gt;"NA")*$H$89)*$H87)))</f>
        <v>?</v>
      </c>
      <c r="R87" s="83" t="str">
        <f aca="false">IF(OR(R88="ER",R89="ER"),"ER",IF(OR(R88="?",R89="?"),"?",IF(AND(R88="NA",R89="NA"),"NA",SUM(R88,R89)/((R88&lt;&gt;"NA")*$H$88+(R89&lt;&gt;"NA")*$H$89)*$H87)))</f>
        <v>?</v>
      </c>
      <c r="S87" s="83" t="str">
        <f aca="false">IF(OR(S88="ER",S89="ER"),"ER",IF(OR(S88="?",S89="?"),"?",IF(AND(S88="NA",S89="NA"),"NA",SUM(S88,S89)/((S88&lt;&gt;"NA")*$H$88+(S89&lt;&gt;"NA")*$H$89)*$H87)))</f>
        <v>?</v>
      </c>
      <c r="T87" s="83" t="str">
        <f aca="false">IF(OR(T88="ER",T89="ER"),"ER",IF(OR(T88="?",T89="?"),"?",IF(AND(T88="NA",T89="NA"),"NA",SUM(T88,T89)/((T88&lt;&gt;"NA")*$H$88+(T89&lt;&gt;"NA")*$H$89)*$H87)))</f>
        <v>?</v>
      </c>
      <c r="U87" s="83" t="str">
        <f aca="false">IF(OR(U88="ER",U89="ER"),"ER",IF(OR(U88="?",U89="?"),"?",IF(AND(U88="NA",U89="NA"),"NA",SUM(U88,U89)/((U88&lt;&gt;"NA")*$H$88+(U89&lt;&gt;"NA")*$H$89)*$H87)))</f>
        <v>?</v>
      </c>
      <c r="V87" s="83" t="str">
        <f aca="false">IF(OR(V88="ER",V89="ER"),"ER",IF(OR(V88="?",V89="?"),"?",IF(AND(V88="NA",V89="NA"),"NA",SUM(V88,V89)/((V88&lt;&gt;"NA")*$H$88+(V89&lt;&gt;"NA")*$H$89)*$H87)))</f>
        <v>?</v>
      </c>
      <c r="W87" s="83" t="str">
        <f aca="false">IF(OR(W88="ER",W89="ER"),"ER",IF(OR(W88="?",W89="?"),"?",IF(AND(W88="NA",W89="NA"),"NA",SUM(W88,W89)/((W88&lt;&gt;"NA")*$H$88+(W89&lt;&gt;"NA")*$H$89)*$H87)))</f>
        <v>?</v>
      </c>
      <c r="X87" s="83" t="str">
        <f aca="false">IF(OR(X88="ER",X89="ER"),"ER",IF(OR(X88="?",X89="?"),"?",IF(AND(X88="NA",X89="NA"),"NA",SUM(X88,X89)/((X88&lt;&gt;"NA")*$H$88+(X89&lt;&gt;"NA")*$H$89)*$H87)))</f>
        <v>?</v>
      </c>
      <c r="Y87" s="83" t="str">
        <f aca="false">IF(OR(Y88="ER",Y89="ER"),"ER",IF(OR(Y88="?",Y89="?"),"?",IF(AND(Y88="NA",Y89="NA"),"NA",SUM(Y88,Y89)/((Y88&lt;&gt;"NA")*$H$88+(Y89&lt;&gt;"NA")*$H$89)*$H87)))</f>
        <v>?</v>
      </c>
      <c r="Z87" s="83" t="str">
        <f aca="false">IF(OR(Z88="ER",Z89="ER"),"ER",IF(OR(Z88="?",Z89="?"),"?",IF(AND(Z88="NA",Z89="NA"),"NA",SUM(Z88,Z89)/((Z88&lt;&gt;"NA")*$H$88+(Z89&lt;&gt;"NA")*$H$89)*$H87)))</f>
        <v>?</v>
      </c>
      <c r="AA87" s="83" t="str">
        <f aca="false">IF(OR(AA88="ER",AA89="ER"),"ER",IF(OR(AA88="?",AA89="?"),"?",IF(AND(AA88="NA",AA89="NA"),"NA",SUM(AA88,AA89)/((AA88&lt;&gt;"NA")*$H$88+(AA89&lt;&gt;"NA")*$H$89)*$H87)))</f>
        <v>?</v>
      </c>
      <c r="AB87" s="83" t="str">
        <f aca="false">IF(OR(AB88="ER",AB89="ER"),"ER",IF(OR(AB88="?",AB89="?"),"?",IF(AND(AB88="NA",AB89="NA"),"NA",SUM(AB88,AB89)/((AB88&lt;&gt;"NA")*$H$88+(AB89&lt;&gt;"NA")*$H$89)*$H87)))</f>
        <v>?</v>
      </c>
      <c r="AC87" s="83" t="str">
        <f aca="false">IF(OR(AC88="ER",AC89="ER"),"ER",IF(OR(AC88="?",AC89="?"),"?",IF(AND(AC88="NA",AC89="NA"),"NA",SUM(AC88,AC89)/((AC88&lt;&gt;"NA")*$H$88+(AC89&lt;&gt;"NA")*$H$89)*$H87)))</f>
        <v>?</v>
      </c>
      <c r="AD87" s="83" t="str">
        <f aca="false">IF(OR(AD88="ER",AD89="ER"),"ER",IF(OR(AD88="?",AD89="?"),"?",IF(AND(AD88="NA",AD89="NA"),"NA",SUM(AD88,AD89)/((AD88&lt;&gt;"NA")*$H$88+(AD89&lt;&gt;"NA")*$H$89)*$H87)))</f>
        <v>?</v>
      </c>
      <c r="AE87" s="83" t="str">
        <f aca="false">IF(OR(AE88="ER",AE89="ER"),"ER",IF(OR(AE88="?",AE89="?"),"?",IF(AND(AE88="NA",AE89="NA"),"NA",SUM(AE88,AE89)/((AE88&lt;&gt;"NA")*$H$88+(AE89&lt;&gt;"NA")*$H$89)*$H87)))</f>
        <v>?</v>
      </c>
      <c r="AF87" s="83" t="str">
        <f aca="false">IF(OR(AF88="ER",AF89="ER"),"ER",IF(OR(AF88="?",AF89="?"),"?",IF(AND(AF88="NA",AF89="NA"),"NA",SUM(AF88,AF89)/((AF88&lt;&gt;"NA")*$H$88+(AF89&lt;&gt;"NA")*$H$89)*$H87)))</f>
        <v>?</v>
      </c>
      <c r="AG87" s="83" t="str">
        <f aca="false">IF(OR(AG88="ER",AG89="ER"),"ER",IF(OR(AG88="?",AG89="?"),"?",IF(AND(AG88="NA",AG89="NA"),"NA",SUM(AG88,AG89)/((AG88&lt;&gt;"NA")*$H$88+(AG89&lt;&gt;"NA")*$H$89)*$H87)))</f>
        <v>?</v>
      </c>
      <c r="AH87" s="83" t="str">
        <f aca="false">IF(OR(AH88="ER",AH89="ER"),"ER",IF(OR(AH88="?",AH89="?"),"?",IF(AND(AH88="NA",AH89="NA"),"NA",SUM(AH88,AH89)/((AH88&lt;&gt;"NA")*$H$88+(AH89&lt;&gt;"NA")*$H$89)*$H87)))</f>
        <v>?</v>
      </c>
      <c r="AI87" s="83" t="str">
        <f aca="false">IF(OR(AI88="ER",AI89="ER"),"ER",IF(OR(AI88="?",AI89="?"),"?",IF(AND(AI88="NA",AI89="NA"),"NA",SUM(AI88,AI89)/((AI88&lt;&gt;"NA")*$H$88+(AI89&lt;&gt;"NA")*$H$89)*$H87)))</f>
        <v>?</v>
      </c>
      <c r="AJ87" s="83" t="str">
        <f aca="false">IF(OR(AJ88="ER",AJ89="ER"),"ER",IF(OR(AJ88="?",AJ89="?"),"?",IF(AND(AJ88="NA",AJ89="NA"),"NA",SUM(AJ88,AJ89)/((AJ88&lt;&gt;"NA")*$H$88+(AJ89&lt;&gt;"NA")*$H$89)*$H87)))</f>
        <v>?</v>
      </c>
      <c r="AK87" s="83" t="str">
        <f aca="false">IF(OR(AK88="ER",AK89="ER"),"ER",IF(OR(AK88="?",AK89="?"),"?",IF(AND(AK88="NA",AK89="NA"),"NA",SUM(AK88,AK89)/((AK88&lt;&gt;"NA")*$H$88+(AK89&lt;&gt;"NA")*$H$89)*$H87)))</f>
        <v>?</v>
      </c>
    </row>
    <row r="88" customFormat="false" ht="14.25" hidden="false" customHeight="false" outlineLevel="0" collapsed="false">
      <c r="A88" s="79" t="s">
        <v>324</v>
      </c>
      <c r="B88" s="80" t="str">
        <f aca="false">IF(ISBLANK($A88),"NO_CODE",VLOOKUP($A88,'UPD Questions_290926 '!$E$1:$N$300,MATCH(B$1,'UPD Questions_290926 '!$E$1:$N$1,0),0)&amp;"")</f>
        <v>Implementation</v>
      </c>
      <c r="C88" s="80" t="str">
        <f aca="false">IF(ISBLANK($A88),"NO_CODE",VLOOKUP($A88,'UPD Questions_290926 '!$E$1:$N$300,MATCH(C$1,'UPD Questions_290926 '!$E$1:$N$1,0),0)&amp;"")</f>
        <v>Urban design, accessibility and parking</v>
      </c>
      <c r="D88" s="80" t="str">
        <f aca="false">IF(ISBLANK($A88),"NO_CODE",VLOOKUP($A88,'UPD Questions_290926 '!$E$1:$N$300,MATCH(D$1,'UPD Questions_290926 '!$E$1:$N$1,0),0)&amp;"")</f>
        <v>Parking policy</v>
      </c>
      <c r="E88" s="80" t="str">
        <f aca="false">IF(ISBLANK($A88),"NO_CODE",VLOOKUP($A88,'UPD Questions_290926 '!$E$1:$N$300,MATCH(E$1,'UPD Questions_290926 '!$E$1:$N$1,0),0)&amp;"")</f>
        <v>SQ</v>
      </c>
      <c r="F88" s="80" t="str">
        <f aca="false">IF(ISBLANK($A88),"NO_CODE",VLOOKUP($A88,'UPD Questions_290926 '!$E$1:$N$300,MATCH(F$1,'UPD Questions_290926 '!$E$1:$N$1,0),0)&amp;"")</f>
        <v>Is there a clear mandate in the law for a parking policy?</v>
      </c>
      <c r="G88" s="80" t="str">
        <f aca="false">IF(ISBLANK($A88),"NO_CODE",VLOOKUP($A88,'UPD Questions_290926 '!$E$1:$N$300,MATCH(G$1,'UPD Questions_290926 '!$E$1:$N$1,0),0)&amp;"")</f>
        <v>Law or Policy</v>
      </c>
      <c r="H88" s="82" t="n">
        <f aca="false">IF(ISBLANK($A88),"NO_CODE",VLOOKUP($A88,'UPD Questions_290926 '!$E$1:$N$300,MATCH(H$1,'UPD Questions_290926 '!$E$1:$N$1,0),0))</f>
        <v>5</v>
      </c>
      <c r="I88" s="83" t="str">
        <f aca="true">IF($H88=0,"NA",IF($A88=INDIRECT("'"&amp;$A88&amp;"'!$B$1"),IF(VLOOKUP(I$1,INDIRECT("'"&amp;$A88&amp;"'!$A$12:$Z$41"),MATCH("Points (Auto-generate)",INDIRECT("'"&amp;$A88&amp;"'!$A$12:$Z$12"),0),0)="","?",VLOOKUP(I$1,INDIRECT("'"&amp;$A88&amp;"'!$A$12:$Z$41"),MATCH("Points (Auto-generate)",INDIRECT("'"&amp;$A88&amp;"'!$A$12:$Z$12"),0),0)),"ER"))</f>
        <v>?</v>
      </c>
      <c r="J88" s="83" t="str">
        <f aca="true">IF($H88=0,"NA",IF($A88=INDIRECT("'"&amp;$A88&amp;"'!$B$1"),IF(VLOOKUP(J$1,INDIRECT("'"&amp;$A88&amp;"'!$A$12:$Z$41"),MATCH("Points (Auto-generate)",INDIRECT("'"&amp;$A88&amp;"'!$A$12:$Z$12"),0),0)="","?",VLOOKUP(J$1,INDIRECT("'"&amp;$A88&amp;"'!$A$12:$Z$41"),MATCH("Points (Auto-generate)",INDIRECT("'"&amp;$A88&amp;"'!$A$12:$Z$12"),0),0)),"ER"))</f>
        <v>?</v>
      </c>
      <c r="K88" s="83" t="str">
        <f aca="true">IF($H88=0,"NA",IF($A88=INDIRECT("'"&amp;$A88&amp;"'!$B$1"),IF(VLOOKUP(K$1,INDIRECT("'"&amp;$A88&amp;"'!$A$12:$Z$41"),MATCH("Points (Auto-generate)",INDIRECT("'"&amp;$A88&amp;"'!$A$12:$Z$12"),0),0)="","?",VLOOKUP(K$1,INDIRECT("'"&amp;$A88&amp;"'!$A$12:$Z$41"),MATCH("Points (Auto-generate)",INDIRECT("'"&amp;$A88&amp;"'!$A$12:$Z$12"),0),0)),"ER"))</f>
        <v>?</v>
      </c>
      <c r="L88" s="83" t="str">
        <f aca="true">IF($H88=0,"NA",IF($A88=INDIRECT("'"&amp;$A88&amp;"'!$B$1"),IF(VLOOKUP(L$1,INDIRECT("'"&amp;$A88&amp;"'!$A$12:$Z$41"),MATCH("Points (Auto-generate)",INDIRECT("'"&amp;$A88&amp;"'!$A$12:$Z$12"),0),0)="","?",VLOOKUP(L$1,INDIRECT("'"&amp;$A88&amp;"'!$A$12:$Z$41"),MATCH("Points (Auto-generate)",INDIRECT("'"&amp;$A88&amp;"'!$A$12:$Z$12"),0),0)),"ER"))</f>
        <v>?</v>
      </c>
      <c r="M88" s="83" t="str">
        <f aca="true">IF($H88=0,"NA",IF($A88=INDIRECT("'"&amp;$A88&amp;"'!$B$1"),IF(VLOOKUP(M$1,INDIRECT("'"&amp;$A88&amp;"'!$A$12:$Z$41"),MATCH("Points (Auto-generate)",INDIRECT("'"&amp;$A88&amp;"'!$A$12:$Z$12"),0),0)="","?",VLOOKUP(M$1,INDIRECT("'"&amp;$A88&amp;"'!$A$12:$Z$41"),MATCH("Points (Auto-generate)",INDIRECT("'"&amp;$A88&amp;"'!$A$12:$Z$12"),0),0)),"ER"))</f>
        <v>?</v>
      </c>
      <c r="N88" s="83" t="str">
        <f aca="true">IF($H88=0,"NA",IF($A88=INDIRECT("'"&amp;$A88&amp;"'!$B$1"),IF(VLOOKUP(N$1,INDIRECT("'"&amp;$A88&amp;"'!$A$12:$Z$41"),MATCH("Points (Auto-generate)",INDIRECT("'"&amp;$A88&amp;"'!$A$12:$Z$12"),0),0)="","?",VLOOKUP(N$1,INDIRECT("'"&amp;$A88&amp;"'!$A$12:$Z$41"),MATCH("Points (Auto-generate)",INDIRECT("'"&amp;$A88&amp;"'!$A$12:$Z$12"),0),0)),"ER"))</f>
        <v>?</v>
      </c>
      <c r="O88" s="83" t="str">
        <f aca="true">IF($H88=0,"NA",IF($A88=INDIRECT("'"&amp;$A88&amp;"'!$B$1"),IF(VLOOKUP(O$1,INDIRECT("'"&amp;$A88&amp;"'!$A$12:$Z$41"),MATCH("Points (Auto-generate)",INDIRECT("'"&amp;$A88&amp;"'!$A$12:$Z$12"),0),0)="","?",VLOOKUP(O$1,INDIRECT("'"&amp;$A88&amp;"'!$A$12:$Z$41"),MATCH("Points (Auto-generate)",INDIRECT("'"&amp;$A88&amp;"'!$A$12:$Z$12"),0),0)),"ER"))</f>
        <v>?</v>
      </c>
      <c r="P88" s="83" t="str">
        <f aca="true">IF($H88=0,"NA",IF($A88=INDIRECT("'"&amp;$A88&amp;"'!$B$1"),IF(VLOOKUP(P$1,INDIRECT("'"&amp;$A88&amp;"'!$A$12:$Z$41"),MATCH("Points (Auto-generate)",INDIRECT("'"&amp;$A88&amp;"'!$A$12:$Z$12"),0),0)="","?",VLOOKUP(P$1,INDIRECT("'"&amp;$A88&amp;"'!$A$12:$Z$41"),MATCH("Points (Auto-generate)",INDIRECT("'"&amp;$A88&amp;"'!$A$12:$Z$12"),0),0)),"ER"))</f>
        <v>?</v>
      </c>
      <c r="Q88" s="83" t="str">
        <f aca="true">IF($H88=0,"NA",IF($A88=INDIRECT("'"&amp;$A88&amp;"'!$B$1"),IF(VLOOKUP(Q$1,INDIRECT("'"&amp;$A88&amp;"'!$A$12:$Z$41"),MATCH("Points (Auto-generate)",INDIRECT("'"&amp;$A88&amp;"'!$A$12:$Z$12"),0),0)="","?",VLOOKUP(Q$1,INDIRECT("'"&amp;$A88&amp;"'!$A$12:$Z$41"),MATCH("Points (Auto-generate)",INDIRECT("'"&amp;$A88&amp;"'!$A$12:$Z$12"),0),0)),"ER"))</f>
        <v>?</v>
      </c>
      <c r="R88" s="83" t="str">
        <f aca="true">IF($H88=0,"NA",IF($A88=INDIRECT("'"&amp;$A88&amp;"'!$B$1"),IF(VLOOKUP(R$1,INDIRECT("'"&amp;$A88&amp;"'!$A$12:$Z$41"),MATCH("Points (Auto-generate)",INDIRECT("'"&amp;$A88&amp;"'!$A$12:$Z$12"),0),0)="","?",VLOOKUP(R$1,INDIRECT("'"&amp;$A88&amp;"'!$A$12:$Z$41"),MATCH("Points (Auto-generate)",INDIRECT("'"&amp;$A88&amp;"'!$A$12:$Z$12"),0),0)),"ER"))</f>
        <v>?</v>
      </c>
      <c r="S88" s="83" t="str">
        <f aca="true">IF($H88=0,"NA",IF($A88=INDIRECT("'"&amp;$A88&amp;"'!$B$1"),IF(VLOOKUP(S$1,INDIRECT("'"&amp;$A88&amp;"'!$A$12:$Z$41"),MATCH("Points (Auto-generate)",INDIRECT("'"&amp;$A88&amp;"'!$A$12:$Z$12"),0),0)="","?",VLOOKUP(S$1,INDIRECT("'"&amp;$A88&amp;"'!$A$12:$Z$41"),MATCH("Points (Auto-generate)",INDIRECT("'"&amp;$A88&amp;"'!$A$12:$Z$12"),0),0)),"ER"))</f>
        <v>?</v>
      </c>
      <c r="T88" s="83" t="str">
        <f aca="true">IF($H88=0,"NA",IF($A88=INDIRECT("'"&amp;$A88&amp;"'!$B$1"),IF(VLOOKUP(T$1,INDIRECT("'"&amp;$A88&amp;"'!$A$12:$Z$41"),MATCH("Points (Auto-generate)",INDIRECT("'"&amp;$A88&amp;"'!$A$12:$Z$12"),0),0)="","?",VLOOKUP(T$1,INDIRECT("'"&amp;$A88&amp;"'!$A$12:$Z$41"),MATCH("Points (Auto-generate)",INDIRECT("'"&amp;$A88&amp;"'!$A$12:$Z$12"),0),0)),"ER"))</f>
        <v>?</v>
      </c>
      <c r="U88" s="83" t="str">
        <f aca="true">IF($H88=0,"NA",IF($A88=INDIRECT("'"&amp;$A88&amp;"'!$B$1"),IF(VLOOKUP(U$1,INDIRECT("'"&amp;$A88&amp;"'!$A$12:$Z$41"),MATCH("Points (Auto-generate)",INDIRECT("'"&amp;$A88&amp;"'!$A$12:$Z$12"),0),0)="","?",VLOOKUP(U$1,INDIRECT("'"&amp;$A88&amp;"'!$A$12:$Z$41"),MATCH("Points (Auto-generate)",INDIRECT("'"&amp;$A88&amp;"'!$A$12:$Z$12"),0),0)),"ER"))</f>
        <v>?</v>
      </c>
      <c r="V88" s="83" t="str">
        <f aca="true">IF($H88=0,"NA",IF($A88=INDIRECT("'"&amp;$A88&amp;"'!$B$1"),IF(VLOOKUP(V$1,INDIRECT("'"&amp;$A88&amp;"'!$A$12:$Z$41"),MATCH("Points (Auto-generate)",INDIRECT("'"&amp;$A88&amp;"'!$A$12:$Z$12"),0),0)="","?",VLOOKUP(V$1,INDIRECT("'"&amp;$A88&amp;"'!$A$12:$Z$41"),MATCH("Points (Auto-generate)",INDIRECT("'"&amp;$A88&amp;"'!$A$12:$Z$12"),0),0)),"ER"))</f>
        <v>?</v>
      </c>
      <c r="W88" s="83" t="str">
        <f aca="true">IF($H88=0,"NA",IF($A88=INDIRECT("'"&amp;$A88&amp;"'!$B$1"),IF(VLOOKUP(W$1,INDIRECT("'"&amp;$A88&amp;"'!$A$12:$Z$41"),MATCH("Points (Auto-generate)",INDIRECT("'"&amp;$A88&amp;"'!$A$12:$Z$12"),0),0)="","?",VLOOKUP(W$1,INDIRECT("'"&amp;$A88&amp;"'!$A$12:$Z$41"),MATCH("Points (Auto-generate)",INDIRECT("'"&amp;$A88&amp;"'!$A$12:$Z$12"),0),0)),"ER"))</f>
        <v>?</v>
      </c>
      <c r="X88" s="83" t="str">
        <f aca="true">IF($H88=0,"NA",IF($A88=INDIRECT("'"&amp;$A88&amp;"'!$B$1"),IF(VLOOKUP(X$1,INDIRECT("'"&amp;$A88&amp;"'!$A$12:$Z$41"),MATCH("Points (Auto-generate)",INDIRECT("'"&amp;$A88&amp;"'!$A$12:$Z$12"),0),0)="","?",VLOOKUP(X$1,INDIRECT("'"&amp;$A88&amp;"'!$A$12:$Z$41"),MATCH("Points (Auto-generate)",INDIRECT("'"&amp;$A88&amp;"'!$A$12:$Z$12"),0),0)),"ER"))</f>
        <v>?</v>
      </c>
      <c r="Y88" s="83" t="str">
        <f aca="true">IF($H88=0,"NA",IF($A88=INDIRECT("'"&amp;$A88&amp;"'!$B$1"),IF(VLOOKUP(Y$1,INDIRECT("'"&amp;$A88&amp;"'!$A$12:$Z$41"),MATCH("Points (Auto-generate)",INDIRECT("'"&amp;$A88&amp;"'!$A$12:$Z$12"),0),0)="","?",VLOOKUP(Y$1,INDIRECT("'"&amp;$A88&amp;"'!$A$12:$Z$41"),MATCH("Points (Auto-generate)",INDIRECT("'"&amp;$A88&amp;"'!$A$12:$Z$12"),0),0)),"ER"))</f>
        <v>?</v>
      </c>
      <c r="Z88" s="83" t="str">
        <f aca="true">IF($H88=0,"NA",IF($A88=INDIRECT("'"&amp;$A88&amp;"'!$B$1"),IF(VLOOKUP(Z$1,INDIRECT("'"&amp;$A88&amp;"'!$A$12:$Z$41"),MATCH("Points (Auto-generate)",INDIRECT("'"&amp;$A88&amp;"'!$A$12:$Z$12"),0),0)="","?",VLOOKUP(Z$1,INDIRECT("'"&amp;$A88&amp;"'!$A$12:$Z$41"),MATCH("Points (Auto-generate)",INDIRECT("'"&amp;$A88&amp;"'!$A$12:$Z$12"),0),0)),"ER"))</f>
        <v>?</v>
      </c>
      <c r="AA88" s="83" t="str">
        <f aca="true">IF($H88=0,"NA",IF($A88=INDIRECT("'"&amp;$A88&amp;"'!$B$1"),IF(VLOOKUP(AA$1,INDIRECT("'"&amp;$A88&amp;"'!$A$12:$Z$41"),MATCH("Points (Auto-generate)",INDIRECT("'"&amp;$A88&amp;"'!$A$12:$Z$12"),0),0)="","?",VLOOKUP(AA$1,INDIRECT("'"&amp;$A88&amp;"'!$A$12:$Z$41"),MATCH("Points (Auto-generate)",INDIRECT("'"&amp;$A88&amp;"'!$A$12:$Z$12"),0),0)),"ER"))</f>
        <v>?</v>
      </c>
      <c r="AB88" s="83" t="str">
        <f aca="true">IF($H88=0,"NA",IF($A88=INDIRECT("'"&amp;$A88&amp;"'!$B$1"),IF(VLOOKUP(AB$1,INDIRECT("'"&amp;$A88&amp;"'!$A$12:$Z$41"),MATCH("Points (Auto-generate)",INDIRECT("'"&amp;$A88&amp;"'!$A$12:$Z$12"),0),0)="","?",VLOOKUP(AB$1,INDIRECT("'"&amp;$A88&amp;"'!$A$12:$Z$41"),MATCH("Points (Auto-generate)",INDIRECT("'"&amp;$A88&amp;"'!$A$12:$Z$12"),0),0)),"ER"))</f>
        <v>?</v>
      </c>
      <c r="AC88" s="83" t="str">
        <f aca="true">IF($H88=0,"NA",IF($A88=INDIRECT("'"&amp;$A88&amp;"'!$B$1"),IF(VLOOKUP(AC$1,INDIRECT("'"&amp;$A88&amp;"'!$A$12:$Z$41"),MATCH("Points (Auto-generate)",INDIRECT("'"&amp;$A88&amp;"'!$A$12:$Z$12"),0),0)="","?",VLOOKUP(AC$1,INDIRECT("'"&amp;$A88&amp;"'!$A$12:$Z$41"),MATCH("Points (Auto-generate)",INDIRECT("'"&amp;$A88&amp;"'!$A$12:$Z$12"),0),0)),"ER"))</f>
        <v>?</v>
      </c>
      <c r="AD88" s="83" t="str">
        <f aca="true">IF($H88=0,"NA",IF($A88=INDIRECT("'"&amp;$A88&amp;"'!$B$1"),IF(VLOOKUP(AD$1,INDIRECT("'"&amp;$A88&amp;"'!$A$12:$Z$41"),MATCH("Points (Auto-generate)",INDIRECT("'"&amp;$A88&amp;"'!$A$12:$Z$12"),0),0)="","?",VLOOKUP(AD$1,INDIRECT("'"&amp;$A88&amp;"'!$A$12:$Z$41"),MATCH("Points (Auto-generate)",INDIRECT("'"&amp;$A88&amp;"'!$A$12:$Z$12"),0),0)),"ER"))</f>
        <v>?</v>
      </c>
      <c r="AE88" s="83" t="str">
        <f aca="true">IF($H88=0,"NA",IF($A88=INDIRECT("'"&amp;$A88&amp;"'!$B$1"),IF(VLOOKUP(AE$1,INDIRECT("'"&amp;$A88&amp;"'!$A$12:$Z$41"),MATCH("Points (Auto-generate)",INDIRECT("'"&amp;$A88&amp;"'!$A$12:$Z$12"),0),0)="","?",VLOOKUP(AE$1,INDIRECT("'"&amp;$A88&amp;"'!$A$12:$Z$41"),MATCH("Points (Auto-generate)",INDIRECT("'"&amp;$A88&amp;"'!$A$12:$Z$12"),0),0)),"ER"))</f>
        <v>?</v>
      </c>
      <c r="AF88" s="83" t="str">
        <f aca="true">IF($H88=0,"NA",IF($A88=INDIRECT("'"&amp;$A88&amp;"'!$B$1"),IF(VLOOKUP(AF$1,INDIRECT("'"&amp;$A88&amp;"'!$A$12:$Z$41"),MATCH("Points (Auto-generate)",INDIRECT("'"&amp;$A88&amp;"'!$A$12:$Z$12"),0),0)="","?",VLOOKUP(AF$1,INDIRECT("'"&amp;$A88&amp;"'!$A$12:$Z$41"),MATCH("Points (Auto-generate)",INDIRECT("'"&amp;$A88&amp;"'!$A$12:$Z$12"),0),0)),"ER"))</f>
        <v>?</v>
      </c>
      <c r="AG88" s="83" t="str">
        <f aca="true">IF($H88=0,"NA",IF($A88=INDIRECT("'"&amp;$A88&amp;"'!$B$1"),IF(VLOOKUP(AG$1,INDIRECT("'"&amp;$A88&amp;"'!$A$12:$Z$41"),MATCH("Points (Auto-generate)",INDIRECT("'"&amp;$A88&amp;"'!$A$12:$Z$12"),0),0)="","?",VLOOKUP(AG$1,INDIRECT("'"&amp;$A88&amp;"'!$A$12:$Z$41"),MATCH("Points (Auto-generate)",INDIRECT("'"&amp;$A88&amp;"'!$A$12:$Z$12"),0),0)),"ER"))</f>
        <v>?</v>
      </c>
      <c r="AH88" s="83" t="str">
        <f aca="true">IF($H88=0,"NA",IF($A88=INDIRECT("'"&amp;$A88&amp;"'!$B$1"),IF(VLOOKUP(AH$1,INDIRECT("'"&amp;$A88&amp;"'!$A$12:$Z$41"),MATCH("Points (Auto-generate)",INDIRECT("'"&amp;$A88&amp;"'!$A$12:$Z$12"),0),0)="","?",VLOOKUP(AH$1,INDIRECT("'"&amp;$A88&amp;"'!$A$12:$Z$41"),MATCH("Points (Auto-generate)",INDIRECT("'"&amp;$A88&amp;"'!$A$12:$Z$12"),0),0)),"ER"))</f>
        <v>?</v>
      </c>
      <c r="AI88" s="83" t="str">
        <f aca="true">IF($H88=0,"NA",IF($A88=INDIRECT("'"&amp;$A88&amp;"'!$B$1"),IF(VLOOKUP(AI$1,INDIRECT("'"&amp;$A88&amp;"'!$A$12:$Z$41"),MATCH("Points (Auto-generate)",INDIRECT("'"&amp;$A88&amp;"'!$A$12:$Z$12"),0),0)="","?",VLOOKUP(AI$1,INDIRECT("'"&amp;$A88&amp;"'!$A$12:$Z$41"),MATCH("Points (Auto-generate)",INDIRECT("'"&amp;$A88&amp;"'!$A$12:$Z$12"),0),0)),"ER"))</f>
        <v>?</v>
      </c>
      <c r="AJ88" s="83" t="str">
        <f aca="true">IF($H88=0,"NA",IF($A88=INDIRECT("'"&amp;$A88&amp;"'!$B$1"),IF(VLOOKUP(AJ$1,INDIRECT("'"&amp;$A88&amp;"'!$A$12:$Z$41"),MATCH("Points (Auto-generate)",INDIRECT("'"&amp;$A88&amp;"'!$A$12:$Z$12"),0),0)="","?",VLOOKUP(AJ$1,INDIRECT("'"&amp;$A88&amp;"'!$A$12:$Z$41"),MATCH("Points (Auto-generate)",INDIRECT("'"&amp;$A88&amp;"'!$A$12:$Z$12"),0),0)),"ER"))</f>
        <v>?</v>
      </c>
      <c r="AK88" s="83" t="str">
        <f aca="true">IF($H88=0,"NA",IF($A88=INDIRECT("'"&amp;$A88&amp;"'!$B$1"),IF(VLOOKUP(AK$1,INDIRECT("'"&amp;$A88&amp;"'!$A$12:$Z$41"),MATCH("Points (Auto-generate)",INDIRECT("'"&amp;$A88&amp;"'!$A$12:$Z$12"),0),0)="","?",VLOOKUP(AK$1,INDIRECT("'"&amp;$A88&amp;"'!$A$12:$Z$41"),MATCH("Points (Auto-generate)",INDIRECT("'"&amp;$A88&amp;"'!$A$12:$Z$12"),0),0)),"ER"))</f>
        <v>?</v>
      </c>
    </row>
    <row r="89" customFormat="false" ht="14.25" hidden="false" customHeight="false" outlineLevel="0" collapsed="false">
      <c r="A89" s="79" t="s">
        <v>332</v>
      </c>
      <c r="B89" s="80" t="str">
        <f aca="false">IF(ISBLANK($A89),"NO_CODE",VLOOKUP($A89,'UPD Questions_290926 '!$E$1:$N$300,MATCH(B$1,'UPD Questions_290926 '!$E$1:$N$1,0),0)&amp;"")</f>
        <v>Implementation</v>
      </c>
      <c r="C89" s="80" t="str">
        <f aca="false">IF(ISBLANK($A89),"NO_CODE",VLOOKUP($A89,'UPD Questions_290926 '!$E$1:$N$300,MATCH(C$1,'UPD Questions_290926 '!$E$1:$N$1,0),0)&amp;"")</f>
        <v>Urban design, accessibility and parking</v>
      </c>
      <c r="D89" s="80" t="str">
        <f aca="false">IF(ISBLANK($A89),"NO_CODE",VLOOKUP($A89,'UPD Questions_290926 '!$E$1:$N$300,MATCH(D$1,'UPD Questions_290926 '!$E$1:$N$1,0),0)&amp;"")</f>
        <v>Parking policy</v>
      </c>
      <c r="E89" s="80" t="str">
        <f aca="false">IF(ISBLANK($A89),"NO_CODE",VLOOKUP($A89,'UPD Questions_290926 '!$E$1:$N$300,MATCH(E$1,'UPD Questions_290926 '!$E$1:$N$1,0),0)&amp;"")</f>
        <v>SQ</v>
      </c>
      <c r="F89" s="80" t="str">
        <f aca="false">IF(ISBLANK($A89),"NO_CODE",VLOOKUP($A89,'UPD Questions_290926 '!$E$1:$N$300,MATCH(F$1,'UPD Questions_290926 '!$E$1:$N$1,0),0)&amp;"")</f>
        <v>Has the parking policy been implemented?</v>
      </c>
      <c r="G89" s="80" t="str">
        <f aca="false">IF(ISBLANK($A89),"NO_CODE",VLOOKUP($A89,'UPD Questions_290926 '!$E$1:$N$300,MATCH(G$1,'UPD Questions_290926 '!$E$1:$N$1,0),0)&amp;"")</f>
        <v>Implementation</v>
      </c>
      <c r="H89" s="82" t="n">
        <f aca="false">IF(ISBLANK($A89),"NO_CODE",VLOOKUP($A89,'UPD Questions_290926 '!$E$1:$N$300,MATCH(H$1,'UPD Questions_290926 '!$E$1:$N$1,0),0))</f>
        <v>5</v>
      </c>
      <c r="I89" s="83" t="str">
        <f aca="true">IF($H89=0,"NA",IF($A89=INDIRECT("'"&amp;$A89&amp;"'!$B$1"),IF(VLOOKUP(I$1,INDIRECT("'"&amp;$A89&amp;"'!$A$12:$Z$41"),MATCH("Points (Auto-generate)",INDIRECT("'"&amp;$A89&amp;"'!$A$12:$Z$12"),0),0)="","?",VLOOKUP(I$1,INDIRECT("'"&amp;$A89&amp;"'!$A$12:$Z$41"),MATCH("Points (Auto-generate)",INDIRECT("'"&amp;$A89&amp;"'!$A$12:$Z$12"),0),0)),"ER"))</f>
        <v>?</v>
      </c>
      <c r="J89" s="83" t="str">
        <f aca="true">IF($H89=0,"NA",IF($A89=INDIRECT("'"&amp;$A89&amp;"'!$B$1"),IF(VLOOKUP(J$1,INDIRECT("'"&amp;$A89&amp;"'!$A$12:$Z$41"),MATCH("Points (Auto-generate)",INDIRECT("'"&amp;$A89&amp;"'!$A$12:$Z$12"),0),0)="","?",VLOOKUP(J$1,INDIRECT("'"&amp;$A89&amp;"'!$A$12:$Z$41"),MATCH("Points (Auto-generate)",INDIRECT("'"&amp;$A89&amp;"'!$A$12:$Z$12"),0),0)),"ER"))</f>
        <v>?</v>
      </c>
      <c r="K89" s="83" t="str">
        <f aca="true">IF($H89=0,"NA",IF($A89=INDIRECT("'"&amp;$A89&amp;"'!$B$1"),IF(VLOOKUP(K$1,INDIRECT("'"&amp;$A89&amp;"'!$A$12:$Z$41"),MATCH("Points (Auto-generate)",INDIRECT("'"&amp;$A89&amp;"'!$A$12:$Z$12"),0),0)="","?",VLOOKUP(K$1,INDIRECT("'"&amp;$A89&amp;"'!$A$12:$Z$41"),MATCH("Points (Auto-generate)",INDIRECT("'"&amp;$A89&amp;"'!$A$12:$Z$12"),0),0)),"ER"))</f>
        <v>?</v>
      </c>
      <c r="L89" s="83" t="str">
        <f aca="true">IF($H89=0,"NA",IF($A89=INDIRECT("'"&amp;$A89&amp;"'!$B$1"),IF(VLOOKUP(L$1,INDIRECT("'"&amp;$A89&amp;"'!$A$12:$Z$41"),MATCH("Points (Auto-generate)",INDIRECT("'"&amp;$A89&amp;"'!$A$12:$Z$12"),0),0)="","?",VLOOKUP(L$1,INDIRECT("'"&amp;$A89&amp;"'!$A$12:$Z$41"),MATCH("Points (Auto-generate)",INDIRECT("'"&amp;$A89&amp;"'!$A$12:$Z$12"),0),0)),"ER"))</f>
        <v>?</v>
      </c>
      <c r="M89" s="83" t="str">
        <f aca="true">IF($H89=0,"NA",IF($A89=INDIRECT("'"&amp;$A89&amp;"'!$B$1"),IF(VLOOKUP(M$1,INDIRECT("'"&amp;$A89&amp;"'!$A$12:$Z$41"),MATCH("Points (Auto-generate)",INDIRECT("'"&amp;$A89&amp;"'!$A$12:$Z$12"),0),0)="","?",VLOOKUP(M$1,INDIRECT("'"&amp;$A89&amp;"'!$A$12:$Z$41"),MATCH("Points (Auto-generate)",INDIRECT("'"&amp;$A89&amp;"'!$A$12:$Z$12"),0),0)),"ER"))</f>
        <v>?</v>
      </c>
      <c r="N89" s="83" t="str">
        <f aca="true">IF($H89=0,"NA",IF($A89=INDIRECT("'"&amp;$A89&amp;"'!$B$1"),IF(VLOOKUP(N$1,INDIRECT("'"&amp;$A89&amp;"'!$A$12:$Z$41"),MATCH("Points (Auto-generate)",INDIRECT("'"&amp;$A89&amp;"'!$A$12:$Z$12"),0),0)="","?",VLOOKUP(N$1,INDIRECT("'"&amp;$A89&amp;"'!$A$12:$Z$41"),MATCH("Points (Auto-generate)",INDIRECT("'"&amp;$A89&amp;"'!$A$12:$Z$12"),0),0)),"ER"))</f>
        <v>?</v>
      </c>
      <c r="O89" s="83" t="str">
        <f aca="true">IF($H89=0,"NA",IF($A89=INDIRECT("'"&amp;$A89&amp;"'!$B$1"),IF(VLOOKUP(O$1,INDIRECT("'"&amp;$A89&amp;"'!$A$12:$Z$41"),MATCH("Points (Auto-generate)",INDIRECT("'"&amp;$A89&amp;"'!$A$12:$Z$12"),0),0)="","?",VLOOKUP(O$1,INDIRECT("'"&amp;$A89&amp;"'!$A$12:$Z$41"),MATCH("Points (Auto-generate)",INDIRECT("'"&amp;$A89&amp;"'!$A$12:$Z$12"),0),0)),"ER"))</f>
        <v>?</v>
      </c>
      <c r="P89" s="83" t="str">
        <f aca="true">IF($H89=0,"NA",IF($A89=INDIRECT("'"&amp;$A89&amp;"'!$B$1"),IF(VLOOKUP(P$1,INDIRECT("'"&amp;$A89&amp;"'!$A$12:$Z$41"),MATCH("Points (Auto-generate)",INDIRECT("'"&amp;$A89&amp;"'!$A$12:$Z$12"),0),0)="","?",VLOOKUP(P$1,INDIRECT("'"&amp;$A89&amp;"'!$A$12:$Z$41"),MATCH("Points (Auto-generate)",INDIRECT("'"&amp;$A89&amp;"'!$A$12:$Z$12"),0),0)),"ER"))</f>
        <v>?</v>
      </c>
      <c r="Q89" s="83" t="str">
        <f aca="true">IF($H89=0,"NA",IF($A89=INDIRECT("'"&amp;$A89&amp;"'!$B$1"),IF(VLOOKUP(Q$1,INDIRECT("'"&amp;$A89&amp;"'!$A$12:$Z$41"),MATCH("Points (Auto-generate)",INDIRECT("'"&amp;$A89&amp;"'!$A$12:$Z$12"),0),0)="","?",VLOOKUP(Q$1,INDIRECT("'"&amp;$A89&amp;"'!$A$12:$Z$41"),MATCH("Points (Auto-generate)",INDIRECT("'"&amp;$A89&amp;"'!$A$12:$Z$12"),0),0)),"ER"))</f>
        <v>?</v>
      </c>
      <c r="R89" s="83" t="str">
        <f aca="true">IF($H89=0,"NA",IF($A89=INDIRECT("'"&amp;$A89&amp;"'!$B$1"),IF(VLOOKUP(R$1,INDIRECT("'"&amp;$A89&amp;"'!$A$12:$Z$41"),MATCH("Points (Auto-generate)",INDIRECT("'"&amp;$A89&amp;"'!$A$12:$Z$12"),0),0)="","?",VLOOKUP(R$1,INDIRECT("'"&amp;$A89&amp;"'!$A$12:$Z$41"),MATCH("Points (Auto-generate)",INDIRECT("'"&amp;$A89&amp;"'!$A$12:$Z$12"),0),0)),"ER"))</f>
        <v>?</v>
      </c>
      <c r="S89" s="83" t="str">
        <f aca="true">IF($H89=0,"NA",IF($A89=INDIRECT("'"&amp;$A89&amp;"'!$B$1"),IF(VLOOKUP(S$1,INDIRECT("'"&amp;$A89&amp;"'!$A$12:$Z$41"),MATCH("Points (Auto-generate)",INDIRECT("'"&amp;$A89&amp;"'!$A$12:$Z$12"),0),0)="","?",VLOOKUP(S$1,INDIRECT("'"&amp;$A89&amp;"'!$A$12:$Z$41"),MATCH("Points (Auto-generate)",INDIRECT("'"&amp;$A89&amp;"'!$A$12:$Z$12"),0),0)),"ER"))</f>
        <v>?</v>
      </c>
      <c r="T89" s="83" t="str">
        <f aca="true">IF($H89=0,"NA",IF($A89=INDIRECT("'"&amp;$A89&amp;"'!$B$1"),IF(VLOOKUP(T$1,INDIRECT("'"&amp;$A89&amp;"'!$A$12:$Z$41"),MATCH("Points (Auto-generate)",INDIRECT("'"&amp;$A89&amp;"'!$A$12:$Z$12"),0),0)="","?",VLOOKUP(T$1,INDIRECT("'"&amp;$A89&amp;"'!$A$12:$Z$41"),MATCH("Points (Auto-generate)",INDIRECT("'"&amp;$A89&amp;"'!$A$12:$Z$12"),0),0)),"ER"))</f>
        <v>?</v>
      </c>
      <c r="U89" s="83" t="str">
        <f aca="true">IF($H89=0,"NA",IF($A89=INDIRECT("'"&amp;$A89&amp;"'!$B$1"),IF(VLOOKUP(U$1,INDIRECT("'"&amp;$A89&amp;"'!$A$12:$Z$41"),MATCH("Points (Auto-generate)",INDIRECT("'"&amp;$A89&amp;"'!$A$12:$Z$12"),0),0)="","?",VLOOKUP(U$1,INDIRECT("'"&amp;$A89&amp;"'!$A$12:$Z$41"),MATCH("Points (Auto-generate)",INDIRECT("'"&amp;$A89&amp;"'!$A$12:$Z$12"),0),0)),"ER"))</f>
        <v>?</v>
      </c>
      <c r="V89" s="83" t="str">
        <f aca="true">IF($H89=0,"NA",IF($A89=INDIRECT("'"&amp;$A89&amp;"'!$B$1"),IF(VLOOKUP(V$1,INDIRECT("'"&amp;$A89&amp;"'!$A$12:$Z$41"),MATCH("Points (Auto-generate)",INDIRECT("'"&amp;$A89&amp;"'!$A$12:$Z$12"),0),0)="","?",VLOOKUP(V$1,INDIRECT("'"&amp;$A89&amp;"'!$A$12:$Z$41"),MATCH("Points (Auto-generate)",INDIRECT("'"&amp;$A89&amp;"'!$A$12:$Z$12"),0),0)),"ER"))</f>
        <v>?</v>
      </c>
      <c r="W89" s="83" t="str">
        <f aca="true">IF($H89=0,"NA",IF($A89=INDIRECT("'"&amp;$A89&amp;"'!$B$1"),IF(VLOOKUP(W$1,INDIRECT("'"&amp;$A89&amp;"'!$A$12:$Z$41"),MATCH("Points (Auto-generate)",INDIRECT("'"&amp;$A89&amp;"'!$A$12:$Z$12"),0),0)="","?",VLOOKUP(W$1,INDIRECT("'"&amp;$A89&amp;"'!$A$12:$Z$41"),MATCH("Points (Auto-generate)",INDIRECT("'"&amp;$A89&amp;"'!$A$12:$Z$12"),0),0)),"ER"))</f>
        <v>?</v>
      </c>
      <c r="X89" s="83" t="str">
        <f aca="true">IF($H89=0,"NA",IF($A89=INDIRECT("'"&amp;$A89&amp;"'!$B$1"),IF(VLOOKUP(X$1,INDIRECT("'"&amp;$A89&amp;"'!$A$12:$Z$41"),MATCH("Points (Auto-generate)",INDIRECT("'"&amp;$A89&amp;"'!$A$12:$Z$12"),0),0)="","?",VLOOKUP(X$1,INDIRECT("'"&amp;$A89&amp;"'!$A$12:$Z$41"),MATCH("Points (Auto-generate)",INDIRECT("'"&amp;$A89&amp;"'!$A$12:$Z$12"),0),0)),"ER"))</f>
        <v>?</v>
      </c>
      <c r="Y89" s="83" t="str">
        <f aca="true">IF($H89=0,"NA",IF($A89=INDIRECT("'"&amp;$A89&amp;"'!$B$1"),IF(VLOOKUP(Y$1,INDIRECT("'"&amp;$A89&amp;"'!$A$12:$Z$41"),MATCH("Points (Auto-generate)",INDIRECT("'"&amp;$A89&amp;"'!$A$12:$Z$12"),0),0)="","?",VLOOKUP(Y$1,INDIRECT("'"&amp;$A89&amp;"'!$A$12:$Z$41"),MATCH("Points (Auto-generate)",INDIRECT("'"&amp;$A89&amp;"'!$A$12:$Z$12"),0),0)),"ER"))</f>
        <v>?</v>
      </c>
      <c r="Z89" s="83" t="str">
        <f aca="true">IF($H89=0,"NA",IF($A89=INDIRECT("'"&amp;$A89&amp;"'!$B$1"),IF(VLOOKUP(Z$1,INDIRECT("'"&amp;$A89&amp;"'!$A$12:$Z$41"),MATCH("Points (Auto-generate)",INDIRECT("'"&amp;$A89&amp;"'!$A$12:$Z$12"),0),0)="","?",VLOOKUP(Z$1,INDIRECT("'"&amp;$A89&amp;"'!$A$12:$Z$41"),MATCH("Points (Auto-generate)",INDIRECT("'"&amp;$A89&amp;"'!$A$12:$Z$12"),0),0)),"ER"))</f>
        <v>?</v>
      </c>
      <c r="AA89" s="83" t="str">
        <f aca="true">IF($H89=0,"NA",IF($A89=INDIRECT("'"&amp;$A89&amp;"'!$B$1"),IF(VLOOKUP(AA$1,INDIRECT("'"&amp;$A89&amp;"'!$A$12:$Z$41"),MATCH("Points (Auto-generate)",INDIRECT("'"&amp;$A89&amp;"'!$A$12:$Z$12"),0),0)="","?",VLOOKUP(AA$1,INDIRECT("'"&amp;$A89&amp;"'!$A$12:$Z$41"),MATCH("Points (Auto-generate)",INDIRECT("'"&amp;$A89&amp;"'!$A$12:$Z$12"),0),0)),"ER"))</f>
        <v>?</v>
      </c>
      <c r="AB89" s="83" t="str">
        <f aca="true">IF($H89=0,"NA",IF($A89=INDIRECT("'"&amp;$A89&amp;"'!$B$1"),IF(VLOOKUP(AB$1,INDIRECT("'"&amp;$A89&amp;"'!$A$12:$Z$41"),MATCH("Points (Auto-generate)",INDIRECT("'"&amp;$A89&amp;"'!$A$12:$Z$12"),0),0)="","?",VLOOKUP(AB$1,INDIRECT("'"&amp;$A89&amp;"'!$A$12:$Z$41"),MATCH("Points (Auto-generate)",INDIRECT("'"&amp;$A89&amp;"'!$A$12:$Z$12"),0),0)),"ER"))</f>
        <v>?</v>
      </c>
      <c r="AC89" s="83" t="n">
        <f aca="true">IF($H89=0,"NA",IF($A89=INDIRECT("'"&amp;$A89&amp;"'!$B$1"),IF(VLOOKUP(AC$1,INDIRECT("'"&amp;$A89&amp;"'!$A$12:$Z$41"),MATCH("Points (Auto-generate)",INDIRECT("'"&amp;$A89&amp;"'!$A$12:$Z$12"),0),0)="","?",VLOOKUP(AC$1,INDIRECT("'"&amp;$A89&amp;"'!$A$12:$Z$41"),MATCH("Points (Auto-generate)",INDIRECT("'"&amp;$A89&amp;"'!$A$12:$Z$12"),0),0)),"ER"))</f>
        <v>5</v>
      </c>
      <c r="AD89" s="83" t="str">
        <f aca="true">IF($H89=0,"NA",IF($A89=INDIRECT("'"&amp;$A89&amp;"'!$B$1"),IF(VLOOKUP(AD$1,INDIRECT("'"&amp;$A89&amp;"'!$A$12:$Z$41"),MATCH("Points (Auto-generate)",INDIRECT("'"&amp;$A89&amp;"'!$A$12:$Z$12"),0),0)="","?",VLOOKUP(AD$1,INDIRECT("'"&amp;$A89&amp;"'!$A$12:$Z$41"),MATCH("Points (Auto-generate)",INDIRECT("'"&amp;$A89&amp;"'!$A$12:$Z$12"),0),0)),"ER"))</f>
        <v>?</v>
      </c>
      <c r="AE89" s="83" t="str">
        <f aca="true">IF($H89=0,"NA",IF($A89=INDIRECT("'"&amp;$A89&amp;"'!$B$1"),IF(VLOOKUP(AE$1,INDIRECT("'"&amp;$A89&amp;"'!$A$12:$Z$41"),MATCH("Points (Auto-generate)",INDIRECT("'"&amp;$A89&amp;"'!$A$12:$Z$12"),0),0)="","?",VLOOKUP(AE$1,INDIRECT("'"&amp;$A89&amp;"'!$A$12:$Z$41"),MATCH("Points (Auto-generate)",INDIRECT("'"&amp;$A89&amp;"'!$A$12:$Z$12"),0),0)),"ER"))</f>
        <v>?</v>
      </c>
      <c r="AF89" s="83" t="str">
        <f aca="true">IF($H89=0,"NA",IF($A89=INDIRECT("'"&amp;$A89&amp;"'!$B$1"),IF(VLOOKUP(AF$1,INDIRECT("'"&amp;$A89&amp;"'!$A$12:$Z$41"),MATCH("Points (Auto-generate)",INDIRECT("'"&amp;$A89&amp;"'!$A$12:$Z$12"),0),0)="","?",VLOOKUP(AF$1,INDIRECT("'"&amp;$A89&amp;"'!$A$12:$Z$41"),MATCH("Points (Auto-generate)",INDIRECT("'"&amp;$A89&amp;"'!$A$12:$Z$12"),0),0)),"ER"))</f>
        <v>?</v>
      </c>
      <c r="AG89" s="83" t="str">
        <f aca="true">IF($H89=0,"NA",IF($A89=INDIRECT("'"&amp;$A89&amp;"'!$B$1"),IF(VLOOKUP(AG$1,INDIRECT("'"&amp;$A89&amp;"'!$A$12:$Z$41"),MATCH("Points (Auto-generate)",INDIRECT("'"&amp;$A89&amp;"'!$A$12:$Z$12"),0),0)="","?",VLOOKUP(AG$1,INDIRECT("'"&amp;$A89&amp;"'!$A$12:$Z$41"),MATCH("Points (Auto-generate)",INDIRECT("'"&amp;$A89&amp;"'!$A$12:$Z$12"),0),0)),"ER"))</f>
        <v>?</v>
      </c>
      <c r="AH89" s="83" t="str">
        <f aca="true">IF($H89=0,"NA",IF($A89=INDIRECT("'"&amp;$A89&amp;"'!$B$1"),IF(VLOOKUP(AH$1,INDIRECT("'"&amp;$A89&amp;"'!$A$12:$Z$41"),MATCH("Points (Auto-generate)",INDIRECT("'"&amp;$A89&amp;"'!$A$12:$Z$12"),0),0)="","?",VLOOKUP(AH$1,INDIRECT("'"&amp;$A89&amp;"'!$A$12:$Z$41"),MATCH("Points (Auto-generate)",INDIRECT("'"&amp;$A89&amp;"'!$A$12:$Z$12"),0),0)),"ER"))</f>
        <v>?</v>
      </c>
      <c r="AI89" s="83" t="str">
        <f aca="true">IF($H89=0,"NA",IF($A89=INDIRECT("'"&amp;$A89&amp;"'!$B$1"),IF(VLOOKUP(AI$1,INDIRECT("'"&amp;$A89&amp;"'!$A$12:$Z$41"),MATCH("Points (Auto-generate)",INDIRECT("'"&amp;$A89&amp;"'!$A$12:$Z$12"),0),0)="","?",VLOOKUP(AI$1,INDIRECT("'"&amp;$A89&amp;"'!$A$12:$Z$41"),MATCH("Points (Auto-generate)",INDIRECT("'"&amp;$A89&amp;"'!$A$12:$Z$12"),0),0)),"ER"))</f>
        <v>?</v>
      </c>
      <c r="AJ89" s="83" t="str">
        <f aca="true">IF($H89=0,"NA",IF($A89=INDIRECT("'"&amp;$A89&amp;"'!$B$1"),IF(VLOOKUP(AJ$1,INDIRECT("'"&amp;$A89&amp;"'!$A$12:$Z$41"),MATCH("Points (Auto-generate)",INDIRECT("'"&amp;$A89&amp;"'!$A$12:$Z$12"),0),0)="","?",VLOOKUP(AJ$1,INDIRECT("'"&amp;$A89&amp;"'!$A$12:$Z$41"),MATCH("Points (Auto-generate)",INDIRECT("'"&amp;$A89&amp;"'!$A$12:$Z$12"),0),0)),"ER"))</f>
        <v>?</v>
      </c>
      <c r="AK89" s="83" t="str">
        <f aca="true">IF($H89=0,"NA",IF($A89=INDIRECT("'"&amp;$A89&amp;"'!$B$1"),IF(VLOOKUP(AK$1,INDIRECT("'"&amp;$A89&amp;"'!$A$12:$Z$41"),MATCH("Points (Auto-generate)",INDIRECT("'"&amp;$A89&amp;"'!$A$12:$Z$12"),0),0)="","?",VLOOKUP(AK$1,INDIRECT("'"&amp;$A89&amp;"'!$A$12:$Z$41"),MATCH("Points (Auto-generate)",INDIRECT("'"&amp;$A89&amp;"'!$A$12:$Z$12"),0),0)),"ER"))</f>
        <v>?</v>
      </c>
    </row>
    <row r="90" customFormat="false" ht="14.25" hidden="false" customHeight="false" outlineLevel="0" collapsed="false">
      <c r="A90" s="79" t="s">
        <v>337</v>
      </c>
      <c r="B90" s="80" t="str">
        <f aca="false">IF(ISBLANK($A90),"NO_CODE",VLOOKUP($A90,'UPD Questions_290926 '!$E$1:$N$300,MATCH(B$1,'UPD Questions_290926 '!$E$1:$N$1,0),0)&amp;"")</f>
        <v>Implementation</v>
      </c>
      <c r="C90" s="80" t="str">
        <f aca="false">IF(ISBLANK($A90),"NO_CODE",VLOOKUP($A90,'UPD Questions_290926 '!$E$1:$N$300,MATCH(C$1,'UPD Questions_290926 '!$E$1:$N$1,0),0)&amp;"")</f>
        <v>Development Control Regulations and land-management instruments</v>
      </c>
      <c r="D90" s="80" t="str">
        <f aca="false">IF(ISBLANK($A90),"NO_CODE",VLOOKUP($A90,'UPD Questions_290926 '!$E$1:$N$300,MATCH(D$1,'UPD Questions_290926 '!$E$1:$N$1,0),0)&amp;"")</f>
        <v>Applicability and currency of DCRs</v>
      </c>
      <c r="E90" s="80" t="str">
        <f aca="false">IF(ISBLANK($A90),"NO_CODE",VLOOKUP($A90,'UPD Questions_290926 '!$E$1:$N$300,MATCH(E$1,'UPD Questions_290926 '!$E$1:$N$1,0),0)&amp;"")</f>
        <v>MQ</v>
      </c>
      <c r="F90" s="80" t="str">
        <f aca="false">IF(ISBLANK($A90),"NO_CODE",VLOOKUP($A90,'UPD Questions_290926 '!$E$1:$N$300,MATCH(F$1,'UPD Questions_290926 '!$E$1:$N$1,0),0)&amp;"")</f>
        <v>Does the city have a city-specific Development Control Regulation (DCR)?</v>
      </c>
      <c r="G90" s="80" t="str">
        <f aca="false">IF(ISBLANK($A90),"NO_CODE",VLOOKUP($A90,'UPD Questions_290926 '!$E$1:$N$300,MATCH(G$1,'UPD Questions_290926 '!$E$1:$N$1,0),0)&amp;"")</f>
        <v>Law or Policy &amp; Implementation</v>
      </c>
      <c r="H90" s="82" t="n">
        <f aca="false">IF(ISBLANK($A90),"NO_CODE",VLOOKUP($A90,'UPD Questions_290926 '!$E$1:$N$300,MATCH(H$1,'UPD Questions_290926 '!$E$1:$N$1,0),0))</f>
        <v>10</v>
      </c>
      <c r="I90" s="83" t="str">
        <f aca="true">IF($H90=0,"NA",IF($A90=INDIRECT("'"&amp;$A90&amp;"'!$B$1"),IF(VLOOKUP(I$1,INDIRECT("'"&amp;$A90&amp;"'!$A$12:$Z$41"),MATCH("Points (Auto-generate)",INDIRECT("'"&amp;$A90&amp;"'!$A$12:$Z$12"),0),0)="","?",VLOOKUP(I$1,INDIRECT("'"&amp;$A90&amp;"'!$A$12:$Z$41"),MATCH("Points (Auto-generate)",INDIRECT("'"&amp;$A90&amp;"'!$A$12:$Z$12"),0),0)),"ER"))</f>
        <v>?</v>
      </c>
      <c r="J90" s="83" t="str">
        <f aca="true">IF($H90=0,"NA",IF($A90=INDIRECT("'"&amp;$A90&amp;"'!$B$1"),IF(VLOOKUP(J$1,INDIRECT("'"&amp;$A90&amp;"'!$A$12:$Z$41"),MATCH("Points (Auto-generate)",INDIRECT("'"&amp;$A90&amp;"'!$A$12:$Z$12"),0),0)="","?",VLOOKUP(J$1,INDIRECT("'"&amp;$A90&amp;"'!$A$12:$Z$41"),MATCH("Points (Auto-generate)",INDIRECT("'"&amp;$A90&amp;"'!$A$12:$Z$12"),0),0)),"ER"))</f>
        <v>?</v>
      </c>
      <c r="K90" s="83" t="str">
        <f aca="true">IF($H90=0,"NA",IF($A90=INDIRECT("'"&amp;$A90&amp;"'!$B$1"),IF(VLOOKUP(K$1,INDIRECT("'"&amp;$A90&amp;"'!$A$12:$Z$41"),MATCH("Points (Auto-generate)",INDIRECT("'"&amp;$A90&amp;"'!$A$12:$Z$12"),0),0)="","?",VLOOKUP(K$1,INDIRECT("'"&amp;$A90&amp;"'!$A$12:$Z$41"),MATCH("Points (Auto-generate)",INDIRECT("'"&amp;$A90&amp;"'!$A$12:$Z$12"),0),0)),"ER"))</f>
        <v>?</v>
      </c>
      <c r="L90" s="83" t="str">
        <f aca="true">IF($H90=0,"NA",IF($A90=INDIRECT("'"&amp;$A90&amp;"'!$B$1"),IF(VLOOKUP(L$1,INDIRECT("'"&amp;$A90&amp;"'!$A$12:$Z$41"),MATCH("Points (Auto-generate)",INDIRECT("'"&amp;$A90&amp;"'!$A$12:$Z$12"),0),0)="","?",VLOOKUP(L$1,INDIRECT("'"&amp;$A90&amp;"'!$A$12:$Z$41"),MATCH("Points (Auto-generate)",INDIRECT("'"&amp;$A90&amp;"'!$A$12:$Z$12"),0),0)),"ER"))</f>
        <v>?</v>
      </c>
      <c r="M90" s="83" t="str">
        <f aca="true">IF($H90=0,"NA",IF($A90=INDIRECT("'"&amp;$A90&amp;"'!$B$1"),IF(VLOOKUP(M$1,INDIRECT("'"&amp;$A90&amp;"'!$A$12:$Z$41"),MATCH("Points (Auto-generate)",INDIRECT("'"&amp;$A90&amp;"'!$A$12:$Z$12"),0),0)="","?",VLOOKUP(M$1,INDIRECT("'"&amp;$A90&amp;"'!$A$12:$Z$41"),MATCH("Points (Auto-generate)",INDIRECT("'"&amp;$A90&amp;"'!$A$12:$Z$12"),0),0)),"ER"))</f>
        <v>?</v>
      </c>
      <c r="N90" s="83" t="str">
        <f aca="true">IF($H90=0,"NA",IF($A90=INDIRECT("'"&amp;$A90&amp;"'!$B$1"),IF(VLOOKUP(N$1,INDIRECT("'"&amp;$A90&amp;"'!$A$12:$Z$41"),MATCH("Points (Auto-generate)",INDIRECT("'"&amp;$A90&amp;"'!$A$12:$Z$12"),0),0)="","?",VLOOKUP(N$1,INDIRECT("'"&amp;$A90&amp;"'!$A$12:$Z$41"),MATCH("Points (Auto-generate)",INDIRECT("'"&amp;$A90&amp;"'!$A$12:$Z$12"),0),0)),"ER"))</f>
        <v>?</v>
      </c>
      <c r="O90" s="83" t="str">
        <f aca="true">IF($H90=0,"NA",IF($A90=INDIRECT("'"&amp;$A90&amp;"'!$B$1"),IF(VLOOKUP(O$1,INDIRECT("'"&amp;$A90&amp;"'!$A$12:$Z$41"),MATCH("Points (Auto-generate)",INDIRECT("'"&amp;$A90&amp;"'!$A$12:$Z$12"),0),0)="","?",VLOOKUP(O$1,INDIRECT("'"&amp;$A90&amp;"'!$A$12:$Z$41"),MATCH("Points (Auto-generate)",INDIRECT("'"&amp;$A90&amp;"'!$A$12:$Z$12"),0),0)),"ER"))</f>
        <v>?</v>
      </c>
      <c r="P90" s="83" t="str">
        <f aca="true">IF($H90=0,"NA",IF($A90=INDIRECT("'"&amp;$A90&amp;"'!$B$1"),IF(VLOOKUP(P$1,INDIRECT("'"&amp;$A90&amp;"'!$A$12:$Z$41"),MATCH("Points (Auto-generate)",INDIRECT("'"&amp;$A90&amp;"'!$A$12:$Z$12"),0),0)="","?",VLOOKUP(P$1,INDIRECT("'"&amp;$A90&amp;"'!$A$12:$Z$41"),MATCH("Points (Auto-generate)",INDIRECT("'"&amp;$A90&amp;"'!$A$12:$Z$12"),0),0)),"ER"))</f>
        <v>?</v>
      </c>
      <c r="Q90" s="83" t="str">
        <f aca="true">IF($H90=0,"NA",IF($A90=INDIRECT("'"&amp;$A90&amp;"'!$B$1"),IF(VLOOKUP(Q$1,INDIRECT("'"&amp;$A90&amp;"'!$A$12:$Z$41"),MATCH("Points (Auto-generate)",INDIRECT("'"&amp;$A90&amp;"'!$A$12:$Z$12"),0),0)="","?",VLOOKUP(Q$1,INDIRECT("'"&amp;$A90&amp;"'!$A$12:$Z$41"),MATCH("Points (Auto-generate)",INDIRECT("'"&amp;$A90&amp;"'!$A$12:$Z$12"),0),0)),"ER"))</f>
        <v>?</v>
      </c>
      <c r="R90" s="83" t="str">
        <f aca="true">IF($H90=0,"NA",IF($A90=INDIRECT("'"&amp;$A90&amp;"'!$B$1"),IF(VLOOKUP(R$1,INDIRECT("'"&amp;$A90&amp;"'!$A$12:$Z$41"),MATCH("Points (Auto-generate)",INDIRECT("'"&amp;$A90&amp;"'!$A$12:$Z$12"),0),0)="","?",VLOOKUP(R$1,INDIRECT("'"&amp;$A90&amp;"'!$A$12:$Z$41"),MATCH("Points (Auto-generate)",INDIRECT("'"&amp;$A90&amp;"'!$A$12:$Z$12"),0),0)),"ER"))</f>
        <v>?</v>
      </c>
      <c r="S90" s="83" t="str">
        <f aca="true">IF($H90=0,"NA",IF($A90=INDIRECT("'"&amp;$A90&amp;"'!$B$1"),IF(VLOOKUP(S$1,INDIRECT("'"&amp;$A90&amp;"'!$A$12:$Z$41"),MATCH("Points (Auto-generate)",INDIRECT("'"&amp;$A90&amp;"'!$A$12:$Z$12"),0),0)="","?",VLOOKUP(S$1,INDIRECT("'"&amp;$A90&amp;"'!$A$12:$Z$41"),MATCH("Points (Auto-generate)",INDIRECT("'"&amp;$A90&amp;"'!$A$12:$Z$12"),0),0)),"ER"))</f>
        <v>?</v>
      </c>
      <c r="T90" s="83" t="str">
        <f aca="true">IF($H90=0,"NA",IF($A90=INDIRECT("'"&amp;$A90&amp;"'!$B$1"),IF(VLOOKUP(T$1,INDIRECT("'"&amp;$A90&amp;"'!$A$12:$Z$41"),MATCH("Points (Auto-generate)",INDIRECT("'"&amp;$A90&amp;"'!$A$12:$Z$12"),0),0)="","?",VLOOKUP(T$1,INDIRECT("'"&amp;$A90&amp;"'!$A$12:$Z$41"),MATCH("Points (Auto-generate)",INDIRECT("'"&amp;$A90&amp;"'!$A$12:$Z$12"),0),0)),"ER"))</f>
        <v>?</v>
      </c>
      <c r="U90" s="83" t="str">
        <f aca="true">IF($H90=0,"NA",IF($A90=INDIRECT("'"&amp;$A90&amp;"'!$B$1"),IF(VLOOKUP(U$1,INDIRECT("'"&amp;$A90&amp;"'!$A$12:$Z$41"),MATCH("Points (Auto-generate)",INDIRECT("'"&amp;$A90&amp;"'!$A$12:$Z$12"),0),0)="","?",VLOOKUP(U$1,INDIRECT("'"&amp;$A90&amp;"'!$A$12:$Z$41"),MATCH("Points (Auto-generate)",INDIRECT("'"&amp;$A90&amp;"'!$A$12:$Z$12"),0),0)),"ER"))</f>
        <v>?</v>
      </c>
      <c r="V90" s="83" t="str">
        <f aca="true">IF($H90=0,"NA",IF($A90=INDIRECT("'"&amp;$A90&amp;"'!$B$1"),IF(VLOOKUP(V$1,INDIRECT("'"&amp;$A90&amp;"'!$A$12:$Z$41"),MATCH("Points (Auto-generate)",INDIRECT("'"&amp;$A90&amp;"'!$A$12:$Z$12"),0),0)="","?",VLOOKUP(V$1,INDIRECT("'"&amp;$A90&amp;"'!$A$12:$Z$41"),MATCH("Points (Auto-generate)",INDIRECT("'"&amp;$A90&amp;"'!$A$12:$Z$12"),0),0)),"ER"))</f>
        <v>?</v>
      </c>
      <c r="W90" s="83" t="str">
        <f aca="true">IF($H90=0,"NA",IF($A90=INDIRECT("'"&amp;$A90&amp;"'!$B$1"),IF(VLOOKUP(W$1,INDIRECT("'"&amp;$A90&amp;"'!$A$12:$Z$41"),MATCH("Points (Auto-generate)",INDIRECT("'"&amp;$A90&amp;"'!$A$12:$Z$12"),0),0)="","?",VLOOKUP(W$1,INDIRECT("'"&amp;$A90&amp;"'!$A$12:$Z$41"),MATCH("Points (Auto-generate)",INDIRECT("'"&amp;$A90&amp;"'!$A$12:$Z$12"),0),0)),"ER"))</f>
        <v>?</v>
      </c>
      <c r="X90" s="83" t="str">
        <f aca="true">IF($H90=0,"NA",IF($A90=INDIRECT("'"&amp;$A90&amp;"'!$B$1"),IF(VLOOKUP(X$1,INDIRECT("'"&amp;$A90&amp;"'!$A$12:$Z$41"),MATCH("Points (Auto-generate)",INDIRECT("'"&amp;$A90&amp;"'!$A$12:$Z$12"),0),0)="","?",VLOOKUP(X$1,INDIRECT("'"&amp;$A90&amp;"'!$A$12:$Z$41"),MATCH("Points (Auto-generate)",INDIRECT("'"&amp;$A90&amp;"'!$A$12:$Z$12"),0),0)),"ER"))</f>
        <v>?</v>
      </c>
      <c r="Y90" s="83" t="str">
        <f aca="true">IF($H90=0,"NA",IF($A90=INDIRECT("'"&amp;$A90&amp;"'!$B$1"),IF(VLOOKUP(Y$1,INDIRECT("'"&amp;$A90&amp;"'!$A$12:$Z$41"),MATCH("Points (Auto-generate)",INDIRECT("'"&amp;$A90&amp;"'!$A$12:$Z$12"),0),0)="","?",VLOOKUP(Y$1,INDIRECT("'"&amp;$A90&amp;"'!$A$12:$Z$41"),MATCH("Points (Auto-generate)",INDIRECT("'"&amp;$A90&amp;"'!$A$12:$Z$12"),0),0)),"ER"))</f>
        <v>?</v>
      </c>
      <c r="Z90" s="83" t="str">
        <f aca="true">IF($H90=0,"NA",IF($A90=INDIRECT("'"&amp;$A90&amp;"'!$B$1"),IF(VLOOKUP(Z$1,INDIRECT("'"&amp;$A90&amp;"'!$A$12:$Z$41"),MATCH("Points (Auto-generate)",INDIRECT("'"&amp;$A90&amp;"'!$A$12:$Z$12"),0),0)="","?",VLOOKUP(Z$1,INDIRECT("'"&amp;$A90&amp;"'!$A$12:$Z$41"),MATCH("Points (Auto-generate)",INDIRECT("'"&amp;$A90&amp;"'!$A$12:$Z$12"),0),0)),"ER"))</f>
        <v>?</v>
      </c>
      <c r="AA90" s="83" t="str">
        <f aca="true">IF($H90=0,"NA",IF($A90=INDIRECT("'"&amp;$A90&amp;"'!$B$1"),IF(VLOOKUP(AA$1,INDIRECT("'"&amp;$A90&amp;"'!$A$12:$Z$41"),MATCH("Points (Auto-generate)",INDIRECT("'"&amp;$A90&amp;"'!$A$12:$Z$12"),0),0)="","?",VLOOKUP(AA$1,INDIRECT("'"&amp;$A90&amp;"'!$A$12:$Z$41"),MATCH("Points (Auto-generate)",INDIRECT("'"&amp;$A90&amp;"'!$A$12:$Z$12"),0),0)),"ER"))</f>
        <v>?</v>
      </c>
      <c r="AB90" s="83" t="str">
        <f aca="true">IF($H90=0,"NA",IF($A90=INDIRECT("'"&amp;$A90&amp;"'!$B$1"),IF(VLOOKUP(AB$1,INDIRECT("'"&amp;$A90&amp;"'!$A$12:$Z$41"),MATCH("Points (Auto-generate)",INDIRECT("'"&amp;$A90&amp;"'!$A$12:$Z$12"),0),0)="","?",VLOOKUP(AB$1,INDIRECT("'"&amp;$A90&amp;"'!$A$12:$Z$41"),MATCH("Points (Auto-generate)",INDIRECT("'"&amp;$A90&amp;"'!$A$12:$Z$12"),0),0)),"ER"))</f>
        <v>?</v>
      </c>
      <c r="AC90" s="83" t="str">
        <f aca="true">IF($H90=0,"NA",IF($A90=INDIRECT("'"&amp;$A90&amp;"'!$B$1"),IF(VLOOKUP(AC$1,INDIRECT("'"&amp;$A90&amp;"'!$A$12:$Z$41"),MATCH("Points (Auto-generate)",INDIRECT("'"&amp;$A90&amp;"'!$A$12:$Z$12"),0),0)="","?",VLOOKUP(AC$1,INDIRECT("'"&amp;$A90&amp;"'!$A$12:$Z$41"),MATCH("Points (Auto-generate)",INDIRECT("'"&amp;$A90&amp;"'!$A$12:$Z$12"),0),0)),"ER"))</f>
        <v>?</v>
      </c>
      <c r="AD90" s="83" t="str">
        <f aca="true">IF($H90=0,"NA",IF($A90=INDIRECT("'"&amp;$A90&amp;"'!$B$1"),IF(VLOOKUP(AD$1,INDIRECT("'"&amp;$A90&amp;"'!$A$12:$Z$41"),MATCH("Points (Auto-generate)",INDIRECT("'"&amp;$A90&amp;"'!$A$12:$Z$12"),0),0)="","?",VLOOKUP(AD$1,INDIRECT("'"&amp;$A90&amp;"'!$A$12:$Z$41"),MATCH("Points (Auto-generate)",INDIRECT("'"&amp;$A90&amp;"'!$A$12:$Z$12"),0),0)),"ER"))</f>
        <v>?</v>
      </c>
      <c r="AE90" s="83" t="str">
        <f aca="true">IF($H90=0,"NA",IF($A90=INDIRECT("'"&amp;$A90&amp;"'!$B$1"),IF(VLOOKUP(AE$1,INDIRECT("'"&amp;$A90&amp;"'!$A$12:$Z$41"),MATCH("Points (Auto-generate)",INDIRECT("'"&amp;$A90&amp;"'!$A$12:$Z$12"),0),0)="","?",VLOOKUP(AE$1,INDIRECT("'"&amp;$A90&amp;"'!$A$12:$Z$41"),MATCH("Points (Auto-generate)",INDIRECT("'"&amp;$A90&amp;"'!$A$12:$Z$12"),0),0)),"ER"))</f>
        <v>?</v>
      </c>
      <c r="AF90" s="83" t="str">
        <f aca="true">IF($H90=0,"NA",IF($A90=INDIRECT("'"&amp;$A90&amp;"'!$B$1"),IF(VLOOKUP(AF$1,INDIRECT("'"&amp;$A90&amp;"'!$A$12:$Z$41"),MATCH("Points (Auto-generate)",INDIRECT("'"&amp;$A90&amp;"'!$A$12:$Z$12"),0),0)="","?",VLOOKUP(AF$1,INDIRECT("'"&amp;$A90&amp;"'!$A$12:$Z$41"),MATCH("Points (Auto-generate)",INDIRECT("'"&amp;$A90&amp;"'!$A$12:$Z$12"),0),0)),"ER"))</f>
        <v>?</v>
      </c>
      <c r="AG90" s="83" t="str">
        <f aca="true">IF($H90=0,"NA",IF($A90=INDIRECT("'"&amp;$A90&amp;"'!$B$1"),IF(VLOOKUP(AG$1,INDIRECT("'"&amp;$A90&amp;"'!$A$12:$Z$41"),MATCH("Points (Auto-generate)",INDIRECT("'"&amp;$A90&amp;"'!$A$12:$Z$12"),0),0)="","?",VLOOKUP(AG$1,INDIRECT("'"&amp;$A90&amp;"'!$A$12:$Z$41"),MATCH("Points (Auto-generate)",INDIRECT("'"&amp;$A90&amp;"'!$A$12:$Z$12"),0),0)),"ER"))</f>
        <v>?</v>
      </c>
      <c r="AH90" s="83" t="str">
        <f aca="true">IF($H90=0,"NA",IF($A90=INDIRECT("'"&amp;$A90&amp;"'!$B$1"),IF(VLOOKUP(AH$1,INDIRECT("'"&amp;$A90&amp;"'!$A$12:$Z$41"),MATCH("Points (Auto-generate)",INDIRECT("'"&amp;$A90&amp;"'!$A$12:$Z$12"),0),0)="","?",VLOOKUP(AH$1,INDIRECT("'"&amp;$A90&amp;"'!$A$12:$Z$41"),MATCH("Points (Auto-generate)",INDIRECT("'"&amp;$A90&amp;"'!$A$12:$Z$12"),0),0)),"ER"))</f>
        <v>?</v>
      </c>
      <c r="AI90" s="83" t="str">
        <f aca="true">IF($H90=0,"NA",IF($A90=INDIRECT("'"&amp;$A90&amp;"'!$B$1"),IF(VLOOKUP(AI$1,INDIRECT("'"&amp;$A90&amp;"'!$A$12:$Z$41"),MATCH("Points (Auto-generate)",INDIRECT("'"&amp;$A90&amp;"'!$A$12:$Z$12"),0),0)="","?",VLOOKUP(AI$1,INDIRECT("'"&amp;$A90&amp;"'!$A$12:$Z$41"),MATCH("Points (Auto-generate)",INDIRECT("'"&amp;$A90&amp;"'!$A$12:$Z$12"),0),0)),"ER"))</f>
        <v>?</v>
      </c>
      <c r="AJ90" s="83" t="str">
        <f aca="true">IF($H90=0,"NA",IF($A90=INDIRECT("'"&amp;$A90&amp;"'!$B$1"),IF(VLOOKUP(AJ$1,INDIRECT("'"&amp;$A90&amp;"'!$A$12:$Z$41"),MATCH("Points (Auto-generate)",INDIRECT("'"&amp;$A90&amp;"'!$A$12:$Z$12"),0),0)="","?",VLOOKUP(AJ$1,INDIRECT("'"&amp;$A90&amp;"'!$A$12:$Z$41"),MATCH("Points (Auto-generate)",INDIRECT("'"&amp;$A90&amp;"'!$A$12:$Z$12"),0),0)),"ER"))</f>
        <v>?</v>
      </c>
      <c r="AK90" s="83" t="str">
        <f aca="true">IF($H90=0,"NA",IF($A90=INDIRECT("'"&amp;$A90&amp;"'!$B$1"),IF(VLOOKUP(AK$1,INDIRECT("'"&amp;$A90&amp;"'!$A$12:$Z$41"),MATCH("Points (Auto-generate)",INDIRECT("'"&amp;$A90&amp;"'!$A$12:$Z$12"),0),0)="","?",VLOOKUP(AK$1,INDIRECT("'"&amp;$A90&amp;"'!$A$12:$Z$41"),MATCH("Points (Auto-generate)",INDIRECT("'"&amp;$A90&amp;"'!$A$12:$Z$12"),0),0)),"ER"))</f>
        <v>?</v>
      </c>
    </row>
    <row r="91" customFormat="false" ht="14.25" hidden="false" customHeight="false" outlineLevel="0" collapsed="false">
      <c r="A91" s="79" t="s">
        <v>740</v>
      </c>
      <c r="B91" s="80" t="str">
        <f aca="false">IF(ISBLANK($A91),"NO_CODE",VLOOKUP($A91,'UPD Questions_290926 '!$E$1:$N$300,MATCH(B$1,'UPD Questions_290926 '!$E$1:$N$1,0),0)&amp;"")</f>
        <v>Implementation</v>
      </c>
      <c r="C91" s="80" t="str">
        <f aca="false">IF(ISBLANK($A91),"NO_CODE",VLOOKUP($A91,'UPD Questions_290926 '!$E$1:$N$300,MATCH(C$1,'UPD Questions_290926 '!$E$1:$N$1,0),0)&amp;"")</f>
        <v>Development Control Regulations and land-management instruments</v>
      </c>
      <c r="D91" s="80" t="str">
        <f aca="false">IF(ISBLANK($A91),"NO_CODE",VLOOKUP($A91,'UPD Questions_290926 '!$E$1:$N$300,MATCH(D$1,'UPD Questions_290926 '!$E$1:$N$1,0),0)&amp;"")</f>
        <v>DCR revision and public consultation</v>
      </c>
      <c r="E91" s="80" t="str">
        <f aca="false">IF(ISBLANK($A91),"NO_CODE",VLOOKUP($A91,'UPD Questions_290926 '!$E$1:$N$300,MATCH(E$1,'UPD Questions_290926 '!$E$1:$N$1,0),0)&amp;"")</f>
        <v>MQ</v>
      </c>
      <c r="F91" s="80" t="str">
        <f aca="false">IF(ISBLANK($A91),"NO_CODE",VLOOKUP($A91,'UPD Questions_290926 '!$E$1:$N$300,MATCH(F$1,'UPD Questions_290926 '!$E$1:$N$1,0),0)&amp;"")</f>
        <v>Does the city’s DCR provide development controls, standards or incentives that enable positive economic, environmental, public health, heritage, and inclusion outcomes?</v>
      </c>
      <c r="G91" s="80" t="str">
        <f aca="false">IF(ISBLANK($A91),"NO_CODE",VLOOKUP($A91,'UPD Questions_290926 '!$E$1:$N$300,MATCH(G$1,'UPD Questions_290926 '!$E$1:$N$1,0),0)&amp;"")</f>
        <v>Law or Policy</v>
      </c>
      <c r="H91" s="82" t="n">
        <f aca="false">IF(ISBLANK($A91),"NO_CODE",VLOOKUP($A91,'UPD Questions_290926 '!$E$1:$N$300,MATCH(H$1,'UPD Questions_290926 '!$E$1:$N$1,0),0))</f>
        <v>10</v>
      </c>
      <c r="I91" s="83" t="str">
        <f aca="false">IF(OR(I92="ER",I93="ER",I94="ER",I95="ER",I96="ER"),"ER",IF(OR(I92="?",I93="?",I94="?",I95="?",I96="?"),"?",IF(AND(I92="NA",I93="NA",I94="NA",I95="NA",I96="NA"),"NA",SUM(I92,I93,I94,I95,I96)/((I92&lt;&gt;"NA")*$H$92+(I93&lt;&gt;"NA")*$H$93+(I94&lt;&gt;"NA")*$H$94+(I95&lt;&gt;"NA")*$H$95+(I96&lt;&gt;"NA")*$H$96)*$H91)))</f>
        <v>?</v>
      </c>
      <c r="J91" s="83" t="n">
        <f aca="false">IF(OR(J92="ER",J93="ER",J94="ER",J95="ER",J96="ER"),"ER",IF(OR(J92="?",J93="?",J94="?",J95="?",J96="?"),"?",IF(AND(J92="NA",J93="NA",J94="NA",J95="NA",J96="NA"),"NA",SUM(J92,J93,J94,J95,J96)/((J92&lt;&gt;"NA")*$H$92+(J93&lt;&gt;"NA")*$H$93+(J94&lt;&gt;"NA")*$H$94+(J95&lt;&gt;"NA")*$H$95+(J96&lt;&gt;"NA")*$H$96)*$H91)))</f>
        <v>0</v>
      </c>
      <c r="K91" s="83" t="str">
        <f aca="false">IF(OR(K92="ER",K93="ER",K94="ER",K95="ER",K96="ER"),"ER",IF(OR(K92="?",K93="?",K94="?",K95="?",K96="?"),"?",IF(AND(K92="NA",K93="NA",K94="NA",K95="NA",K96="NA"),"NA",SUM(K92,K93,K94,K95,K96)/((K92&lt;&gt;"NA")*$H$92+(K93&lt;&gt;"NA")*$H$93+(K94&lt;&gt;"NA")*$H$94+(K95&lt;&gt;"NA")*$H$95+(K96&lt;&gt;"NA")*$H$96)*$H91)))</f>
        <v>?</v>
      </c>
      <c r="L91" s="83" t="str">
        <f aca="false">IF(OR(L92="ER",L93="ER",L94="ER",L95="ER",L96="ER"),"ER",IF(OR(L92="?",L93="?",L94="?",L95="?",L96="?"),"?",IF(AND(L92="NA",L93="NA",L94="NA",L95="NA",L96="NA"),"NA",SUM(L92,L93,L94,L95,L96)/((L92&lt;&gt;"NA")*$H$92+(L93&lt;&gt;"NA")*$H$93+(L94&lt;&gt;"NA")*$H$94+(L95&lt;&gt;"NA")*$H$95+(L96&lt;&gt;"NA")*$H$96)*$H91)))</f>
        <v>?</v>
      </c>
      <c r="M91" s="83" t="str">
        <f aca="false">IF(OR(M92="ER",M93="ER",M94="ER",M95="ER",M96="ER"),"ER",IF(OR(M92="?",M93="?",M94="?",M95="?",M96="?"),"?",IF(AND(M92="NA",M93="NA",M94="NA",M95="NA",M96="NA"),"NA",SUM(M92,M93,M94,M95,M96)/((M92&lt;&gt;"NA")*$H$92+(M93&lt;&gt;"NA")*$H$93+(M94&lt;&gt;"NA")*$H$94+(M95&lt;&gt;"NA")*$H$95+(M96&lt;&gt;"NA")*$H$96)*$H91)))</f>
        <v>?</v>
      </c>
      <c r="N91" s="83" t="str">
        <f aca="false">IF(OR(N92="ER",N93="ER",N94="ER",N95="ER",N96="ER"),"ER",IF(OR(N92="?",N93="?",N94="?",N95="?",N96="?"),"?",IF(AND(N92="NA",N93="NA",N94="NA",N95="NA",N96="NA"),"NA",SUM(N92,N93,N94,N95,N96)/((N92&lt;&gt;"NA")*$H$92+(N93&lt;&gt;"NA")*$H$93+(N94&lt;&gt;"NA")*$H$94+(N95&lt;&gt;"NA")*$H$95+(N96&lt;&gt;"NA")*$H$96)*$H91)))</f>
        <v>?</v>
      </c>
      <c r="O91" s="83" t="str">
        <f aca="false">IF(OR(O92="ER",O93="ER",O94="ER",O95="ER",O96="ER"),"ER",IF(OR(O92="?",O93="?",O94="?",O95="?",O96="?"),"?",IF(AND(O92="NA",O93="NA",O94="NA",O95="NA",O96="NA"),"NA",SUM(O92,O93,O94,O95,O96)/((O92&lt;&gt;"NA")*$H$92+(O93&lt;&gt;"NA")*$H$93+(O94&lt;&gt;"NA")*$H$94+(O95&lt;&gt;"NA")*$H$95+(O96&lt;&gt;"NA")*$H$96)*$H91)))</f>
        <v>?</v>
      </c>
      <c r="P91" s="83" t="str">
        <f aca="false">IF(OR(P92="ER",P93="ER",P94="ER",P95="ER",P96="ER"),"ER",IF(OR(P92="?",P93="?",P94="?",P95="?",P96="?"),"?",IF(AND(P92="NA",P93="NA",P94="NA",P95="NA",P96="NA"),"NA",SUM(P92,P93,P94,P95,P96)/((P92&lt;&gt;"NA")*$H$92+(P93&lt;&gt;"NA")*$H$93+(P94&lt;&gt;"NA")*$H$94+(P95&lt;&gt;"NA")*$H$95+(P96&lt;&gt;"NA")*$H$96)*$H91)))</f>
        <v>?</v>
      </c>
      <c r="Q91" s="83" t="str">
        <f aca="false">IF(OR(Q92="ER",Q93="ER",Q94="ER",Q95="ER",Q96="ER"),"ER",IF(OR(Q92="?",Q93="?",Q94="?",Q95="?",Q96="?"),"?",IF(AND(Q92="NA",Q93="NA",Q94="NA",Q95="NA",Q96="NA"),"NA",SUM(Q92,Q93,Q94,Q95,Q96)/((Q92&lt;&gt;"NA")*$H$92+(Q93&lt;&gt;"NA")*$H$93+(Q94&lt;&gt;"NA")*$H$94+(Q95&lt;&gt;"NA")*$H$95+(Q96&lt;&gt;"NA")*$H$96)*$H91)))</f>
        <v>?</v>
      </c>
      <c r="R91" s="83" t="str">
        <f aca="false">IF(OR(R92="ER",R93="ER",R94="ER",R95="ER",R96="ER"),"ER",IF(OR(R92="?",R93="?",R94="?",R95="?",R96="?"),"?",IF(AND(R92="NA",R93="NA",R94="NA",R95="NA",R96="NA"),"NA",SUM(R92,R93,R94,R95,R96)/((R92&lt;&gt;"NA")*$H$92+(R93&lt;&gt;"NA")*$H$93+(R94&lt;&gt;"NA")*$H$94+(R95&lt;&gt;"NA")*$H$95+(R96&lt;&gt;"NA")*$H$96)*$H91)))</f>
        <v>?</v>
      </c>
      <c r="S91" s="83" t="str">
        <f aca="false">IF(OR(S92="ER",S93="ER",S94="ER",S95="ER",S96="ER"),"ER",IF(OR(S92="?",S93="?",S94="?",S95="?",S96="?"),"?",IF(AND(S92="NA",S93="NA",S94="NA",S95="NA",S96="NA"),"NA",SUM(S92,S93,S94,S95,S96)/((S92&lt;&gt;"NA")*$H$92+(S93&lt;&gt;"NA")*$H$93+(S94&lt;&gt;"NA")*$H$94+(S95&lt;&gt;"NA")*$H$95+(S96&lt;&gt;"NA")*$H$96)*$H91)))</f>
        <v>?</v>
      </c>
      <c r="T91" s="83" t="str">
        <f aca="false">IF(OR(T92="ER",T93="ER",T94="ER",T95="ER",T96="ER"),"ER",IF(OR(T92="?",T93="?",T94="?",T95="?",T96="?"),"?",IF(AND(T92="NA",T93="NA",T94="NA",T95="NA",T96="NA"),"NA",SUM(T92,T93,T94,T95,T96)/((T92&lt;&gt;"NA")*$H$92+(T93&lt;&gt;"NA")*$H$93+(T94&lt;&gt;"NA")*$H$94+(T95&lt;&gt;"NA")*$H$95+(T96&lt;&gt;"NA")*$H$96)*$H91)))</f>
        <v>?</v>
      </c>
      <c r="U91" s="83" t="str">
        <f aca="false">IF(OR(U92="ER",U93="ER",U94="ER",U95="ER",U96="ER"),"ER",IF(OR(U92="?",U93="?",U94="?",U95="?",U96="?"),"?",IF(AND(U92="NA",U93="NA",U94="NA",U95="NA",U96="NA"),"NA",SUM(U92,U93,U94,U95,U96)/((U92&lt;&gt;"NA")*$H$92+(U93&lt;&gt;"NA")*$H$93+(U94&lt;&gt;"NA")*$H$94+(U95&lt;&gt;"NA")*$H$95+(U96&lt;&gt;"NA")*$H$96)*$H91)))</f>
        <v>?</v>
      </c>
      <c r="V91" s="83" t="str">
        <f aca="false">IF(OR(V92="ER",V93="ER",V94="ER",V95="ER",V96="ER"),"ER",IF(OR(V92="?",V93="?",V94="?",V95="?",V96="?"),"?",IF(AND(V92="NA",V93="NA",V94="NA",V95="NA",V96="NA"),"NA",SUM(V92,V93,V94,V95,V96)/((V92&lt;&gt;"NA")*$H$92+(V93&lt;&gt;"NA")*$H$93+(V94&lt;&gt;"NA")*$H$94+(V95&lt;&gt;"NA")*$H$95+(V96&lt;&gt;"NA")*$H$96)*$H91)))</f>
        <v>?</v>
      </c>
      <c r="W91" s="83" t="str">
        <f aca="false">IF(OR(W92="ER",W93="ER",W94="ER",W95="ER",W96="ER"),"ER",IF(OR(W92="?",W93="?",W94="?",W95="?",W96="?"),"?",IF(AND(W92="NA",W93="NA",W94="NA",W95="NA",W96="NA"),"NA",SUM(W92,W93,W94,W95,W96)/((W92&lt;&gt;"NA")*$H$92+(W93&lt;&gt;"NA")*$H$93+(W94&lt;&gt;"NA")*$H$94+(W95&lt;&gt;"NA")*$H$95+(W96&lt;&gt;"NA")*$H$96)*$H91)))</f>
        <v>?</v>
      </c>
      <c r="X91" s="83" t="str">
        <f aca="false">IF(OR(X92="ER",X93="ER",X94="ER",X95="ER",X96="ER"),"ER",IF(OR(X92="?",X93="?",X94="?",X95="?",X96="?"),"?",IF(AND(X92="NA",X93="NA",X94="NA",X95="NA",X96="NA"),"NA",SUM(X92,X93,X94,X95,X96)/((X92&lt;&gt;"NA")*$H$92+(X93&lt;&gt;"NA")*$H$93+(X94&lt;&gt;"NA")*$H$94+(X95&lt;&gt;"NA")*$H$95+(X96&lt;&gt;"NA")*$H$96)*$H91)))</f>
        <v>?</v>
      </c>
      <c r="Y91" s="83" t="str">
        <f aca="false">IF(OR(Y92="ER",Y93="ER",Y94="ER",Y95="ER",Y96="ER"),"ER",IF(OR(Y92="?",Y93="?",Y94="?",Y95="?",Y96="?"),"?",IF(AND(Y92="NA",Y93="NA",Y94="NA",Y95="NA",Y96="NA"),"NA",SUM(Y92,Y93,Y94,Y95,Y96)/((Y92&lt;&gt;"NA")*$H$92+(Y93&lt;&gt;"NA")*$H$93+(Y94&lt;&gt;"NA")*$H$94+(Y95&lt;&gt;"NA")*$H$95+(Y96&lt;&gt;"NA")*$H$96)*$H91)))</f>
        <v>?</v>
      </c>
      <c r="Z91" s="83" t="str">
        <f aca="false">IF(OR(Z92="ER",Z93="ER",Z94="ER",Z95="ER",Z96="ER"),"ER",IF(OR(Z92="?",Z93="?",Z94="?",Z95="?",Z96="?"),"?",IF(AND(Z92="NA",Z93="NA",Z94="NA",Z95="NA",Z96="NA"),"NA",SUM(Z92,Z93,Z94,Z95,Z96)/((Z92&lt;&gt;"NA")*$H$92+(Z93&lt;&gt;"NA")*$H$93+(Z94&lt;&gt;"NA")*$H$94+(Z95&lt;&gt;"NA")*$H$95+(Z96&lt;&gt;"NA")*$H$96)*$H91)))</f>
        <v>?</v>
      </c>
      <c r="AA91" s="83" t="str">
        <f aca="false">IF(OR(AA92="ER",AA93="ER",AA94="ER",AA95="ER",AA96="ER"),"ER",IF(OR(AA92="?",AA93="?",AA94="?",AA95="?",AA96="?"),"?",IF(AND(AA92="NA",AA93="NA",AA94="NA",AA95="NA",AA96="NA"),"NA",SUM(AA92,AA93,AA94,AA95,AA96)/((AA92&lt;&gt;"NA")*$H$92+(AA93&lt;&gt;"NA")*$H$93+(AA94&lt;&gt;"NA")*$H$94+(AA95&lt;&gt;"NA")*$H$95+(AA96&lt;&gt;"NA")*$H$96)*$H91)))</f>
        <v>?</v>
      </c>
      <c r="AB91" s="83" t="str">
        <f aca="false">IF(OR(AB92="ER",AB93="ER",AB94="ER",AB95="ER",AB96="ER"),"ER",IF(OR(AB92="?",AB93="?",AB94="?",AB95="?",AB96="?"),"?",IF(AND(AB92="NA",AB93="NA",AB94="NA",AB95="NA",AB96="NA"),"NA",SUM(AB92,AB93,AB94,AB95,AB96)/((AB92&lt;&gt;"NA")*$H$92+(AB93&lt;&gt;"NA")*$H$93+(AB94&lt;&gt;"NA")*$H$94+(AB95&lt;&gt;"NA")*$H$95+(AB96&lt;&gt;"NA")*$H$96)*$H91)))</f>
        <v>?</v>
      </c>
      <c r="AC91" s="83" t="str">
        <f aca="false">IF(OR(AC92="ER",AC93="ER",AC94="ER",AC95="ER",AC96="ER"),"ER",IF(OR(AC92="?",AC93="?",AC94="?",AC95="?",AC96="?"),"?",IF(AND(AC92="NA",AC93="NA",AC94="NA",AC95="NA",AC96="NA"),"NA",SUM(AC92,AC93,AC94,AC95,AC96)/((AC92&lt;&gt;"NA")*$H$92+(AC93&lt;&gt;"NA")*$H$93+(AC94&lt;&gt;"NA")*$H$94+(AC95&lt;&gt;"NA")*$H$95+(AC96&lt;&gt;"NA")*$H$96)*$H91)))</f>
        <v>?</v>
      </c>
      <c r="AD91" s="83" t="str">
        <f aca="false">IF(OR(AD92="ER",AD93="ER",AD94="ER",AD95="ER",AD96="ER"),"ER",IF(OR(AD92="?",AD93="?",AD94="?",AD95="?",AD96="?"),"?",IF(AND(AD92="NA",AD93="NA",AD94="NA",AD95="NA",AD96="NA"),"NA",SUM(AD92,AD93,AD94,AD95,AD96)/((AD92&lt;&gt;"NA")*$H$92+(AD93&lt;&gt;"NA")*$H$93+(AD94&lt;&gt;"NA")*$H$94+(AD95&lt;&gt;"NA")*$H$95+(AD96&lt;&gt;"NA")*$H$96)*$H91)))</f>
        <v>?</v>
      </c>
      <c r="AE91" s="83" t="str">
        <f aca="false">IF(OR(AE92="ER",AE93="ER",AE94="ER",AE95="ER",AE96="ER"),"ER",IF(OR(AE92="?",AE93="?",AE94="?",AE95="?",AE96="?"),"?",IF(AND(AE92="NA",AE93="NA",AE94="NA",AE95="NA",AE96="NA"),"NA",SUM(AE92,AE93,AE94,AE95,AE96)/((AE92&lt;&gt;"NA")*$H$92+(AE93&lt;&gt;"NA")*$H$93+(AE94&lt;&gt;"NA")*$H$94+(AE95&lt;&gt;"NA")*$H$95+(AE96&lt;&gt;"NA")*$H$96)*$H91)))</f>
        <v>?</v>
      </c>
      <c r="AF91" s="83" t="str">
        <f aca="false">IF(OR(AF92="ER",AF93="ER",AF94="ER",AF95="ER",AF96="ER"),"ER",IF(OR(AF92="?",AF93="?",AF94="?",AF95="?",AF96="?"),"?",IF(AND(AF92="NA",AF93="NA",AF94="NA",AF95="NA",AF96="NA"),"NA",SUM(AF92,AF93,AF94,AF95,AF96)/((AF92&lt;&gt;"NA")*$H$92+(AF93&lt;&gt;"NA")*$H$93+(AF94&lt;&gt;"NA")*$H$94+(AF95&lt;&gt;"NA")*$H$95+(AF96&lt;&gt;"NA")*$H$96)*$H91)))</f>
        <v>?</v>
      </c>
      <c r="AG91" s="83" t="str">
        <f aca="false">IF(OR(AG92="ER",AG93="ER",AG94="ER",AG95="ER",AG96="ER"),"ER",IF(OR(AG92="?",AG93="?",AG94="?",AG95="?",AG96="?"),"?",IF(AND(AG92="NA",AG93="NA",AG94="NA",AG95="NA",AG96="NA"),"NA",SUM(AG92,AG93,AG94,AG95,AG96)/((AG92&lt;&gt;"NA")*$H$92+(AG93&lt;&gt;"NA")*$H$93+(AG94&lt;&gt;"NA")*$H$94+(AG95&lt;&gt;"NA")*$H$95+(AG96&lt;&gt;"NA")*$H$96)*$H91)))</f>
        <v>?</v>
      </c>
      <c r="AH91" s="83" t="str">
        <f aca="false">IF(OR(AH92="ER",AH93="ER",AH94="ER",AH95="ER",AH96="ER"),"ER",IF(OR(AH92="?",AH93="?",AH94="?",AH95="?",AH96="?"),"?",IF(AND(AH92="NA",AH93="NA",AH94="NA",AH95="NA",AH96="NA"),"NA",SUM(AH92,AH93,AH94,AH95,AH96)/((AH92&lt;&gt;"NA")*$H$92+(AH93&lt;&gt;"NA")*$H$93+(AH94&lt;&gt;"NA")*$H$94+(AH95&lt;&gt;"NA")*$H$95+(AH96&lt;&gt;"NA")*$H$96)*$H91)))</f>
        <v>?</v>
      </c>
      <c r="AI91" s="83" t="str">
        <f aca="false">IF(OR(AI92="ER",AI93="ER",AI94="ER",AI95="ER",AI96="ER"),"ER",IF(OR(AI92="?",AI93="?",AI94="?",AI95="?",AI96="?"),"?",IF(AND(AI92="NA",AI93="NA",AI94="NA",AI95="NA",AI96="NA"),"NA",SUM(AI92,AI93,AI94,AI95,AI96)/((AI92&lt;&gt;"NA")*$H$92+(AI93&lt;&gt;"NA")*$H$93+(AI94&lt;&gt;"NA")*$H$94+(AI95&lt;&gt;"NA")*$H$95+(AI96&lt;&gt;"NA")*$H$96)*$H91)))</f>
        <v>?</v>
      </c>
      <c r="AJ91" s="83" t="str">
        <f aca="false">IF(OR(AJ92="ER",AJ93="ER",AJ94="ER",AJ95="ER",AJ96="ER"),"ER",IF(OR(AJ92="?",AJ93="?",AJ94="?",AJ95="?",AJ96="?"),"?",IF(AND(AJ92="NA",AJ93="NA",AJ94="NA",AJ95="NA",AJ96="NA"),"NA",SUM(AJ92,AJ93,AJ94,AJ95,AJ96)/((AJ92&lt;&gt;"NA")*$H$92+(AJ93&lt;&gt;"NA")*$H$93+(AJ94&lt;&gt;"NA")*$H$94+(AJ95&lt;&gt;"NA")*$H$95+(AJ96&lt;&gt;"NA")*$H$96)*$H91)))</f>
        <v>?</v>
      </c>
      <c r="AK91" s="83" t="str">
        <f aca="false">IF(OR(AK92="ER",AK93="ER",AK94="ER",AK95="ER",AK96="ER"),"ER",IF(OR(AK92="?",AK93="?",AK94="?",AK95="?",AK96="?"),"?",IF(AND(AK92="NA",AK93="NA",AK94="NA",AK95="NA",AK96="NA"),"NA",SUM(AK92,AK93,AK94,AK95,AK96)/((AK92&lt;&gt;"NA")*$H$92+(AK93&lt;&gt;"NA")*$H$93+(AK94&lt;&gt;"NA")*$H$94+(AK95&lt;&gt;"NA")*$H$95+(AK96&lt;&gt;"NA")*$H$96)*$H91)))</f>
        <v>?</v>
      </c>
    </row>
    <row r="92" customFormat="false" ht="14.25" hidden="false" customHeight="false" outlineLevel="0" collapsed="false">
      <c r="A92" s="79" t="s">
        <v>342</v>
      </c>
      <c r="B92" s="80" t="str">
        <f aca="false">IF(ISBLANK($A92),"NO_CODE",VLOOKUP($A92,'UPD Questions_290926 '!$E$1:$N$300,MATCH(B$1,'UPD Questions_290926 '!$E$1:$N$1,0),0)&amp;"")</f>
        <v>Implementation</v>
      </c>
      <c r="C92" s="80" t="str">
        <f aca="false">IF(ISBLANK($A92),"NO_CODE",VLOOKUP($A92,'UPD Questions_290926 '!$E$1:$N$300,MATCH(C$1,'UPD Questions_290926 '!$E$1:$N$1,0),0)&amp;"")</f>
        <v>Development Control Regulations and land-management instruments</v>
      </c>
      <c r="D92" s="80" t="str">
        <f aca="false">IF(ISBLANK($A92),"NO_CODE",VLOOKUP($A92,'UPD Questions_290926 '!$E$1:$N$300,MATCH(D$1,'UPD Questions_290926 '!$E$1:$N$1,0),0)&amp;"")</f>
        <v>DCR revision and public consultation</v>
      </c>
      <c r="E92" s="80" t="str">
        <f aca="false">IF(ISBLANK($A92),"NO_CODE",VLOOKUP($A92,'UPD Questions_290926 '!$E$1:$N$300,MATCH(E$1,'UPD Questions_290926 '!$E$1:$N$1,0),0)&amp;"")</f>
        <v>SQ</v>
      </c>
      <c r="F92" s="80" t="str">
        <f aca="false">IF(ISBLANK($A92),"NO_CODE",VLOOKUP($A92,'UPD Questions_290926 '!$E$1:$N$300,MATCH(F$1,'UPD Questions_290926 '!$E$1:$N$1,0),0)&amp;"")</f>
        <v>Do the DCRs provide development controls, standards or incentives that enable different types and scales of economic activity?</v>
      </c>
      <c r="G92" s="80" t="str">
        <f aca="false">IF(ISBLANK($A92),"NO_CODE",VLOOKUP($A92,'UPD Questions_290926 '!$E$1:$N$300,MATCH(G$1,'UPD Questions_290926 '!$E$1:$N$1,0),0)&amp;"")</f>
        <v>Law or Policy</v>
      </c>
      <c r="H92" s="82" t="n">
        <f aca="false">IF(ISBLANK($A92),"NO_CODE",VLOOKUP($A92,'UPD Questions_290926 '!$E$1:$N$300,MATCH(H$1,'UPD Questions_290926 '!$E$1:$N$1,0),0))</f>
        <v>2</v>
      </c>
      <c r="I92" s="83" t="str">
        <f aca="true">IF($H92=0,"NA",IF($A92=INDIRECT("'"&amp;$A92&amp;"'!$B$1"),IF(VLOOKUP(I$1,INDIRECT("'"&amp;$A92&amp;"'!$A$12:$Z$41"),MATCH("Points (Auto-generate)",INDIRECT("'"&amp;$A92&amp;"'!$A$12:$Z$12"),0),0)="","?",VLOOKUP(I$1,INDIRECT("'"&amp;$A92&amp;"'!$A$12:$Z$41"),MATCH("Points (Auto-generate)",INDIRECT("'"&amp;$A92&amp;"'!$A$12:$Z$12"),0),0)),"ER"))</f>
        <v>?</v>
      </c>
      <c r="J92" s="83" t="n">
        <f aca="true">IF($H92=0,"NA",IF($A92=INDIRECT("'"&amp;$A92&amp;"'!$B$1"),IF(VLOOKUP(J$1,INDIRECT("'"&amp;$A92&amp;"'!$A$12:$Z$41"),MATCH("Points (Auto-generate)",INDIRECT("'"&amp;$A92&amp;"'!$A$12:$Z$12"),0),0)="","?",VLOOKUP(J$1,INDIRECT("'"&amp;$A92&amp;"'!$A$12:$Z$41"),MATCH("Points (Auto-generate)",INDIRECT("'"&amp;$A92&amp;"'!$A$12:$Z$12"),0),0)),"ER"))</f>
        <v>0</v>
      </c>
      <c r="K92" s="83" t="str">
        <f aca="true">IF($H92=0,"NA",IF($A92=INDIRECT("'"&amp;$A92&amp;"'!$B$1"),IF(VLOOKUP(K$1,INDIRECT("'"&amp;$A92&amp;"'!$A$12:$Z$41"),MATCH("Points (Auto-generate)",INDIRECT("'"&amp;$A92&amp;"'!$A$12:$Z$12"),0),0)="","?",VLOOKUP(K$1,INDIRECT("'"&amp;$A92&amp;"'!$A$12:$Z$41"),MATCH("Points (Auto-generate)",INDIRECT("'"&amp;$A92&amp;"'!$A$12:$Z$12"),0),0)),"ER"))</f>
        <v>?</v>
      </c>
      <c r="L92" s="83" t="str">
        <f aca="true">IF($H92=0,"NA",IF($A92=INDIRECT("'"&amp;$A92&amp;"'!$B$1"),IF(VLOOKUP(L$1,INDIRECT("'"&amp;$A92&amp;"'!$A$12:$Z$41"),MATCH("Points (Auto-generate)",INDIRECT("'"&amp;$A92&amp;"'!$A$12:$Z$12"),0),0)="","?",VLOOKUP(L$1,INDIRECT("'"&amp;$A92&amp;"'!$A$12:$Z$41"),MATCH("Points (Auto-generate)",INDIRECT("'"&amp;$A92&amp;"'!$A$12:$Z$12"),0),0)),"ER"))</f>
        <v>?</v>
      </c>
      <c r="M92" s="83" t="str">
        <f aca="true">IF($H92=0,"NA",IF($A92=INDIRECT("'"&amp;$A92&amp;"'!$B$1"),IF(VLOOKUP(M$1,INDIRECT("'"&amp;$A92&amp;"'!$A$12:$Z$41"),MATCH("Points (Auto-generate)",INDIRECT("'"&amp;$A92&amp;"'!$A$12:$Z$12"),0),0)="","?",VLOOKUP(M$1,INDIRECT("'"&amp;$A92&amp;"'!$A$12:$Z$41"),MATCH("Points (Auto-generate)",INDIRECT("'"&amp;$A92&amp;"'!$A$12:$Z$12"),0),0)),"ER"))</f>
        <v>?</v>
      </c>
      <c r="N92" s="83" t="str">
        <f aca="true">IF($H92=0,"NA",IF($A92=INDIRECT("'"&amp;$A92&amp;"'!$B$1"),IF(VLOOKUP(N$1,INDIRECT("'"&amp;$A92&amp;"'!$A$12:$Z$41"),MATCH("Points (Auto-generate)",INDIRECT("'"&amp;$A92&amp;"'!$A$12:$Z$12"),0),0)="","?",VLOOKUP(N$1,INDIRECT("'"&amp;$A92&amp;"'!$A$12:$Z$41"),MATCH("Points (Auto-generate)",INDIRECT("'"&amp;$A92&amp;"'!$A$12:$Z$12"),0),0)),"ER"))</f>
        <v>?</v>
      </c>
      <c r="O92" s="83" t="str">
        <f aca="true">IF($H92=0,"NA",IF($A92=INDIRECT("'"&amp;$A92&amp;"'!$B$1"),IF(VLOOKUP(O$1,INDIRECT("'"&amp;$A92&amp;"'!$A$12:$Z$41"),MATCH("Points (Auto-generate)",INDIRECT("'"&amp;$A92&amp;"'!$A$12:$Z$12"),0),0)="","?",VLOOKUP(O$1,INDIRECT("'"&amp;$A92&amp;"'!$A$12:$Z$41"),MATCH("Points (Auto-generate)",INDIRECT("'"&amp;$A92&amp;"'!$A$12:$Z$12"),0),0)),"ER"))</f>
        <v>?</v>
      </c>
      <c r="P92" s="83" t="str">
        <f aca="true">IF($H92=0,"NA",IF($A92=INDIRECT("'"&amp;$A92&amp;"'!$B$1"),IF(VLOOKUP(P$1,INDIRECT("'"&amp;$A92&amp;"'!$A$12:$Z$41"),MATCH("Points (Auto-generate)",INDIRECT("'"&amp;$A92&amp;"'!$A$12:$Z$12"),0),0)="","?",VLOOKUP(P$1,INDIRECT("'"&amp;$A92&amp;"'!$A$12:$Z$41"),MATCH("Points (Auto-generate)",INDIRECT("'"&amp;$A92&amp;"'!$A$12:$Z$12"),0),0)),"ER"))</f>
        <v>?</v>
      </c>
      <c r="Q92" s="83" t="str">
        <f aca="true">IF($H92=0,"NA",IF($A92=INDIRECT("'"&amp;$A92&amp;"'!$B$1"),IF(VLOOKUP(Q$1,INDIRECT("'"&amp;$A92&amp;"'!$A$12:$Z$41"),MATCH("Points (Auto-generate)",INDIRECT("'"&amp;$A92&amp;"'!$A$12:$Z$12"),0),0)="","?",VLOOKUP(Q$1,INDIRECT("'"&amp;$A92&amp;"'!$A$12:$Z$41"),MATCH("Points (Auto-generate)",INDIRECT("'"&amp;$A92&amp;"'!$A$12:$Z$12"),0),0)),"ER"))</f>
        <v>?</v>
      </c>
      <c r="R92" s="83" t="str">
        <f aca="true">IF($H92=0,"NA",IF($A92=INDIRECT("'"&amp;$A92&amp;"'!$B$1"),IF(VLOOKUP(R$1,INDIRECT("'"&amp;$A92&amp;"'!$A$12:$Z$41"),MATCH("Points (Auto-generate)",INDIRECT("'"&amp;$A92&amp;"'!$A$12:$Z$12"),0),0)="","?",VLOOKUP(R$1,INDIRECT("'"&amp;$A92&amp;"'!$A$12:$Z$41"),MATCH("Points (Auto-generate)",INDIRECT("'"&amp;$A92&amp;"'!$A$12:$Z$12"),0),0)),"ER"))</f>
        <v>?</v>
      </c>
      <c r="S92" s="83" t="str">
        <f aca="true">IF($H92=0,"NA",IF($A92=INDIRECT("'"&amp;$A92&amp;"'!$B$1"),IF(VLOOKUP(S$1,INDIRECT("'"&amp;$A92&amp;"'!$A$12:$Z$41"),MATCH("Points (Auto-generate)",INDIRECT("'"&amp;$A92&amp;"'!$A$12:$Z$12"),0),0)="","?",VLOOKUP(S$1,INDIRECT("'"&amp;$A92&amp;"'!$A$12:$Z$41"),MATCH("Points (Auto-generate)",INDIRECT("'"&amp;$A92&amp;"'!$A$12:$Z$12"),0),0)),"ER"))</f>
        <v>?</v>
      </c>
      <c r="T92" s="83" t="str">
        <f aca="true">IF($H92=0,"NA",IF($A92=INDIRECT("'"&amp;$A92&amp;"'!$B$1"),IF(VLOOKUP(T$1,INDIRECT("'"&amp;$A92&amp;"'!$A$12:$Z$41"),MATCH("Points (Auto-generate)",INDIRECT("'"&amp;$A92&amp;"'!$A$12:$Z$12"),0),0)="","?",VLOOKUP(T$1,INDIRECT("'"&amp;$A92&amp;"'!$A$12:$Z$41"),MATCH("Points (Auto-generate)",INDIRECT("'"&amp;$A92&amp;"'!$A$12:$Z$12"),0),0)),"ER"))</f>
        <v>?</v>
      </c>
      <c r="U92" s="83" t="str">
        <f aca="true">IF($H92=0,"NA",IF($A92=INDIRECT("'"&amp;$A92&amp;"'!$B$1"),IF(VLOOKUP(U$1,INDIRECT("'"&amp;$A92&amp;"'!$A$12:$Z$41"),MATCH("Points (Auto-generate)",INDIRECT("'"&amp;$A92&amp;"'!$A$12:$Z$12"),0),0)="","?",VLOOKUP(U$1,INDIRECT("'"&amp;$A92&amp;"'!$A$12:$Z$41"),MATCH("Points (Auto-generate)",INDIRECT("'"&amp;$A92&amp;"'!$A$12:$Z$12"),0),0)),"ER"))</f>
        <v>?</v>
      </c>
      <c r="V92" s="83" t="str">
        <f aca="true">IF($H92=0,"NA",IF($A92=INDIRECT("'"&amp;$A92&amp;"'!$B$1"),IF(VLOOKUP(V$1,INDIRECT("'"&amp;$A92&amp;"'!$A$12:$Z$41"),MATCH("Points (Auto-generate)",INDIRECT("'"&amp;$A92&amp;"'!$A$12:$Z$12"),0),0)="","?",VLOOKUP(V$1,INDIRECT("'"&amp;$A92&amp;"'!$A$12:$Z$41"),MATCH("Points (Auto-generate)",INDIRECT("'"&amp;$A92&amp;"'!$A$12:$Z$12"),0),0)),"ER"))</f>
        <v>?</v>
      </c>
      <c r="W92" s="83" t="str">
        <f aca="true">IF($H92=0,"NA",IF($A92=INDIRECT("'"&amp;$A92&amp;"'!$B$1"),IF(VLOOKUP(W$1,INDIRECT("'"&amp;$A92&amp;"'!$A$12:$Z$41"),MATCH("Points (Auto-generate)",INDIRECT("'"&amp;$A92&amp;"'!$A$12:$Z$12"),0),0)="","?",VLOOKUP(W$1,INDIRECT("'"&amp;$A92&amp;"'!$A$12:$Z$41"),MATCH("Points (Auto-generate)",INDIRECT("'"&amp;$A92&amp;"'!$A$12:$Z$12"),0),0)),"ER"))</f>
        <v>?</v>
      </c>
      <c r="X92" s="83" t="str">
        <f aca="true">IF($H92=0,"NA",IF($A92=INDIRECT("'"&amp;$A92&amp;"'!$B$1"),IF(VLOOKUP(X$1,INDIRECT("'"&amp;$A92&amp;"'!$A$12:$Z$41"),MATCH("Points (Auto-generate)",INDIRECT("'"&amp;$A92&amp;"'!$A$12:$Z$12"),0),0)="","?",VLOOKUP(X$1,INDIRECT("'"&amp;$A92&amp;"'!$A$12:$Z$41"),MATCH("Points (Auto-generate)",INDIRECT("'"&amp;$A92&amp;"'!$A$12:$Z$12"),0),0)),"ER"))</f>
        <v>?</v>
      </c>
      <c r="Y92" s="83" t="str">
        <f aca="true">IF($H92=0,"NA",IF($A92=INDIRECT("'"&amp;$A92&amp;"'!$B$1"),IF(VLOOKUP(Y$1,INDIRECT("'"&amp;$A92&amp;"'!$A$12:$Z$41"),MATCH("Points (Auto-generate)",INDIRECT("'"&amp;$A92&amp;"'!$A$12:$Z$12"),0),0)="","?",VLOOKUP(Y$1,INDIRECT("'"&amp;$A92&amp;"'!$A$12:$Z$41"),MATCH("Points (Auto-generate)",INDIRECT("'"&amp;$A92&amp;"'!$A$12:$Z$12"),0),0)),"ER"))</f>
        <v>?</v>
      </c>
      <c r="Z92" s="83" t="str">
        <f aca="true">IF($H92=0,"NA",IF($A92=INDIRECT("'"&amp;$A92&amp;"'!$B$1"),IF(VLOOKUP(Z$1,INDIRECT("'"&amp;$A92&amp;"'!$A$12:$Z$41"),MATCH("Points (Auto-generate)",INDIRECT("'"&amp;$A92&amp;"'!$A$12:$Z$12"),0),0)="","?",VLOOKUP(Z$1,INDIRECT("'"&amp;$A92&amp;"'!$A$12:$Z$41"),MATCH("Points (Auto-generate)",INDIRECT("'"&amp;$A92&amp;"'!$A$12:$Z$12"),0),0)),"ER"))</f>
        <v>?</v>
      </c>
      <c r="AA92" s="83" t="str">
        <f aca="true">IF($H92=0,"NA",IF($A92=INDIRECT("'"&amp;$A92&amp;"'!$B$1"),IF(VLOOKUP(AA$1,INDIRECT("'"&amp;$A92&amp;"'!$A$12:$Z$41"),MATCH("Points (Auto-generate)",INDIRECT("'"&amp;$A92&amp;"'!$A$12:$Z$12"),0),0)="","?",VLOOKUP(AA$1,INDIRECT("'"&amp;$A92&amp;"'!$A$12:$Z$41"),MATCH("Points (Auto-generate)",INDIRECT("'"&amp;$A92&amp;"'!$A$12:$Z$12"),0),0)),"ER"))</f>
        <v>?</v>
      </c>
      <c r="AB92" s="83" t="str">
        <f aca="true">IF($H92=0,"NA",IF($A92=INDIRECT("'"&amp;$A92&amp;"'!$B$1"),IF(VLOOKUP(AB$1,INDIRECT("'"&amp;$A92&amp;"'!$A$12:$Z$41"),MATCH("Points (Auto-generate)",INDIRECT("'"&amp;$A92&amp;"'!$A$12:$Z$12"),0),0)="","?",VLOOKUP(AB$1,INDIRECT("'"&amp;$A92&amp;"'!$A$12:$Z$41"),MATCH("Points (Auto-generate)",INDIRECT("'"&amp;$A92&amp;"'!$A$12:$Z$12"),0),0)),"ER"))</f>
        <v>?</v>
      </c>
      <c r="AC92" s="83" t="n">
        <f aca="true">IF($H92=0,"NA",IF($A92=INDIRECT("'"&amp;$A92&amp;"'!$B$1"),IF(VLOOKUP(AC$1,INDIRECT("'"&amp;$A92&amp;"'!$A$12:$Z$41"),MATCH("Points (Auto-generate)",INDIRECT("'"&amp;$A92&amp;"'!$A$12:$Z$12"),0),0)="","?",VLOOKUP(AC$1,INDIRECT("'"&amp;$A92&amp;"'!$A$12:$Z$41"),MATCH("Points (Auto-generate)",INDIRECT("'"&amp;$A92&amp;"'!$A$12:$Z$12"),0),0)),"ER"))</f>
        <v>2</v>
      </c>
      <c r="AD92" s="83" t="str">
        <f aca="true">IF($H92=0,"NA",IF($A92=INDIRECT("'"&amp;$A92&amp;"'!$B$1"),IF(VLOOKUP(AD$1,INDIRECT("'"&amp;$A92&amp;"'!$A$12:$Z$41"),MATCH("Points (Auto-generate)",INDIRECT("'"&amp;$A92&amp;"'!$A$12:$Z$12"),0),0)="","?",VLOOKUP(AD$1,INDIRECT("'"&amp;$A92&amp;"'!$A$12:$Z$41"),MATCH("Points (Auto-generate)",INDIRECT("'"&amp;$A92&amp;"'!$A$12:$Z$12"),0),0)),"ER"))</f>
        <v>?</v>
      </c>
      <c r="AE92" s="83" t="str">
        <f aca="true">IF($H92=0,"NA",IF($A92=INDIRECT("'"&amp;$A92&amp;"'!$B$1"),IF(VLOOKUP(AE$1,INDIRECT("'"&amp;$A92&amp;"'!$A$12:$Z$41"),MATCH("Points (Auto-generate)",INDIRECT("'"&amp;$A92&amp;"'!$A$12:$Z$12"),0),0)="","?",VLOOKUP(AE$1,INDIRECT("'"&amp;$A92&amp;"'!$A$12:$Z$41"),MATCH("Points (Auto-generate)",INDIRECT("'"&amp;$A92&amp;"'!$A$12:$Z$12"),0),0)),"ER"))</f>
        <v>?</v>
      </c>
      <c r="AF92" s="83" t="str">
        <f aca="true">IF($H92=0,"NA",IF($A92=INDIRECT("'"&amp;$A92&amp;"'!$B$1"),IF(VLOOKUP(AF$1,INDIRECT("'"&amp;$A92&amp;"'!$A$12:$Z$41"),MATCH("Points (Auto-generate)",INDIRECT("'"&amp;$A92&amp;"'!$A$12:$Z$12"),0),0)="","?",VLOOKUP(AF$1,INDIRECT("'"&amp;$A92&amp;"'!$A$12:$Z$41"),MATCH("Points (Auto-generate)",INDIRECT("'"&amp;$A92&amp;"'!$A$12:$Z$12"),0),0)),"ER"))</f>
        <v>?</v>
      </c>
      <c r="AG92" s="83" t="str">
        <f aca="true">IF($H92=0,"NA",IF($A92=INDIRECT("'"&amp;$A92&amp;"'!$B$1"),IF(VLOOKUP(AG$1,INDIRECT("'"&amp;$A92&amp;"'!$A$12:$Z$41"),MATCH("Points (Auto-generate)",INDIRECT("'"&amp;$A92&amp;"'!$A$12:$Z$12"),0),0)="","?",VLOOKUP(AG$1,INDIRECT("'"&amp;$A92&amp;"'!$A$12:$Z$41"),MATCH("Points (Auto-generate)",INDIRECT("'"&amp;$A92&amp;"'!$A$12:$Z$12"),0),0)),"ER"))</f>
        <v>?</v>
      </c>
      <c r="AH92" s="83" t="str">
        <f aca="true">IF($H92=0,"NA",IF($A92=INDIRECT("'"&amp;$A92&amp;"'!$B$1"),IF(VLOOKUP(AH$1,INDIRECT("'"&amp;$A92&amp;"'!$A$12:$Z$41"),MATCH("Points (Auto-generate)",INDIRECT("'"&amp;$A92&amp;"'!$A$12:$Z$12"),0),0)="","?",VLOOKUP(AH$1,INDIRECT("'"&amp;$A92&amp;"'!$A$12:$Z$41"),MATCH("Points (Auto-generate)",INDIRECT("'"&amp;$A92&amp;"'!$A$12:$Z$12"),0),0)),"ER"))</f>
        <v>?</v>
      </c>
      <c r="AI92" s="83" t="str">
        <f aca="true">IF($H92=0,"NA",IF($A92=INDIRECT("'"&amp;$A92&amp;"'!$B$1"),IF(VLOOKUP(AI$1,INDIRECT("'"&amp;$A92&amp;"'!$A$12:$Z$41"),MATCH("Points (Auto-generate)",INDIRECT("'"&amp;$A92&amp;"'!$A$12:$Z$12"),0),0)="","?",VLOOKUP(AI$1,INDIRECT("'"&amp;$A92&amp;"'!$A$12:$Z$41"),MATCH("Points (Auto-generate)",INDIRECT("'"&amp;$A92&amp;"'!$A$12:$Z$12"),0),0)),"ER"))</f>
        <v>?</v>
      </c>
      <c r="AJ92" s="83" t="str">
        <f aca="true">IF($H92=0,"NA",IF($A92=INDIRECT("'"&amp;$A92&amp;"'!$B$1"),IF(VLOOKUP(AJ$1,INDIRECT("'"&amp;$A92&amp;"'!$A$12:$Z$41"),MATCH("Points (Auto-generate)",INDIRECT("'"&amp;$A92&amp;"'!$A$12:$Z$12"),0),0)="","?",VLOOKUP(AJ$1,INDIRECT("'"&amp;$A92&amp;"'!$A$12:$Z$41"),MATCH("Points (Auto-generate)",INDIRECT("'"&amp;$A92&amp;"'!$A$12:$Z$12"),0),0)),"ER"))</f>
        <v>?</v>
      </c>
      <c r="AK92" s="83" t="str">
        <f aca="true">IF($H92=0,"NA",IF($A92=INDIRECT("'"&amp;$A92&amp;"'!$B$1"),IF(VLOOKUP(AK$1,INDIRECT("'"&amp;$A92&amp;"'!$A$12:$Z$41"),MATCH("Points (Auto-generate)",INDIRECT("'"&amp;$A92&amp;"'!$A$12:$Z$12"),0),0)="","?",VLOOKUP(AK$1,INDIRECT("'"&amp;$A92&amp;"'!$A$12:$Z$41"),MATCH("Points (Auto-generate)",INDIRECT("'"&amp;$A92&amp;"'!$A$12:$Z$12"),0),0)),"ER"))</f>
        <v>?</v>
      </c>
    </row>
    <row r="93" customFormat="false" ht="14.25" hidden="false" customHeight="false" outlineLevel="0" collapsed="false">
      <c r="A93" s="79" t="s">
        <v>348</v>
      </c>
      <c r="B93" s="80" t="str">
        <f aca="false">IF(ISBLANK($A93),"NO_CODE",VLOOKUP($A93,'UPD Questions_290926 '!$E$1:$N$300,MATCH(B$1,'UPD Questions_290926 '!$E$1:$N$1,0),0)&amp;"")</f>
        <v>Implementation</v>
      </c>
      <c r="C93" s="80" t="str">
        <f aca="false">IF(ISBLANK($A93),"NO_CODE",VLOOKUP($A93,'UPD Questions_290926 '!$E$1:$N$300,MATCH(C$1,'UPD Questions_290926 '!$E$1:$N$1,0),0)&amp;"")</f>
        <v>Development Control Regulations and land-management instruments</v>
      </c>
      <c r="D93" s="80" t="str">
        <f aca="false">IF(ISBLANK($A93),"NO_CODE",VLOOKUP($A93,'UPD Questions_290926 '!$E$1:$N$300,MATCH(D$1,'UPD Questions_290926 '!$E$1:$N$1,0),0)&amp;"")</f>
        <v>DCR revision and public consultation</v>
      </c>
      <c r="E93" s="80" t="str">
        <f aca="false">IF(ISBLANK($A93),"NO_CODE",VLOOKUP($A93,'UPD Questions_290926 '!$E$1:$N$300,MATCH(E$1,'UPD Questions_290926 '!$E$1:$N$1,0),0)&amp;"")</f>
        <v>SQ</v>
      </c>
      <c r="F93" s="80" t="str">
        <f aca="false">IF(ISBLANK($A93),"NO_CODE",VLOOKUP($A93,'UPD Questions_290926 '!$E$1:$N$300,MATCH(F$1,'UPD Questions_290926 '!$E$1:$N$1,0),0)&amp;"")</f>
        <v>Do the DCRs provide development controls, standards or incentives that improve access, safety, affordability and development outcomes for women and the urban poor?</v>
      </c>
      <c r="G93" s="80" t="str">
        <f aca="false">IF(ISBLANK($A93),"NO_CODE",VLOOKUP($A93,'UPD Questions_290926 '!$E$1:$N$300,MATCH(G$1,'UPD Questions_290926 '!$E$1:$N$1,0),0)&amp;"")</f>
        <v>Law or Policy</v>
      </c>
      <c r="H93" s="82" t="n">
        <f aca="false">IF(ISBLANK($A93),"NO_CODE",VLOOKUP($A93,'UPD Questions_290926 '!$E$1:$N$300,MATCH(H$1,'UPD Questions_290926 '!$E$1:$N$1,0),0))</f>
        <v>2</v>
      </c>
      <c r="I93" s="83" t="str">
        <f aca="true">IF($H93=0,"NA",IF($A93=INDIRECT("'"&amp;$A93&amp;"'!$B$1"),IF(VLOOKUP(I$1,INDIRECT("'"&amp;$A93&amp;"'!$A$12:$Z$41"),MATCH("Points (Auto-generate)",INDIRECT("'"&amp;$A93&amp;"'!$A$12:$Z$12"),0),0)="","?",VLOOKUP(I$1,INDIRECT("'"&amp;$A93&amp;"'!$A$12:$Z$41"),MATCH("Points (Auto-generate)",INDIRECT("'"&amp;$A93&amp;"'!$A$12:$Z$12"),0),0)),"ER"))</f>
        <v>?</v>
      </c>
      <c r="J93" s="83" t="n">
        <f aca="true">IF($H93=0,"NA",IF($A93=INDIRECT("'"&amp;$A93&amp;"'!$B$1"),IF(VLOOKUP(J$1,INDIRECT("'"&amp;$A93&amp;"'!$A$12:$Z$41"),MATCH("Points (Auto-generate)",INDIRECT("'"&amp;$A93&amp;"'!$A$12:$Z$12"),0),0)="","?",VLOOKUP(J$1,INDIRECT("'"&amp;$A93&amp;"'!$A$12:$Z$41"),MATCH("Points (Auto-generate)",INDIRECT("'"&amp;$A93&amp;"'!$A$12:$Z$12"),0),0)),"ER"))</f>
        <v>0</v>
      </c>
      <c r="K93" s="83" t="str">
        <f aca="true">IF($H93=0,"NA",IF($A93=INDIRECT("'"&amp;$A93&amp;"'!$B$1"),IF(VLOOKUP(K$1,INDIRECT("'"&amp;$A93&amp;"'!$A$12:$Z$41"),MATCH("Points (Auto-generate)",INDIRECT("'"&amp;$A93&amp;"'!$A$12:$Z$12"),0),0)="","?",VLOOKUP(K$1,INDIRECT("'"&amp;$A93&amp;"'!$A$12:$Z$41"),MATCH("Points (Auto-generate)",INDIRECT("'"&amp;$A93&amp;"'!$A$12:$Z$12"),0),0)),"ER"))</f>
        <v>?</v>
      </c>
      <c r="L93" s="83" t="str">
        <f aca="true">IF($H93=0,"NA",IF($A93=INDIRECT("'"&amp;$A93&amp;"'!$B$1"),IF(VLOOKUP(L$1,INDIRECT("'"&amp;$A93&amp;"'!$A$12:$Z$41"),MATCH("Points (Auto-generate)",INDIRECT("'"&amp;$A93&amp;"'!$A$12:$Z$12"),0),0)="","?",VLOOKUP(L$1,INDIRECT("'"&amp;$A93&amp;"'!$A$12:$Z$41"),MATCH("Points (Auto-generate)",INDIRECT("'"&amp;$A93&amp;"'!$A$12:$Z$12"),0),0)),"ER"))</f>
        <v>?</v>
      </c>
      <c r="M93" s="83" t="str">
        <f aca="true">IF($H93=0,"NA",IF($A93=INDIRECT("'"&amp;$A93&amp;"'!$B$1"),IF(VLOOKUP(M$1,INDIRECT("'"&amp;$A93&amp;"'!$A$12:$Z$41"),MATCH("Points (Auto-generate)",INDIRECT("'"&amp;$A93&amp;"'!$A$12:$Z$12"),0),0)="","?",VLOOKUP(M$1,INDIRECT("'"&amp;$A93&amp;"'!$A$12:$Z$41"),MATCH("Points (Auto-generate)",INDIRECT("'"&amp;$A93&amp;"'!$A$12:$Z$12"),0),0)),"ER"))</f>
        <v>?</v>
      </c>
      <c r="N93" s="83" t="str">
        <f aca="true">IF($H93=0,"NA",IF($A93=INDIRECT("'"&amp;$A93&amp;"'!$B$1"),IF(VLOOKUP(N$1,INDIRECT("'"&amp;$A93&amp;"'!$A$12:$Z$41"),MATCH("Points (Auto-generate)",INDIRECT("'"&amp;$A93&amp;"'!$A$12:$Z$12"),0),0)="","?",VLOOKUP(N$1,INDIRECT("'"&amp;$A93&amp;"'!$A$12:$Z$41"),MATCH("Points (Auto-generate)",INDIRECT("'"&amp;$A93&amp;"'!$A$12:$Z$12"),0),0)),"ER"))</f>
        <v>?</v>
      </c>
      <c r="O93" s="83" t="str">
        <f aca="true">IF($H93=0,"NA",IF($A93=INDIRECT("'"&amp;$A93&amp;"'!$B$1"),IF(VLOOKUP(O$1,INDIRECT("'"&amp;$A93&amp;"'!$A$12:$Z$41"),MATCH("Points (Auto-generate)",INDIRECT("'"&amp;$A93&amp;"'!$A$12:$Z$12"),0),0)="","?",VLOOKUP(O$1,INDIRECT("'"&amp;$A93&amp;"'!$A$12:$Z$41"),MATCH("Points (Auto-generate)",INDIRECT("'"&amp;$A93&amp;"'!$A$12:$Z$12"),0),0)),"ER"))</f>
        <v>?</v>
      </c>
      <c r="P93" s="83" t="str">
        <f aca="true">IF($H93=0,"NA",IF($A93=INDIRECT("'"&amp;$A93&amp;"'!$B$1"),IF(VLOOKUP(P$1,INDIRECT("'"&amp;$A93&amp;"'!$A$12:$Z$41"),MATCH("Points (Auto-generate)",INDIRECT("'"&amp;$A93&amp;"'!$A$12:$Z$12"),0),0)="","?",VLOOKUP(P$1,INDIRECT("'"&amp;$A93&amp;"'!$A$12:$Z$41"),MATCH("Points (Auto-generate)",INDIRECT("'"&amp;$A93&amp;"'!$A$12:$Z$12"),0),0)),"ER"))</f>
        <v>?</v>
      </c>
      <c r="Q93" s="83" t="str">
        <f aca="true">IF($H93=0,"NA",IF($A93=INDIRECT("'"&amp;$A93&amp;"'!$B$1"),IF(VLOOKUP(Q$1,INDIRECT("'"&amp;$A93&amp;"'!$A$12:$Z$41"),MATCH("Points (Auto-generate)",INDIRECT("'"&amp;$A93&amp;"'!$A$12:$Z$12"),0),0)="","?",VLOOKUP(Q$1,INDIRECT("'"&amp;$A93&amp;"'!$A$12:$Z$41"),MATCH("Points (Auto-generate)",INDIRECT("'"&amp;$A93&amp;"'!$A$12:$Z$12"),0),0)),"ER"))</f>
        <v>?</v>
      </c>
      <c r="R93" s="83" t="str">
        <f aca="true">IF($H93=0,"NA",IF($A93=INDIRECT("'"&amp;$A93&amp;"'!$B$1"),IF(VLOOKUP(R$1,INDIRECT("'"&amp;$A93&amp;"'!$A$12:$Z$41"),MATCH("Points (Auto-generate)",INDIRECT("'"&amp;$A93&amp;"'!$A$12:$Z$12"),0),0)="","?",VLOOKUP(R$1,INDIRECT("'"&amp;$A93&amp;"'!$A$12:$Z$41"),MATCH("Points (Auto-generate)",INDIRECT("'"&amp;$A93&amp;"'!$A$12:$Z$12"),0),0)),"ER"))</f>
        <v>?</v>
      </c>
      <c r="S93" s="83" t="str">
        <f aca="true">IF($H93=0,"NA",IF($A93=INDIRECT("'"&amp;$A93&amp;"'!$B$1"),IF(VLOOKUP(S$1,INDIRECT("'"&amp;$A93&amp;"'!$A$12:$Z$41"),MATCH("Points (Auto-generate)",INDIRECT("'"&amp;$A93&amp;"'!$A$12:$Z$12"),0),0)="","?",VLOOKUP(S$1,INDIRECT("'"&amp;$A93&amp;"'!$A$12:$Z$41"),MATCH("Points (Auto-generate)",INDIRECT("'"&amp;$A93&amp;"'!$A$12:$Z$12"),0),0)),"ER"))</f>
        <v>?</v>
      </c>
      <c r="T93" s="83" t="str">
        <f aca="true">IF($H93=0,"NA",IF($A93=INDIRECT("'"&amp;$A93&amp;"'!$B$1"),IF(VLOOKUP(T$1,INDIRECT("'"&amp;$A93&amp;"'!$A$12:$Z$41"),MATCH("Points (Auto-generate)",INDIRECT("'"&amp;$A93&amp;"'!$A$12:$Z$12"),0),0)="","?",VLOOKUP(T$1,INDIRECT("'"&amp;$A93&amp;"'!$A$12:$Z$41"),MATCH("Points (Auto-generate)",INDIRECT("'"&amp;$A93&amp;"'!$A$12:$Z$12"),0),0)),"ER"))</f>
        <v>?</v>
      </c>
      <c r="U93" s="83" t="str">
        <f aca="true">IF($H93=0,"NA",IF($A93=INDIRECT("'"&amp;$A93&amp;"'!$B$1"),IF(VLOOKUP(U$1,INDIRECT("'"&amp;$A93&amp;"'!$A$12:$Z$41"),MATCH("Points (Auto-generate)",INDIRECT("'"&amp;$A93&amp;"'!$A$12:$Z$12"),0),0)="","?",VLOOKUP(U$1,INDIRECT("'"&amp;$A93&amp;"'!$A$12:$Z$41"),MATCH("Points (Auto-generate)",INDIRECT("'"&amp;$A93&amp;"'!$A$12:$Z$12"),0),0)),"ER"))</f>
        <v>?</v>
      </c>
      <c r="V93" s="83" t="str">
        <f aca="true">IF($H93=0,"NA",IF($A93=INDIRECT("'"&amp;$A93&amp;"'!$B$1"),IF(VLOOKUP(V$1,INDIRECT("'"&amp;$A93&amp;"'!$A$12:$Z$41"),MATCH("Points (Auto-generate)",INDIRECT("'"&amp;$A93&amp;"'!$A$12:$Z$12"),0),0)="","?",VLOOKUP(V$1,INDIRECT("'"&amp;$A93&amp;"'!$A$12:$Z$41"),MATCH("Points (Auto-generate)",INDIRECT("'"&amp;$A93&amp;"'!$A$12:$Z$12"),0),0)),"ER"))</f>
        <v>?</v>
      </c>
      <c r="W93" s="83" t="str">
        <f aca="true">IF($H93=0,"NA",IF($A93=INDIRECT("'"&amp;$A93&amp;"'!$B$1"),IF(VLOOKUP(W$1,INDIRECT("'"&amp;$A93&amp;"'!$A$12:$Z$41"),MATCH("Points (Auto-generate)",INDIRECT("'"&amp;$A93&amp;"'!$A$12:$Z$12"),0),0)="","?",VLOOKUP(W$1,INDIRECT("'"&amp;$A93&amp;"'!$A$12:$Z$41"),MATCH("Points (Auto-generate)",INDIRECT("'"&amp;$A93&amp;"'!$A$12:$Z$12"),0),0)),"ER"))</f>
        <v>?</v>
      </c>
      <c r="X93" s="83" t="str">
        <f aca="true">IF($H93=0,"NA",IF($A93=INDIRECT("'"&amp;$A93&amp;"'!$B$1"),IF(VLOOKUP(X$1,INDIRECT("'"&amp;$A93&amp;"'!$A$12:$Z$41"),MATCH("Points (Auto-generate)",INDIRECT("'"&amp;$A93&amp;"'!$A$12:$Z$12"),0),0)="","?",VLOOKUP(X$1,INDIRECT("'"&amp;$A93&amp;"'!$A$12:$Z$41"),MATCH("Points (Auto-generate)",INDIRECT("'"&amp;$A93&amp;"'!$A$12:$Z$12"),0),0)),"ER"))</f>
        <v>?</v>
      </c>
      <c r="Y93" s="83" t="str">
        <f aca="true">IF($H93=0,"NA",IF($A93=INDIRECT("'"&amp;$A93&amp;"'!$B$1"),IF(VLOOKUP(Y$1,INDIRECT("'"&amp;$A93&amp;"'!$A$12:$Z$41"),MATCH("Points (Auto-generate)",INDIRECT("'"&amp;$A93&amp;"'!$A$12:$Z$12"),0),0)="","?",VLOOKUP(Y$1,INDIRECT("'"&amp;$A93&amp;"'!$A$12:$Z$41"),MATCH("Points (Auto-generate)",INDIRECT("'"&amp;$A93&amp;"'!$A$12:$Z$12"),0),0)),"ER"))</f>
        <v>?</v>
      </c>
      <c r="Z93" s="83" t="str">
        <f aca="true">IF($H93=0,"NA",IF($A93=INDIRECT("'"&amp;$A93&amp;"'!$B$1"),IF(VLOOKUP(Z$1,INDIRECT("'"&amp;$A93&amp;"'!$A$12:$Z$41"),MATCH("Points (Auto-generate)",INDIRECT("'"&amp;$A93&amp;"'!$A$12:$Z$12"),0),0)="","?",VLOOKUP(Z$1,INDIRECT("'"&amp;$A93&amp;"'!$A$12:$Z$41"),MATCH("Points (Auto-generate)",INDIRECT("'"&amp;$A93&amp;"'!$A$12:$Z$12"),0),0)),"ER"))</f>
        <v>?</v>
      </c>
      <c r="AA93" s="83" t="str">
        <f aca="true">IF($H93=0,"NA",IF($A93=INDIRECT("'"&amp;$A93&amp;"'!$B$1"),IF(VLOOKUP(AA$1,INDIRECT("'"&amp;$A93&amp;"'!$A$12:$Z$41"),MATCH("Points (Auto-generate)",INDIRECT("'"&amp;$A93&amp;"'!$A$12:$Z$12"),0),0)="","?",VLOOKUP(AA$1,INDIRECT("'"&amp;$A93&amp;"'!$A$12:$Z$41"),MATCH("Points (Auto-generate)",INDIRECT("'"&amp;$A93&amp;"'!$A$12:$Z$12"),0),0)),"ER"))</f>
        <v>?</v>
      </c>
      <c r="AB93" s="83" t="str">
        <f aca="true">IF($H93=0,"NA",IF($A93=INDIRECT("'"&amp;$A93&amp;"'!$B$1"),IF(VLOOKUP(AB$1,INDIRECT("'"&amp;$A93&amp;"'!$A$12:$Z$41"),MATCH("Points (Auto-generate)",INDIRECT("'"&amp;$A93&amp;"'!$A$12:$Z$12"),0),0)="","?",VLOOKUP(AB$1,INDIRECT("'"&amp;$A93&amp;"'!$A$12:$Z$41"),MATCH("Points (Auto-generate)",INDIRECT("'"&amp;$A93&amp;"'!$A$12:$Z$12"),0),0)),"ER"))</f>
        <v>?</v>
      </c>
      <c r="AC93" s="83" t="n">
        <f aca="true">IF($H93=0,"NA",IF($A93=INDIRECT("'"&amp;$A93&amp;"'!$B$1"),IF(VLOOKUP(AC$1,INDIRECT("'"&amp;$A93&amp;"'!$A$12:$Z$41"),MATCH("Points (Auto-generate)",INDIRECT("'"&amp;$A93&amp;"'!$A$12:$Z$12"),0),0)="","?",VLOOKUP(AC$1,INDIRECT("'"&amp;$A93&amp;"'!$A$12:$Z$41"),MATCH("Points (Auto-generate)",INDIRECT("'"&amp;$A93&amp;"'!$A$12:$Z$12"),0),0)),"ER"))</f>
        <v>1</v>
      </c>
      <c r="AD93" s="83" t="str">
        <f aca="true">IF($H93=0,"NA",IF($A93=INDIRECT("'"&amp;$A93&amp;"'!$B$1"),IF(VLOOKUP(AD$1,INDIRECT("'"&amp;$A93&amp;"'!$A$12:$Z$41"),MATCH("Points (Auto-generate)",INDIRECT("'"&amp;$A93&amp;"'!$A$12:$Z$12"),0),0)="","?",VLOOKUP(AD$1,INDIRECT("'"&amp;$A93&amp;"'!$A$12:$Z$41"),MATCH("Points (Auto-generate)",INDIRECT("'"&amp;$A93&amp;"'!$A$12:$Z$12"),0),0)),"ER"))</f>
        <v>?</v>
      </c>
      <c r="AE93" s="83" t="str">
        <f aca="true">IF($H93=0,"NA",IF($A93=INDIRECT("'"&amp;$A93&amp;"'!$B$1"),IF(VLOOKUP(AE$1,INDIRECT("'"&amp;$A93&amp;"'!$A$12:$Z$41"),MATCH("Points (Auto-generate)",INDIRECT("'"&amp;$A93&amp;"'!$A$12:$Z$12"),0),0)="","?",VLOOKUP(AE$1,INDIRECT("'"&amp;$A93&amp;"'!$A$12:$Z$41"),MATCH("Points (Auto-generate)",INDIRECT("'"&amp;$A93&amp;"'!$A$12:$Z$12"),0),0)),"ER"))</f>
        <v>?</v>
      </c>
      <c r="AF93" s="83" t="str">
        <f aca="true">IF($H93=0,"NA",IF($A93=INDIRECT("'"&amp;$A93&amp;"'!$B$1"),IF(VLOOKUP(AF$1,INDIRECT("'"&amp;$A93&amp;"'!$A$12:$Z$41"),MATCH("Points (Auto-generate)",INDIRECT("'"&amp;$A93&amp;"'!$A$12:$Z$12"),0),0)="","?",VLOOKUP(AF$1,INDIRECT("'"&amp;$A93&amp;"'!$A$12:$Z$41"),MATCH("Points (Auto-generate)",INDIRECT("'"&amp;$A93&amp;"'!$A$12:$Z$12"),0),0)),"ER"))</f>
        <v>?</v>
      </c>
      <c r="AG93" s="83" t="str">
        <f aca="true">IF($H93=0,"NA",IF($A93=INDIRECT("'"&amp;$A93&amp;"'!$B$1"),IF(VLOOKUP(AG$1,INDIRECT("'"&amp;$A93&amp;"'!$A$12:$Z$41"),MATCH("Points (Auto-generate)",INDIRECT("'"&amp;$A93&amp;"'!$A$12:$Z$12"),0),0)="","?",VLOOKUP(AG$1,INDIRECT("'"&amp;$A93&amp;"'!$A$12:$Z$41"),MATCH("Points (Auto-generate)",INDIRECT("'"&amp;$A93&amp;"'!$A$12:$Z$12"),0),0)),"ER"))</f>
        <v>?</v>
      </c>
      <c r="AH93" s="83" t="str">
        <f aca="true">IF($H93=0,"NA",IF($A93=INDIRECT("'"&amp;$A93&amp;"'!$B$1"),IF(VLOOKUP(AH$1,INDIRECT("'"&amp;$A93&amp;"'!$A$12:$Z$41"),MATCH("Points (Auto-generate)",INDIRECT("'"&amp;$A93&amp;"'!$A$12:$Z$12"),0),0)="","?",VLOOKUP(AH$1,INDIRECT("'"&amp;$A93&amp;"'!$A$12:$Z$41"),MATCH("Points (Auto-generate)",INDIRECT("'"&amp;$A93&amp;"'!$A$12:$Z$12"),0),0)),"ER"))</f>
        <v>?</v>
      </c>
      <c r="AI93" s="83" t="str">
        <f aca="true">IF($H93=0,"NA",IF($A93=INDIRECT("'"&amp;$A93&amp;"'!$B$1"),IF(VLOOKUP(AI$1,INDIRECT("'"&amp;$A93&amp;"'!$A$12:$Z$41"),MATCH("Points (Auto-generate)",INDIRECT("'"&amp;$A93&amp;"'!$A$12:$Z$12"),0),0)="","?",VLOOKUP(AI$1,INDIRECT("'"&amp;$A93&amp;"'!$A$12:$Z$41"),MATCH("Points (Auto-generate)",INDIRECT("'"&amp;$A93&amp;"'!$A$12:$Z$12"),0),0)),"ER"))</f>
        <v>?</v>
      </c>
      <c r="AJ93" s="83" t="str">
        <f aca="true">IF($H93=0,"NA",IF($A93=INDIRECT("'"&amp;$A93&amp;"'!$B$1"),IF(VLOOKUP(AJ$1,INDIRECT("'"&amp;$A93&amp;"'!$A$12:$Z$41"),MATCH("Points (Auto-generate)",INDIRECT("'"&amp;$A93&amp;"'!$A$12:$Z$12"),0),0)="","?",VLOOKUP(AJ$1,INDIRECT("'"&amp;$A93&amp;"'!$A$12:$Z$41"),MATCH("Points (Auto-generate)",INDIRECT("'"&amp;$A93&amp;"'!$A$12:$Z$12"),0),0)),"ER"))</f>
        <v>?</v>
      </c>
      <c r="AK93" s="83" t="str">
        <f aca="true">IF($H93=0,"NA",IF($A93=INDIRECT("'"&amp;$A93&amp;"'!$B$1"),IF(VLOOKUP(AK$1,INDIRECT("'"&amp;$A93&amp;"'!$A$12:$Z$41"),MATCH("Points (Auto-generate)",INDIRECT("'"&amp;$A93&amp;"'!$A$12:$Z$12"),0),0)="","?",VLOOKUP(AK$1,INDIRECT("'"&amp;$A93&amp;"'!$A$12:$Z$41"),MATCH("Points (Auto-generate)",INDIRECT("'"&amp;$A93&amp;"'!$A$12:$Z$12"),0),0)),"ER"))</f>
        <v>?</v>
      </c>
    </row>
    <row r="94" customFormat="false" ht="14.25" hidden="false" customHeight="false" outlineLevel="0" collapsed="false">
      <c r="A94" s="79" t="s">
        <v>353</v>
      </c>
      <c r="B94" s="80" t="str">
        <f aca="false">IF(ISBLANK($A94),"NO_CODE",VLOOKUP($A94,'UPD Questions_290926 '!$E$1:$N$300,MATCH(B$1,'UPD Questions_290926 '!$E$1:$N$1,0),0)&amp;"")</f>
        <v>Implementation</v>
      </c>
      <c r="C94" s="80" t="str">
        <f aca="false">IF(ISBLANK($A94),"NO_CODE",VLOOKUP($A94,'UPD Questions_290926 '!$E$1:$N$300,MATCH(C$1,'UPD Questions_290926 '!$E$1:$N$1,0),0)&amp;"")</f>
        <v>Development Control Regulations and land-management instruments</v>
      </c>
      <c r="D94" s="80" t="str">
        <f aca="false">IF(ISBLANK($A94),"NO_CODE",VLOOKUP($A94,'UPD Questions_290926 '!$E$1:$N$300,MATCH(D$1,'UPD Questions_290926 '!$E$1:$N$1,0),0)&amp;"")</f>
        <v>DCR revision and public consultation</v>
      </c>
      <c r="E94" s="80" t="str">
        <f aca="false">IF(ISBLANK($A94),"NO_CODE",VLOOKUP($A94,'UPD Questions_290926 '!$E$1:$N$300,MATCH(E$1,'UPD Questions_290926 '!$E$1:$N$1,0),0)&amp;"")</f>
        <v>SQ</v>
      </c>
      <c r="F94" s="80" t="str">
        <f aca="false">IF(ISBLANK($A94),"NO_CODE",VLOOKUP($A94,'UPD Questions_290926 '!$E$1:$N$300,MATCH(F$1,'UPD Questions_290926 '!$E$1:$N$1,0),0)&amp;"")</f>
        <v>Do the DCRs provide development controls, standards or incentives that promote environmental sustainability and climate resilience?</v>
      </c>
      <c r="G94" s="80" t="str">
        <f aca="false">IF(ISBLANK($A94),"NO_CODE",VLOOKUP($A94,'UPD Questions_290926 '!$E$1:$N$300,MATCH(G$1,'UPD Questions_290926 '!$E$1:$N$1,0),0)&amp;"")</f>
        <v>Law or Policy</v>
      </c>
      <c r="H94" s="82" t="n">
        <f aca="false">IF(ISBLANK($A94),"NO_CODE",VLOOKUP($A94,'UPD Questions_290926 '!$E$1:$N$300,MATCH(H$1,'UPD Questions_290926 '!$E$1:$N$1,0),0))</f>
        <v>2</v>
      </c>
      <c r="I94" s="83" t="str">
        <f aca="true">IF($H94=0,"NA",IF($A94=INDIRECT("'"&amp;$A94&amp;"'!$B$1"),IF(VLOOKUP(I$1,INDIRECT("'"&amp;$A94&amp;"'!$A$12:$Z$41"),MATCH("Points (Auto-generate)",INDIRECT("'"&amp;$A94&amp;"'!$A$12:$Z$12"),0),0)="","?",VLOOKUP(I$1,INDIRECT("'"&amp;$A94&amp;"'!$A$12:$Z$41"),MATCH("Points (Auto-generate)",INDIRECT("'"&amp;$A94&amp;"'!$A$12:$Z$12"),0),0)),"ER"))</f>
        <v>?</v>
      </c>
      <c r="J94" s="83" t="n">
        <f aca="true">IF($H94=0,"NA",IF($A94=INDIRECT("'"&amp;$A94&amp;"'!$B$1"),IF(VLOOKUP(J$1,INDIRECT("'"&amp;$A94&amp;"'!$A$12:$Z$41"),MATCH("Points (Auto-generate)",INDIRECT("'"&amp;$A94&amp;"'!$A$12:$Z$12"),0),0)="","?",VLOOKUP(J$1,INDIRECT("'"&amp;$A94&amp;"'!$A$12:$Z$41"),MATCH("Points (Auto-generate)",INDIRECT("'"&amp;$A94&amp;"'!$A$12:$Z$12"),0),0)),"ER"))</f>
        <v>0</v>
      </c>
      <c r="K94" s="83" t="str">
        <f aca="true">IF($H94=0,"NA",IF($A94=INDIRECT("'"&amp;$A94&amp;"'!$B$1"),IF(VLOOKUP(K$1,INDIRECT("'"&amp;$A94&amp;"'!$A$12:$Z$41"),MATCH("Points (Auto-generate)",INDIRECT("'"&amp;$A94&amp;"'!$A$12:$Z$12"),0),0)="","?",VLOOKUP(K$1,INDIRECT("'"&amp;$A94&amp;"'!$A$12:$Z$41"),MATCH("Points (Auto-generate)",INDIRECT("'"&amp;$A94&amp;"'!$A$12:$Z$12"),0),0)),"ER"))</f>
        <v>?</v>
      </c>
      <c r="L94" s="83" t="str">
        <f aca="true">IF($H94=0,"NA",IF($A94=INDIRECT("'"&amp;$A94&amp;"'!$B$1"),IF(VLOOKUP(L$1,INDIRECT("'"&amp;$A94&amp;"'!$A$12:$Z$41"),MATCH("Points (Auto-generate)",INDIRECT("'"&amp;$A94&amp;"'!$A$12:$Z$12"),0),0)="","?",VLOOKUP(L$1,INDIRECT("'"&amp;$A94&amp;"'!$A$12:$Z$41"),MATCH("Points (Auto-generate)",INDIRECT("'"&amp;$A94&amp;"'!$A$12:$Z$12"),0),0)),"ER"))</f>
        <v>?</v>
      </c>
      <c r="M94" s="83" t="str">
        <f aca="true">IF($H94=0,"NA",IF($A94=INDIRECT("'"&amp;$A94&amp;"'!$B$1"),IF(VLOOKUP(M$1,INDIRECT("'"&amp;$A94&amp;"'!$A$12:$Z$41"),MATCH("Points (Auto-generate)",INDIRECT("'"&amp;$A94&amp;"'!$A$12:$Z$12"),0),0)="","?",VLOOKUP(M$1,INDIRECT("'"&amp;$A94&amp;"'!$A$12:$Z$41"),MATCH("Points (Auto-generate)",INDIRECT("'"&amp;$A94&amp;"'!$A$12:$Z$12"),0),0)),"ER"))</f>
        <v>?</v>
      </c>
      <c r="N94" s="83" t="str">
        <f aca="true">IF($H94=0,"NA",IF($A94=INDIRECT("'"&amp;$A94&amp;"'!$B$1"),IF(VLOOKUP(N$1,INDIRECT("'"&amp;$A94&amp;"'!$A$12:$Z$41"),MATCH("Points (Auto-generate)",INDIRECT("'"&amp;$A94&amp;"'!$A$12:$Z$12"),0),0)="","?",VLOOKUP(N$1,INDIRECT("'"&amp;$A94&amp;"'!$A$12:$Z$41"),MATCH("Points (Auto-generate)",INDIRECT("'"&amp;$A94&amp;"'!$A$12:$Z$12"),0),0)),"ER"))</f>
        <v>?</v>
      </c>
      <c r="O94" s="83" t="str">
        <f aca="true">IF($H94=0,"NA",IF($A94=INDIRECT("'"&amp;$A94&amp;"'!$B$1"),IF(VLOOKUP(O$1,INDIRECT("'"&amp;$A94&amp;"'!$A$12:$Z$41"),MATCH("Points (Auto-generate)",INDIRECT("'"&amp;$A94&amp;"'!$A$12:$Z$12"),0),0)="","?",VLOOKUP(O$1,INDIRECT("'"&amp;$A94&amp;"'!$A$12:$Z$41"),MATCH("Points (Auto-generate)",INDIRECT("'"&amp;$A94&amp;"'!$A$12:$Z$12"),0),0)),"ER"))</f>
        <v>?</v>
      </c>
      <c r="P94" s="83" t="str">
        <f aca="true">IF($H94=0,"NA",IF($A94=INDIRECT("'"&amp;$A94&amp;"'!$B$1"),IF(VLOOKUP(P$1,INDIRECT("'"&amp;$A94&amp;"'!$A$12:$Z$41"),MATCH("Points (Auto-generate)",INDIRECT("'"&amp;$A94&amp;"'!$A$12:$Z$12"),0),0)="","?",VLOOKUP(P$1,INDIRECT("'"&amp;$A94&amp;"'!$A$12:$Z$41"),MATCH("Points (Auto-generate)",INDIRECT("'"&amp;$A94&amp;"'!$A$12:$Z$12"),0),0)),"ER"))</f>
        <v>?</v>
      </c>
      <c r="Q94" s="83" t="str">
        <f aca="true">IF($H94=0,"NA",IF($A94=INDIRECT("'"&amp;$A94&amp;"'!$B$1"),IF(VLOOKUP(Q$1,INDIRECT("'"&amp;$A94&amp;"'!$A$12:$Z$41"),MATCH("Points (Auto-generate)",INDIRECT("'"&amp;$A94&amp;"'!$A$12:$Z$12"),0),0)="","?",VLOOKUP(Q$1,INDIRECT("'"&amp;$A94&amp;"'!$A$12:$Z$41"),MATCH("Points (Auto-generate)",INDIRECT("'"&amp;$A94&amp;"'!$A$12:$Z$12"),0),0)),"ER"))</f>
        <v>?</v>
      </c>
      <c r="R94" s="83" t="str">
        <f aca="true">IF($H94=0,"NA",IF($A94=INDIRECT("'"&amp;$A94&amp;"'!$B$1"),IF(VLOOKUP(R$1,INDIRECT("'"&amp;$A94&amp;"'!$A$12:$Z$41"),MATCH("Points (Auto-generate)",INDIRECT("'"&amp;$A94&amp;"'!$A$12:$Z$12"),0),0)="","?",VLOOKUP(R$1,INDIRECT("'"&amp;$A94&amp;"'!$A$12:$Z$41"),MATCH("Points (Auto-generate)",INDIRECT("'"&amp;$A94&amp;"'!$A$12:$Z$12"),0),0)),"ER"))</f>
        <v>?</v>
      </c>
      <c r="S94" s="83" t="str">
        <f aca="true">IF($H94=0,"NA",IF($A94=INDIRECT("'"&amp;$A94&amp;"'!$B$1"),IF(VLOOKUP(S$1,INDIRECT("'"&amp;$A94&amp;"'!$A$12:$Z$41"),MATCH("Points (Auto-generate)",INDIRECT("'"&amp;$A94&amp;"'!$A$12:$Z$12"),0),0)="","?",VLOOKUP(S$1,INDIRECT("'"&amp;$A94&amp;"'!$A$12:$Z$41"),MATCH("Points (Auto-generate)",INDIRECT("'"&amp;$A94&amp;"'!$A$12:$Z$12"),0),0)),"ER"))</f>
        <v>?</v>
      </c>
      <c r="T94" s="83" t="str">
        <f aca="true">IF($H94=0,"NA",IF($A94=INDIRECT("'"&amp;$A94&amp;"'!$B$1"),IF(VLOOKUP(T$1,INDIRECT("'"&amp;$A94&amp;"'!$A$12:$Z$41"),MATCH("Points (Auto-generate)",INDIRECT("'"&amp;$A94&amp;"'!$A$12:$Z$12"),0),0)="","?",VLOOKUP(T$1,INDIRECT("'"&amp;$A94&amp;"'!$A$12:$Z$41"),MATCH("Points (Auto-generate)",INDIRECT("'"&amp;$A94&amp;"'!$A$12:$Z$12"),0),0)),"ER"))</f>
        <v>?</v>
      </c>
      <c r="U94" s="83" t="str">
        <f aca="true">IF($H94=0,"NA",IF($A94=INDIRECT("'"&amp;$A94&amp;"'!$B$1"),IF(VLOOKUP(U$1,INDIRECT("'"&amp;$A94&amp;"'!$A$12:$Z$41"),MATCH("Points (Auto-generate)",INDIRECT("'"&amp;$A94&amp;"'!$A$12:$Z$12"),0),0)="","?",VLOOKUP(U$1,INDIRECT("'"&amp;$A94&amp;"'!$A$12:$Z$41"),MATCH("Points (Auto-generate)",INDIRECT("'"&amp;$A94&amp;"'!$A$12:$Z$12"),0),0)),"ER"))</f>
        <v>?</v>
      </c>
      <c r="V94" s="83" t="str">
        <f aca="true">IF($H94=0,"NA",IF($A94=INDIRECT("'"&amp;$A94&amp;"'!$B$1"),IF(VLOOKUP(V$1,INDIRECT("'"&amp;$A94&amp;"'!$A$12:$Z$41"),MATCH("Points (Auto-generate)",INDIRECT("'"&amp;$A94&amp;"'!$A$12:$Z$12"),0),0)="","?",VLOOKUP(V$1,INDIRECT("'"&amp;$A94&amp;"'!$A$12:$Z$41"),MATCH("Points (Auto-generate)",INDIRECT("'"&amp;$A94&amp;"'!$A$12:$Z$12"),0),0)),"ER"))</f>
        <v>?</v>
      </c>
      <c r="W94" s="83" t="str">
        <f aca="true">IF($H94=0,"NA",IF($A94=INDIRECT("'"&amp;$A94&amp;"'!$B$1"),IF(VLOOKUP(W$1,INDIRECT("'"&amp;$A94&amp;"'!$A$12:$Z$41"),MATCH("Points (Auto-generate)",INDIRECT("'"&amp;$A94&amp;"'!$A$12:$Z$12"),0),0)="","?",VLOOKUP(W$1,INDIRECT("'"&amp;$A94&amp;"'!$A$12:$Z$41"),MATCH("Points (Auto-generate)",INDIRECT("'"&amp;$A94&amp;"'!$A$12:$Z$12"),0),0)),"ER"))</f>
        <v>?</v>
      </c>
      <c r="X94" s="83" t="str">
        <f aca="true">IF($H94=0,"NA",IF($A94=INDIRECT("'"&amp;$A94&amp;"'!$B$1"),IF(VLOOKUP(X$1,INDIRECT("'"&amp;$A94&amp;"'!$A$12:$Z$41"),MATCH("Points (Auto-generate)",INDIRECT("'"&amp;$A94&amp;"'!$A$12:$Z$12"),0),0)="","?",VLOOKUP(X$1,INDIRECT("'"&amp;$A94&amp;"'!$A$12:$Z$41"),MATCH("Points (Auto-generate)",INDIRECT("'"&amp;$A94&amp;"'!$A$12:$Z$12"),0),0)),"ER"))</f>
        <v>?</v>
      </c>
      <c r="Y94" s="83" t="str">
        <f aca="true">IF($H94=0,"NA",IF($A94=INDIRECT("'"&amp;$A94&amp;"'!$B$1"),IF(VLOOKUP(Y$1,INDIRECT("'"&amp;$A94&amp;"'!$A$12:$Z$41"),MATCH("Points (Auto-generate)",INDIRECT("'"&amp;$A94&amp;"'!$A$12:$Z$12"),0),0)="","?",VLOOKUP(Y$1,INDIRECT("'"&amp;$A94&amp;"'!$A$12:$Z$41"),MATCH("Points (Auto-generate)",INDIRECT("'"&amp;$A94&amp;"'!$A$12:$Z$12"),0),0)),"ER"))</f>
        <v>?</v>
      </c>
      <c r="Z94" s="83" t="str">
        <f aca="true">IF($H94=0,"NA",IF($A94=INDIRECT("'"&amp;$A94&amp;"'!$B$1"),IF(VLOOKUP(Z$1,INDIRECT("'"&amp;$A94&amp;"'!$A$12:$Z$41"),MATCH("Points (Auto-generate)",INDIRECT("'"&amp;$A94&amp;"'!$A$12:$Z$12"),0),0)="","?",VLOOKUP(Z$1,INDIRECT("'"&amp;$A94&amp;"'!$A$12:$Z$41"),MATCH("Points (Auto-generate)",INDIRECT("'"&amp;$A94&amp;"'!$A$12:$Z$12"),0),0)),"ER"))</f>
        <v>?</v>
      </c>
      <c r="AA94" s="83" t="str">
        <f aca="true">IF($H94=0,"NA",IF($A94=INDIRECT("'"&amp;$A94&amp;"'!$B$1"),IF(VLOOKUP(AA$1,INDIRECT("'"&amp;$A94&amp;"'!$A$12:$Z$41"),MATCH("Points (Auto-generate)",INDIRECT("'"&amp;$A94&amp;"'!$A$12:$Z$12"),0),0)="","?",VLOOKUP(AA$1,INDIRECT("'"&amp;$A94&amp;"'!$A$12:$Z$41"),MATCH("Points (Auto-generate)",INDIRECT("'"&amp;$A94&amp;"'!$A$12:$Z$12"),0),0)),"ER"))</f>
        <v>?</v>
      </c>
      <c r="AB94" s="83" t="str">
        <f aca="true">IF($H94=0,"NA",IF($A94=INDIRECT("'"&amp;$A94&amp;"'!$B$1"),IF(VLOOKUP(AB$1,INDIRECT("'"&amp;$A94&amp;"'!$A$12:$Z$41"),MATCH("Points (Auto-generate)",INDIRECT("'"&amp;$A94&amp;"'!$A$12:$Z$12"),0),0)="","?",VLOOKUP(AB$1,INDIRECT("'"&amp;$A94&amp;"'!$A$12:$Z$41"),MATCH("Points (Auto-generate)",INDIRECT("'"&amp;$A94&amp;"'!$A$12:$Z$12"),0),0)),"ER"))</f>
        <v>?</v>
      </c>
      <c r="AC94" s="83" t="n">
        <f aca="true">IF($H94=0,"NA",IF($A94=INDIRECT("'"&amp;$A94&amp;"'!$B$1"),IF(VLOOKUP(AC$1,INDIRECT("'"&amp;$A94&amp;"'!$A$12:$Z$41"),MATCH("Points (Auto-generate)",INDIRECT("'"&amp;$A94&amp;"'!$A$12:$Z$12"),0),0)="","?",VLOOKUP(AC$1,INDIRECT("'"&amp;$A94&amp;"'!$A$12:$Z$41"),MATCH("Points (Auto-generate)",INDIRECT("'"&amp;$A94&amp;"'!$A$12:$Z$12"),0),0)),"ER"))</f>
        <v>2</v>
      </c>
      <c r="AD94" s="83" t="str">
        <f aca="true">IF($H94=0,"NA",IF($A94=INDIRECT("'"&amp;$A94&amp;"'!$B$1"),IF(VLOOKUP(AD$1,INDIRECT("'"&amp;$A94&amp;"'!$A$12:$Z$41"),MATCH("Points (Auto-generate)",INDIRECT("'"&amp;$A94&amp;"'!$A$12:$Z$12"),0),0)="","?",VLOOKUP(AD$1,INDIRECT("'"&amp;$A94&amp;"'!$A$12:$Z$41"),MATCH("Points (Auto-generate)",INDIRECT("'"&amp;$A94&amp;"'!$A$12:$Z$12"),0),0)),"ER"))</f>
        <v>?</v>
      </c>
      <c r="AE94" s="83" t="str">
        <f aca="true">IF($H94=0,"NA",IF($A94=INDIRECT("'"&amp;$A94&amp;"'!$B$1"),IF(VLOOKUP(AE$1,INDIRECT("'"&amp;$A94&amp;"'!$A$12:$Z$41"),MATCH("Points (Auto-generate)",INDIRECT("'"&amp;$A94&amp;"'!$A$12:$Z$12"),0),0)="","?",VLOOKUP(AE$1,INDIRECT("'"&amp;$A94&amp;"'!$A$12:$Z$41"),MATCH("Points (Auto-generate)",INDIRECT("'"&amp;$A94&amp;"'!$A$12:$Z$12"),0),0)),"ER"))</f>
        <v>?</v>
      </c>
      <c r="AF94" s="83" t="str">
        <f aca="true">IF($H94=0,"NA",IF($A94=INDIRECT("'"&amp;$A94&amp;"'!$B$1"),IF(VLOOKUP(AF$1,INDIRECT("'"&amp;$A94&amp;"'!$A$12:$Z$41"),MATCH("Points (Auto-generate)",INDIRECT("'"&amp;$A94&amp;"'!$A$12:$Z$12"),0),0)="","?",VLOOKUP(AF$1,INDIRECT("'"&amp;$A94&amp;"'!$A$12:$Z$41"),MATCH("Points (Auto-generate)",INDIRECT("'"&amp;$A94&amp;"'!$A$12:$Z$12"),0),0)),"ER"))</f>
        <v>?</v>
      </c>
      <c r="AG94" s="83" t="str">
        <f aca="true">IF($H94=0,"NA",IF($A94=INDIRECT("'"&amp;$A94&amp;"'!$B$1"),IF(VLOOKUP(AG$1,INDIRECT("'"&amp;$A94&amp;"'!$A$12:$Z$41"),MATCH("Points (Auto-generate)",INDIRECT("'"&amp;$A94&amp;"'!$A$12:$Z$12"),0),0)="","?",VLOOKUP(AG$1,INDIRECT("'"&amp;$A94&amp;"'!$A$12:$Z$41"),MATCH("Points (Auto-generate)",INDIRECT("'"&amp;$A94&amp;"'!$A$12:$Z$12"),0),0)),"ER"))</f>
        <v>?</v>
      </c>
      <c r="AH94" s="83" t="str">
        <f aca="true">IF($H94=0,"NA",IF($A94=INDIRECT("'"&amp;$A94&amp;"'!$B$1"),IF(VLOOKUP(AH$1,INDIRECT("'"&amp;$A94&amp;"'!$A$12:$Z$41"),MATCH("Points (Auto-generate)",INDIRECT("'"&amp;$A94&amp;"'!$A$12:$Z$12"),0),0)="","?",VLOOKUP(AH$1,INDIRECT("'"&amp;$A94&amp;"'!$A$12:$Z$41"),MATCH("Points (Auto-generate)",INDIRECT("'"&amp;$A94&amp;"'!$A$12:$Z$12"),0),0)),"ER"))</f>
        <v>?</v>
      </c>
      <c r="AI94" s="83" t="str">
        <f aca="true">IF($H94=0,"NA",IF($A94=INDIRECT("'"&amp;$A94&amp;"'!$B$1"),IF(VLOOKUP(AI$1,INDIRECT("'"&amp;$A94&amp;"'!$A$12:$Z$41"),MATCH("Points (Auto-generate)",INDIRECT("'"&amp;$A94&amp;"'!$A$12:$Z$12"),0),0)="","?",VLOOKUP(AI$1,INDIRECT("'"&amp;$A94&amp;"'!$A$12:$Z$41"),MATCH("Points (Auto-generate)",INDIRECT("'"&amp;$A94&amp;"'!$A$12:$Z$12"),0),0)),"ER"))</f>
        <v>?</v>
      </c>
      <c r="AJ94" s="83" t="str">
        <f aca="true">IF($H94=0,"NA",IF($A94=INDIRECT("'"&amp;$A94&amp;"'!$B$1"),IF(VLOOKUP(AJ$1,INDIRECT("'"&amp;$A94&amp;"'!$A$12:$Z$41"),MATCH("Points (Auto-generate)",INDIRECT("'"&amp;$A94&amp;"'!$A$12:$Z$12"),0),0)="","?",VLOOKUP(AJ$1,INDIRECT("'"&amp;$A94&amp;"'!$A$12:$Z$41"),MATCH("Points (Auto-generate)",INDIRECT("'"&amp;$A94&amp;"'!$A$12:$Z$12"),0),0)),"ER"))</f>
        <v>?</v>
      </c>
      <c r="AK94" s="83" t="str">
        <f aca="true">IF($H94=0,"NA",IF($A94=INDIRECT("'"&amp;$A94&amp;"'!$B$1"),IF(VLOOKUP(AK$1,INDIRECT("'"&amp;$A94&amp;"'!$A$12:$Z$41"),MATCH("Points (Auto-generate)",INDIRECT("'"&amp;$A94&amp;"'!$A$12:$Z$12"),0),0)="","?",VLOOKUP(AK$1,INDIRECT("'"&amp;$A94&amp;"'!$A$12:$Z$41"),MATCH("Points (Auto-generate)",INDIRECT("'"&amp;$A94&amp;"'!$A$12:$Z$12"),0),0)),"ER"))</f>
        <v>?</v>
      </c>
    </row>
    <row r="95" customFormat="false" ht="14.25" hidden="false" customHeight="false" outlineLevel="0" collapsed="false">
      <c r="A95" s="79" t="s">
        <v>358</v>
      </c>
      <c r="B95" s="80" t="str">
        <f aca="false">IF(ISBLANK($A95),"NO_CODE",VLOOKUP($A95,'UPD Questions_290926 '!$E$1:$N$300,MATCH(B$1,'UPD Questions_290926 '!$E$1:$N$1,0),0)&amp;"")</f>
        <v>Implementation</v>
      </c>
      <c r="C95" s="80" t="str">
        <f aca="false">IF(ISBLANK($A95),"NO_CODE",VLOOKUP($A95,'UPD Questions_290926 '!$E$1:$N$300,MATCH(C$1,'UPD Questions_290926 '!$E$1:$N$1,0),0)&amp;"")</f>
        <v>Development Control Regulations and land-management instruments</v>
      </c>
      <c r="D95" s="80" t="str">
        <f aca="false">IF(ISBLANK($A95),"NO_CODE",VLOOKUP($A95,'UPD Questions_290926 '!$E$1:$N$300,MATCH(D$1,'UPD Questions_290926 '!$E$1:$N$1,0),0)&amp;"")</f>
        <v>DCR revision and public consultation</v>
      </c>
      <c r="E95" s="80" t="str">
        <f aca="false">IF(ISBLANK($A95),"NO_CODE",VLOOKUP($A95,'UPD Questions_290926 '!$E$1:$N$300,MATCH(E$1,'UPD Questions_290926 '!$E$1:$N$1,0),0)&amp;"")</f>
        <v>SQ</v>
      </c>
      <c r="F95" s="80" t="str">
        <f aca="false">IF(ISBLANK($A95),"NO_CODE",VLOOKUP($A95,'UPD Questions_290926 '!$E$1:$N$300,MATCH(F$1,'UPD Questions_290926 '!$E$1:$N$1,0),0)&amp;"")</f>
        <v>Do the DCRs provide development controls or standards that promote positive public-health outcomes?</v>
      </c>
      <c r="G95" s="80" t="str">
        <f aca="false">IF(ISBLANK($A95),"NO_CODE",VLOOKUP($A95,'UPD Questions_290926 '!$E$1:$N$300,MATCH(G$1,'UPD Questions_290926 '!$E$1:$N$1,0),0)&amp;"")</f>
        <v>Law or Policy</v>
      </c>
      <c r="H95" s="82" t="n">
        <f aca="false">IF(ISBLANK($A95),"NO_CODE",VLOOKUP($A95,'UPD Questions_290926 '!$E$1:$N$300,MATCH(H$1,'UPD Questions_290926 '!$E$1:$N$1,0),0))</f>
        <v>2</v>
      </c>
      <c r="I95" s="83" t="str">
        <f aca="true">IF($H95=0,"NA",IF($A95=INDIRECT("'"&amp;$A95&amp;"'!$B$1"),IF(VLOOKUP(I$1,INDIRECT("'"&amp;$A95&amp;"'!$A$12:$Z$41"),MATCH("Points (Auto-generate)",INDIRECT("'"&amp;$A95&amp;"'!$A$12:$Z$12"),0),0)="","?",VLOOKUP(I$1,INDIRECT("'"&amp;$A95&amp;"'!$A$12:$Z$41"),MATCH("Points (Auto-generate)",INDIRECT("'"&amp;$A95&amp;"'!$A$12:$Z$12"),0),0)),"ER"))</f>
        <v>?</v>
      </c>
      <c r="J95" s="83" t="n">
        <f aca="true">IF($H95=0,"NA",IF($A95=INDIRECT("'"&amp;$A95&amp;"'!$B$1"),IF(VLOOKUP(J$1,INDIRECT("'"&amp;$A95&amp;"'!$A$12:$Z$41"),MATCH("Points (Auto-generate)",INDIRECT("'"&amp;$A95&amp;"'!$A$12:$Z$12"),0),0)="","?",VLOOKUP(J$1,INDIRECT("'"&amp;$A95&amp;"'!$A$12:$Z$41"),MATCH("Points (Auto-generate)",INDIRECT("'"&amp;$A95&amp;"'!$A$12:$Z$12"),0),0)),"ER"))</f>
        <v>0</v>
      </c>
      <c r="K95" s="83" t="str">
        <f aca="true">IF($H95=0,"NA",IF($A95=INDIRECT("'"&amp;$A95&amp;"'!$B$1"),IF(VLOOKUP(K$1,INDIRECT("'"&amp;$A95&amp;"'!$A$12:$Z$41"),MATCH("Points (Auto-generate)",INDIRECT("'"&amp;$A95&amp;"'!$A$12:$Z$12"),0),0)="","?",VLOOKUP(K$1,INDIRECT("'"&amp;$A95&amp;"'!$A$12:$Z$41"),MATCH("Points (Auto-generate)",INDIRECT("'"&amp;$A95&amp;"'!$A$12:$Z$12"),0),0)),"ER"))</f>
        <v>?</v>
      </c>
      <c r="L95" s="83" t="str">
        <f aca="true">IF($H95=0,"NA",IF($A95=INDIRECT("'"&amp;$A95&amp;"'!$B$1"),IF(VLOOKUP(L$1,INDIRECT("'"&amp;$A95&amp;"'!$A$12:$Z$41"),MATCH("Points (Auto-generate)",INDIRECT("'"&amp;$A95&amp;"'!$A$12:$Z$12"),0),0)="","?",VLOOKUP(L$1,INDIRECT("'"&amp;$A95&amp;"'!$A$12:$Z$41"),MATCH("Points (Auto-generate)",INDIRECT("'"&amp;$A95&amp;"'!$A$12:$Z$12"),0),0)),"ER"))</f>
        <v>?</v>
      </c>
      <c r="M95" s="83" t="str">
        <f aca="true">IF($H95=0,"NA",IF($A95=INDIRECT("'"&amp;$A95&amp;"'!$B$1"),IF(VLOOKUP(M$1,INDIRECT("'"&amp;$A95&amp;"'!$A$12:$Z$41"),MATCH("Points (Auto-generate)",INDIRECT("'"&amp;$A95&amp;"'!$A$12:$Z$12"),0),0)="","?",VLOOKUP(M$1,INDIRECT("'"&amp;$A95&amp;"'!$A$12:$Z$41"),MATCH("Points (Auto-generate)",INDIRECT("'"&amp;$A95&amp;"'!$A$12:$Z$12"),0),0)),"ER"))</f>
        <v>?</v>
      </c>
      <c r="N95" s="83" t="str">
        <f aca="true">IF($H95=0,"NA",IF($A95=INDIRECT("'"&amp;$A95&amp;"'!$B$1"),IF(VLOOKUP(N$1,INDIRECT("'"&amp;$A95&amp;"'!$A$12:$Z$41"),MATCH("Points (Auto-generate)",INDIRECT("'"&amp;$A95&amp;"'!$A$12:$Z$12"),0),0)="","?",VLOOKUP(N$1,INDIRECT("'"&amp;$A95&amp;"'!$A$12:$Z$41"),MATCH("Points (Auto-generate)",INDIRECT("'"&amp;$A95&amp;"'!$A$12:$Z$12"),0),0)),"ER"))</f>
        <v>?</v>
      </c>
      <c r="O95" s="83" t="str">
        <f aca="true">IF($H95=0,"NA",IF($A95=INDIRECT("'"&amp;$A95&amp;"'!$B$1"),IF(VLOOKUP(O$1,INDIRECT("'"&amp;$A95&amp;"'!$A$12:$Z$41"),MATCH("Points (Auto-generate)",INDIRECT("'"&amp;$A95&amp;"'!$A$12:$Z$12"),0),0)="","?",VLOOKUP(O$1,INDIRECT("'"&amp;$A95&amp;"'!$A$12:$Z$41"),MATCH("Points (Auto-generate)",INDIRECT("'"&amp;$A95&amp;"'!$A$12:$Z$12"),0),0)),"ER"))</f>
        <v>?</v>
      </c>
      <c r="P95" s="83" t="str">
        <f aca="true">IF($H95=0,"NA",IF($A95=INDIRECT("'"&amp;$A95&amp;"'!$B$1"),IF(VLOOKUP(P$1,INDIRECT("'"&amp;$A95&amp;"'!$A$12:$Z$41"),MATCH("Points (Auto-generate)",INDIRECT("'"&amp;$A95&amp;"'!$A$12:$Z$12"),0),0)="","?",VLOOKUP(P$1,INDIRECT("'"&amp;$A95&amp;"'!$A$12:$Z$41"),MATCH("Points (Auto-generate)",INDIRECT("'"&amp;$A95&amp;"'!$A$12:$Z$12"),0),0)),"ER"))</f>
        <v>?</v>
      </c>
      <c r="Q95" s="83" t="str">
        <f aca="true">IF($H95=0,"NA",IF($A95=INDIRECT("'"&amp;$A95&amp;"'!$B$1"),IF(VLOOKUP(Q$1,INDIRECT("'"&amp;$A95&amp;"'!$A$12:$Z$41"),MATCH("Points (Auto-generate)",INDIRECT("'"&amp;$A95&amp;"'!$A$12:$Z$12"),0),0)="","?",VLOOKUP(Q$1,INDIRECT("'"&amp;$A95&amp;"'!$A$12:$Z$41"),MATCH("Points (Auto-generate)",INDIRECT("'"&amp;$A95&amp;"'!$A$12:$Z$12"),0),0)),"ER"))</f>
        <v>?</v>
      </c>
      <c r="R95" s="83" t="str">
        <f aca="true">IF($H95=0,"NA",IF($A95=INDIRECT("'"&amp;$A95&amp;"'!$B$1"),IF(VLOOKUP(R$1,INDIRECT("'"&amp;$A95&amp;"'!$A$12:$Z$41"),MATCH("Points (Auto-generate)",INDIRECT("'"&amp;$A95&amp;"'!$A$12:$Z$12"),0),0)="","?",VLOOKUP(R$1,INDIRECT("'"&amp;$A95&amp;"'!$A$12:$Z$41"),MATCH("Points (Auto-generate)",INDIRECT("'"&amp;$A95&amp;"'!$A$12:$Z$12"),0),0)),"ER"))</f>
        <v>?</v>
      </c>
      <c r="S95" s="83" t="str">
        <f aca="true">IF($H95=0,"NA",IF($A95=INDIRECT("'"&amp;$A95&amp;"'!$B$1"),IF(VLOOKUP(S$1,INDIRECT("'"&amp;$A95&amp;"'!$A$12:$Z$41"),MATCH("Points (Auto-generate)",INDIRECT("'"&amp;$A95&amp;"'!$A$12:$Z$12"),0),0)="","?",VLOOKUP(S$1,INDIRECT("'"&amp;$A95&amp;"'!$A$12:$Z$41"),MATCH("Points (Auto-generate)",INDIRECT("'"&amp;$A95&amp;"'!$A$12:$Z$12"),0),0)),"ER"))</f>
        <v>?</v>
      </c>
      <c r="T95" s="83" t="str">
        <f aca="true">IF($H95=0,"NA",IF($A95=INDIRECT("'"&amp;$A95&amp;"'!$B$1"),IF(VLOOKUP(T$1,INDIRECT("'"&amp;$A95&amp;"'!$A$12:$Z$41"),MATCH("Points (Auto-generate)",INDIRECT("'"&amp;$A95&amp;"'!$A$12:$Z$12"),0),0)="","?",VLOOKUP(T$1,INDIRECT("'"&amp;$A95&amp;"'!$A$12:$Z$41"),MATCH("Points (Auto-generate)",INDIRECT("'"&amp;$A95&amp;"'!$A$12:$Z$12"),0),0)),"ER"))</f>
        <v>?</v>
      </c>
      <c r="U95" s="83" t="str">
        <f aca="true">IF($H95=0,"NA",IF($A95=INDIRECT("'"&amp;$A95&amp;"'!$B$1"),IF(VLOOKUP(U$1,INDIRECT("'"&amp;$A95&amp;"'!$A$12:$Z$41"),MATCH("Points (Auto-generate)",INDIRECT("'"&amp;$A95&amp;"'!$A$12:$Z$12"),0),0)="","?",VLOOKUP(U$1,INDIRECT("'"&amp;$A95&amp;"'!$A$12:$Z$41"),MATCH("Points (Auto-generate)",INDIRECT("'"&amp;$A95&amp;"'!$A$12:$Z$12"),0),0)),"ER"))</f>
        <v>?</v>
      </c>
      <c r="V95" s="83" t="str">
        <f aca="true">IF($H95=0,"NA",IF($A95=INDIRECT("'"&amp;$A95&amp;"'!$B$1"),IF(VLOOKUP(V$1,INDIRECT("'"&amp;$A95&amp;"'!$A$12:$Z$41"),MATCH("Points (Auto-generate)",INDIRECT("'"&amp;$A95&amp;"'!$A$12:$Z$12"),0),0)="","?",VLOOKUP(V$1,INDIRECT("'"&amp;$A95&amp;"'!$A$12:$Z$41"),MATCH("Points (Auto-generate)",INDIRECT("'"&amp;$A95&amp;"'!$A$12:$Z$12"),0),0)),"ER"))</f>
        <v>?</v>
      </c>
      <c r="W95" s="83" t="str">
        <f aca="true">IF($H95=0,"NA",IF($A95=INDIRECT("'"&amp;$A95&amp;"'!$B$1"),IF(VLOOKUP(W$1,INDIRECT("'"&amp;$A95&amp;"'!$A$12:$Z$41"),MATCH("Points (Auto-generate)",INDIRECT("'"&amp;$A95&amp;"'!$A$12:$Z$12"),0),0)="","?",VLOOKUP(W$1,INDIRECT("'"&amp;$A95&amp;"'!$A$12:$Z$41"),MATCH("Points (Auto-generate)",INDIRECT("'"&amp;$A95&amp;"'!$A$12:$Z$12"),0),0)),"ER"))</f>
        <v>?</v>
      </c>
      <c r="X95" s="83" t="str">
        <f aca="true">IF($H95=0,"NA",IF($A95=INDIRECT("'"&amp;$A95&amp;"'!$B$1"),IF(VLOOKUP(X$1,INDIRECT("'"&amp;$A95&amp;"'!$A$12:$Z$41"),MATCH("Points (Auto-generate)",INDIRECT("'"&amp;$A95&amp;"'!$A$12:$Z$12"),0),0)="","?",VLOOKUP(X$1,INDIRECT("'"&amp;$A95&amp;"'!$A$12:$Z$41"),MATCH("Points (Auto-generate)",INDIRECT("'"&amp;$A95&amp;"'!$A$12:$Z$12"),0),0)),"ER"))</f>
        <v>?</v>
      </c>
      <c r="Y95" s="83" t="str">
        <f aca="true">IF($H95=0,"NA",IF($A95=INDIRECT("'"&amp;$A95&amp;"'!$B$1"),IF(VLOOKUP(Y$1,INDIRECT("'"&amp;$A95&amp;"'!$A$12:$Z$41"),MATCH("Points (Auto-generate)",INDIRECT("'"&amp;$A95&amp;"'!$A$12:$Z$12"),0),0)="","?",VLOOKUP(Y$1,INDIRECT("'"&amp;$A95&amp;"'!$A$12:$Z$41"),MATCH("Points (Auto-generate)",INDIRECT("'"&amp;$A95&amp;"'!$A$12:$Z$12"),0),0)),"ER"))</f>
        <v>?</v>
      </c>
      <c r="Z95" s="83" t="str">
        <f aca="true">IF($H95=0,"NA",IF($A95=INDIRECT("'"&amp;$A95&amp;"'!$B$1"),IF(VLOOKUP(Z$1,INDIRECT("'"&amp;$A95&amp;"'!$A$12:$Z$41"),MATCH("Points (Auto-generate)",INDIRECT("'"&amp;$A95&amp;"'!$A$12:$Z$12"),0),0)="","?",VLOOKUP(Z$1,INDIRECT("'"&amp;$A95&amp;"'!$A$12:$Z$41"),MATCH("Points (Auto-generate)",INDIRECT("'"&amp;$A95&amp;"'!$A$12:$Z$12"),0),0)),"ER"))</f>
        <v>?</v>
      </c>
      <c r="AA95" s="83" t="str">
        <f aca="true">IF($H95=0,"NA",IF($A95=INDIRECT("'"&amp;$A95&amp;"'!$B$1"),IF(VLOOKUP(AA$1,INDIRECT("'"&amp;$A95&amp;"'!$A$12:$Z$41"),MATCH("Points (Auto-generate)",INDIRECT("'"&amp;$A95&amp;"'!$A$12:$Z$12"),0),0)="","?",VLOOKUP(AA$1,INDIRECT("'"&amp;$A95&amp;"'!$A$12:$Z$41"),MATCH("Points (Auto-generate)",INDIRECT("'"&amp;$A95&amp;"'!$A$12:$Z$12"),0),0)),"ER"))</f>
        <v>?</v>
      </c>
      <c r="AB95" s="83" t="str">
        <f aca="true">IF($H95=0,"NA",IF($A95=INDIRECT("'"&amp;$A95&amp;"'!$B$1"),IF(VLOOKUP(AB$1,INDIRECT("'"&amp;$A95&amp;"'!$A$12:$Z$41"),MATCH("Points (Auto-generate)",INDIRECT("'"&amp;$A95&amp;"'!$A$12:$Z$12"),0),0)="","?",VLOOKUP(AB$1,INDIRECT("'"&amp;$A95&amp;"'!$A$12:$Z$41"),MATCH("Points (Auto-generate)",INDIRECT("'"&amp;$A95&amp;"'!$A$12:$Z$12"),0),0)),"ER"))</f>
        <v>?</v>
      </c>
      <c r="AC95" s="83" t="n">
        <f aca="true">IF($H95=0,"NA",IF($A95=INDIRECT("'"&amp;$A95&amp;"'!$B$1"),IF(VLOOKUP(AC$1,INDIRECT("'"&amp;$A95&amp;"'!$A$12:$Z$41"),MATCH("Points (Auto-generate)",INDIRECT("'"&amp;$A95&amp;"'!$A$12:$Z$12"),0),0)="","?",VLOOKUP(AC$1,INDIRECT("'"&amp;$A95&amp;"'!$A$12:$Z$41"),MATCH("Points (Auto-generate)",INDIRECT("'"&amp;$A95&amp;"'!$A$12:$Z$12"),0),0)),"ER"))</f>
        <v>2</v>
      </c>
      <c r="AD95" s="83" t="str">
        <f aca="true">IF($H95=0,"NA",IF($A95=INDIRECT("'"&amp;$A95&amp;"'!$B$1"),IF(VLOOKUP(AD$1,INDIRECT("'"&amp;$A95&amp;"'!$A$12:$Z$41"),MATCH("Points (Auto-generate)",INDIRECT("'"&amp;$A95&amp;"'!$A$12:$Z$12"),0),0)="","?",VLOOKUP(AD$1,INDIRECT("'"&amp;$A95&amp;"'!$A$12:$Z$41"),MATCH("Points (Auto-generate)",INDIRECT("'"&amp;$A95&amp;"'!$A$12:$Z$12"),0),0)),"ER"))</f>
        <v>?</v>
      </c>
      <c r="AE95" s="83" t="str">
        <f aca="true">IF($H95=0,"NA",IF($A95=INDIRECT("'"&amp;$A95&amp;"'!$B$1"),IF(VLOOKUP(AE$1,INDIRECT("'"&amp;$A95&amp;"'!$A$12:$Z$41"),MATCH("Points (Auto-generate)",INDIRECT("'"&amp;$A95&amp;"'!$A$12:$Z$12"),0),0)="","?",VLOOKUP(AE$1,INDIRECT("'"&amp;$A95&amp;"'!$A$12:$Z$41"),MATCH("Points (Auto-generate)",INDIRECT("'"&amp;$A95&amp;"'!$A$12:$Z$12"),0),0)),"ER"))</f>
        <v>?</v>
      </c>
      <c r="AF95" s="83" t="str">
        <f aca="true">IF($H95=0,"NA",IF($A95=INDIRECT("'"&amp;$A95&amp;"'!$B$1"),IF(VLOOKUP(AF$1,INDIRECT("'"&amp;$A95&amp;"'!$A$12:$Z$41"),MATCH("Points (Auto-generate)",INDIRECT("'"&amp;$A95&amp;"'!$A$12:$Z$12"),0),0)="","?",VLOOKUP(AF$1,INDIRECT("'"&amp;$A95&amp;"'!$A$12:$Z$41"),MATCH("Points (Auto-generate)",INDIRECT("'"&amp;$A95&amp;"'!$A$12:$Z$12"),0),0)),"ER"))</f>
        <v>?</v>
      </c>
      <c r="AG95" s="83" t="str">
        <f aca="true">IF($H95=0,"NA",IF($A95=INDIRECT("'"&amp;$A95&amp;"'!$B$1"),IF(VLOOKUP(AG$1,INDIRECT("'"&amp;$A95&amp;"'!$A$12:$Z$41"),MATCH("Points (Auto-generate)",INDIRECT("'"&amp;$A95&amp;"'!$A$12:$Z$12"),0),0)="","?",VLOOKUP(AG$1,INDIRECT("'"&amp;$A95&amp;"'!$A$12:$Z$41"),MATCH("Points (Auto-generate)",INDIRECT("'"&amp;$A95&amp;"'!$A$12:$Z$12"),0),0)),"ER"))</f>
        <v>?</v>
      </c>
      <c r="AH95" s="83" t="str">
        <f aca="true">IF($H95=0,"NA",IF($A95=INDIRECT("'"&amp;$A95&amp;"'!$B$1"),IF(VLOOKUP(AH$1,INDIRECT("'"&amp;$A95&amp;"'!$A$12:$Z$41"),MATCH("Points (Auto-generate)",INDIRECT("'"&amp;$A95&amp;"'!$A$12:$Z$12"),0),0)="","?",VLOOKUP(AH$1,INDIRECT("'"&amp;$A95&amp;"'!$A$12:$Z$41"),MATCH("Points (Auto-generate)",INDIRECT("'"&amp;$A95&amp;"'!$A$12:$Z$12"),0),0)),"ER"))</f>
        <v>?</v>
      </c>
      <c r="AI95" s="83" t="str">
        <f aca="true">IF($H95=0,"NA",IF($A95=INDIRECT("'"&amp;$A95&amp;"'!$B$1"),IF(VLOOKUP(AI$1,INDIRECT("'"&amp;$A95&amp;"'!$A$12:$Z$41"),MATCH("Points (Auto-generate)",INDIRECT("'"&amp;$A95&amp;"'!$A$12:$Z$12"),0),0)="","?",VLOOKUP(AI$1,INDIRECT("'"&amp;$A95&amp;"'!$A$12:$Z$41"),MATCH("Points (Auto-generate)",INDIRECT("'"&amp;$A95&amp;"'!$A$12:$Z$12"),0),0)),"ER"))</f>
        <v>?</v>
      </c>
      <c r="AJ95" s="83" t="str">
        <f aca="true">IF($H95=0,"NA",IF($A95=INDIRECT("'"&amp;$A95&amp;"'!$B$1"),IF(VLOOKUP(AJ$1,INDIRECT("'"&amp;$A95&amp;"'!$A$12:$Z$41"),MATCH("Points (Auto-generate)",INDIRECT("'"&amp;$A95&amp;"'!$A$12:$Z$12"),0),0)="","?",VLOOKUP(AJ$1,INDIRECT("'"&amp;$A95&amp;"'!$A$12:$Z$41"),MATCH("Points (Auto-generate)",INDIRECT("'"&amp;$A95&amp;"'!$A$12:$Z$12"),0),0)),"ER"))</f>
        <v>?</v>
      </c>
      <c r="AK95" s="83" t="str">
        <f aca="true">IF($H95=0,"NA",IF($A95=INDIRECT("'"&amp;$A95&amp;"'!$B$1"),IF(VLOOKUP(AK$1,INDIRECT("'"&amp;$A95&amp;"'!$A$12:$Z$41"),MATCH("Points (Auto-generate)",INDIRECT("'"&amp;$A95&amp;"'!$A$12:$Z$12"),0),0)="","?",VLOOKUP(AK$1,INDIRECT("'"&amp;$A95&amp;"'!$A$12:$Z$41"),MATCH("Points (Auto-generate)",INDIRECT("'"&amp;$A95&amp;"'!$A$12:$Z$12"),0),0)),"ER"))</f>
        <v>?</v>
      </c>
    </row>
    <row r="96" customFormat="false" ht="14.25" hidden="false" customHeight="false" outlineLevel="0" collapsed="false">
      <c r="A96" s="79" t="s">
        <v>363</v>
      </c>
      <c r="B96" s="80" t="str">
        <f aca="false">IF(ISBLANK($A96),"NO_CODE",VLOOKUP($A96,'UPD Questions_290926 '!$E$1:$N$300,MATCH(B$1,'UPD Questions_290926 '!$E$1:$N$1,0),0)&amp;"")</f>
        <v>Implementation</v>
      </c>
      <c r="C96" s="80" t="str">
        <f aca="false">IF(ISBLANK($A96),"NO_CODE",VLOOKUP($A96,'UPD Questions_290926 '!$E$1:$N$300,MATCH(C$1,'UPD Questions_290926 '!$E$1:$N$1,0),0)&amp;"")</f>
        <v>Development Control Regulations and land-management instruments</v>
      </c>
      <c r="D96" s="80" t="str">
        <f aca="false">IF(ISBLANK($A96),"NO_CODE",VLOOKUP($A96,'UPD Questions_290926 '!$E$1:$N$300,MATCH(D$1,'UPD Questions_290926 '!$E$1:$N$1,0),0)&amp;"")</f>
        <v>DCR revision and public consultation</v>
      </c>
      <c r="E96" s="80" t="str">
        <f aca="false">IF(ISBLANK($A96),"NO_CODE",VLOOKUP($A96,'UPD Questions_290926 '!$E$1:$N$300,MATCH(E$1,'UPD Questions_290926 '!$E$1:$N$1,0),0)&amp;"")</f>
        <v>SQ</v>
      </c>
      <c r="F96" s="80" t="str">
        <f aca="false">IF(ISBLANK($A96),"NO_CODE",VLOOKUP($A96,'UPD Questions_290926 '!$E$1:$N$300,MATCH(F$1,'UPD Questions_290926 '!$E$1:$N$1,0),0)&amp;"")</f>
        <v>Do the DCRs provide development controls, standards or incentives that enable the conservation and adaptive reuse of heritage buildings, precincts or historic areas?</v>
      </c>
      <c r="G96" s="80" t="str">
        <f aca="false">IF(ISBLANK($A96),"NO_CODE",VLOOKUP($A96,'UPD Questions_290926 '!$E$1:$N$300,MATCH(G$1,'UPD Questions_290926 '!$E$1:$N$1,0),0)&amp;"")</f>
        <v>Law or Policy</v>
      </c>
      <c r="H96" s="82" t="n">
        <f aca="false">IF(ISBLANK($A96),"NO_CODE",VLOOKUP($A96,'UPD Questions_290926 '!$E$1:$N$300,MATCH(H$1,'UPD Questions_290926 '!$E$1:$N$1,0),0))</f>
        <v>2</v>
      </c>
      <c r="I96" s="83" t="str">
        <f aca="true">IF($H96=0,"NA",IF($A96=INDIRECT("'"&amp;$A96&amp;"'!$B$1"),IF(VLOOKUP(I$1,INDIRECT("'"&amp;$A96&amp;"'!$A$12:$Z$41"),MATCH("Points (Auto-generate)",INDIRECT("'"&amp;$A96&amp;"'!$A$12:$Z$12"),0),0)="","?",VLOOKUP(I$1,INDIRECT("'"&amp;$A96&amp;"'!$A$12:$Z$41"),MATCH("Points (Auto-generate)",INDIRECT("'"&amp;$A96&amp;"'!$A$12:$Z$12"),0),0)),"ER"))</f>
        <v>?</v>
      </c>
      <c r="J96" s="83" t="n">
        <f aca="true">IF($H96=0,"NA",IF($A96=INDIRECT("'"&amp;$A96&amp;"'!$B$1"),IF(VLOOKUP(J$1,INDIRECT("'"&amp;$A96&amp;"'!$A$12:$Z$41"),MATCH("Points (Auto-generate)",INDIRECT("'"&amp;$A96&amp;"'!$A$12:$Z$12"),0),0)="","?",VLOOKUP(J$1,INDIRECT("'"&amp;$A96&amp;"'!$A$12:$Z$41"),MATCH("Points (Auto-generate)",INDIRECT("'"&amp;$A96&amp;"'!$A$12:$Z$12"),0),0)),"ER"))</f>
        <v>0</v>
      </c>
      <c r="K96" s="83" t="str">
        <f aca="true">IF($H96=0,"NA",IF($A96=INDIRECT("'"&amp;$A96&amp;"'!$B$1"),IF(VLOOKUP(K$1,INDIRECT("'"&amp;$A96&amp;"'!$A$12:$Z$41"),MATCH("Points (Auto-generate)",INDIRECT("'"&amp;$A96&amp;"'!$A$12:$Z$12"),0),0)="","?",VLOOKUP(K$1,INDIRECT("'"&amp;$A96&amp;"'!$A$12:$Z$41"),MATCH("Points (Auto-generate)",INDIRECT("'"&amp;$A96&amp;"'!$A$12:$Z$12"),0),0)),"ER"))</f>
        <v>?</v>
      </c>
      <c r="L96" s="83" t="str">
        <f aca="true">IF($H96=0,"NA",IF($A96=INDIRECT("'"&amp;$A96&amp;"'!$B$1"),IF(VLOOKUP(L$1,INDIRECT("'"&amp;$A96&amp;"'!$A$12:$Z$41"),MATCH("Points (Auto-generate)",INDIRECT("'"&amp;$A96&amp;"'!$A$12:$Z$12"),0),0)="","?",VLOOKUP(L$1,INDIRECT("'"&amp;$A96&amp;"'!$A$12:$Z$41"),MATCH("Points (Auto-generate)",INDIRECT("'"&amp;$A96&amp;"'!$A$12:$Z$12"),0),0)),"ER"))</f>
        <v>?</v>
      </c>
      <c r="M96" s="83" t="str">
        <f aca="true">IF($H96=0,"NA",IF($A96=INDIRECT("'"&amp;$A96&amp;"'!$B$1"),IF(VLOOKUP(M$1,INDIRECT("'"&amp;$A96&amp;"'!$A$12:$Z$41"),MATCH("Points (Auto-generate)",INDIRECT("'"&amp;$A96&amp;"'!$A$12:$Z$12"),0),0)="","?",VLOOKUP(M$1,INDIRECT("'"&amp;$A96&amp;"'!$A$12:$Z$41"),MATCH("Points (Auto-generate)",INDIRECT("'"&amp;$A96&amp;"'!$A$12:$Z$12"),0),0)),"ER"))</f>
        <v>?</v>
      </c>
      <c r="N96" s="83" t="str">
        <f aca="true">IF($H96=0,"NA",IF($A96=INDIRECT("'"&amp;$A96&amp;"'!$B$1"),IF(VLOOKUP(N$1,INDIRECT("'"&amp;$A96&amp;"'!$A$12:$Z$41"),MATCH("Points (Auto-generate)",INDIRECT("'"&amp;$A96&amp;"'!$A$12:$Z$12"),0),0)="","?",VLOOKUP(N$1,INDIRECT("'"&amp;$A96&amp;"'!$A$12:$Z$41"),MATCH("Points (Auto-generate)",INDIRECT("'"&amp;$A96&amp;"'!$A$12:$Z$12"),0),0)),"ER"))</f>
        <v>?</v>
      </c>
      <c r="O96" s="83" t="str">
        <f aca="true">IF($H96=0,"NA",IF($A96=INDIRECT("'"&amp;$A96&amp;"'!$B$1"),IF(VLOOKUP(O$1,INDIRECT("'"&amp;$A96&amp;"'!$A$12:$Z$41"),MATCH("Points (Auto-generate)",INDIRECT("'"&amp;$A96&amp;"'!$A$12:$Z$12"),0),0)="","?",VLOOKUP(O$1,INDIRECT("'"&amp;$A96&amp;"'!$A$12:$Z$41"),MATCH("Points (Auto-generate)",INDIRECT("'"&amp;$A96&amp;"'!$A$12:$Z$12"),0),0)),"ER"))</f>
        <v>?</v>
      </c>
      <c r="P96" s="83" t="str">
        <f aca="true">IF($H96=0,"NA",IF($A96=INDIRECT("'"&amp;$A96&amp;"'!$B$1"),IF(VLOOKUP(P$1,INDIRECT("'"&amp;$A96&amp;"'!$A$12:$Z$41"),MATCH("Points (Auto-generate)",INDIRECT("'"&amp;$A96&amp;"'!$A$12:$Z$12"),0),0)="","?",VLOOKUP(P$1,INDIRECT("'"&amp;$A96&amp;"'!$A$12:$Z$41"),MATCH("Points (Auto-generate)",INDIRECT("'"&amp;$A96&amp;"'!$A$12:$Z$12"),0),0)),"ER"))</f>
        <v>?</v>
      </c>
      <c r="Q96" s="83" t="str">
        <f aca="true">IF($H96=0,"NA",IF($A96=INDIRECT("'"&amp;$A96&amp;"'!$B$1"),IF(VLOOKUP(Q$1,INDIRECT("'"&amp;$A96&amp;"'!$A$12:$Z$41"),MATCH("Points (Auto-generate)",INDIRECT("'"&amp;$A96&amp;"'!$A$12:$Z$12"),0),0)="","?",VLOOKUP(Q$1,INDIRECT("'"&amp;$A96&amp;"'!$A$12:$Z$41"),MATCH("Points (Auto-generate)",INDIRECT("'"&amp;$A96&amp;"'!$A$12:$Z$12"),0),0)),"ER"))</f>
        <v>?</v>
      </c>
      <c r="R96" s="83" t="str">
        <f aca="true">IF($H96=0,"NA",IF($A96=INDIRECT("'"&amp;$A96&amp;"'!$B$1"),IF(VLOOKUP(R$1,INDIRECT("'"&amp;$A96&amp;"'!$A$12:$Z$41"),MATCH("Points (Auto-generate)",INDIRECT("'"&amp;$A96&amp;"'!$A$12:$Z$12"),0),0)="","?",VLOOKUP(R$1,INDIRECT("'"&amp;$A96&amp;"'!$A$12:$Z$41"),MATCH("Points (Auto-generate)",INDIRECT("'"&amp;$A96&amp;"'!$A$12:$Z$12"),0),0)),"ER"))</f>
        <v>?</v>
      </c>
      <c r="S96" s="83" t="str">
        <f aca="true">IF($H96=0,"NA",IF($A96=INDIRECT("'"&amp;$A96&amp;"'!$B$1"),IF(VLOOKUP(S$1,INDIRECT("'"&amp;$A96&amp;"'!$A$12:$Z$41"),MATCH("Points (Auto-generate)",INDIRECT("'"&amp;$A96&amp;"'!$A$12:$Z$12"),0),0)="","?",VLOOKUP(S$1,INDIRECT("'"&amp;$A96&amp;"'!$A$12:$Z$41"),MATCH("Points (Auto-generate)",INDIRECT("'"&amp;$A96&amp;"'!$A$12:$Z$12"),0),0)),"ER"))</f>
        <v>?</v>
      </c>
      <c r="T96" s="83" t="str">
        <f aca="true">IF($H96=0,"NA",IF($A96=INDIRECT("'"&amp;$A96&amp;"'!$B$1"),IF(VLOOKUP(T$1,INDIRECT("'"&amp;$A96&amp;"'!$A$12:$Z$41"),MATCH("Points (Auto-generate)",INDIRECT("'"&amp;$A96&amp;"'!$A$12:$Z$12"),0),0)="","?",VLOOKUP(T$1,INDIRECT("'"&amp;$A96&amp;"'!$A$12:$Z$41"),MATCH("Points (Auto-generate)",INDIRECT("'"&amp;$A96&amp;"'!$A$12:$Z$12"),0),0)),"ER"))</f>
        <v>?</v>
      </c>
      <c r="U96" s="83" t="str">
        <f aca="true">IF($H96=0,"NA",IF($A96=INDIRECT("'"&amp;$A96&amp;"'!$B$1"),IF(VLOOKUP(U$1,INDIRECT("'"&amp;$A96&amp;"'!$A$12:$Z$41"),MATCH("Points (Auto-generate)",INDIRECT("'"&amp;$A96&amp;"'!$A$12:$Z$12"),0),0)="","?",VLOOKUP(U$1,INDIRECT("'"&amp;$A96&amp;"'!$A$12:$Z$41"),MATCH("Points (Auto-generate)",INDIRECT("'"&amp;$A96&amp;"'!$A$12:$Z$12"),0),0)),"ER"))</f>
        <v>?</v>
      </c>
      <c r="V96" s="83" t="str">
        <f aca="true">IF($H96=0,"NA",IF($A96=INDIRECT("'"&amp;$A96&amp;"'!$B$1"),IF(VLOOKUP(V$1,INDIRECT("'"&amp;$A96&amp;"'!$A$12:$Z$41"),MATCH("Points (Auto-generate)",INDIRECT("'"&amp;$A96&amp;"'!$A$12:$Z$12"),0),0)="","?",VLOOKUP(V$1,INDIRECT("'"&amp;$A96&amp;"'!$A$12:$Z$41"),MATCH("Points (Auto-generate)",INDIRECT("'"&amp;$A96&amp;"'!$A$12:$Z$12"),0),0)),"ER"))</f>
        <v>?</v>
      </c>
      <c r="W96" s="83" t="str">
        <f aca="true">IF($H96=0,"NA",IF($A96=INDIRECT("'"&amp;$A96&amp;"'!$B$1"),IF(VLOOKUP(W$1,INDIRECT("'"&amp;$A96&amp;"'!$A$12:$Z$41"),MATCH("Points (Auto-generate)",INDIRECT("'"&amp;$A96&amp;"'!$A$12:$Z$12"),0),0)="","?",VLOOKUP(W$1,INDIRECT("'"&amp;$A96&amp;"'!$A$12:$Z$41"),MATCH("Points (Auto-generate)",INDIRECT("'"&amp;$A96&amp;"'!$A$12:$Z$12"),0),0)),"ER"))</f>
        <v>?</v>
      </c>
      <c r="X96" s="83" t="str">
        <f aca="true">IF($H96=0,"NA",IF($A96=INDIRECT("'"&amp;$A96&amp;"'!$B$1"),IF(VLOOKUP(X$1,INDIRECT("'"&amp;$A96&amp;"'!$A$12:$Z$41"),MATCH("Points (Auto-generate)",INDIRECT("'"&amp;$A96&amp;"'!$A$12:$Z$12"),0),0)="","?",VLOOKUP(X$1,INDIRECT("'"&amp;$A96&amp;"'!$A$12:$Z$41"),MATCH("Points (Auto-generate)",INDIRECT("'"&amp;$A96&amp;"'!$A$12:$Z$12"),0),0)),"ER"))</f>
        <v>?</v>
      </c>
      <c r="Y96" s="83" t="str">
        <f aca="true">IF($H96=0,"NA",IF($A96=INDIRECT("'"&amp;$A96&amp;"'!$B$1"),IF(VLOOKUP(Y$1,INDIRECT("'"&amp;$A96&amp;"'!$A$12:$Z$41"),MATCH("Points (Auto-generate)",INDIRECT("'"&amp;$A96&amp;"'!$A$12:$Z$12"),0),0)="","?",VLOOKUP(Y$1,INDIRECT("'"&amp;$A96&amp;"'!$A$12:$Z$41"),MATCH("Points (Auto-generate)",INDIRECT("'"&amp;$A96&amp;"'!$A$12:$Z$12"),0),0)),"ER"))</f>
        <v>?</v>
      </c>
      <c r="Z96" s="83" t="str">
        <f aca="true">IF($H96=0,"NA",IF($A96=INDIRECT("'"&amp;$A96&amp;"'!$B$1"),IF(VLOOKUP(Z$1,INDIRECT("'"&amp;$A96&amp;"'!$A$12:$Z$41"),MATCH("Points (Auto-generate)",INDIRECT("'"&amp;$A96&amp;"'!$A$12:$Z$12"),0),0)="","?",VLOOKUP(Z$1,INDIRECT("'"&amp;$A96&amp;"'!$A$12:$Z$41"),MATCH("Points (Auto-generate)",INDIRECT("'"&amp;$A96&amp;"'!$A$12:$Z$12"),0),0)),"ER"))</f>
        <v>?</v>
      </c>
      <c r="AA96" s="83" t="str">
        <f aca="true">IF($H96=0,"NA",IF($A96=INDIRECT("'"&amp;$A96&amp;"'!$B$1"),IF(VLOOKUP(AA$1,INDIRECT("'"&amp;$A96&amp;"'!$A$12:$Z$41"),MATCH("Points (Auto-generate)",INDIRECT("'"&amp;$A96&amp;"'!$A$12:$Z$12"),0),0)="","?",VLOOKUP(AA$1,INDIRECT("'"&amp;$A96&amp;"'!$A$12:$Z$41"),MATCH("Points (Auto-generate)",INDIRECT("'"&amp;$A96&amp;"'!$A$12:$Z$12"),0),0)),"ER"))</f>
        <v>?</v>
      </c>
      <c r="AB96" s="83" t="str">
        <f aca="true">IF($H96=0,"NA",IF($A96=INDIRECT("'"&amp;$A96&amp;"'!$B$1"),IF(VLOOKUP(AB$1,INDIRECT("'"&amp;$A96&amp;"'!$A$12:$Z$41"),MATCH("Points (Auto-generate)",INDIRECT("'"&amp;$A96&amp;"'!$A$12:$Z$12"),0),0)="","?",VLOOKUP(AB$1,INDIRECT("'"&amp;$A96&amp;"'!$A$12:$Z$41"),MATCH("Points (Auto-generate)",INDIRECT("'"&amp;$A96&amp;"'!$A$12:$Z$12"),0),0)),"ER"))</f>
        <v>?</v>
      </c>
      <c r="AC96" s="83" t="str">
        <f aca="true">IF($H96=0,"NA",IF($A96=INDIRECT("'"&amp;$A96&amp;"'!$B$1"),IF(VLOOKUP(AC$1,INDIRECT("'"&amp;$A96&amp;"'!$A$12:$Z$41"),MATCH("Points (Auto-generate)",INDIRECT("'"&amp;$A96&amp;"'!$A$12:$Z$12"),0),0)="","?",VLOOKUP(AC$1,INDIRECT("'"&amp;$A96&amp;"'!$A$12:$Z$41"),MATCH("Points (Auto-generate)",INDIRECT("'"&amp;$A96&amp;"'!$A$12:$Z$12"),0),0)),"ER"))</f>
        <v>?</v>
      </c>
      <c r="AD96" s="83" t="str">
        <f aca="true">IF($H96=0,"NA",IF($A96=INDIRECT("'"&amp;$A96&amp;"'!$B$1"),IF(VLOOKUP(AD$1,INDIRECT("'"&amp;$A96&amp;"'!$A$12:$Z$41"),MATCH("Points (Auto-generate)",INDIRECT("'"&amp;$A96&amp;"'!$A$12:$Z$12"),0),0)="","?",VLOOKUP(AD$1,INDIRECT("'"&amp;$A96&amp;"'!$A$12:$Z$41"),MATCH("Points (Auto-generate)",INDIRECT("'"&amp;$A96&amp;"'!$A$12:$Z$12"),0),0)),"ER"))</f>
        <v>?</v>
      </c>
      <c r="AE96" s="83" t="str">
        <f aca="true">IF($H96=0,"NA",IF($A96=INDIRECT("'"&amp;$A96&amp;"'!$B$1"),IF(VLOOKUP(AE$1,INDIRECT("'"&amp;$A96&amp;"'!$A$12:$Z$41"),MATCH("Points (Auto-generate)",INDIRECT("'"&amp;$A96&amp;"'!$A$12:$Z$12"),0),0)="","?",VLOOKUP(AE$1,INDIRECT("'"&amp;$A96&amp;"'!$A$12:$Z$41"),MATCH("Points (Auto-generate)",INDIRECT("'"&amp;$A96&amp;"'!$A$12:$Z$12"),0),0)),"ER"))</f>
        <v>?</v>
      </c>
      <c r="AF96" s="83" t="str">
        <f aca="true">IF($H96=0,"NA",IF($A96=INDIRECT("'"&amp;$A96&amp;"'!$B$1"),IF(VLOOKUP(AF$1,INDIRECT("'"&amp;$A96&amp;"'!$A$12:$Z$41"),MATCH("Points (Auto-generate)",INDIRECT("'"&amp;$A96&amp;"'!$A$12:$Z$12"),0),0)="","?",VLOOKUP(AF$1,INDIRECT("'"&amp;$A96&amp;"'!$A$12:$Z$41"),MATCH("Points (Auto-generate)",INDIRECT("'"&amp;$A96&amp;"'!$A$12:$Z$12"),0),0)),"ER"))</f>
        <v>?</v>
      </c>
      <c r="AG96" s="83" t="str">
        <f aca="true">IF($H96=0,"NA",IF($A96=INDIRECT("'"&amp;$A96&amp;"'!$B$1"),IF(VLOOKUP(AG$1,INDIRECT("'"&amp;$A96&amp;"'!$A$12:$Z$41"),MATCH("Points (Auto-generate)",INDIRECT("'"&amp;$A96&amp;"'!$A$12:$Z$12"),0),0)="","?",VLOOKUP(AG$1,INDIRECT("'"&amp;$A96&amp;"'!$A$12:$Z$41"),MATCH("Points (Auto-generate)",INDIRECT("'"&amp;$A96&amp;"'!$A$12:$Z$12"),0),0)),"ER"))</f>
        <v>?</v>
      </c>
      <c r="AH96" s="83" t="str">
        <f aca="true">IF($H96=0,"NA",IF($A96=INDIRECT("'"&amp;$A96&amp;"'!$B$1"),IF(VLOOKUP(AH$1,INDIRECT("'"&amp;$A96&amp;"'!$A$12:$Z$41"),MATCH("Points (Auto-generate)",INDIRECT("'"&amp;$A96&amp;"'!$A$12:$Z$12"),0),0)="","?",VLOOKUP(AH$1,INDIRECT("'"&amp;$A96&amp;"'!$A$12:$Z$41"),MATCH("Points (Auto-generate)",INDIRECT("'"&amp;$A96&amp;"'!$A$12:$Z$12"),0),0)),"ER"))</f>
        <v>?</v>
      </c>
      <c r="AI96" s="83" t="str">
        <f aca="true">IF($H96=0,"NA",IF($A96=INDIRECT("'"&amp;$A96&amp;"'!$B$1"),IF(VLOOKUP(AI$1,INDIRECT("'"&amp;$A96&amp;"'!$A$12:$Z$41"),MATCH("Points (Auto-generate)",INDIRECT("'"&amp;$A96&amp;"'!$A$12:$Z$12"),0),0)="","?",VLOOKUP(AI$1,INDIRECT("'"&amp;$A96&amp;"'!$A$12:$Z$41"),MATCH("Points (Auto-generate)",INDIRECT("'"&amp;$A96&amp;"'!$A$12:$Z$12"),0),0)),"ER"))</f>
        <v>?</v>
      </c>
      <c r="AJ96" s="83" t="str">
        <f aca="true">IF($H96=0,"NA",IF($A96=INDIRECT("'"&amp;$A96&amp;"'!$B$1"),IF(VLOOKUP(AJ$1,INDIRECT("'"&amp;$A96&amp;"'!$A$12:$Z$41"),MATCH("Points (Auto-generate)",INDIRECT("'"&amp;$A96&amp;"'!$A$12:$Z$12"),0),0)="","?",VLOOKUP(AJ$1,INDIRECT("'"&amp;$A96&amp;"'!$A$12:$Z$41"),MATCH("Points (Auto-generate)",INDIRECT("'"&amp;$A96&amp;"'!$A$12:$Z$12"),0),0)),"ER"))</f>
        <v>?</v>
      </c>
      <c r="AK96" s="83" t="str">
        <f aca="true">IF($H96=0,"NA",IF($A96=INDIRECT("'"&amp;$A96&amp;"'!$B$1"),IF(VLOOKUP(AK$1,INDIRECT("'"&amp;$A96&amp;"'!$A$12:$Z$41"),MATCH("Points (Auto-generate)",INDIRECT("'"&amp;$A96&amp;"'!$A$12:$Z$12"),0),0)="","?",VLOOKUP(AK$1,INDIRECT("'"&amp;$A96&amp;"'!$A$12:$Z$41"),MATCH("Points (Auto-generate)",INDIRECT("'"&amp;$A96&amp;"'!$A$12:$Z$12"),0),0)),"ER"))</f>
        <v>?</v>
      </c>
    </row>
    <row r="97" customFormat="false" ht="14.25" hidden="false" customHeight="false" outlineLevel="0" collapsed="false">
      <c r="A97" s="79" t="s">
        <v>496</v>
      </c>
      <c r="B97" s="80" t="str">
        <f aca="false">IF(ISBLANK($A97),"NO_CODE",VLOOKUP($A97,'UPD Questions_290926 '!$E$1:$N$300,MATCH(B$1,'UPD Questions_290926 '!$E$1:$N$1,0),0)&amp;"")</f>
        <v>Implementation</v>
      </c>
      <c r="C97" s="80" t="str">
        <f aca="false">IF(ISBLANK($A97),"NO_CODE",VLOOKUP($A97,'UPD Questions_290926 '!$E$1:$N$300,MATCH(C$1,'UPD Questions_290926 '!$E$1:$N$1,0),0)&amp;"")</f>
        <v>Development Control Regulations and land-management instruments</v>
      </c>
      <c r="D97" s="80" t="str">
        <f aca="false">IF(ISBLANK($A97),"NO_CODE",VLOOKUP($A97,'UPD Questions_290926 '!$E$1:$N$300,MATCH(D$1,'UPD Questions_290926 '!$E$1:$N$1,0),0)&amp;"")</f>
        <v>Green-building incentives</v>
      </c>
      <c r="E97" s="80" t="str">
        <f aca="false">IF(ISBLANK($A97),"NO_CODE",VLOOKUP($A97,'UPD Questions_290926 '!$E$1:$N$300,MATCH(E$1,'UPD Questions_290926 '!$E$1:$N$1,0),0)&amp;"")</f>
        <v>MQ</v>
      </c>
      <c r="F97" s="80" t="str">
        <f aca="false">IF(ISBLANK($A97),"NO_CODE",VLOOKUP($A97,'UPD Questions_290926 '!$E$1:$N$300,MATCH(F$1,'UPD Questions_290926 '!$E$1:$N$1,0),0)&amp;"")</f>
        <v>Does the city have a mandate to provide incentives for green buildings, and are these incentives operationalised?</v>
      </c>
      <c r="G97" s="80" t="str">
        <f aca="false">IF(ISBLANK($A97),"NO_CODE",VLOOKUP($A97,'UPD Questions_290926 '!$E$1:$N$300,MATCH(G$1,'UPD Questions_290926 '!$E$1:$N$1,0),0)&amp;"")</f>
        <v>Law or Policy &amp; Implementation</v>
      </c>
      <c r="H97" s="82" t="n">
        <f aca="false">IF(ISBLANK($A97),"NO_CODE",VLOOKUP($A97,'UPD Questions_290926 '!$E$1:$N$300,MATCH(H$1,'UPD Questions_290926 '!$E$1:$N$1,0),0))</f>
        <v>10</v>
      </c>
      <c r="I97" s="83" t="str">
        <f aca="false">IF(OR(I98="ER",I99="ER"),"ER",IF(OR(I98="?",I99="?"),"?",IF(AND(I98="NA",I99="NA"),"NA",SUM(I98,I99)/((I98&lt;&gt;"NA")*$H$98+(I99&lt;&gt;"NA")*$H$99)*$H97)))</f>
        <v>?</v>
      </c>
      <c r="J97" s="83" t="str">
        <f aca="false">IF(OR(J98="ER",J99="ER"),"ER",IF(OR(J98="?",J99="?"),"?",IF(AND(J98="NA",J99="NA"),"NA",SUM(J98,J99)/((J98&lt;&gt;"NA")*$H$98+(J99&lt;&gt;"NA")*$H$99)*$H97)))</f>
        <v>?</v>
      </c>
      <c r="K97" s="83" t="str">
        <f aca="false">IF(OR(K98="ER",K99="ER"),"ER",IF(OR(K98="?",K99="?"),"?",IF(AND(K98="NA",K99="NA"),"NA",SUM(K98,K99)/((K98&lt;&gt;"NA")*$H$98+(K99&lt;&gt;"NA")*$H$99)*$H97)))</f>
        <v>?</v>
      </c>
      <c r="L97" s="83" t="str">
        <f aca="false">IF(OR(L98="ER",L99="ER"),"ER",IF(OR(L98="?",L99="?"),"?",IF(AND(L98="NA",L99="NA"),"NA",SUM(L98,L99)/((L98&lt;&gt;"NA")*$H$98+(L99&lt;&gt;"NA")*$H$99)*$H97)))</f>
        <v>?</v>
      </c>
      <c r="M97" s="83" t="str">
        <f aca="false">IF(OR(M98="ER",M99="ER"),"ER",IF(OR(M98="?",M99="?"),"?",IF(AND(M98="NA",M99="NA"),"NA",SUM(M98,M99)/((M98&lt;&gt;"NA")*$H$98+(M99&lt;&gt;"NA")*$H$99)*$H97)))</f>
        <v>?</v>
      </c>
      <c r="N97" s="83" t="str">
        <f aca="false">IF(OR(N98="ER",N99="ER"),"ER",IF(OR(N98="?",N99="?"),"?",IF(AND(N98="NA",N99="NA"),"NA",SUM(N98,N99)/((N98&lt;&gt;"NA")*$H$98+(N99&lt;&gt;"NA")*$H$99)*$H97)))</f>
        <v>?</v>
      </c>
      <c r="O97" s="83" t="str">
        <f aca="false">IF(OR(O98="ER",O99="ER"),"ER",IF(OR(O98="?",O99="?"),"?",IF(AND(O98="NA",O99="NA"),"NA",SUM(O98,O99)/((O98&lt;&gt;"NA")*$H$98+(O99&lt;&gt;"NA")*$H$99)*$H97)))</f>
        <v>?</v>
      </c>
      <c r="P97" s="83" t="str">
        <f aca="false">IF(OR(P98="ER",P99="ER"),"ER",IF(OR(P98="?",P99="?"),"?",IF(AND(P98="NA",P99="NA"),"NA",SUM(P98,P99)/((P98&lt;&gt;"NA")*$H$98+(P99&lt;&gt;"NA")*$H$99)*$H97)))</f>
        <v>?</v>
      </c>
      <c r="Q97" s="83" t="str">
        <f aca="false">IF(OR(Q98="ER",Q99="ER"),"ER",IF(OR(Q98="?",Q99="?"),"?",IF(AND(Q98="NA",Q99="NA"),"NA",SUM(Q98,Q99)/((Q98&lt;&gt;"NA")*$H$98+(Q99&lt;&gt;"NA")*$H$99)*$H97)))</f>
        <v>?</v>
      </c>
      <c r="R97" s="83" t="str">
        <f aca="false">IF(OR(R98="ER",R99="ER"),"ER",IF(OR(R98="?",R99="?"),"?",IF(AND(R98="NA",R99="NA"),"NA",SUM(R98,R99)/((R98&lt;&gt;"NA")*$H$98+(R99&lt;&gt;"NA")*$H$99)*$H97)))</f>
        <v>?</v>
      </c>
      <c r="S97" s="83" t="str">
        <f aca="false">IF(OR(S98="ER",S99="ER"),"ER",IF(OR(S98="?",S99="?"),"?",IF(AND(S98="NA",S99="NA"),"NA",SUM(S98,S99)/((S98&lt;&gt;"NA")*$H$98+(S99&lt;&gt;"NA")*$H$99)*$H97)))</f>
        <v>?</v>
      </c>
      <c r="T97" s="83" t="str">
        <f aca="false">IF(OR(T98="ER",T99="ER"),"ER",IF(OR(T98="?",T99="?"),"?",IF(AND(T98="NA",T99="NA"),"NA",SUM(T98,T99)/((T98&lt;&gt;"NA")*$H$98+(T99&lt;&gt;"NA")*$H$99)*$H97)))</f>
        <v>?</v>
      </c>
      <c r="U97" s="83" t="str">
        <f aca="false">IF(OR(U98="ER",U99="ER"),"ER",IF(OR(U98="?",U99="?"),"?",IF(AND(U98="NA",U99="NA"),"NA",SUM(U98,U99)/((U98&lt;&gt;"NA")*$H$98+(U99&lt;&gt;"NA")*$H$99)*$H97)))</f>
        <v>?</v>
      </c>
      <c r="V97" s="83" t="str">
        <f aca="false">IF(OR(V98="ER",V99="ER"),"ER",IF(OR(V98="?",V99="?"),"?",IF(AND(V98="NA",V99="NA"),"NA",SUM(V98,V99)/((V98&lt;&gt;"NA")*$H$98+(V99&lt;&gt;"NA")*$H$99)*$H97)))</f>
        <v>?</v>
      </c>
      <c r="W97" s="83" t="str">
        <f aca="false">IF(OR(W98="ER",W99="ER"),"ER",IF(OR(W98="?",W99="?"),"?",IF(AND(W98="NA",W99="NA"),"NA",SUM(W98,W99)/((W98&lt;&gt;"NA")*$H$98+(W99&lt;&gt;"NA")*$H$99)*$H97)))</f>
        <v>?</v>
      </c>
      <c r="X97" s="83" t="str">
        <f aca="false">IF(OR(X98="ER",X99="ER"),"ER",IF(OR(X98="?",X99="?"),"?",IF(AND(X98="NA",X99="NA"),"NA",SUM(X98,X99)/((X98&lt;&gt;"NA")*$H$98+(X99&lt;&gt;"NA")*$H$99)*$H97)))</f>
        <v>?</v>
      </c>
      <c r="Y97" s="83" t="str">
        <f aca="false">IF(OR(Y98="ER",Y99="ER"),"ER",IF(OR(Y98="?",Y99="?"),"?",IF(AND(Y98="NA",Y99="NA"),"NA",SUM(Y98,Y99)/((Y98&lt;&gt;"NA")*$H$98+(Y99&lt;&gt;"NA")*$H$99)*$H97)))</f>
        <v>?</v>
      </c>
      <c r="Z97" s="83" t="str">
        <f aca="false">IF(OR(Z98="ER",Z99="ER"),"ER",IF(OR(Z98="?",Z99="?"),"?",IF(AND(Z98="NA",Z99="NA"),"NA",SUM(Z98,Z99)/((Z98&lt;&gt;"NA")*$H$98+(Z99&lt;&gt;"NA")*$H$99)*$H97)))</f>
        <v>?</v>
      </c>
      <c r="AA97" s="83" t="str">
        <f aca="false">IF(OR(AA98="ER",AA99="ER"),"ER",IF(OR(AA98="?",AA99="?"),"?",IF(AND(AA98="NA",AA99="NA"),"NA",SUM(AA98,AA99)/((AA98&lt;&gt;"NA")*$H$98+(AA99&lt;&gt;"NA")*$H$99)*$H97)))</f>
        <v>?</v>
      </c>
      <c r="AB97" s="83" t="str">
        <f aca="false">IF(OR(AB98="ER",AB99="ER"),"ER",IF(OR(AB98="?",AB99="?"),"?",IF(AND(AB98="NA",AB99="NA"),"NA",SUM(AB98,AB99)/((AB98&lt;&gt;"NA")*$H$98+(AB99&lt;&gt;"NA")*$H$99)*$H97)))</f>
        <v>?</v>
      </c>
      <c r="AC97" s="83" t="str">
        <f aca="false">IF(OR(AC98="ER",AC99="ER"),"ER",IF(OR(AC98="?",AC99="?"),"?",IF(AND(AC98="NA",AC99="NA"),"NA",SUM(AC98,AC99)/((AC98&lt;&gt;"NA")*$H$98+(AC99&lt;&gt;"NA")*$H$99)*$H97)))</f>
        <v>?</v>
      </c>
      <c r="AD97" s="83" t="str">
        <f aca="false">IF(OR(AD98="ER",AD99="ER"),"ER",IF(OR(AD98="?",AD99="?"),"?",IF(AND(AD98="NA",AD99="NA"),"NA",SUM(AD98,AD99)/((AD98&lt;&gt;"NA")*$H$98+(AD99&lt;&gt;"NA")*$H$99)*$H97)))</f>
        <v>?</v>
      </c>
      <c r="AE97" s="83" t="str">
        <f aca="false">IF(OR(AE98="ER",AE99="ER"),"ER",IF(OR(AE98="?",AE99="?"),"?",IF(AND(AE98="NA",AE99="NA"),"NA",SUM(AE98,AE99)/((AE98&lt;&gt;"NA")*$H$98+(AE99&lt;&gt;"NA")*$H$99)*$H97)))</f>
        <v>?</v>
      </c>
      <c r="AF97" s="83" t="str">
        <f aca="false">IF(OR(AF98="ER",AF99="ER"),"ER",IF(OR(AF98="?",AF99="?"),"?",IF(AND(AF98="NA",AF99="NA"),"NA",SUM(AF98,AF99)/((AF98&lt;&gt;"NA")*$H$98+(AF99&lt;&gt;"NA")*$H$99)*$H97)))</f>
        <v>?</v>
      </c>
      <c r="AG97" s="83" t="str">
        <f aca="false">IF(OR(AG98="ER",AG99="ER"),"ER",IF(OR(AG98="?",AG99="?"),"?",IF(AND(AG98="NA",AG99="NA"),"NA",SUM(AG98,AG99)/((AG98&lt;&gt;"NA")*$H$98+(AG99&lt;&gt;"NA")*$H$99)*$H97)))</f>
        <v>?</v>
      </c>
      <c r="AH97" s="83" t="str">
        <f aca="false">IF(OR(AH98="ER",AH99="ER"),"ER",IF(OR(AH98="?",AH99="?"),"?",IF(AND(AH98="NA",AH99="NA"),"NA",SUM(AH98,AH99)/((AH98&lt;&gt;"NA")*$H$98+(AH99&lt;&gt;"NA")*$H$99)*$H97)))</f>
        <v>?</v>
      </c>
      <c r="AI97" s="83" t="str">
        <f aca="false">IF(OR(AI98="ER",AI99="ER"),"ER",IF(OR(AI98="?",AI99="?"),"?",IF(AND(AI98="NA",AI99="NA"),"NA",SUM(AI98,AI99)/((AI98&lt;&gt;"NA")*$H$98+(AI99&lt;&gt;"NA")*$H$99)*$H97)))</f>
        <v>?</v>
      </c>
      <c r="AJ97" s="83" t="str">
        <f aca="false">IF(OR(AJ98="ER",AJ99="ER"),"ER",IF(OR(AJ98="?",AJ99="?"),"?",IF(AND(AJ98="NA",AJ99="NA"),"NA",SUM(AJ98,AJ99)/((AJ98&lt;&gt;"NA")*$H$98+(AJ99&lt;&gt;"NA")*$H$99)*$H97)))</f>
        <v>?</v>
      </c>
      <c r="AK97" s="83" t="str">
        <f aca="false">IF(OR(AK98="ER",AK99="ER"),"ER",IF(OR(AK98="?",AK99="?"),"?",IF(AND(AK98="NA",AK99="NA"),"NA",SUM(AK98,AK99)/((AK98&lt;&gt;"NA")*$H$98+(AK99&lt;&gt;"NA")*$H$99)*$H97)))</f>
        <v>?</v>
      </c>
    </row>
    <row r="98" customFormat="false" ht="14.25" hidden="false" customHeight="false" outlineLevel="0" collapsed="false">
      <c r="A98" s="79" t="s">
        <v>366</v>
      </c>
      <c r="B98" s="80" t="str">
        <f aca="false">IF(ISBLANK($A98),"NO_CODE",VLOOKUP($A98,'UPD Questions_290926 '!$E$1:$N$300,MATCH(B$1,'UPD Questions_290926 '!$E$1:$N$1,0),0)&amp;"")</f>
        <v>Implementation</v>
      </c>
      <c r="C98" s="80" t="str">
        <f aca="false">IF(ISBLANK($A98),"NO_CODE",VLOOKUP($A98,'UPD Questions_290926 '!$E$1:$N$300,MATCH(C$1,'UPD Questions_290926 '!$E$1:$N$1,0),0)&amp;"")</f>
        <v>Development Control Regulations and land-management instruments</v>
      </c>
      <c r="D98" s="80" t="str">
        <f aca="false">IF(ISBLANK($A98),"NO_CODE",VLOOKUP($A98,'UPD Questions_290926 '!$E$1:$N$300,MATCH(D$1,'UPD Questions_290926 '!$E$1:$N$1,0),0)&amp;"")</f>
        <v>Green-building incentives</v>
      </c>
      <c r="E98" s="80" t="str">
        <f aca="false">IF(ISBLANK($A98),"NO_CODE",VLOOKUP($A98,'UPD Questions_290926 '!$E$1:$N$300,MATCH(E$1,'UPD Questions_290926 '!$E$1:$N$1,0),0)&amp;"")</f>
        <v>SQ</v>
      </c>
      <c r="F98" s="80" t="str">
        <f aca="false">IF(ISBLANK($A98),"NO_CODE",VLOOKUP($A98,'UPD Questions_290926 '!$E$1:$N$300,MATCH(F$1,'UPD Questions_290926 '!$E$1:$N$1,0),0)&amp;"")</f>
        <v>Does the law mandate incentives for green buildings ?</v>
      </c>
      <c r="G98" s="80" t="str">
        <f aca="false">IF(ISBLANK($A98),"NO_CODE",VLOOKUP($A98,'UPD Questions_290926 '!$E$1:$N$300,MATCH(G$1,'UPD Questions_290926 '!$E$1:$N$1,0),0)&amp;"")</f>
        <v>Law or Policy</v>
      </c>
      <c r="H98" s="82" t="n">
        <f aca="false">IF(ISBLANK($A98),"NO_CODE",VLOOKUP($A98,'UPD Questions_290926 '!$E$1:$N$300,MATCH(H$1,'UPD Questions_290926 '!$E$1:$N$1,0),0))</f>
        <v>5</v>
      </c>
      <c r="I98" s="83" t="str">
        <f aca="true">IF($H98=0,"NA",IF($A98=INDIRECT("'"&amp;$A98&amp;"'!$B$1"),IF(VLOOKUP(I$1,INDIRECT("'"&amp;$A98&amp;"'!$A$12:$Z$41"),MATCH("Points (Auto-generate)",INDIRECT("'"&amp;$A98&amp;"'!$A$12:$Z$12"),0),0)="","?",VLOOKUP(I$1,INDIRECT("'"&amp;$A98&amp;"'!$A$12:$Z$41"),MATCH("Points (Auto-generate)",INDIRECT("'"&amp;$A98&amp;"'!$A$12:$Z$12"),0),0)),"ER"))</f>
        <v>?</v>
      </c>
      <c r="J98" s="83" t="str">
        <f aca="true">IF($H98=0,"NA",IF($A98=INDIRECT("'"&amp;$A98&amp;"'!$B$1"),IF(VLOOKUP(J$1,INDIRECT("'"&amp;$A98&amp;"'!$A$12:$Z$41"),MATCH("Points (Auto-generate)",INDIRECT("'"&amp;$A98&amp;"'!$A$12:$Z$12"),0),0)="","?",VLOOKUP(J$1,INDIRECT("'"&amp;$A98&amp;"'!$A$12:$Z$41"),MATCH("Points (Auto-generate)",INDIRECT("'"&amp;$A98&amp;"'!$A$12:$Z$12"),0),0)),"ER"))</f>
        <v>?</v>
      </c>
      <c r="K98" s="83" t="str">
        <f aca="true">IF($H98=0,"NA",IF($A98=INDIRECT("'"&amp;$A98&amp;"'!$B$1"),IF(VLOOKUP(K$1,INDIRECT("'"&amp;$A98&amp;"'!$A$12:$Z$41"),MATCH("Points (Auto-generate)",INDIRECT("'"&amp;$A98&amp;"'!$A$12:$Z$12"),0),0)="","?",VLOOKUP(K$1,INDIRECT("'"&amp;$A98&amp;"'!$A$12:$Z$41"),MATCH("Points (Auto-generate)",INDIRECT("'"&amp;$A98&amp;"'!$A$12:$Z$12"),0),0)),"ER"))</f>
        <v>?</v>
      </c>
      <c r="L98" s="83" t="str">
        <f aca="true">IF($H98=0,"NA",IF($A98=INDIRECT("'"&amp;$A98&amp;"'!$B$1"),IF(VLOOKUP(L$1,INDIRECT("'"&amp;$A98&amp;"'!$A$12:$Z$41"),MATCH("Points (Auto-generate)",INDIRECT("'"&amp;$A98&amp;"'!$A$12:$Z$12"),0),0)="","?",VLOOKUP(L$1,INDIRECT("'"&amp;$A98&amp;"'!$A$12:$Z$41"),MATCH("Points (Auto-generate)",INDIRECT("'"&amp;$A98&amp;"'!$A$12:$Z$12"),0),0)),"ER"))</f>
        <v>?</v>
      </c>
      <c r="M98" s="83" t="str">
        <f aca="true">IF($H98=0,"NA",IF($A98=INDIRECT("'"&amp;$A98&amp;"'!$B$1"),IF(VLOOKUP(M$1,INDIRECT("'"&amp;$A98&amp;"'!$A$12:$Z$41"),MATCH("Points (Auto-generate)",INDIRECT("'"&amp;$A98&amp;"'!$A$12:$Z$12"),0),0)="","?",VLOOKUP(M$1,INDIRECT("'"&amp;$A98&amp;"'!$A$12:$Z$41"),MATCH("Points (Auto-generate)",INDIRECT("'"&amp;$A98&amp;"'!$A$12:$Z$12"),0),0)),"ER"))</f>
        <v>?</v>
      </c>
      <c r="N98" s="83" t="str">
        <f aca="true">IF($H98=0,"NA",IF($A98=INDIRECT("'"&amp;$A98&amp;"'!$B$1"),IF(VLOOKUP(N$1,INDIRECT("'"&amp;$A98&amp;"'!$A$12:$Z$41"),MATCH("Points (Auto-generate)",INDIRECT("'"&amp;$A98&amp;"'!$A$12:$Z$12"),0),0)="","?",VLOOKUP(N$1,INDIRECT("'"&amp;$A98&amp;"'!$A$12:$Z$41"),MATCH("Points (Auto-generate)",INDIRECT("'"&amp;$A98&amp;"'!$A$12:$Z$12"),0),0)),"ER"))</f>
        <v>?</v>
      </c>
      <c r="O98" s="83" t="str">
        <f aca="true">IF($H98=0,"NA",IF($A98=INDIRECT("'"&amp;$A98&amp;"'!$B$1"),IF(VLOOKUP(O$1,INDIRECT("'"&amp;$A98&amp;"'!$A$12:$Z$41"),MATCH("Points (Auto-generate)",INDIRECT("'"&amp;$A98&amp;"'!$A$12:$Z$12"),0),0)="","?",VLOOKUP(O$1,INDIRECT("'"&amp;$A98&amp;"'!$A$12:$Z$41"),MATCH("Points (Auto-generate)",INDIRECT("'"&amp;$A98&amp;"'!$A$12:$Z$12"),0),0)),"ER"))</f>
        <v>?</v>
      </c>
      <c r="P98" s="83" t="str">
        <f aca="true">IF($H98=0,"NA",IF($A98=INDIRECT("'"&amp;$A98&amp;"'!$B$1"),IF(VLOOKUP(P$1,INDIRECT("'"&amp;$A98&amp;"'!$A$12:$Z$41"),MATCH("Points (Auto-generate)",INDIRECT("'"&amp;$A98&amp;"'!$A$12:$Z$12"),0),0)="","?",VLOOKUP(P$1,INDIRECT("'"&amp;$A98&amp;"'!$A$12:$Z$41"),MATCH("Points (Auto-generate)",INDIRECT("'"&amp;$A98&amp;"'!$A$12:$Z$12"),0),0)),"ER"))</f>
        <v>?</v>
      </c>
      <c r="Q98" s="83" t="str">
        <f aca="true">IF($H98=0,"NA",IF($A98=INDIRECT("'"&amp;$A98&amp;"'!$B$1"),IF(VLOOKUP(Q$1,INDIRECT("'"&amp;$A98&amp;"'!$A$12:$Z$41"),MATCH("Points (Auto-generate)",INDIRECT("'"&amp;$A98&amp;"'!$A$12:$Z$12"),0),0)="","?",VLOOKUP(Q$1,INDIRECT("'"&amp;$A98&amp;"'!$A$12:$Z$41"),MATCH("Points (Auto-generate)",INDIRECT("'"&amp;$A98&amp;"'!$A$12:$Z$12"),0),0)),"ER"))</f>
        <v>?</v>
      </c>
      <c r="R98" s="83" t="str">
        <f aca="true">IF($H98=0,"NA",IF($A98=INDIRECT("'"&amp;$A98&amp;"'!$B$1"),IF(VLOOKUP(R$1,INDIRECT("'"&amp;$A98&amp;"'!$A$12:$Z$41"),MATCH("Points (Auto-generate)",INDIRECT("'"&amp;$A98&amp;"'!$A$12:$Z$12"),0),0)="","?",VLOOKUP(R$1,INDIRECT("'"&amp;$A98&amp;"'!$A$12:$Z$41"),MATCH("Points (Auto-generate)",INDIRECT("'"&amp;$A98&amp;"'!$A$12:$Z$12"),0),0)),"ER"))</f>
        <v>?</v>
      </c>
      <c r="S98" s="83" t="str">
        <f aca="true">IF($H98=0,"NA",IF($A98=INDIRECT("'"&amp;$A98&amp;"'!$B$1"),IF(VLOOKUP(S$1,INDIRECT("'"&amp;$A98&amp;"'!$A$12:$Z$41"),MATCH("Points (Auto-generate)",INDIRECT("'"&amp;$A98&amp;"'!$A$12:$Z$12"),0),0)="","?",VLOOKUP(S$1,INDIRECT("'"&amp;$A98&amp;"'!$A$12:$Z$41"),MATCH("Points (Auto-generate)",INDIRECT("'"&amp;$A98&amp;"'!$A$12:$Z$12"),0),0)),"ER"))</f>
        <v>?</v>
      </c>
      <c r="T98" s="83" t="str">
        <f aca="true">IF($H98=0,"NA",IF($A98=INDIRECT("'"&amp;$A98&amp;"'!$B$1"),IF(VLOOKUP(T$1,INDIRECT("'"&amp;$A98&amp;"'!$A$12:$Z$41"),MATCH("Points (Auto-generate)",INDIRECT("'"&amp;$A98&amp;"'!$A$12:$Z$12"),0),0)="","?",VLOOKUP(T$1,INDIRECT("'"&amp;$A98&amp;"'!$A$12:$Z$41"),MATCH("Points (Auto-generate)",INDIRECT("'"&amp;$A98&amp;"'!$A$12:$Z$12"),0),0)),"ER"))</f>
        <v>?</v>
      </c>
      <c r="U98" s="83" t="str">
        <f aca="true">IF($H98=0,"NA",IF($A98=INDIRECT("'"&amp;$A98&amp;"'!$B$1"),IF(VLOOKUP(U$1,INDIRECT("'"&amp;$A98&amp;"'!$A$12:$Z$41"),MATCH("Points (Auto-generate)",INDIRECT("'"&amp;$A98&amp;"'!$A$12:$Z$12"),0),0)="","?",VLOOKUP(U$1,INDIRECT("'"&amp;$A98&amp;"'!$A$12:$Z$41"),MATCH("Points (Auto-generate)",INDIRECT("'"&amp;$A98&amp;"'!$A$12:$Z$12"),0),0)),"ER"))</f>
        <v>?</v>
      </c>
      <c r="V98" s="83" t="str">
        <f aca="true">IF($H98=0,"NA",IF($A98=INDIRECT("'"&amp;$A98&amp;"'!$B$1"),IF(VLOOKUP(V$1,INDIRECT("'"&amp;$A98&amp;"'!$A$12:$Z$41"),MATCH("Points (Auto-generate)",INDIRECT("'"&amp;$A98&amp;"'!$A$12:$Z$12"),0),0)="","?",VLOOKUP(V$1,INDIRECT("'"&amp;$A98&amp;"'!$A$12:$Z$41"),MATCH("Points (Auto-generate)",INDIRECT("'"&amp;$A98&amp;"'!$A$12:$Z$12"),0),0)),"ER"))</f>
        <v>?</v>
      </c>
      <c r="W98" s="83" t="str">
        <f aca="true">IF($H98=0,"NA",IF($A98=INDIRECT("'"&amp;$A98&amp;"'!$B$1"),IF(VLOOKUP(W$1,INDIRECT("'"&amp;$A98&amp;"'!$A$12:$Z$41"),MATCH("Points (Auto-generate)",INDIRECT("'"&amp;$A98&amp;"'!$A$12:$Z$12"),0),0)="","?",VLOOKUP(W$1,INDIRECT("'"&amp;$A98&amp;"'!$A$12:$Z$41"),MATCH("Points (Auto-generate)",INDIRECT("'"&amp;$A98&amp;"'!$A$12:$Z$12"),0),0)),"ER"))</f>
        <v>?</v>
      </c>
      <c r="X98" s="83" t="str">
        <f aca="true">IF($H98=0,"NA",IF($A98=INDIRECT("'"&amp;$A98&amp;"'!$B$1"),IF(VLOOKUP(X$1,INDIRECT("'"&amp;$A98&amp;"'!$A$12:$Z$41"),MATCH("Points (Auto-generate)",INDIRECT("'"&amp;$A98&amp;"'!$A$12:$Z$12"),0),0)="","?",VLOOKUP(X$1,INDIRECT("'"&amp;$A98&amp;"'!$A$12:$Z$41"),MATCH("Points (Auto-generate)",INDIRECT("'"&amp;$A98&amp;"'!$A$12:$Z$12"),0),0)),"ER"))</f>
        <v>?</v>
      </c>
      <c r="Y98" s="83" t="str">
        <f aca="true">IF($H98=0,"NA",IF($A98=INDIRECT("'"&amp;$A98&amp;"'!$B$1"),IF(VLOOKUP(Y$1,INDIRECT("'"&amp;$A98&amp;"'!$A$12:$Z$41"),MATCH("Points (Auto-generate)",INDIRECT("'"&amp;$A98&amp;"'!$A$12:$Z$12"),0),0)="","?",VLOOKUP(Y$1,INDIRECT("'"&amp;$A98&amp;"'!$A$12:$Z$41"),MATCH("Points (Auto-generate)",INDIRECT("'"&amp;$A98&amp;"'!$A$12:$Z$12"),0),0)),"ER"))</f>
        <v>?</v>
      </c>
      <c r="Z98" s="83" t="str">
        <f aca="true">IF($H98=0,"NA",IF($A98=INDIRECT("'"&amp;$A98&amp;"'!$B$1"),IF(VLOOKUP(Z$1,INDIRECT("'"&amp;$A98&amp;"'!$A$12:$Z$41"),MATCH("Points (Auto-generate)",INDIRECT("'"&amp;$A98&amp;"'!$A$12:$Z$12"),0),0)="","?",VLOOKUP(Z$1,INDIRECT("'"&amp;$A98&amp;"'!$A$12:$Z$41"),MATCH("Points (Auto-generate)",INDIRECT("'"&amp;$A98&amp;"'!$A$12:$Z$12"),0),0)),"ER"))</f>
        <v>?</v>
      </c>
      <c r="AA98" s="83" t="str">
        <f aca="true">IF($H98=0,"NA",IF($A98=INDIRECT("'"&amp;$A98&amp;"'!$B$1"),IF(VLOOKUP(AA$1,INDIRECT("'"&amp;$A98&amp;"'!$A$12:$Z$41"),MATCH("Points (Auto-generate)",INDIRECT("'"&amp;$A98&amp;"'!$A$12:$Z$12"),0),0)="","?",VLOOKUP(AA$1,INDIRECT("'"&amp;$A98&amp;"'!$A$12:$Z$41"),MATCH("Points (Auto-generate)",INDIRECT("'"&amp;$A98&amp;"'!$A$12:$Z$12"),0),0)),"ER"))</f>
        <v>?</v>
      </c>
      <c r="AB98" s="83" t="str">
        <f aca="true">IF($H98=0,"NA",IF($A98=INDIRECT("'"&amp;$A98&amp;"'!$B$1"),IF(VLOOKUP(AB$1,INDIRECT("'"&amp;$A98&amp;"'!$A$12:$Z$41"),MATCH("Points (Auto-generate)",INDIRECT("'"&amp;$A98&amp;"'!$A$12:$Z$12"),0),0)="","?",VLOOKUP(AB$1,INDIRECT("'"&amp;$A98&amp;"'!$A$12:$Z$41"),MATCH("Points (Auto-generate)",INDIRECT("'"&amp;$A98&amp;"'!$A$12:$Z$12"),0),0)),"ER"))</f>
        <v>?</v>
      </c>
      <c r="AC98" s="83" t="str">
        <f aca="true">IF($H98=0,"NA",IF($A98=INDIRECT("'"&amp;$A98&amp;"'!$B$1"),IF(VLOOKUP(AC$1,INDIRECT("'"&amp;$A98&amp;"'!$A$12:$Z$41"),MATCH("Points (Auto-generate)",INDIRECT("'"&amp;$A98&amp;"'!$A$12:$Z$12"),0),0)="","?",VLOOKUP(AC$1,INDIRECT("'"&amp;$A98&amp;"'!$A$12:$Z$41"),MATCH("Points (Auto-generate)",INDIRECT("'"&amp;$A98&amp;"'!$A$12:$Z$12"),0),0)),"ER"))</f>
        <v>?</v>
      </c>
      <c r="AD98" s="83" t="str">
        <f aca="true">IF($H98=0,"NA",IF($A98=INDIRECT("'"&amp;$A98&amp;"'!$B$1"),IF(VLOOKUP(AD$1,INDIRECT("'"&amp;$A98&amp;"'!$A$12:$Z$41"),MATCH("Points (Auto-generate)",INDIRECT("'"&amp;$A98&amp;"'!$A$12:$Z$12"),0),0)="","?",VLOOKUP(AD$1,INDIRECT("'"&amp;$A98&amp;"'!$A$12:$Z$41"),MATCH("Points (Auto-generate)",INDIRECT("'"&amp;$A98&amp;"'!$A$12:$Z$12"),0),0)),"ER"))</f>
        <v>?</v>
      </c>
      <c r="AE98" s="83" t="str">
        <f aca="true">IF($H98=0,"NA",IF($A98=INDIRECT("'"&amp;$A98&amp;"'!$B$1"),IF(VLOOKUP(AE$1,INDIRECT("'"&amp;$A98&amp;"'!$A$12:$Z$41"),MATCH("Points (Auto-generate)",INDIRECT("'"&amp;$A98&amp;"'!$A$12:$Z$12"),0),0)="","?",VLOOKUP(AE$1,INDIRECT("'"&amp;$A98&amp;"'!$A$12:$Z$41"),MATCH("Points (Auto-generate)",INDIRECT("'"&amp;$A98&amp;"'!$A$12:$Z$12"),0),0)),"ER"))</f>
        <v>?</v>
      </c>
      <c r="AF98" s="83" t="str">
        <f aca="true">IF($H98=0,"NA",IF($A98=INDIRECT("'"&amp;$A98&amp;"'!$B$1"),IF(VLOOKUP(AF$1,INDIRECT("'"&amp;$A98&amp;"'!$A$12:$Z$41"),MATCH("Points (Auto-generate)",INDIRECT("'"&amp;$A98&amp;"'!$A$12:$Z$12"),0),0)="","?",VLOOKUP(AF$1,INDIRECT("'"&amp;$A98&amp;"'!$A$12:$Z$41"),MATCH("Points (Auto-generate)",INDIRECT("'"&amp;$A98&amp;"'!$A$12:$Z$12"),0),0)),"ER"))</f>
        <v>?</v>
      </c>
      <c r="AG98" s="83" t="str">
        <f aca="true">IF($H98=0,"NA",IF($A98=INDIRECT("'"&amp;$A98&amp;"'!$B$1"),IF(VLOOKUP(AG$1,INDIRECT("'"&amp;$A98&amp;"'!$A$12:$Z$41"),MATCH("Points (Auto-generate)",INDIRECT("'"&amp;$A98&amp;"'!$A$12:$Z$12"),0),0)="","?",VLOOKUP(AG$1,INDIRECT("'"&amp;$A98&amp;"'!$A$12:$Z$41"),MATCH("Points (Auto-generate)",INDIRECT("'"&amp;$A98&amp;"'!$A$12:$Z$12"),0),0)),"ER"))</f>
        <v>?</v>
      </c>
      <c r="AH98" s="83" t="str">
        <f aca="true">IF($H98=0,"NA",IF($A98=INDIRECT("'"&amp;$A98&amp;"'!$B$1"),IF(VLOOKUP(AH$1,INDIRECT("'"&amp;$A98&amp;"'!$A$12:$Z$41"),MATCH("Points (Auto-generate)",INDIRECT("'"&amp;$A98&amp;"'!$A$12:$Z$12"),0),0)="","?",VLOOKUP(AH$1,INDIRECT("'"&amp;$A98&amp;"'!$A$12:$Z$41"),MATCH("Points (Auto-generate)",INDIRECT("'"&amp;$A98&amp;"'!$A$12:$Z$12"),0),0)),"ER"))</f>
        <v>?</v>
      </c>
      <c r="AI98" s="83" t="str">
        <f aca="true">IF($H98=0,"NA",IF($A98=INDIRECT("'"&amp;$A98&amp;"'!$B$1"),IF(VLOOKUP(AI$1,INDIRECT("'"&amp;$A98&amp;"'!$A$12:$Z$41"),MATCH("Points (Auto-generate)",INDIRECT("'"&amp;$A98&amp;"'!$A$12:$Z$12"),0),0)="","?",VLOOKUP(AI$1,INDIRECT("'"&amp;$A98&amp;"'!$A$12:$Z$41"),MATCH("Points (Auto-generate)",INDIRECT("'"&amp;$A98&amp;"'!$A$12:$Z$12"),0),0)),"ER"))</f>
        <v>?</v>
      </c>
      <c r="AJ98" s="83" t="str">
        <f aca="true">IF($H98=0,"NA",IF($A98=INDIRECT("'"&amp;$A98&amp;"'!$B$1"),IF(VLOOKUP(AJ$1,INDIRECT("'"&amp;$A98&amp;"'!$A$12:$Z$41"),MATCH("Points (Auto-generate)",INDIRECT("'"&amp;$A98&amp;"'!$A$12:$Z$12"),0),0)="","?",VLOOKUP(AJ$1,INDIRECT("'"&amp;$A98&amp;"'!$A$12:$Z$41"),MATCH("Points (Auto-generate)",INDIRECT("'"&amp;$A98&amp;"'!$A$12:$Z$12"),0),0)),"ER"))</f>
        <v>?</v>
      </c>
      <c r="AK98" s="83" t="str">
        <f aca="true">IF($H98=0,"NA",IF($A98=INDIRECT("'"&amp;$A98&amp;"'!$B$1"),IF(VLOOKUP(AK$1,INDIRECT("'"&amp;$A98&amp;"'!$A$12:$Z$41"),MATCH("Points (Auto-generate)",INDIRECT("'"&amp;$A98&amp;"'!$A$12:$Z$12"),0),0)="","?",VLOOKUP(AK$1,INDIRECT("'"&amp;$A98&amp;"'!$A$12:$Z$41"),MATCH("Points (Auto-generate)",INDIRECT("'"&amp;$A98&amp;"'!$A$12:$Z$12"),0),0)),"ER"))</f>
        <v>?</v>
      </c>
    </row>
    <row r="99" customFormat="false" ht="14.25" hidden="false" customHeight="false" outlineLevel="0" collapsed="false">
      <c r="A99" s="79" t="s">
        <v>371</v>
      </c>
      <c r="B99" s="80" t="str">
        <f aca="false">IF(ISBLANK($A99),"NO_CODE",VLOOKUP($A99,'UPD Questions_290926 '!$E$1:$N$300,MATCH(B$1,'UPD Questions_290926 '!$E$1:$N$1,0),0)&amp;"")</f>
        <v>Implementation</v>
      </c>
      <c r="C99" s="80" t="str">
        <f aca="false">IF(ISBLANK($A99),"NO_CODE",VLOOKUP($A99,'UPD Questions_290926 '!$E$1:$N$300,MATCH(C$1,'UPD Questions_290926 '!$E$1:$N$1,0),0)&amp;"")</f>
        <v>Development Control Regulations and land-management instruments</v>
      </c>
      <c r="D99" s="80" t="str">
        <f aca="false">IF(ISBLANK($A99),"NO_CODE",VLOOKUP($A99,'UPD Questions_290926 '!$E$1:$N$300,MATCH(D$1,'UPD Questions_290926 '!$E$1:$N$1,0),0)&amp;"")</f>
        <v>Green-building incentives</v>
      </c>
      <c r="E99" s="80" t="str">
        <f aca="false">IF(ISBLANK($A99),"NO_CODE",VLOOKUP($A99,'UPD Questions_290926 '!$E$1:$N$300,MATCH(E$1,'UPD Questions_290926 '!$E$1:$N$1,0),0)&amp;"")</f>
        <v>SQ</v>
      </c>
      <c r="F99" s="80" t="str">
        <f aca="false">IF(ISBLANK($A99),"NO_CODE",VLOOKUP($A99,'UPD Questions_290926 '!$E$1:$N$300,MATCH(F$1,'UPD Questions_290926 '!$E$1:$N$1,0),0)&amp;"")</f>
        <v>Does your city give incentives for green buildings ?</v>
      </c>
      <c r="G99" s="80" t="str">
        <f aca="false">IF(ISBLANK($A99),"NO_CODE",VLOOKUP($A99,'UPD Questions_290926 '!$E$1:$N$300,MATCH(G$1,'UPD Questions_290926 '!$E$1:$N$1,0),0)&amp;"")</f>
        <v>Implementation</v>
      </c>
      <c r="H99" s="82" t="n">
        <f aca="false">IF(ISBLANK($A99),"NO_CODE",VLOOKUP($A99,'UPD Questions_290926 '!$E$1:$N$300,MATCH(H$1,'UPD Questions_290926 '!$E$1:$N$1,0),0))</f>
        <v>5</v>
      </c>
      <c r="I99" s="83" t="str">
        <f aca="true">IF($H99=0,"NA",IF($A99=INDIRECT("'"&amp;$A99&amp;"'!$B$1"),IF(VLOOKUP(I$1,INDIRECT("'"&amp;$A99&amp;"'!$A$12:$Z$41"),MATCH("Points (Auto-generate)",INDIRECT("'"&amp;$A99&amp;"'!$A$12:$Z$12"),0),0)="","?",VLOOKUP(I$1,INDIRECT("'"&amp;$A99&amp;"'!$A$12:$Z$41"),MATCH("Points (Auto-generate)",INDIRECT("'"&amp;$A99&amp;"'!$A$12:$Z$12"),0),0)),"ER"))</f>
        <v>?</v>
      </c>
      <c r="J99" s="83" t="str">
        <f aca="true">IF($H99=0,"NA",IF($A99=INDIRECT("'"&amp;$A99&amp;"'!$B$1"),IF(VLOOKUP(J$1,INDIRECT("'"&amp;$A99&amp;"'!$A$12:$Z$41"),MATCH("Points (Auto-generate)",INDIRECT("'"&amp;$A99&amp;"'!$A$12:$Z$12"),0),0)="","?",VLOOKUP(J$1,INDIRECT("'"&amp;$A99&amp;"'!$A$12:$Z$41"),MATCH("Points (Auto-generate)",INDIRECT("'"&amp;$A99&amp;"'!$A$12:$Z$12"),0),0)),"ER"))</f>
        <v>?</v>
      </c>
      <c r="K99" s="83" t="str">
        <f aca="true">IF($H99=0,"NA",IF($A99=INDIRECT("'"&amp;$A99&amp;"'!$B$1"),IF(VLOOKUP(K$1,INDIRECT("'"&amp;$A99&amp;"'!$A$12:$Z$41"),MATCH("Points (Auto-generate)",INDIRECT("'"&amp;$A99&amp;"'!$A$12:$Z$12"),0),0)="","?",VLOOKUP(K$1,INDIRECT("'"&amp;$A99&amp;"'!$A$12:$Z$41"),MATCH("Points (Auto-generate)",INDIRECT("'"&amp;$A99&amp;"'!$A$12:$Z$12"),0),0)),"ER"))</f>
        <v>?</v>
      </c>
      <c r="L99" s="83" t="str">
        <f aca="true">IF($H99=0,"NA",IF($A99=INDIRECT("'"&amp;$A99&amp;"'!$B$1"),IF(VLOOKUP(L$1,INDIRECT("'"&amp;$A99&amp;"'!$A$12:$Z$41"),MATCH("Points (Auto-generate)",INDIRECT("'"&amp;$A99&amp;"'!$A$12:$Z$12"),0),0)="","?",VLOOKUP(L$1,INDIRECT("'"&amp;$A99&amp;"'!$A$12:$Z$41"),MATCH("Points (Auto-generate)",INDIRECT("'"&amp;$A99&amp;"'!$A$12:$Z$12"),0),0)),"ER"))</f>
        <v>?</v>
      </c>
      <c r="M99" s="83" t="str">
        <f aca="true">IF($H99=0,"NA",IF($A99=INDIRECT("'"&amp;$A99&amp;"'!$B$1"),IF(VLOOKUP(M$1,INDIRECT("'"&amp;$A99&amp;"'!$A$12:$Z$41"),MATCH("Points (Auto-generate)",INDIRECT("'"&amp;$A99&amp;"'!$A$12:$Z$12"),0),0)="","?",VLOOKUP(M$1,INDIRECT("'"&amp;$A99&amp;"'!$A$12:$Z$41"),MATCH("Points (Auto-generate)",INDIRECT("'"&amp;$A99&amp;"'!$A$12:$Z$12"),0),0)),"ER"))</f>
        <v>?</v>
      </c>
      <c r="N99" s="83" t="str">
        <f aca="true">IF($H99=0,"NA",IF($A99=INDIRECT("'"&amp;$A99&amp;"'!$B$1"),IF(VLOOKUP(N$1,INDIRECT("'"&amp;$A99&amp;"'!$A$12:$Z$41"),MATCH("Points (Auto-generate)",INDIRECT("'"&amp;$A99&amp;"'!$A$12:$Z$12"),0),0)="","?",VLOOKUP(N$1,INDIRECT("'"&amp;$A99&amp;"'!$A$12:$Z$41"),MATCH("Points (Auto-generate)",INDIRECT("'"&amp;$A99&amp;"'!$A$12:$Z$12"),0),0)),"ER"))</f>
        <v>?</v>
      </c>
      <c r="O99" s="83" t="str">
        <f aca="true">IF($H99=0,"NA",IF($A99=INDIRECT("'"&amp;$A99&amp;"'!$B$1"),IF(VLOOKUP(O$1,INDIRECT("'"&amp;$A99&amp;"'!$A$12:$Z$41"),MATCH("Points (Auto-generate)",INDIRECT("'"&amp;$A99&amp;"'!$A$12:$Z$12"),0),0)="","?",VLOOKUP(O$1,INDIRECT("'"&amp;$A99&amp;"'!$A$12:$Z$41"),MATCH("Points (Auto-generate)",INDIRECT("'"&amp;$A99&amp;"'!$A$12:$Z$12"),0),0)),"ER"))</f>
        <v>?</v>
      </c>
      <c r="P99" s="83" t="str">
        <f aca="true">IF($H99=0,"NA",IF($A99=INDIRECT("'"&amp;$A99&amp;"'!$B$1"),IF(VLOOKUP(P$1,INDIRECT("'"&amp;$A99&amp;"'!$A$12:$Z$41"),MATCH("Points (Auto-generate)",INDIRECT("'"&amp;$A99&amp;"'!$A$12:$Z$12"),0),0)="","?",VLOOKUP(P$1,INDIRECT("'"&amp;$A99&amp;"'!$A$12:$Z$41"),MATCH("Points (Auto-generate)",INDIRECT("'"&amp;$A99&amp;"'!$A$12:$Z$12"),0),0)),"ER"))</f>
        <v>?</v>
      </c>
      <c r="Q99" s="83" t="str">
        <f aca="true">IF($H99=0,"NA",IF($A99=INDIRECT("'"&amp;$A99&amp;"'!$B$1"),IF(VLOOKUP(Q$1,INDIRECT("'"&amp;$A99&amp;"'!$A$12:$Z$41"),MATCH("Points (Auto-generate)",INDIRECT("'"&amp;$A99&amp;"'!$A$12:$Z$12"),0),0)="","?",VLOOKUP(Q$1,INDIRECT("'"&amp;$A99&amp;"'!$A$12:$Z$41"),MATCH("Points (Auto-generate)",INDIRECT("'"&amp;$A99&amp;"'!$A$12:$Z$12"),0),0)),"ER"))</f>
        <v>?</v>
      </c>
      <c r="R99" s="83" t="str">
        <f aca="true">IF($H99=0,"NA",IF($A99=INDIRECT("'"&amp;$A99&amp;"'!$B$1"),IF(VLOOKUP(R$1,INDIRECT("'"&amp;$A99&amp;"'!$A$12:$Z$41"),MATCH("Points (Auto-generate)",INDIRECT("'"&amp;$A99&amp;"'!$A$12:$Z$12"),0),0)="","?",VLOOKUP(R$1,INDIRECT("'"&amp;$A99&amp;"'!$A$12:$Z$41"),MATCH("Points (Auto-generate)",INDIRECT("'"&amp;$A99&amp;"'!$A$12:$Z$12"),0),0)),"ER"))</f>
        <v>?</v>
      </c>
      <c r="S99" s="83" t="str">
        <f aca="true">IF($H99=0,"NA",IF($A99=INDIRECT("'"&amp;$A99&amp;"'!$B$1"),IF(VLOOKUP(S$1,INDIRECT("'"&amp;$A99&amp;"'!$A$12:$Z$41"),MATCH("Points (Auto-generate)",INDIRECT("'"&amp;$A99&amp;"'!$A$12:$Z$12"),0),0)="","?",VLOOKUP(S$1,INDIRECT("'"&amp;$A99&amp;"'!$A$12:$Z$41"),MATCH("Points (Auto-generate)",INDIRECT("'"&amp;$A99&amp;"'!$A$12:$Z$12"),0),0)),"ER"))</f>
        <v>?</v>
      </c>
      <c r="T99" s="83" t="str">
        <f aca="true">IF($H99=0,"NA",IF($A99=INDIRECT("'"&amp;$A99&amp;"'!$B$1"),IF(VLOOKUP(T$1,INDIRECT("'"&amp;$A99&amp;"'!$A$12:$Z$41"),MATCH("Points (Auto-generate)",INDIRECT("'"&amp;$A99&amp;"'!$A$12:$Z$12"),0),0)="","?",VLOOKUP(T$1,INDIRECT("'"&amp;$A99&amp;"'!$A$12:$Z$41"),MATCH("Points (Auto-generate)",INDIRECT("'"&amp;$A99&amp;"'!$A$12:$Z$12"),0),0)),"ER"))</f>
        <v>?</v>
      </c>
      <c r="U99" s="83" t="str">
        <f aca="true">IF($H99=0,"NA",IF($A99=INDIRECT("'"&amp;$A99&amp;"'!$B$1"),IF(VLOOKUP(U$1,INDIRECT("'"&amp;$A99&amp;"'!$A$12:$Z$41"),MATCH("Points (Auto-generate)",INDIRECT("'"&amp;$A99&amp;"'!$A$12:$Z$12"),0),0)="","?",VLOOKUP(U$1,INDIRECT("'"&amp;$A99&amp;"'!$A$12:$Z$41"),MATCH("Points (Auto-generate)",INDIRECT("'"&amp;$A99&amp;"'!$A$12:$Z$12"),0),0)),"ER"))</f>
        <v>?</v>
      </c>
      <c r="V99" s="83" t="str">
        <f aca="true">IF($H99=0,"NA",IF($A99=INDIRECT("'"&amp;$A99&amp;"'!$B$1"),IF(VLOOKUP(V$1,INDIRECT("'"&amp;$A99&amp;"'!$A$12:$Z$41"),MATCH("Points (Auto-generate)",INDIRECT("'"&amp;$A99&amp;"'!$A$12:$Z$12"),0),0)="","?",VLOOKUP(V$1,INDIRECT("'"&amp;$A99&amp;"'!$A$12:$Z$41"),MATCH("Points (Auto-generate)",INDIRECT("'"&amp;$A99&amp;"'!$A$12:$Z$12"),0),0)),"ER"))</f>
        <v>?</v>
      </c>
      <c r="W99" s="83" t="str">
        <f aca="true">IF($H99=0,"NA",IF($A99=INDIRECT("'"&amp;$A99&amp;"'!$B$1"),IF(VLOOKUP(W$1,INDIRECT("'"&amp;$A99&amp;"'!$A$12:$Z$41"),MATCH("Points (Auto-generate)",INDIRECT("'"&amp;$A99&amp;"'!$A$12:$Z$12"),0),0)="","?",VLOOKUP(W$1,INDIRECT("'"&amp;$A99&amp;"'!$A$12:$Z$41"),MATCH("Points (Auto-generate)",INDIRECT("'"&amp;$A99&amp;"'!$A$12:$Z$12"),0),0)),"ER"))</f>
        <v>?</v>
      </c>
      <c r="X99" s="83" t="str">
        <f aca="true">IF($H99=0,"NA",IF($A99=INDIRECT("'"&amp;$A99&amp;"'!$B$1"),IF(VLOOKUP(X$1,INDIRECT("'"&amp;$A99&amp;"'!$A$12:$Z$41"),MATCH("Points (Auto-generate)",INDIRECT("'"&amp;$A99&amp;"'!$A$12:$Z$12"),0),0)="","?",VLOOKUP(X$1,INDIRECT("'"&amp;$A99&amp;"'!$A$12:$Z$41"),MATCH("Points (Auto-generate)",INDIRECT("'"&amp;$A99&amp;"'!$A$12:$Z$12"),0),0)),"ER"))</f>
        <v>?</v>
      </c>
      <c r="Y99" s="83" t="str">
        <f aca="true">IF($H99=0,"NA",IF($A99=INDIRECT("'"&amp;$A99&amp;"'!$B$1"),IF(VLOOKUP(Y$1,INDIRECT("'"&amp;$A99&amp;"'!$A$12:$Z$41"),MATCH("Points (Auto-generate)",INDIRECT("'"&amp;$A99&amp;"'!$A$12:$Z$12"),0),0)="","?",VLOOKUP(Y$1,INDIRECT("'"&amp;$A99&amp;"'!$A$12:$Z$41"),MATCH("Points (Auto-generate)",INDIRECT("'"&amp;$A99&amp;"'!$A$12:$Z$12"),0),0)),"ER"))</f>
        <v>?</v>
      </c>
      <c r="Z99" s="83" t="str">
        <f aca="true">IF($H99=0,"NA",IF($A99=INDIRECT("'"&amp;$A99&amp;"'!$B$1"),IF(VLOOKUP(Z$1,INDIRECT("'"&amp;$A99&amp;"'!$A$12:$Z$41"),MATCH("Points (Auto-generate)",INDIRECT("'"&amp;$A99&amp;"'!$A$12:$Z$12"),0),0)="","?",VLOOKUP(Z$1,INDIRECT("'"&amp;$A99&amp;"'!$A$12:$Z$41"),MATCH("Points (Auto-generate)",INDIRECT("'"&amp;$A99&amp;"'!$A$12:$Z$12"),0),0)),"ER"))</f>
        <v>?</v>
      </c>
      <c r="AA99" s="83" t="str">
        <f aca="true">IF($H99=0,"NA",IF($A99=INDIRECT("'"&amp;$A99&amp;"'!$B$1"),IF(VLOOKUP(AA$1,INDIRECT("'"&amp;$A99&amp;"'!$A$12:$Z$41"),MATCH("Points (Auto-generate)",INDIRECT("'"&amp;$A99&amp;"'!$A$12:$Z$12"),0),0)="","?",VLOOKUP(AA$1,INDIRECT("'"&amp;$A99&amp;"'!$A$12:$Z$41"),MATCH("Points (Auto-generate)",INDIRECT("'"&amp;$A99&amp;"'!$A$12:$Z$12"),0),0)),"ER"))</f>
        <v>?</v>
      </c>
      <c r="AB99" s="83" t="str">
        <f aca="true">IF($H99=0,"NA",IF($A99=INDIRECT("'"&amp;$A99&amp;"'!$B$1"),IF(VLOOKUP(AB$1,INDIRECT("'"&amp;$A99&amp;"'!$A$12:$Z$41"),MATCH("Points (Auto-generate)",INDIRECT("'"&amp;$A99&amp;"'!$A$12:$Z$12"),0),0)="","?",VLOOKUP(AB$1,INDIRECT("'"&amp;$A99&amp;"'!$A$12:$Z$41"),MATCH("Points (Auto-generate)",INDIRECT("'"&amp;$A99&amp;"'!$A$12:$Z$12"),0),0)),"ER"))</f>
        <v>?</v>
      </c>
      <c r="AC99" s="83" t="str">
        <f aca="true">IF($H99=0,"NA",IF($A99=INDIRECT("'"&amp;$A99&amp;"'!$B$1"),IF(VLOOKUP(AC$1,INDIRECT("'"&amp;$A99&amp;"'!$A$12:$Z$41"),MATCH("Points (Auto-generate)",INDIRECT("'"&amp;$A99&amp;"'!$A$12:$Z$12"),0),0)="","?",VLOOKUP(AC$1,INDIRECT("'"&amp;$A99&amp;"'!$A$12:$Z$41"),MATCH("Points (Auto-generate)",INDIRECT("'"&amp;$A99&amp;"'!$A$12:$Z$12"),0),0)),"ER"))</f>
        <v>?</v>
      </c>
      <c r="AD99" s="83" t="str">
        <f aca="true">IF($H99=0,"NA",IF($A99=INDIRECT("'"&amp;$A99&amp;"'!$B$1"),IF(VLOOKUP(AD$1,INDIRECT("'"&amp;$A99&amp;"'!$A$12:$Z$41"),MATCH("Points (Auto-generate)",INDIRECT("'"&amp;$A99&amp;"'!$A$12:$Z$12"),0),0)="","?",VLOOKUP(AD$1,INDIRECT("'"&amp;$A99&amp;"'!$A$12:$Z$41"),MATCH("Points (Auto-generate)",INDIRECT("'"&amp;$A99&amp;"'!$A$12:$Z$12"),0),0)),"ER"))</f>
        <v>?</v>
      </c>
      <c r="AE99" s="83" t="str">
        <f aca="true">IF($H99=0,"NA",IF($A99=INDIRECT("'"&amp;$A99&amp;"'!$B$1"),IF(VLOOKUP(AE$1,INDIRECT("'"&amp;$A99&amp;"'!$A$12:$Z$41"),MATCH("Points (Auto-generate)",INDIRECT("'"&amp;$A99&amp;"'!$A$12:$Z$12"),0),0)="","?",VLOOKUP(AE$1,INDIRECT("'"&amp;$A99&amp;"'!$A$12:$Z$41"),MATCH("Points (Auto-generate)",INDIRECT("'"&amp;$A99&amp;"'!$A$12:$Z$12"),0),0)),"ER"))</f>
        <v>?</v>
      </c>
      <c r="AF99" s="83" t="str">
        <f aca="true">IF($H99=0,"NA",IF($A99=INDIRECT("'"&amp;$A99&amp;"'!$B$1"),IF(VLOOKUP(AF$1,INDIRECT("'"&amp;$A99&amp;"'!$A$12:$Z$41"),MATCH("Points (Auto-generate)",INDIRECT("'"&amp;$A99&amp;"'!$A$12:$Z$12"),0),0)="","?",VLOOKUP(AF$1,INDIRECT("'"&amp;$A99&amp;"'!$A$12:$Z$41"),MATCH("Points (Auto-generate)",INDIRECT("'"&amp;$A99&amp;"'!$A$12:$Z$12"),0),0)),"ER"))</f>
        <v>?</v>
      </c>
      <c r="AG99" s="83" t="str">
        <f aca="true">IF($H99=0,"NA",IF($A99=INDIRECT("'"&amp;$A99&amp;"'!$B$1"),IF(VLOOKUP(AG$1,INDIRECT("'"&amp;$A99&amp;"'!$A$12:$Z$41"),MATCH("Points (Auto-generate)",INDIRECT("'"&amp;$A99&amp;"'!$A$12:$Z$12"),0),0)="","?",VLOOKUP(AG$1,INDIRECT("'"&amp;$A99&amp;"'!$A$12:$Z$41"),MATCH("Points (Auto-generate)",INDIRECT("'"&amp;$A99&amp;"'!$A$12:$Z$12"),0),0)),"ER"))</f>
        <v>?</v>
      </c>
      <c r="AH99" s="83" t="str">
        <f aca="true">IF($H99=0,"NA",IF($A99=INDIRECT("'"&amp;$A99&amp;"'!$B$1"),IF(VLOOKUP(AH$1,INDIRECT("'"&amp;$A99&amp;"'!$A$12:$Z$41"),MATCH("Points (Auto-generate)",INDIRECT("'"&amp;$A99&amp;"'!$A$12:$Z$12"),0),0)="","?",VLOOKUP(AH$1,INDIRECT("'"&amp;$A99&amp;"'!$A$12:$Z$41"),MATCH("Points (Auto-generate)",INDIRECT("'"&amp;$A99&amp;"'!$A$12:$Z$12"),0),0)),"ER"))</f>
        <v>?</v>
      </c>
      <c r="AI99" s="83" t="str">
        <f aca="true">IF($H99=0,"NA",IF($A99=INDIRECT("'"&amp;$A99&amp;"'!$B$1"),IF(VLOOKUP(AI$1,INDIRECT("'"&amp;$A99&amp;"'!$A$12:$Z$41"),MATCH("Points (Auto-generate)",INDIRECT("'"&amp;$A99&amp;"'!$A$12:$Z$12"),0),0)="","?",VLOOKUP(AI$1,INDIRECT("'"&amp;$A99&amp;"'!$A$12:$Z$41"),MATCH("Points (Auto-generate)",INDIRECT("'"&amp;$A99&amp;"'!$A$12:$Z$12"),0),0)),"ER"))</f>
        <v>?</v>
      </c>
      <c r="AJ99" s="83" t="str">
        <f aca="true">IF($H99=0,"NA",IF($A99=INDIRECT("'"&amp;$A99&amp;"'!$B$1"),IF(VLOOKUP(AJ$1,INDIRECT("'"&amp;$A99&amp;"'!$A$12:$Z$41"),MATCH("Points (Auto-generate)",INDIRECT("'"&amp;$A99&amp;"'!$A$12:$Z$12"),0),0)="","?",VLOOKUP(AJ$1,INDIRECT("'"&amp;$A99&amp;"'!$A$12:$Z$41"),MATCH("Points (Auto-generate)",INDIRECT("'"&amp;$A99&amp;"'!$A$12:$Z$12"),0),0)),"ER"))</f>
        <v>?</v>
      </c>
      <c r="AK99" s="83" t="str">
        <f aca="true">IF($H99=0,"NA",IF($A99=INDIRECT("'"&amp;$A99&amp;"'!$B$1"),IF(VLOOKUP(AK$1,INDIRECT("'"&amp;$A99&amp;"'!$A$12:$Z$41"),MATCH("Points (Auto-generate)",INDIRECT("'"&amp;$A99&amp;"'!$A$12:$Z$12"),0),0)="","?",VLOOKUP(AK$1,INDIRECT("'"&amp;$A99&amp;"'!$A$12:$Z$41"),MATCH("Points (Auto-generate)",INDIRECT("'"&amp;$A99&amp;"'!$A$12:$Z$12"),0),0)),"ER"))</f>
        <v>?</v>
      </c>
    </row>
    <row r="100" customFormat="false" ht="14.25" hidden="false" customHeight="false" outlineLevel="0" collapsed="false">
      <c r="A100" s="79" t="s">
        <v>376</v>
      </c>
      <c r="B100" s="80" t="str">
        <f aca="false">IF(ISBLANK($A100),"NO_CODE",VLOOKUP($A100,'UPD Questions_290926 '!$E$1:$N$300,MATCH(B$1,'UPD Questions_290926 '!$E$1:$N$1,0),0)&amp;"")</f>
        <v>Implementation</v>
      </c>
      <c r="C100" s="80" t="str">
        <f aca="false">IF(ISBLANK($A100),"NO_CODE",VLOOKUP($A100,'UPD Questions_290926 '!$E$1:$N$300,MATCH(C$1,'UPD Questions_290926 '!$E$1:$N$1,0),0)&amp;"")</f>
        <v>Development Control Regulations and land-management instruments</v>
      </c>
      <c r="D100" s="80" t="str">
        <f aca="false">IF(ISBLANK($A100),"NO_CODE",VLOOKUP($A100,'UPD Questions_290926 '!$E$1:$N$300,MATCH(D$1,'UPD Questions_290926 '!$E$1:$N$1,0),0)&amp;"")</f>
        <v>Land-management instruments</v>
      </c>
      <c r="E100" s="80" t="str">
        <f aca="false">IF(ISBLANK($A100),"NO_CODE",VLOOKUP($A100,'UPD Questions_290926 '!$E$1:$N$300,MATCH(E$1,'UPD Questions_290926 '!$E$1:$N$1,0),0)&amp;"")</f>
        <v>MQ</v>
      </c>
      <c r="F100" s="80" t="str">
        <f aca="false">IF(ISBLANK($A100),"NO_CODE",VLOOKUP($A100,'UPD Questions_290926 '!$E$1:$N$300,MATCH(F$1,'UPD Questions_290926 '!$E$1:$N$1,0),0)&amp;"")</f>
        <v>Does the law enable a guaranteed land titling system ?</v>
      </c>
      <c r="G100" s="80" t="str">
        <f aca="false">IF(ISBLANK($A100),"NO_CODE",VLOOKUP($A100,'UPD Questions_290926 '!$E$1:$N$300,MATCH(G$1,'UPD Questions_290926 '!$E$1:$N$1,0),0)&amp;"")</f>
        <v>Law or Policy</v>
      </c>
      <c r="H100" s="82" t="n">
        <f aca="false">IF(ISBLANK($A100),"NO_CODE",VLOOKUP($A100,'UPD Questions_290926 '!$E$1:$N$300,MATCH(H$1,'UPD Questions_290926 '!$E$1:$N$1,0),0))</f>
        <v>10</v>
      </c>
      <c r="I100" s="83" t="str">
        <f aca="true">IF($H100=0,"NA",IF($A100=INDIRECT("'"&amp;$A100&amp;"'!$B$1"),IF(VLOOKUP(I$1,INDIRECT("'"&amp;$A100&amp;"'!$A$12:$Z$41"),MATCH("Points (Auto-generate)",INDIRECT("'"&amp;$A100&amp;"'!$A$12:$Z$12"),0),0)="","?",VLOOKUP(I$1,INDIRECT("'"&amp;$A100&amp;"'!$A$12:$Z$41"),MATCH("Points (Auto-generate)",INDIRECT("'"&amp;$A100&amp;"'!$A$12:$Z$12"),0),0)),"ER"))</f>
        <v>?</v>
      </c>
      <c r="J100" s="83" t="str">
        <f aca="true">IF($H100=0,"NA",IF($A100=INDIRECT("'"&amp;$A100&amp;"'!$B$1"),IF(VLOOKUP(J$1,INDIRECT("'"&amp;$A100&amp;"'!$A$12:$Z$41"),MATCH("Points (Auto-generate)",INDIRECT("'"&amp;$A100&amp;"'!$A$12:$Z$12"),0),0)="","?",VLOOKUP(J$1,INDIRECT("'"&amp;$A100&amp;"'!$A$12:$Z$41"),MATCH("Points (Auto-generate)",INDIRECT("'"&amp;$A100&amp;"'!$A$12:$Z$12"),0),0)),"ER"))</f>
        <v>?</v>
      </c>
      <c r="K100" s="83" t="str">
        <f aca="true">IF($H100=0,"NA",IF($A100=INDIRECT("'"&amp;$A100&amp;"'!$B$1"),IF(VLOOKUP(K$1,INDIRECT("'"&amp;$A100&amp;"'!$A$12:$Z$41"),MATCH("Points (Auto-generate)",INDIRECT("'"&amp;$A100&amp;"'!$A$12:$Z$12"),0),0)="","?",VLOOKUP(K$1,INDIRECT("'"&amp;$A100&amp;"'!$A$12:$Z$41"),MATCH("Points (Auto-generate)",INDIRECT("'"&amp;$A100&amp;"'!$A$12:$Z$12"),0),0)),"ER"))</f>
        <v>?</v>
      </c>
      <c r="L100" s="83" t="str">
        <f aca="true">IF($H100=0,"NA",IF($A100=INDIRECT("'"&amp;$A100&amp;"'!$B$1"),IF(VLOOKUP(L$1,INDIRECT("'"&amp;$A100&amp;"'!$A$12:$Z$41"),MATCH("Points (Auto-generate)",INDIRECT("'"&amp;$A100&amp;"'!$A$12:$Z$12"),0),0)="","?",VLOOKUP(L$1,INDIRECT("'"&amp;$A100&amp;"'!$A$12:$Z$41"),MATCH("Points (Auto-generate)",INDIRECT("'"&amp;$A100&amp;"'!$A$12:$Z$12"),0),0)),"ER"))</f>
        <v>?</v>
      </c>
      <c r="M100" s="83" t="str">
        <f aca="true">IF($H100=0,"NA",IF($A100=INDIRECT("'"&amp;$A100&amp;"'!$B$1"),IF(VLOOKUP(M$1,INDIRECT("'"&amp;$A100&amp;"'!$A$12:$Z$41"),MATCH("Points (Auto-generate)",INDIRECT("'"&amp;$A100&amp;"'!$A$12:$Z$12"),0),0)="","?",VLOOKUP(M$1,INDIRECT("'"&amp;$A100&amp;"'!$A$12:$Z$41"),MATCH("Points (Auto-generate)",INDIRECT("'"&amp;$A100&amp;"'!$A$12:$Z$12"),0),0)),"ER"))</f>
        <v>?</v>
      </c>
      <c r="N100" s="83" t="str">
        <f aca="true">IF($H100=0,"NA",IF($A100=INDIRECT("'"&amp;$A100&amp;"'!$B$1"),IF(VLOOKUP(N$1,INDIRECT("'"&amp;$A100&amp;"'!$A$12:$Z$41"),MATCH("Points (Auto-generate)",INDIRECT("'"&amp;$A100&amp;"'!$A$12:$Z$12"),0),0)="","?",VLOOKUP(N$1,INDIRECT("'"&amp;$A100&amp;"'!$A$12:$Z$41"),MATCH("Points (Auto-generate)",INDIRECT("'"&amp;$A100&amp;"'!$A$12:$Z$12"),0),0)),"ER"))</f>
        <v>?</v>
      </c>
      <c r="O100" s="83" t="str">
        <f aca="true">IF($H100=0,"NA",IF($A100=INDIRECT("'"&amp;$A100&amp;"'!$B$1"),IF(VLOOKUP(O$1,INDIRECT("'"&amp;$A100&amp;"'!$A$12:$Z$41"),MATCH("Points (Auto-generate)",INDIRECT("'"&amp;$A100&amp;"'!$A$12:$Z$12"),0),0)="","?",VLOOKUP(O$1,INDIRECT("'"&amp;$A100&amp;"'!$A$12:$Z$41"),MATCH("Points (Auto-generate)",INDIRECT("'"&amp;$A100&amp;"'!$A$12:$Z$12"),0),0)),"ER"))</f>
        <v>?</v>
      </c>
      <c r="P100" s="83" t="str">
        <f aca="true">IF($H100=0,"NA",IF($A100=INDIRECT("'"&amp;$A100&amp;"'!$B$1"),IF(VLOOKUP(P$1,INDIRECT("'"&amp;$A100&amp;"'!$A$12:$Z$41"),MATCH("Points (Auto-generate)",INDIRECT("'"&amp;$A100&amp;"'!$A$12:$Z$12"),0),0)="","?",VLOOKUP(P$1,INDIRECT("'"&amp;$A100&amp;"'!$A$12:$Z$41"),MATCH("Points (Auto-generate)",INDIRECT("'"&amp;$A100&amp;"'!$A$12:$Z$12"),0),0)),"ER"))</f>
        <v>?</v>
      </c>
      <c r="Q100" s="83" t="str">
        <f aca="true">IF($H100=0,"NA",IF($A100=INDIRECT("'"&amp;$A100&amp;"'!$B$1"),IF(VLOOKUP(Q$1,INDIRECT("'"&amp;$A100&amp;"'!$A$12:$Z$41"),MATCH("Points (Auto-generate)",INDIRECT("'"&amp;$A100&amp;"'!$A$12:$Z$12"),0),0)="","?",VLOOKUP(Q$1,INDIRECT("'"&amp;$A100&amp;"'!$A$12:$Z$41"),MATCH("Points (Auto-generate)",INDIRECT("'"&amp;$A100&amp;"'!$A$12:$Z$12"),0),0)),"ER"))</f>
        <v>?</v>
      </c>
      <c r="R100" s="83" t="str">
        <f aca="true">IF($H100=0,"NA",IF($A100=INDIRECT("'"&amp;$A100&amp;"'!$B$1"),IF(VLOOKUP(R$1,INDIRECT("'"&amp;$A100&amp;"'!$A$12:$Z$41"),MATCH("Points (Auto-generate)",INDIRECT("'"&amp;$A100&amp;"'!$A$12:$Z$12"),0),0)="","?",VLOOKUP(R$1,INDIRECT("'"&amp;$A100&amp;"'!$A$12:$Z$41"),MATCH("Points (Auto-generate)",INDIRECT("'"&amp;$A100&amp;"'!$A$12:$Z$12"),0),0)),"ER"))</f>
        <v>?</v>
      </c>
      <c r="S100" s="83" t="str">
        <f aca="true">IF($H100=0,"NA",IF($A100=INDIRECT("'"&amp;$A100&amp;"'!$B$1"),IF(VLOOKUP(S$1,INDIRECT("'"&amp;$A100&amp;"'!$A$12:$Z$41"),MATCH("Points (Auto-generate)",INDIRECT("'"&amp;$A100&amp;"'!$A$12:$Z$12"),0),0)="","?",VLOOKUP(S$1,INDIRECT("'"&amp;$A100&amp;"'!$A$12:$Z$41"),MATCH("Points (Auto-generate)",INDIRECT("'"&amp;$A100&amp;"'!$A$12:$Z$12"),0),0)),"ER"))</f>
        <v>?</v>
      </c>
      <c r="T100" s="83" t="str">
        <f aca="true">IF($H100=0,"NA",IF($A100=INDIRECT("'"&amp;$A100&amp;"'!$B$1"),IF(VLOOKUP(T$1,INDIRECT("'"&amp;$A100&amp;"'!$A$12:$Z$41"),MATCH("Points (Auto-generate)",INDIRECT("'"&amp;$A100&amp;"'!$A$12:$Z$12"),0),0)="","?",VLOOKUP(T$1,INDIRECT("'"&amp;$A100&amp;"'!$A$12:$Z$41"),MATCH("Points (Auto-generate)",INDIRECT("'"&amp;$A100&amp;"'!$A$12:$Z$12"),0),0)),"ER"))</f>
        <v>?</v>
      </c>
      <c r="U100" s="83" t="str">
        <f aca="true">IF($H100=0,"NA",IF($A100=INDIRECT("'"&amp;$A100&amp;"'!$B$1"),IF(VLOOKUP(U$1,INDIRECT("'"&amp;$A100&amp;"'!$A$12:$Z$41"),MATCH("Points (Auto-generate)",INDIRECT("'"&amp;$A100&amp;"'!$A$12:$Z$12"),0),0)="","?",VLOOKUP(U$1,INDIRECT("'"&amp;$A100&amp;"'!$A$12:$Z$41"),MATCH("Points (Auto-generate)",INDIRECT("'"&amp;$A100&amp;"'!$A$12:$Z$12"),0),0)),"ER"))</f>
        <v>?</v>
      </c>
      <c r="V100" s="83" t="str">
        <f aca="true">IF($H100=0,"NA",IF($A100=INDIRECT("'"&amp;$A100&amp;"'!$B$1"),IF(VLOOKUP(V$1,INDIRECT("'"&amp;$A100&amp;"'!$A$12:$Z$41"),MATCH("Points (Auto-generate)",INDIRECT("'"&amp;$A100&amp;"'!$A$12:$Z$12"),0),0)="","?",VLOOKUP(V$1,INDIRECT("'"&amp;$A100&amp;"'!$A$12:$Z$41"),MATCH("Points (Auto-generate)",INDIRECT("'"&amp;$A100&amp;"'!$A$12:$Z$12"),0),0)),"ER"))</f>
        <v>?</v>
      </c>
      <c r="W100" s="83" t="str">
        <f aca="true">IF($H100=0,"NA",IF($A100=INDIRECT("'"&amp;$A100&amp;"'!$B$1"),IF(VLOOKUP(W$1,INDIRECT("'"&amp;$A100&amp;"'!$A$12:$Z$41"),MATCH("Points (Auto-generate)",INDIRECT("'"&amp;$A100&amp;"'!$A$12:$Z$12"),0),0)="","?",VLOOKUP(W$1,INDIRECT("'"&amp;$A100&amp;"'!$A$12:$Z$41"),MATCH("Points (Auto-generate)",INDIRECT("'"&amp;$A100&amp;"'!$A$12:$Z$12"),0),0)),"ER"))</f>
        <v>?</v>
      </c>
      <c r="X100" s="83" t="str">
        <f aca="true">IF($H100=0,"NA",IF($A100=INDIRECT("'"&amp;$A100&amp;"'!$B$1"),IF(VLOOKUP(X$1,INDIRECT("'"&amp;$A100&amp;"'!$A$12:$Z$41"),MATCH("Points (Auto-generate)",INDIRECT("'"&amp;$A100&amp;"'!$A$12:$Z$12"),0),0)="","?",VLOOKUP(X$1,INDIRECT("'"&amp;$A100&amp;"'!$A$12:$Z$41"),MATCH("Points (Auto-generate)",INDIRECT("'"&amp;$A100&amp;"'!$A$12:$Z$12"),0),0)),"ER"))</f>
        <v>?</v>
      </c>
      <c r="Y100" s="83" t="str">
        <f aca="true">IF($H100=0,"NA",IF($A100=INDIRECT("'"&amp;$A100&amp;"'!$B$1"),IF(VLOOKUP(Y$1,INDIRECT("'"&amp;$A100&amp;"'!$A$12:$Z$41"),MATCH("Points (Auto-generate)",INDIRECT("'"&amp;$A100&amp;"'!$A$12:$Z$12"),0),0)="","?",VLOOKUP(Y$1,INDIRECT("'"&amp;$A100&amp;"'!$A$12:$Z$41"),MATCH("Points (Auto-generate)",INDIRECT("'"&amp;$A100&amp;"'!$A$12:$Z$12"),0),0)),"ER"))</f>
        <v>?</v>
      </c>
      <c r="Z100" s="83" t="str">
        <f aca="true">IF($H100=0,"NA",IF($A100=INDIRECT("'"&amp;$A100&amp;"'!$B$1"),IF(VLOOKUP(Z$1,INDIRECT("'"&amp;$A100&amp;"'!$A$12:$Z$41"),MATCH("Points (Auto-generate)",INDIRECT("'"&amp;$A100&amp;"'!$A$12:$Z$12"),0),0)="","?",VLOOKUP(Z$1,INDIRECT("'"&amp;$A100&amp;"'!$A$12:$Z$41"),MATCH("Points (Auto-generate)",INDIRECT("'"&amp;$A100&amp;"'!$A$12:$Z$12"),0),0)),"ER"))</f>
        <v>?</v>
      </c>
      <c r="AA100" s="83" t="str">
        <f aca="true">IF($H100=0,"NA",IF($A100=INDIRECT("'"&amp;$A100&amp;"'!$B$1"),IF(VLOOKUP(AA$1,INDIRECT("'"&amp;$A100&amp;"'!$A$12:$Z$41"),MATCH("Points (Auto-generate)",INDIRECT("'"&amp;$A100&amp;"'!$A$12:$Z$12"),0),0)="","?",VLOOKUP(AA$1,INDIRECT("'"&amp;$A100&amp;"'!$A$12:$Z$41"),MATCH("Points (Auto-generate)",INDIRECT("'"&amp;$A100&amp;"'!$A$12:$Z$12"),0),0)),"ER"))</f>
        <v>?</v>
      </c>
      <c r="AB100" s="83" t="str">
        <f aca="true">IF($H100=0,"NA",IF($A100=INDIRECT("'"&amp;$A100&amp;"'!$B$1"),IF(VLOOKUP(AB$1,INDIRECT("'"&amp;$A100&amp;"'!$A$12:$Z$41"),MATCH("Points (Auto-generate)",INDIRECT("'"&amp;$A100&amp;"'!$A$12:$Z$12"),0),0)="","?",VLOOKUP(AB$1,INDIRECT("'"&amp;$A100&amp;"'!$A$12:$Z$41"),MATCH("Points (Auto-generate)",INDIRECT("'"&amp;$A100&amp;"'!$A$12:$Z$12"),0),0)),"ER"))</f>
        <v>?</v>
      </c>
      <c r="AC100" s="83" t="str">
        <f aca="true">IF($H100=0,"NA",IF($A100=INDIRECT("'"&amp;$A100&amp;"'!$B$1"),IF(VLOOKUP(AC$1,INDIRECT("'"&amp;$A100&amp;"'!$A$12:$Z$41"),MATCH("Points (Auto-generate)",INDIRECT("'"&amp;$A100&amp;"'!$A$12:$Z$12"),0),0)="","?",VLOOKUP(AC$1,INDIRECT("'"&amp;$A100&amp;"'!$A$12:$Z$41"),MATCH("Points (Auto-generate)",INDIRECT("'"&amp;$A100&amp;"'!$A$12:$Z$12"),0),0)),"ER"))</f>
        <v>?</v>
      </c>
      <c r="AD100" s="83" t="str">
        <f aca="true">IF($H100=0,"NA",IF($A100=INDIRECT("'"&amp;$A100&amp;"'!$B$1"),IF(VLOOKUP(AD$1,INDIRECT("'"&amp;$A100&amp;"'!$A$12:$Z$41"),MATCH("Points (Auto-generate)",INDIRECT("'"&amp;$A100&amp;"'!$A$12:$Z$12"),0),0)="","?",VLOOKUP(AD$1,INDIRECT("'"&amp;$A100&amp;"'!$A$12:$Z$41"),MATCH("Points (Auto-generate)",INDIRECT("'"&amp;$A100&amp;"'!$A$12:$Z$12"),0),0)),"ER"))</f>
        <v>?</v>
      </c>
      <c r="AE100" s="83" t="str">
        <f aca="true">IF($H100=0,"NA",IF($A100=INDIRECT("'"&amp;$A100&amp;"'!$B$1"),IF(VLOOKUP(AE$1,INDIRECT("'"&amp;$A100&amp;"'!$A$12:$Z$41"),MATCH("Points (Auto-generate)",INDIRECT("'"&amp;$A100&amp;"'!$A$12:$Z$12"),0),0)="","?",VLOOKUP(AE$1,INDIRECT("'"&amp;$A100&amp;"'!$A$12:$Z$41"),MATCH("Points (Auto-generate)",INDIRECT("'"&amp;$A100&amp;"'!$A$12:$Z$12"),0),0)),"ER"))</f>
        <v>?</v>
      </c>
      <c r="AF100" s="83" t="str">
        <f aca="true">IF($H100=0,"NA",IF($A100=INDIRECT("'"&amp;$A100&amp;"'!$B$1"),IF(VLOOKUP(AF$1,INDIRECT("'"&amp;$A100&amp;"'!$A$12:$Z$41"),MATCH("Points (Auto-generate)",INDIRECT("'"&amp;$A100&amp;"'!$A$12:$Z$12"),0),0)="","?",VLOOKUP(AF$1,INDIRECT("'"&amp;$A100&amp;"'!$A$12:$Z$41"),MATCH("Points (Auto-generate)",INDIRECT("'"&amp;$A100&amp;"'!$A$12:$Z$12"),0),0)),"ER"))</f>
        <v>?</v>
      </c>
      <c r="AG100" s="83" t="str">
        <f aca="true">IF($H100=0,"NA",IF($A100=INDIRECT("'"&amp;$A100&amp;"'!$B$1"),IF(VLOOKUP(AG$1,INDIRECT("'"&amp;$A100&amp;"'!$A$12:$Z$41"),MATCH("Points (Auto-generate)",INDIRECT("'"&amp;$A100&amp;"'!$A$12:$Z$12"),0),0)="","?",VLOOKUP(AG$1,INDIRECT("'"&amp;$A100&amp;"'!$A$12:$Z$41"),MATCH("Points (Auto-generate)",INDIRECT("'"&amp;$A100&amp;"'!$A$12:$Z$12"),0),0)),"ER"))</f>
        <v>?</v>
      </c>
      <c r="AH100" s="83" t="str">
        <f aca="true">IF($H100=0,"NA",IF($A100=INDIRECT("'"&amp;$A100&amp;"'!$B$1"),IF(VLOOKUP(AH$1,INDIRECT("'"&amp;$A100&amp;"'!$A$12:$Z$41"),MATCH("Points (Auto-generate)",INDIRECT("'"&amp;$A100&amp;"'!$A$12:$Z$12"),0),0)="","?",VLOOKUP(AH$1,INDIRECT("'"&amp;$A100&amp;"'!$A$12:$Z$41"),MATCH("Points (Auto-generate)",INDIRECT("'"&amp;$A100&amp;"'!$A$12:$Z$12"),0),0)),"ER"))</f>
        <v>?</v>
      </c>
      <c r="AI100" s="83" t="str">
        <f aca="true">IF($H100=0,"NA",IF($A100=INDIRECT("'"&amp;$A100&amp;"'!$B$1"),IF(VLOOKUP(AI$1,INDIRECT("'"&amp;$A100&amp;"'!$A$12:$Z$41"),MATCH("Points (Auto-generate)",INDIRECT("'"&amp;$A100&amp;"'!$A$12:$Z$12"),0),0)="","?",VLOOKUP(AI$1,INDIRECT("'"&amp;$A100&amp;"'!$A$12:$Z$41"),MATCH("Points (Auto-generate)",INDIRECT("'"&amp;$A100&amp;"'!$A$12:$Z$12"),0),0)),"ER"))</f>
        <v>?</v>
      </c>
      <c r="AJ100" s="83" t="str">
        <f aca="true">IF($H100=0,"NA",IF($A100=INDIRECT("'"&amp;$A100&amp;"'!$B$1"),IF(VLOOKUP(AJ$1,INDIRECT("'"&amp;$A100&amp;"'!$A$12:$Z$41"),MATCH("Points (Auto-generate)",INDIRECT("'"&amp;$A100&amp;"'!$A$12:$Z$12"),0),0)="","?",VLOOKUP(AJ$1,INDIRECT("'"&amp;$A100&amp;"'!$A$12:$Z$41"),MATCH("Points (Auto-generate)",INDIRECT("'"&amp;$A100&amp;"'!$A$12:$Z$12"),0),0)),"ER"))</f>
        <v>?</v>
      </c>
      <c r="AK100" s="83" t="str">
        <f aca="true">IF($H100=0,"NA",IF($A100=INDIRECT("'"&amp;$A100&amp;"'!$B$1"),IF(VLOOKUP(AK$1,INDIRECT("'"&amp;$A100&amp;"'!$A$12:$Z$41"),MATCH("Points (Auto-generate)",INDIRECT("'"&amp;$A100&amp;"'!$A$12:$Z$12"),0),0)="","?",VLOOKUP(AK$1,INDIRECT("'"&amp;$A100&amp;"'!$A$12:$Z$41"),MATCH("Points (Auto-generate)",INDIRECT("'"&amp;$A100&amp;"'!$A$12:$Z$12"),0),0)),"ER"))</f>
        <v>?</v>
      </c>
    </row>
    <row r="101" customFormat="false" ht="14.25" hidden="false" customHeight="false" outlineLevel="0" collapsed="false">
      <c r="A101" s="79" t="s">
        <v>382</v>
      </c>
      <c r="B101" s="80" t="str">
        <f aca="false">IF(ISBLANK($A101),"NO_CODE",VLOOKUP($A101,'UPD Questions_290926 '!$E$1:$N$300,MATCH(B$1,'UPD Questions_290926 '!$E$1:$N$1,0),0)&amp;"")</f>
        <v>Implementation</v>
      </c>
      <c r="C101" s="80" t="str">
        <f aca="false">IF(ISBLANK($A101),"NO_CODE",VLOOKUP($A101,'UPD Questions_290926 '!$E$1:$N$300,MATCH(C$1,'UPD Questions_290926 '!$E$1:$N$1,0),0)&amp;"")</f>
        <v>Development Control Regulations and land-management instruments</v>
      </c>
      <c r="D101" s="80" t="str">
        <f aca="false">IF(ISBLANK($A101),"NO_CODE",VLOOKUP($A101,'UPD Questions_290926 '!$E$1:$N$300,MATCH(D$1,'UPD Questions_290926 '!$E$1:$N$1,0),0)&amp;"")</f>
        <v>Land-management instruments</v>
      </c>
      <c r="E101" s="80" t="str">
        <f aca="false">IF(ISBLANK($A101),"NO_CODE",VLOOKUP($A101,'UPD Questions_290926 '!$E$1:$N$300,MATCH(E$1,'UPD Questions_290926 '!$E$1:$N$1,0),0)&amp;"")</f>
        <v>MQ</v>
      </c>
      <c r="F101" s="80" t="str">
        <f aca="false">IF(ISBLANK($A101),"NO_CODE",VLOOKUP($A101,'UPD Questions_290926 '!$E$1:$N$300,MATCH(F$1,'UPD Questions_290926 '!$E$1:$N$1,0),0)&amp;"")</f>
        <v>Does the law enable a guaranteed land pooling system ?</v>
      </c>
      <c r="G101" s="80" t="str">
        <f aca="false">IF(ISBLANK($A101),"NO_CODE",VLOOKUP($A101,'UPD Questions_290926 '!$E$1:$N$300,MATCH(G$1,'UPD Questions_290926 '!$E$1:$N$1,0),0)&amp;"")</f>
        <v>Law or Policy</v>
      </c>
      <c r="H101" s="82" t="n">
        <f aca="false">IF(ISBLANK($A101),"NO_CODE",VLOOKUP($A101,'UPD Questions_290926 '!$E$1:$N$300,MATCH(H$1,'UPD Questions_290926 '!$E$1:$N$1,0),0))</f>
        <v>10</v>
      </c>
      <c r="I101" s="83" t="str">
        <f aca="true">IF($H101=0,"NA",IF($A101=INDIRECT("'"&amp;$A101&amp;"'!$B$1"),IF(VLOOKUP(I$1,INDIRECT("'"&amp;$A101&amp;"'!$A$12:$Z$41"),MATCH("Points (Auto-generate)",INDIRECT("'"&amp;$A101&amp;"'!$A$12:$Z$12"),0),0)="","?",VLOOKUP(I$1,INDIRECT("'"&amp;$A101&amp;"'!$A$12:$Z$41"),MATCH("Points (Auto-generate)",INDIRECT("'"&amp;$A101&amp;"'!$A$12:$Z$12"),0),0)),"ER"))</f>
        <v>?</v>
      </c>
      <c r="J101" s="83" t="str">
        <f aca="true">IF($H101=0,"NA",IF($A101=INDIRECT("'"&amp;$A101&amp;"'!$B$1"),IF(VLOOKUP(J$1,INDIRECT("'"&amp;$A101&amp;"'!$A$12:$Z$41"),MATCH("Points (Auto-generate)",INDIRECT("'"&amp;$A101&amp;"'!$A$12:$Z$12"),0),0)="","?",VLOOKUP(J$1,INDIRECT("'"&amp;$A101&amp;"'!$A$12:$Z$41"),MATCH("Points (Auto-generate)",INDIRECT("'"&amp;$A101&amp;"'!$A$12:$Z$12"),0),0)),"ER"))</f>
        <v>?</v>
      </c>
      <c r="K101" s="83" t="str">
        <f aca="true">IF($H101=0,"NA",IF($A101=INDIRECT("'"&amp;$A101&amp;"'!$B$1"),IF(VLOOKUP(K$1,INDIRECT("'"&amp;$A101&amp;"'!$A$12:$Z$41"),MATCH("Points (Auto-generate)",INDIRECT("'"&amp;$A101&amp;"'!$A$12:$Z$12"),0),0)="","?",VLOOKUP(K$1,INDIRECT("'"&amp;$A101&amp;"'!$A$12:$Z$41"),MATCH("Points (Auto-generate)",INDIRECT("'"&amp;$A101&amp;"'!$A$12:$Z$12"),0),0)),"ER"))</f>
        <v>?</v>
      </c>
      <c r="L101" s="83" t="str">
        <f aca="true">IF($H101=0,"NA",IF($A101=INDIRECT("'"&amp;$A101&amp;"'!$B$1"),IF(VLOOKUP(L$1,INDIRECT("'"&amp;$A101&amp;"'!$A$12:$Z$41"),MATCH("Points (Auto-generate)",INDIRECT("'"&amp;$A101&amp;"'!$A$12:$Z$12"),0),0)="","?",VLOOKUP(L$1,INDIRECT("'"&amp;$A101&amp;"'!$A$12:$Z$41"),MATCH("Points (Auto-generate)",INDIRECT("'"&amp;$A101&amp;"'!$A$12:$Z$12"),0),0)),"ER"))</f>
        <v>?</v>
      </c>
      <c r="M101" s="83" t="str">
        <f aca="true">IF($H101=0,"NA",IF($A101=INDIRECT("'"&amp;$A101&amp;"'!$B$1"),IF(VLOOKUP(M$1,INDIRECT("'"&amp;$A101&amp;"'!$A$12:$Z$41"),MATCH("Points (Auto-generate)",INDIRECT("'"&amp;$A101&amp;"'!$A$12:$Z$12"),0),0)="","?",VLOOKUP(M$1,INDIRECT("'"&amp;$A101&amp;"'!$A$12:$Z$41"),MATCH("Points (Auto-generate)",INDIRECT("'"&amp;$A101&amp;"'!$A$12:$Z$12"),0),0)),"ER"))</f>
        <v>?</v>
      </c>
      <c r="N101" s="83" t="str">
        <f aca="true">IF($H101=0,"NA",IF($A101=INDIRECT("'"&amp;$A101&amp;"'!$B$1"),IF(VLOOKUP(N$1,INDIRECT("'"&amp;$A101&amp;"'!$A$12:$Z$41"),MATCH("Points (Auto-generate)",INDIRECT("'"&amp;$A101&amp;"'!$A$12:$Z$12"),0),0)="","?",VLOOKUP(N$1,INDIRECT("'"&amp;$A101&amp;"'!$A$12:$Z$41"),MATCH("Points (Auto-generate)",INDIRECT("'"&amp;$A101&amp;"'!$A$12:$Z$12"),0),0)),"ER"))</f>
        <v>?</v>
      </c>
      <c r="O101" s="83" t="str">
        <f aca="true">IF($H101=0,"NA",IF($A101=INDIRECT("'"&amp;$A101&amp;"'!$B$1"),IF(VLOOKUP(O$1,INDIRECT("'"&amp;$A101&amp;"'!$A$12:$Z$41"),MATCH("Points (Auto-generate)",INDIRECT("'"&amp;$A101&amp;"'!$A$12:$Z$12"),0),0)="","?",VLOOKUP(O$1,INDIRECT("'"&amp;$A101&amp;"'!$A$12:$Z$41"),MATCH("Points (Auto-generate)",INDIRECT("'"&amp;$A101&amp;"'!$A$12:$Z$12"),0),0)),"ER"))</f>
        <v>?</v>
      </c>
      <c r="P101" s="83" t="str">
        <f aca="true">IF($H101=0,"NA",IF($A101=INDIRECT("'"&amp;$A101&amp;"'!$B$1"),IF(VLOOKUP(P$1,INDIRECT("'"&amp;$A101&amp;"'!$A$12:$Z$41"),MATCH("Points (Auto-generate)",INDIRECT("'"&amp;$A101&amp;"'!$A$12:$Z$12"),0),0)="","?",VLOOKUP(P$1,INDIRECT("'"&amp;$A101&amp;"'!$A$12:$Z$41"),MATCH("Points (Auto-generate)",INDIRECT("'"&amp;$A101&amp;"'!$A$12:$Z$12"),0),0)),"ER"))</f>
        <v>?</v>
      </c>
      <c r="Q101" s="83" t="str">
        <f aca="true">IF($H101=0,"NA",IF($A101=INDIRECT("'"&amp;$A101&amp;"'!$B$1"),IF(VLOOKUP(Q$1,INDIRECT("'"&amp;$A101&amp;"'!$A$12:$Z$41"),MATCH("Points (Auto-generate)",INDIRECT("'"&amp;$A101&amp;"'!$A$12:$Z$12"),0),0)="","?",VLOOKUP(Q$1,INDIRECT("'"&amp;$A101&amp;"'!$A$12:$Z$41"),MATCH("Points (Auto-generate)",INDIRECT("'"&amp;$A101&amp;"'!$A$12:$Z$12"),0),0)),"ER"))</f>
        <v>?</v>
      </c>
      <c r="R101" s="83" t="str">
        <f aca="true">IF($H101=0,"NA",IF($A101=INDIRECT("'"&amp;$A101&amp;"'!$B$1"),IF(VLOOKUP(R$1,INDIRECT("'"&amp;$A101&amp;"'!$A$12:$Z$41"),MATCH("Points (Auto-generate)",INDIRECT("'"&amp;$A101&amp;"'!$A$12:$Z$12"),0),0)="","?",VLOOKUP(R$1,INDIRECT("'"&amp;$A101&amp;"'!$A$12:$Z$41"),MATCH("Points (Auto-generate)",INDIRECT("'"&amp;$A101&amp;"'!$A$12:$Z$12"),0),0)),"ER"))</f>
        <v>?</v>
      </c>
      <c r="S101" s="83" t="str">
        <f aca="true">IF($H101=0,"NA",IF($A101=INDIRECT("'"&amp;$A101&amp;"'!$B$1"),IF(VLOOKUP(S$1,INDIRECT("'"&amp;$A101&amp;"'!$A$12:$Z$41"),MATCH("Points (Auto-generate)",INDIRECT("'"&amp;$A101&amp;"'!$A$12:$Z$12"),0),0)="","?",VLOOKUP(S$1,INDIRECT("'"&amp;$A101&amp;"'!$A$12:$Z$41"),MATCH("Points (Auto-generate)",INDIRECT("'"&amp;$A101&amp;"'!$A$12:$Z$12"),0),0)),"ER"))</f>
        <v>?</v>
      </c>
      <c r="T101" s="83" t="str">
        <f aca="true">IF($H101=0,"NA",IF($A101=INDIRECT("'"&amp;$A101&amp;"'!$B$1"),IF(VLOOKUP(T$1,INDIRECT("'"&amp;$A101&amp;"'!$A$12:$Z$41"),MATCH("Points (Auto-generate)",INDIRECT("'"&amp;$A101&amp;"'!$A$12:$Z$12"),0),0)="","?",VLOOKUP(T$1,INDIRECT("'"&amp;$A101&amp;"'!$A$12:$Z$41"),MATCH("Points (Auto-generate)",INDIRECT("'"&amp;$A101&amp;"'!$A$12:$Z$12"),0),0)),"ER"))</f>
        <v>?</v>
      </c>
      <c r="U101" s="83" t="str">
        <f aca="true">IF($H101=0,"NA",IF($A101=INDIRECT("'"&amp;$A101&amp;"'!$B$1"),IF(VLOOKUP(U$1,INDIRECT("'"&amp;$A101&amp;"'!$A$12:$Z$41"),MATCH("Points (Auto-generate)",INDIRECT("'"&amp;$A101&amp;"'!$A$12:$Z$12"),0),0)="","?",VLOOKUP(U$1,INDIRECT("'"&amp;$A101&amp;"'!$A$12:$Z$41"),MATCH("Points (Auto-generate)",INDIRECT("'"&amp;$A101&amp;"'!$A$12:$Z$12"),0),0)),"ER"))</f>
        <v>?</v>
      </c>
      <c r="V101" s="83" t="str">
        <f aca="true">IF($H101=0,"NA",IF($A101=INDIRECT("'"&amp;$A101&amp;"'!$B$1"),IF(VLOOKUP(V$1,INDIRECT("'"&amp;$A101&amp;"'!$A$12:$Z$41"),MATCH("Points (Auto-generate)",INDIRECT("'"&amp;$A101&amp;"'!$A$12:$Z$12"),0),0)="","?",VLOOKUP(V$1,INDIRECT("'"&amp;$A101&amp;"'!$A$12:$Z$41"),MATCH("Points (Auto-generate)",INDIRECT("'"&amp;$A101&amp;"'!$A$12:$Z$12"),0),0)),"ER"))</f>
        <v>?</v>
      </c>
      <c r="W101" s="83" t="str">
        <f aca="true">IF($H101=0,"NA",IF($A101=INDIRECT("'"&amp;$A101&amp;"'!$B$1"),IF(VLOOKUP(W$1,INDIRECT("'"&amp;$A101&amp;"'!$A$12:$Z$41"),MATCH("Points (Auto-generate)",INDIRECT("'"&amp;$A101&amp;"'!$A$12:$Z$12"),0),0)="","?",VLOOKUP(W$1,INDIRECT("'"&amp;$A101&amp;"'!$A$12:$Z$41"),MATCH("Points (Auto-generate)",INDIRECT("'"&amp;$A101&amp;"'!$A$12:$Z$12"),0),0)),"ER"))</f>
        <v>?</v>
      </c>
      <c r="X101" s="83" t="str">
        <f aca="true">IF($H101=0,"NA",IF($A101=INDIRECT("'"&amp;$A101&amp;"'!$B$1"),IF(VLOOKUP(X$1,INDIRECT("'"&amp;$A101&amp;"'!$A$12:$Z$41"),MATCH("Points (Auto-generate)",INDIRECT("'"&amp;$A101&amp;"'!$A$12:$Z$12"),0),0)="","?",VLOOKUP(X$1,INDIRECT("'"&amp;$A101&amp;"'!$A$12:$Z$41"),MATCH("Points (Auto-generate)",INDIRECT("'"&amp;$A101&amp;"'!$A$12:$Z$12"),0),0)),"ER"))</f>
        <v>?</v>
      </c>
      <c r="Y101" s="83" t="str">
        <f aca="true">IF($H101=0,"NA",IF($A101=INDIRECT("'"&amp;$A101&amp;"'!$B$1"),IF(VLOOKUP(Y$1,INDIRECT("'"&amp;$A101&amp;"'!$A$12:$Z$41"),MATCH("Points (Auto-generate)",INDIRECT("'"&amp;$A101&amp;"'!$A$12:$Z$12"),0),0)="","?",VLOOKUP(Y$1,INDIRECT("'"&amp;$A101&amp;"'!$A$12:$Z$41"),MATCH("Points (Auto-generate)",INDIRECT("'"&amp;$A101&amp;"'!$A$12:$Z$12"),0),0)),"ER"))</f>
        <v>?</v>
      </c>
      <c r="Z101" s="83" t="str">
        <f aca="true">IF($H101=0,"NA",IF($A101=INDIRECT("'"&amp;$A101&amp;"'!$B$1"),IF(VLOOKUP(Z$1,INDIRECT("'"&amp;$A101&amp;"'!$A$12:$Z$41"),MATCH("Points (Auto-generate)",INDIRECT("'"&amp;$A101&amp;"'!$A$12:$Z$12"),0),0)="","?",VLOOKUP(Z$1,INDIRECT("'"&amp;$A101&amp;"'!$A$12:$Z$41"),MATCH("Points (Auto-generate)",INDIRECT("'"&amp;$A101&amp;"'!$A$12:$Z$12"),0),0)),"ER"))</f>
        <v>?</v>
      </c>
      <c r="AA101" s="83" t="str">
        <f aca="true">IF($H101=0,"NA",IF($A101=INDIRECT("'"&amp;$A101&amp;"'!$B$1"),IF(VLOOKUP(AA$1,INDIRECT("'"&amp;$A101&amp;"'!$A$12:$Z$41"),MATCH("Points (Auto-generate)",INDIRECT("'"&amp;$A101&amp;"'!$A$12:$Z$12"),0),0)="","?",VLOOKUP(AA$1,INDIRECT("'"&amp;$A101&amp;"'!$A$12:$Z$41"),MATCH("Points (Auto-generate)",INDIRECT("'"&amp;$A101&amp;"'!$A$12:$Z$12"),0),0)),"ER"))</f>
        <v>?</v>
      </c>
      <c r="AB101" s="83" t="str">
        <f aca="true">IF($H101=0,"NA",IF($A101=INDIRECT("'"&amp;$A101&amp;"'!$B$1"),IF(VLOOKUP(AB$1,INDIRECT("'"&amp;$A101&amp;"'!$A$12:$Z$41"),MATCH("Points (Auto-generate)",INDIRECT("'"&amp;$A101&amp;"'!$A$12:$Z$12"),0),0)="","?",VLOOKUP(AB$1,INDIRECT("'"&amp;$A101&amp;"'!$A$12:$Z$41"),MATCH("Points (Auto-generate)",INDIRECT("'"&amp;$A101&amp;"'!$A$12:$Z$12"),0),0)),"ER"))</f>
        <v>?</v>
      </c>
      <c r="AC101" s="83" t="n">
        <f aca="true">IF($H101=0,"NA",IF($A101=INDIRECT("'"&amp;$A101&amp;"'!$B$1"),IF(VLOOKUP(AC$1,INDIRECT("'"&amp;$A101&amp;"'!$A$12:$Z$41"),MATCH("Points (Auto-generate)",INDIRECT("'"&amp;$A101&amp;"'!$A$12:$Z$12"),0),0)="","?",VLOOKUP(AC$1,INDIRECT("'"&amp;$A101&amp;"'!$A$12:$Z$41"),MATCH("Points (Auto-generate)",INDIRECT("'"&amp;$A101&amp;"'!$A$12:$Z$12"),0),0)),"ER"))</f>
        <v>10</v>
      </c>
      <c r="AD101" s="83" t="str">
        <f aca="true">IF($H101=0,"NA",IF($A101=INDIRECT("'"&amp;$A101&amp;"'!$B$1"),IF(VLOOKUP(AD$1,INDIRECT("'"&amp;$A101&amp;"'!$A$12:$Z$41"),MATCH("Points (Auto-generate)",INDIRECT("'"&amp;$A101&amp;"'!$A$12:$Z$12"),0),0)="","?",VLOOKUP(AD$1,INDIRECT("'"&amp;$A101&amp;"'!$A$12:$Z$41"),MATCH("Points (Auto-generate)",INDIRECT("'"&amp;$A101&amp;"'!$A$12:$Z$12"),0),0)),"ER"))</f>
        <v>?</v>
      </c>
      <c r="AE101" s="83" t="str">
        <f aca="true">IF($H101=0,"NA",IF($A101=INDIRECT("'"&amp;$A101&amp;"'!$B$1"),IF(VLOOKUP(AE$1,INDIRECT("'"&amp;$A101&amp;"'!$A$12:$Z$41"),MATCH("Points (Auto-generate)",INDIRECT("'"&amp;$A101&amp;"'!$A$12:$Z$12"),0),0)="","?",VLOOKUP(AE$1,INDIRECT("'"&amp;$A101&amp;"'!$A$12:$Z$41"),MATCH("Points (Auto-generate)",INDIRECT("'"&amp;$A101&amp;"'!$A$12:$Z$12"),0),0)),"ER"))</f>
        <v>?</v>
      </c>
      <c r="AF101" s="83" t="str">
        <f aca="true">IF($H101=0,"NA",IF($A101=INDIRECT("'"&amp;$A101&amp;"'!$B$1"),IF(VLOOKUP(AF$1,INDIRECT("'"&amp;$A101&amp;"'!$A$12:$Z$41"),MATCH("Points (Auto-generate)",INDIRECT("'"&amp;$A101&amp;"'!$A$12:$Z$12"),0),0)="","?",VLOOKUP(AF$1,INDIRECT("'"&amp;$A101&amp;"'!$A$12:$Z$41"),MATCH("Points (Auto-generate)",INDIRECT("'"&amp;$A101&amp;"'!$A$12:$Z$12"),0),0)),"ER"))</f>
        <v>?</v>
      </c>
      <c r="AG101" s="83" t="str">
        <f aca="true">IF($H101=0,"NA",IF($A101=INDIRECT("'"&amp;$A101&amp;"'!$B$1"),IF(VLOOKUP(AG$1,INDIRECT("'"&amp;$A101&amp;"'!$A$12:$Z$41"),MATCH("Points (Auto-generate)",INDIRECT("'"&amp;$A101&amp;"'!$A$12:$Z$12"),0),0)="","?",VLOOKUP(AG$1,INDIRECT("'"&amp;$A101&amp;"'!$A$12:$Z$41"),MATCH("Points (Auto-generate)",INDIRECT("'"&amp;$A101&amp;"'!$A$12:$Z$12"),0),0)),"ER"))</f>
        <v>?</v>
      </c>
      <c r="AH101" s="83" t="str">
        <f aca="true">IF($H101=0,"NA",IF($A101=INDIRECT("'"&amp;$A101&amp;"'!$B$1"),IF(VLOOKUP(AH$1,INDIRECT("'"&amp;$A101&amp;"'!$A$12:$Z$41"),MATCH("Points (Auto-generate)",INDIRECT("'"&amp;$A101&amp;"'!$A$12:$Z$12"),0),0)="","?",VLOOKUP(AH$1,INDIRECT("'"&amp;$A101&amp;"'!$A$12:$Z$41"),MATCH("Points (Auto-generate)",INDIRECT("'"&amp;$A101&amp;"'!$A$12:$Z$12"),0),0)),"ER"))</f>
        <v>?</v>
      </c>
      <c r="AI101" s="83" t="str">
        <f aca="true">IF($H101=0,"NA",IF($A101=INDIRECT("'"&amp;$A101&amp;"'!$B$1"),IF(VLOOKUP(AI$1,INDIRECT("'"&amp;$A101&amp;"'!$A$12:$Z$41"),MATCH("Points (Auto-generate)",INDIRECT("'"&amp;$A101&amp;"'!$A$12:$Z$12"),0),0)="","?",VLOOKUP(AI$1,INDIRECT("'"&amp;$A101&amp;"'!$A$12:$Z$41"),MATCH("Points (Auto-generate)",INDIRECT("'"&amp;$A101&amp;"'!$A$12:$Z$12"),0),0)),"ER"))</f>
        <v>?</v>
      </c>
      <c r="AJ101" s="83" t="str">
        <f aca="true">IF($H101=0,"NA",IF($A101=INDIRECT("'"&amp;$A101&amp;"'!$B$1"),IF(VLOOKUP(AJ$1,INDIRECT("'"&amp;$A101&amp;"'!$A$12:$Z$41"),MATCH("Points (Auto-generate)",INDIRECT("'"&amp;$A101&amp;"'!$A$12:$Z$12"),0),0)="","?",VLOOKUP(AJ$1,INDIRECT("'"&amp;$A101&amp;"'!$A$12:$Z$41"),MATCH("Points (Auto-generate)",INDIRECT("'"&amp;$A101&amp;"'!$A$12:$Z$12"),0),0)),"ER"))</f>
        <v>?</v>
      </c>
      <c r="AK101" s="83" t="str">
        <f aca="true">IF($H101=0,"NA",IF($A101=INDIRECT("'"&amp;$A101&amp;"'!$B$1"),IF(VLOOKUP(AK$1,INDIRECT("'"&amp;$A101&amp;"'!$A$12:$Z$41"),MATCH("Points (Auto-generate)",INDIRECT("'"&amp;$A101&amp;"'!$A$12:$Z$12"),0),0)="","?",VLOOKUP(AK$1,INDIRECT("'"&amp;$A101&amp;"'!$A$12:$Z$41"),MATCH("Points (Auto-generate)",INDIRECT("'"&amp;$A101&amp;"'!$A$12:$Z$12"),0),0)),"ER"))</f>
        <v>?</v>
      </c>
    </row>
    <row r="102" customFormat="false" ht="14.25" hidden="false" customHeight="false" outlineLevel="0" collapsed="false">
      <c r="A102" s="79" t="s">
        <v>387</v>
      </c>
      <c r="B102" s="80" t="str">
        <f aca="false">IF(ISBLANK($A102),"NO_CODE",VLOOKUP($A102,'UPD Questions_290926 '!$E$1:$N$300,MATCH(B$1,'UPD Questions_290926 '!$E$1:$N$1,0),0)&amp;"")</f>
        <v>Implementation</v>
      </c>
      <c r="C102" s="80" t="str">
        <f aca="false">IF(ISBLANK($A102),"NO_CODE",VLOOKUP($A102,'UPD Questions_290926 '!$E$1:$N$300,MATCH(C$1,'UPD Questions_290926 '!$E$1:$N$1,0),0)&amp;"")</f>
        <v>Development Compliance</v>
      </c>
      <c r="D102" s="80" t="str">
        <f aca="false">IF(ISBLANK($A102),"NO_CODE",VLOOKUP($A102,'UPD Questions_290926 '!$E$1:$N$300,MATCH(D$1,'UPD Questions_290926 '!$E$1:$N$1,0),0)&amp;"")</f>
        <v>Development approvals</v>
      </c>
      <c r="E102" s="80" t="str">
        <f aca="false">IF(ISBLANK($A102),"NO_CODE",VLOOKUP($A102,'UPD Questions_290926 '!$E$1:$N$300,MATCH(E$1,'UPD Questions_290926 '!$E$1:$N$1,0),0)&amp;"")</f>
        <v>MQ</v>
      </c>
      <c r="F102" s="80" t="str">
        <f aca="false">IF(ISBLANK($A102),"NO_CODE",VLOOKUP($A102,'UPD Questions_290926 '!$E$1:$N$300,MATCH(F$1,'UPD Questions_290926 '!$E$1:$N$1,0),0)&amp;"")</f>
        <v>Does your city have a single window clearance process in place for  development projects that are in conformity with municipal/city plans?</v>
      </c>
      <c r="G102" s="80" t="str">
        <f aca="false">IF(ISBLANK($A102),"NO_CODE",VLOOKUP($A102,'UPD Questions_290926 '!$E$1:$N$300,MATCH(G$1,'UPD Questions_290926 '!$E$1:$N$1,0),0)&amp;"")</f>
        <v>Implementation</v>
      </c>
      <c r="H102" s="82" t="n">
        <f aca="false">IF(ISBLANK($A102),"NO_CODE",VLOOKUP($A102,'UPD Questions_290926 '!$E$1:$N$300,MATCH(H$1,'UPD Questions_290926 '!$E$1:$N$1,0),0))</f>
        <v>10</v>
      </c>
      <c r="I102" s="83" t="str">
        <f aca="true">IF($H102=0,"NA",IF($A102=INDIRECT("'"&amp;$A102&amp;"'!$B$1"),IF(VLOOKUP(I$1,INDIRECT("'"&amp;$A102&amp;"'!$A$12:$Z$41"),MATCH("Points (Auto-generate)",INDIRECT("'"&amp;$A102&amp;"'!$A$12:$Z$12"),0),0)="","?",VLOOKUP(I$1,INDIRECT("'"&amp;$A102&amp;"'!$A$12:$Z$41"),MATCH("Points (Auto-generate)",INDIRECT("'"&amp;$A102&amp;"'!$A$12:$Z$12"),0),0)),"ER"))</f>
        <v>?</v>
      </c>
      <c r="J102" s="83" t="str">
        <f aca="true">IF($H102=0,"NA",IF($A102=INDIRECT("'"&amp;$A102&amp;"'!$B$1"),IF(VLOOKUP(J$1,INDIRECT("'"&amp;$A102&amp;"'!$A$12:$Z$41"),MATCH("Points (Auto-generate)",INDIRECT("'"&amp;$A102&amp;"'!$A$12:$Z$12"),0),0)="","?",VLOOKUP(J$1,INDIRECT("'"&amp;$A102&amp;"'!$A$12:$Z$41"),MATCH("Points (Auto-generate)",INDIRECT("'"&amp;$A102&amp;"'!$A$12:$Z$12"),0),0)),"ER"))</f>
        <v>?</v>
      </c>
      <c r="K102" s="83" t="str">
        <f aca="true">IF($H102=0,"NA",IF($A102=INDIRECT("'"&amp;$A102&amp;"'!$B$1"),IF(VLOOKUP(K$1,INDIRECT("'"&amp;$A102&amp;"'!$A$12:$Z$41"),MATCH("Points (Auto-generate)",INDIRECT("'"&amp;$A102&amp;"'!$A$12:$Z$12"),0),0)="","?",VLOOKUP(K$1,INDIRECT("'"&amp;$A102&amp;"'!$A$12:$Z$41"),MATCH("Points (Auto-generate)",INDIRECT("'"&amp;$A102&amp;"'!$A$12:$Z$12"),0),0)),"ER"))</f>
        <v>?</v>
      </c>
      <c r="L102" s="83" t="str">
        <f aca="true">IF($H102=0,"NA",IF($A102=INDIRECT("'"&amp;$A102&amp;"'!$B$1"),IF(VLOOKUP(L$1,INDIRECT("'"&amp;$A102&amp;"'!$A$12:$Z$41"),MATCH("Points (Auto-generate)",INDIRECT("'"&amp;$A102&amp;"'!$A$12:$Z$12"),0),0)="","?",VLOOKUP(L$1,INDIRECT("'"&amp;$A102&amp;"'!$A$12:$Z$41"),MATCH("Points (Auto-generate)",INDIRECT("'"&amp;$A102&amp;"'!$A$12:$Z$12"),0),0)),"ER"))</f>
        <v>?</v>
      </c>
      <c r="M102" s="83" t="str">
        <f aca="true">IF($H102=0,"NA",IF($A102=INDIRECT("'"&amp;$A102&amp;"'!$B$1"),IF(VLOOKUP(M$1,INDIRECT("'"&amp;$A102&amp;"'!$A$12:$Z$41"),MATCH("Points (Auto-generate)",INDIRECT("'"&amp;$A102&amp;"'!$A$12:$Z$12"),0),0)="","?",VLOOKUP(M$1,INDIRECT("'"&amp;$A102&amp;"'!$A$12:$Z$41"),MATCH("Points (Auto-generate)",INDIRECT("'"&amp;$A102&amp;"'!$A$12:$Z$12"),0),0)),"ER"))</f>
        <v>?</v>
      </c>
      <c r="N102" s="83" t="str">
        <f aca="true">IF($H102=0,"NA",IF($A102=INDIRECT("'"&amp;$A102&amp;"'!$B$1"),IF(VLOOKUP(N$1,INDIRECT("'"&amp;$A102&amp;"'!$A$12:$Z$41"),MATCH("Points (Auto-generate)",INDIRECT("'"&amp;$A102&amp;"'!$A$12:$Z$12"),0),0)="","?",VLOOKUP(N$1,INDIRECT("'"&amp;$A102&amp;"'!$A$12:$Z$41"),MATCH("Points (Auto-generate)",INDIRECT("'"&amp;$A102&amp;"'!$A$12:$Z$12"),0),0)),"ER"))</f>
        <v>?</v>
      </c>
      <c r="O102" s="83" t="str">
        <f aca="true">IF($H102=0,"NA",IF($A102=INDIRECT("'"&amp;$A102&amp;"'!$B$1"),IF(VLOOKUP(O$1,INDIRECT("'"&amp;$A102&amp;"'!$A$12:$Z$41"),MATCH("Points (Auto-generate)",INDIRECT("'"&amp;$A102&amp;"'!$A$12:$Z$12"),0),0)="","?",VLOOKUP(O$1,INDIRECT("'"&amp;$A102&amp;"'!$A$12:$Z$41"),MATCH("Points (Auto-generate)",INDIRECT("'"&amp;$A102&amp;"'!$A$12:$Z$12"),0),0)),"ER"))</f>
        <v>?</v>
      </c>
      <c r="P102" s="83" t="str">
        <f aca="true">IF($H102=0,"NA",IF($A102=INDIRECT("'"&amp;$A102&amp;"'!$B$1"),IF(VLOOKUP(P$1,INDIRECT("'"&amp;$A102&amp;"'!$A$12:$Z$41"),MATCH("Points (Auto-generate)",INDIRECT("'"&amp;$A102&amp;"'!$A$12:$Z$12"),0),0)="","?",VLOOKUP(P$1,INDIRECT("'"&amp;$A102&amp;"'!$A$12:$Z$41"),MATCH("Points (Auto-generate)",INDIRECT("'"&amp;$A102&amp;"'!$A$12:$Z$12"),0),0)),"ER"))</f>
        <v>?</v>
      </c>
      <c r="Q102" s="83" t="str">
        <f aca="true">IF($H102=0,"NA",IF($A102=INDIRECT("'"&amp;$A102&amp;"'!$B$1"),IF(VLOOKUP(Q$1,INDIRECT("'"&amp;$A102&amp;"'!$A$12:$Z$41"),MATCH("Points (Auto-generate)",INDIRECT("'"&amp;$A102&amp;"'!$A$12:$Z$12"),0),0)="","?",VLOOKUP(Q$1,INDIRECT("'"&amp;$A102&amp;"'!$A$12:$Z$41"),MATCH("Points (Auto-generate)",INDIRECT("'"&amp;$A102&amp;"'!$A$12:$Z$12"),0),0)),"ER"))</f>
        <v>?</v>
      </c>
      <c r="R102" s="83" t="str">
        <f aca="true">IF($H102=0,"NA",IF($A102=INDIRECT("'"&amp;$A102&amp;"'!$B$1"),IF(VLOOKUP(R$1,INDIRECT("'"&amp;$A102&amp;"'!$A$12:$Z$41"),MATCH("Points (Auto-generate)",INDIRECT("'"&amp;$A102&amp;"'!$A$12:$Z$12"),0),0)="","?",VLOOKUP(R$1,INDIRECT("'"&amp;$A102&amp;"'!$A$12:$Z$41"),MATCH("Points (Auto-generate)",INDIRECT("'"&amp;$A102&amp;"'!$A$12:$Z$12"),0),0)),"ER"))</f>
        <v>?</v>
      </c>
      <c r="S102" s="83" t="str">
        <f aca="true">IF($H102=0,"NA",IF($A102=INDIRECT("'"&amp;$A102&amp;"'!$B$1"),IF(VLOOKUP(S$1,INDIRECT("'"&amp;$A102&amp;"'!$A$12:$Z$41"),MATCH("Points (Auto-generate)",INDIRECT("'"&amp;$A102&amp;"'!$A$12:$Z$12"),0),0)="","?",VLOOKUP(S$1,INDIRECT("'"&amp;$A102&amp;"'!$A$12:$Z$41"),MATCH("Points (Auto-generate)",INDIRECT("'"&amp;$A102&amp;"'!$A$12:$Z$12"),0),0)),"ER"))</f>
        <v>?</v>
      </c>
      <c r="T102" s="83" t="str">
        <f aca="true">IF($H102=0,"NA",IF($A102=INDIRECT("'"&amp;$A102&amp;"'!$B$1"),IF(VLOOKUP(T$1,INDIRECT("'"&amp;$A102&amp;"'!$A$12:$Z$41"),MATCH("Points (Auto-generate)",INDIRECT("'"&amp;$A102&amp;"'!$A$12:$Z$12"),0),0)="","?",VLOOKUP(T$1,INDIRECT("'"&amp;$A102&amp;"'!$A$12:$Z$41"),MATCH("Points (Auto-generate)",INDIRECT("'"&amp;$A102&amp;"'!$A$12:$Z$12"),0),0)),"ER"))</f>
        <v>?</v>
      </c>
      <c r="U102" s="83" t="str">
        <f aca="true">IF($H102=0,"NA",IF($A102=INDIRECT("'"&amp;$A102&amp;"'!$B$1"),IF(VLOOKUP(U$1,INDIRECT("'"&amp;$A102&amp;"'!$A$12:$Z$41"),MATCH("Points (Auto-generate)",INDIRECT("'"&amp;$A102&amp;"'!$A$12:$Z$12"),0),0)="","?",VLOOKUP(U$1,INDIRECT("'"&amp;$A102&amp;"'!$A$12:$Z$41"),MATCH("Points (Auto-generate)",INDIRECT("'"&amp;$A102&amp;"'!$A$12:$Z$12"),0),0)),"ER"))</f>
        <v>?</v>
      </c>
      <c r="V102" s="83" t="str">
        <f aca="true">IF($H102=0,"NA",IF($A102=INDIRECT("'"&amp;$A102&amp;"'!$B$1"),IF(VLOOKUP(V$1,INDIRECT("'"&amp;$A102&amp;"'!$A$12:$Z$41"),MATCH("Points (Auto-generate)",INDIRECT("'"&amp;$A102&amp;"'!$A$12:$Z$12"),0),0)="","?",VLOOKUP(V$1,INDIRECT("'"&amp;$A102&amp;"'!$A$12:$Z$41"),MATCH("Points (Auto-generate)",INDIRECT("'"&amp;$A102&amp;"'!$A$12:$Z$12"),0),0)),"ER"))</f>
        <v>?</v>
      </c>
      <c r="W102" s="83" t="str">
        <f aca="true">IF($H102=0,"NA",IF($A102=INDIRECT("'"&amp;$A102&amp;"'!$B$1"),IF(VLOOKUP(W$1,INDIRECT("'"&amp;$A102&amp;"'!$A$12:$Z$41"),MATCH("Points (Auto-generate)",INDIRECT("'"&amp;$A102&amp;"'!$A$12:$Z$12"),0),0)="","?",VLOOKUP(W$1,INDIRECT("'"&amp;$A102&amp;"'!$A$12:$Z$41"),MATCH("Points (Auto-generate)",INDIRECT("'"&amp;$A102&amp;"'!$A$12:$Z$12"),0),0)),"ER"))</f>
        <v>?</v>
      </c>
      <c r="X102" s="83" t="str">
        <f aca="true">IF($H102=0,"NA",IF($A102=INDIRECT("'"&amp;$A102&amp;"'!$B$1"),IF(VLOOKUP(X$1,INDIRECT("'"&amp;$A102&amp;"'!$A$12:$Z$41"),MATCH("Points (Auto-generate)",INDIRECT("'"&amp;$A102&amp;"'!$A$12:$Z$12"),0),0)="","?",VLOOKUP(X$1,INDIRECT("'"&amp;$A102&amp;"'!$A$12:$Z$41"),MATCH("Points (Auto-generate)",INDIRECT("'"&amp;$A102&amp;"'!$A$12:$Z$12"),0),0)),"ER"))</f>
        <v>?</v>
      </c>
      <c r="Y102" s="83" t="str">
        <f aca="true">IF($H102=0,"NA",IF($A102=INDIRECT("'"&amp;$A102&amp;"'!$B$1"),IF(VLOOKUP(Y$1,INDIRECT("'"&amp;$A102&amp;"'!$A$12:$Z$41"),MATCH("Points (Auto-generate)",INDIRECT("'"&amp;$A102&amp;"'!$A$12:$Z$12"),0),0)="","?",VLOOKUP(Y$1,INDIRECT("'"&amp;$A102&amp;"'!$A$12:$Z$41"),MATCH("Points (Auto-generate)",INDIRECT("'"&amp;$A102&amp;"'!$A$12:$Z$12"),0),0)),"ER"))</f>
        <v>?</v>
      </c>
      <c r="Z102" s="83" t="str">
        <f aca="true">IF($H102=0,"NA",IF($A102=INDIRECT("'"&amp;$A102&amp;"'!$B$1"),IF(VLOOKUP(Z$1,INDIRECT("'"&amp;$A102&amp;"'!$A$12:$Z$41"),MATCH("Points (Auto-generate)",INDIRECT("'"&amp;$A102&amp;"'!$A$12:$Z$12"),0),0)="","?",VLOOKUP(Z$1,INDIRECT("'"&amp;$A102&amp;"'!$A$12:$Z$41"),MATCH("Points (Auto-generate)",INDIRECT("'"&amp;$A102&amp;"'!$A$12:$Z$12"),0),0)),"ER"))</f>
        <v>?</v>
      </c>
      <c r="AA102" s="83" t="str">
        <f aca="true">IF($H102=0,"NA",IF($A102=INDIRECT("'"&amp;$A102&amp;"'!$B$1"),IF(VLOOKUP(AA$1,INDIRECT("'"&amp;$A102&amp;"'!$A$12:$Z$41"),MATCH("Points (Auto-generate)",INDIRECT("'"&amp;$A102&amp;"'!$A$12:$Z$12"),0),0)="","?",VLOOKUP(AA$1,INDIRECT("'"&amp;$A102&amp;"'!$A$12:$Z$41"),MATCH("Points (Auto-generate)",INDIRECT("'"&amp;$A102&amp;"'!$A$12:$Z$12"),0),0)),"ER"))</f>
        <v>?</v>
      </c>
      <c r="AB102" s="83" t="str">
        <f aca="true">IF($H102=0,"NA",IF($A102=INDIRECT("'"&amp;$A102&amp;"'!$B$1"),IF(VLOOKUP(AB$1,INDIRECT("'"&amp;$A102&amp;"'!$A$12:$Z$41"),MATCH("Points (Auto-generate)",INDIRECT("'"&amp;$A102&amp;"'!$A$12:$Z$12"),0),0)="","?",VLOOKUP(AB$1,INDIRECT("'"&amp;$A102&amp;"'!$A$12:$Z$41"),MATCH("Points (Auto-generate)",INDIRECT("'"&amp;$A102&amp;"'!$A$12:$Z$12"),0),0)),"ER"))</f>
        <v>?</v>
      </c>
      <c r="AC102" s="83" t="str">
        <f aca="true">IF($H102=0,"NA",IF($A102=INDIRECT("'"&amp;$A102&amp;"'!$B$1"),IF(VLOOKUP(AC$1,INDIRECT("'"&amp;$A102&amp;"'!$A$12:$Z$41"),MATCH("Points (Auto-generate)",INDIRECT("'"&amp;$A102&amp;"'!$A$12:$Z$12"),0),0)="","?",VLOOKUP(AC$1,INDIRECT("'"&amp;$A102&amp;"'!$A$12:$Z$41"),MATCH("Points (Auto-generate)",INDIRECT("'"&amp;$A102&amp;"'!$A$12:$Z$12"),0),0)),"ER"))</f>
        <v>?</v>
      </c>
      <c r="AD102" s="83" t="str">
        <f aca="true">IF($H102=0,"NA",IF($A102=INDIRECT("'"&amp;$A102&amp;"'!$B$1"),IF(VLOOKUP(AD$1,INDIRECT("'"&amp;$A102&amp;"'!$A$12:$Z$41"),MATCH("Points (Auto-generate)",INDIRECT("'"&amp;$A102&amp;"'!$A$12:$Z$12"),0),0)="","?",VLOOKUP(AD$1,INDIRECT("'"&amp;$A102&amp;"'!$A$12:$Z$41"),MATCH("Points (Auto-generate)",INDIRECT("'"&amp;$A102&amp;"'!$A$12:$Z$12"),0),0)),"ER"))</f>
        <v>?</v>
      </c>
      <c r="AE102" s="83" t="str">
        <f aca="true">IF($H102=0,"NA",IF($A102=INDIRECT("'"&amp;$A102&amp;"'!$B$1"),IF(VLOOKUP(AE$1,INDIRECT("'"&amp;$A102&amp;"'!$A$12:$Z$41"),MATCH("Points (Auto-generate)",INDIRECT("'"&amp;$A102&amp;"'!$A$12:$Z$12"),0),0)="","?",VLOOKUP(AE$1,INDIRECT("'"&amp;$A102&amp;"'!$A$12:$Z$41"),MATCH("Points (Auto-generate)",INDIRECT("'"&amp;$A102&amp;"'!$A$12:$Z$12"),0),0)),"ER"))</f>
        <v>?</v>
      </c>
      <c r="AF102" s="83" t="str">
        <f aca="true">IF($H102=0,"NA",IF($A102=INDIRECT("'"&amp;$A102&amp;"'!$B$1"),IF(VLOOKUP(AF$1,INDIRECT("'"&amp;$A102&amp;"'!$A$12:$Z$41"),MATCH("Points (Auto-generate)",INDIRECT("'"&amp;$A102&amp;"'!$A$12:$Z$12"),0),0)="","?",VLOOKUP(AF$1,INDIRECT("'"&amp;$A102&amp;"'!$A$12:$Z$41"),MATCH("Points (Auto-generate)",INDIRECT("'"&amp;$A102&amp;"'!$A$12:$Z$12"),0),0)),"ER"))</f>
        <v>?</v>
      </c>
      <c r="AG102" s="83" t="str">
        <f aca="true">IF($H102=0,"NA",IF($A102=INDIRECT("'"&amp;$A102&amp;"'!$B$1"),IF(VLOOKUP(AG$1,INDIRECT("'"&amp;$A102&amp;"'!$A$12:$Z$41"),MATCH("Points (Auto-generate)",INDIRECT("'"&amp;$A102&amp;"'!$A$12:$Z$12"),0),0)="","?",VLOOKUP(AG$1,INDIRECT("'"&amp;$A102&amp;"'!$A$12:$Z$41"),MATCH("Points (Auto-generate)",INDIRECT("'"&amp;$A102&amp;"'!$A$12:$Z$12"),0),0)),"ER"))</f>
        <v>?</v>
      </c>
      <c r="AH102" s="83" t="str">
        <f aca="true">IF($H102=0,"NA",IF($A102=INDIRECT("'"&amp;$A102&amp;"'!$B$1"),IF(VLOOKUP(AH$1,INDIRECT("'"&amp;$A102&amp;"'!$A$12:$Z$41"),MATCH("Points (Auto-generate)",INDIRECT("'"&amp;$A102&amp;"'!$A$12:$Z$12"),0),0)="","?",VLOOKUP(AH$1,INDIRECT("'"&amp;$A102&amp;"'!$A$12:$Z$41"),MATCH("Points (Auto-generate)",INDIRECT("'"&amp;$A102&amp;"'!$A$12:$Z$12"),0),0)),"ER"))</f>
        <v>?</v>
      </c>
      <c r="AI102" s="83" t="str">
        <f aca="true">IF($H102=0,"NA",IF($A102=INDIRECT("'"&amp;$A102&amp;"'!$B$1"),IF(VLOOKUP(AI$1,INDIRECT("'"&amp;$A102&amp;"'!$A$12:$Z$41"),MATCH("Points (Auto-generate)",INDIRECT("'"&amp;$A102&amp;"'!$A$12:$Z$12"),0),0)="","?",VLOOKUP(AI$1,INDIRECT("'"&amp;$A102&amp;"'!$A$12:$Z$41"),MATCH("Points (Auto-generate)",INDIRECT("'"&amp;$A102&amp;"'!$A$12:$Z$12"),0),0)),"ER"))</f>
        <v>?</v>
      </c>
      <c r="AJ102" s="83" t="str">
        <f aca="true">IF($H102=0,"NA",IF($A102=INDIRECT("'"&amp;$A102&amp;"'!$B$1"),IF(VLOOKUP(AJ$1,INDIRECT("'"&amp;$A102&amp;"'!$A$12:$Z$41"),MATCH("Points (Auto-generate)",INDIRECT("'"&amp;$A102&amp;"'!$A$12:$Z$12"),0),0)="","?",VLOOKUP(AJ$1,INDIRECT("'"&amp;$A102&amp;"'!$A$12:$Z$41"),MATCH("Points (Auto-generate)",INDIRECT("'"&amp;$A102&amp;"'!$A$12:$Z$12"),0),0)),"ER"))</f>
        <v>?</v>
      </c>
      <c r="AK102" s="83" t="str">
        <f aca="true">IF($H102=0,"NA",IF($A102=INDIRECT("'"&amp;$A102&amp;"'!$B$1"),IF(VLOOKUP(AK$1,INDIRECT("'"&amp;$A102&amp;"'!$A$12:$Z$41"),MATCH("Points (Auto-generate)",INDIRECT("'"&amp;$A102&amp;"'!$A$12:$Z$12"),0),0)="","?",VLOOKUP(AK$1,INDIRECT("'"&amp;$A102&amp;"'!$A$12:$Z$41"),MATCH("Points (Auto-generate)",INDIRECT("'"&amp;$A102&amp;"'!$A$12:$Z$12"),0),0)),"ER"))</f>
        <v>?</v>
      </c>
    </row>
    <row r="103" customFormat="false" ht="14.25" hidden="false" customHeight="false" outlineLevel="0" collapsed="false">
      <c r="A103" s="79" t="s">
        <v>390</v>
      </c>
      <c r="B103" s="80" t="str">
        <f aca="false">IF(ISBLANK($A103),"NO_CODE",VLOOKUP($A103,'UPD Questions_290926 '!$E$1:$N$300,MATCH(B$1,'UPD Questions_290926 '!$E$1:$N$1,0),0)&amp;"")</f>
        <v>Enforcement</v>
      </c>
      <c r="C103" s="80" t="str">
        <f aca="false">IF(ISBLANK($A103),"NO_CODE",VLOOKUP($A103,'UPD Questions_290926 '!$E$1:$N$300,MATCH(C$1,'UPD Questions_290926 '!$E$1:$N$1,0),0)&amp;"")</f>
        <v>Development Compliance</v>
      </c>
      <c r="D103" s="80" t="str">
        <f aca="false">IF(ISBLANK($A103),"NO_CODE",VLOOKUP($A103,'UPD Questions_290926 '!$E$1:$N$300,MATCH(D$1,'UPD Questions_290926 '!$E$1:$N$1,0),0)&amp;"")</f>
        <v>Development approvals</v>
      </c>
      <c r="E103" s="80" t="str">
        <f aca="false">IF(ISBLANK($A103),"NO_CODE",VLOOKUP($A103,'UPD Questions_290926 '!$E$1:$N$300,MATCH(E$1,'UPD Questions_290926 '!$E$1:$N$1,0),0)&amp;"")</f>
        <v>MQ</v>
      </c>
      <c r="F103" s="80" t="str">
        <f aca="false">IF(ISBLANK($A103),"NO_CODE",VLOOKUP($A103,'UPD Questions_290926 '!$E$1:$N$300,MATCH(F$1,'UPD Questions_290926 '!$E$1:$N$1,0),0)&amp;"")</f>
        <v>Is there an effective system to prevent approval of plans that are not in conformity with municipal/city plan?</v>
      </c>
      <c r="G103" s="80" t="str">
        <f aca="false">IF(ISBLANK($A103),"NO_CODE",VLOOKUP($A103,'UPD Questions_290926 '!$E$1:$N$300,MATCH(G$1,'UPD Questions_290926 '!$E$1:$N$1,0),0)&amp;"")</f>
        <v>Law or Policy/Implementation</v>
      </c>
      <c r="H103" s="82" t="n">
        <f aca="false">IF(ISBLANK($A103),"NO_CODE",VLOOKUP($A103,'UPD Questions_290926 '!$E$1:$N$300,MATCH(H$1,'UPD Questions_290926 '!$E$1:$N$1,0),0))</f>
        <v>10</v>
      </c>
      <c r="I103" s="83" t="str">
        <f aca="true">IF($H103=0,"NA",IF($A103=INDIRECT("'"&amp;$A103&amp;"'!$B$1"),IF(VLOOKUP(I$1,INDIRECT("'"&amp;$A103&amp;"'!$A$12:$Z$41"),MATCH("Points (Auto-generate)",INDIRECT("'"&amp;$A103&amp;"'!$A$12:$Z$12"),0),0)="","?",VLOOKUP(I$1,INDIRECT("'"&amp;$A103&amp;"'!$A$12:$Z$41"),MATCH("Points (Auto-generate)",INDIRECT("'"&amp;$A103&amp;"'!$A$12:$Z$12"),0),0)),"ER"))</f>
        <v>?</v>
      </c>
      <c r="J103" s="83" t="str">
        <f aca="true">IF($H103=0,"NA",IF($A103=INDIRECT("'"&amp;$A103&amp;"'!$B$1"),IF(VLOOKUP(J$1,INDIRECT("'"&amp;$A103&amp;"'!$A$12:$Z$41"),MATCH("Points (Auto-generate)",INDIRECT("'"&amp;$A103&amp;"'!$A$12:$Z$12"),0),0)="","?",VLOOKUP(J$1,INDIRECT("'"&amp;$A103&amp;"'!$A$12:$Z$41"),MATCH("Points (Auto-generate)",INDIRECT("'"&amp;$A103&amp;"'!$A$12:$Z$12"),0),0)),"ER"))</f>
        <v>?</v>
      </c>
      <c r="K103" s="83" t="str">
        <f aca="true">IF($H103=0,"NA",IF($A103=INDIRECT("'"&amp;$A103&amp;"'!$B$1"),IF(VLOOKUP(K$1,INDIRECT("'"&amp;$A103&amp;"'!$A$12:$Z$41"),MATCH("Points (Auto-generate)",INDIRECT("'"&amp;$A103&amp;"'!$A$12:$Z$12"),0),0)="","?",VLOOKUP(K$1,INDIRECT("'"&amp;$A103&amp;"'!$A$12:$Z$41"),MATCH("Points (Auto-generate)",INDIRECT("'"&amp;$A103&amp;"'!$A$12:$Z$12"),0),0)),"ER"))</f>
        <v>?</v>
      </c>
      <c r="L103" s="83" t="str">
        <f aca="true">IF($H103=0,"NA",IF($A103=INDIRECT("'"&amp;$A103&amp;"'!$B$1"),IF(VLOOKUP(L$1,INDIRECT("'"&amp;$A103&amp;"'!$A$12:$Z$41"),MATCH("Points (Auto-generate)",INDIRECT("'"&amp;$A103&amp;"'!$A$12:$Z$12"),0),0)="","?",VLOOKUP(L$1,INDIRECT("'"&amp;$A103&amp;"'!$A$12:$Z$41"),MATCH("Points (Auto-generate)",INDIRECT("'"&amp;$A103&amp;"'!$A$12:$Z$12"),0),0)),"ER"))</f>
        <v>?</v>
      </c>
      <c r="M103" s="83" t="str">
        <f aca="true">IF($H103=0,"NA",IF($A103=INDIRECT("'"&amp;$A103&amp;"'!$B$1"),IF(VLOOKUP(M$1,INDIRECT("'"&amp;$A103&amp;"'!$A$12:$Z$41"),MATCH("Points (Auto-generate)",INDIRECT("'"&amp;$A103&amp;"'!$A$12:$Z$12"),0),0)="","?",VLOOKUP(M$1,INDIRECT("'"&amp;$A103&amp;"'!$A$12:$Z$41"),MATCH("Points (Auto-generate)",INDIRECT("'"&amp;$A103&amp;"'!$A$12:$Z$12"),0),0)),"ER"))</f>
        <v>?</v>
      </c>
      <c r="N103" s="83" t="str">
        <f aca="true">IF($H103=0,"NA",IF($A103=INDIRECT("'"&amp;$A103&amp;"'!$B$1"),IF(VLOOKUP(N$1,INDIRECT("'"&amp;$A103&amp;"'!$A$12:$Z$41"),MATCH("Points (Auto-generate)",INDIRECT("'"&amp;$A103&amp;"'!$A$12:$Z$12"),0),0)="","?",VLOOKUP(N$1,INDIRECT("'"&amp;$A103&amp;"'!$A$12:$Z$41"),MATCH("Points (Auto-generate)",INDIRECT("'"&amp;$A103&amp;"'!$A$12:$Z$12"),0),0)),"ER"))</f>
        <v>?</v>
      </c>
      <c r="O103" s="83" t="str">
        <f aca="true">IF($H103=0,"NA",IF($A103=INDIRECT("'"&amp;$A103&amp;"'!$B$1"),IF(VLOOKUP(O$1,INDIRECT("'"&amp;$A103&amp;"'!$A$12:$Z$41"),MATCH("Points (Auto-generate)",INDIRECT("'"&amp;$A103&amp;"'!$A$12:$Z$12"),0),0)="","?",VLOOKUP(O$1,INDIRECT("'"&amp;$A103&amp;"'!$A$12:$Z$41"),MATCH("Points (Auto-generate)",INDIRECT("'"&amp;$A103&amp;"'!$A$12:$Z$12"),0),0)),"ER"))</f>
        <v>?</v>
      </c>
      <c r="P103" s="83" t="str">
        <f aca="true">IF($H103=0,"NA",IF($A103=INDIRECT("'"&amp;$A103&amp;"'!$B$1"),IF(VLOOKUP(P$1,INDIRECT("'"&amp;$A103&amp;"'!$A$12:$Z$41"),MATCH("Points (Auto-generate)",INDIRECT("'"&amp;$A103&amp;"'!$A$12:$Z$12"),0),0)="","?",VLOOKUP(P$1,INDIRECT("'"&amp;$A103&amp;"'!$A$12:$Z$41"),MATCH("Points (Auto-generate)",INDIRECT("'"&amp;$A103&amp;"'!$A$12:$Z$12"),0),0)),"ER"))</f>
        <v>?</v>
      </c>
      <c r="Q103" s="83" t="str">
        <f aca="true">IF($H103=0,"NA",IF($A103=INDIRECT("'"&amp;$A103&amp;"'!$B$1"),IF(VLOOKUP(Q$1,INDIRECT("'"&amp;$A103&amp;"'!$A$12:$Z$41"),MATCH("Points (Auto-generate)",INDIRECT("'"&amp;$A103&amp;"'!$A$12:$Z$12"),0),0)="","?",VLOOKUP(Q$1,INDIRECT("'"&amp;$A103&amp;"'!$A$12:$Z$41"),MATCH("Points (Auto-generate)",INDIRECT("'"&amp;$A103&amp;"'!$A$12:$Z$12"),0),0)),"ER"))</f>
        <v>?</v>
      </c>
      <c r="R103" s="83" t="str">
        <f aca="true">IF($H103=0,"NA",IF($A103=INDIRECT("'"&amp;$A103&amp;"'!$B$1"),IF(VLOOKUP(R$1,INDIRECT("'"&amp;$A103&amp;"'!$A$12:$Z$41"),MATCH("Points (Auto-generate)",INDIRECT("'"&amp;$A103&amp;"'!$A$12:$Z$12"),0),0)="","?",VLOOKUP(R$1,INDIRECT("'"&amp;$A103&amp;"'!$A$12:$Z$41"),MATCH("Points (Auto-generate)",INDIRECT("'"&amp;$A103&amp;"'!$A$12:$Z$12"),0),0)),"ER"))</f>
        <v>?</v>
      </c>
      <c r="S103" s="83" t="str">
        <f aca="true">IF($H103=0,"NA",IF($A103=INDIRECT("'"&amp;$A103&amp;"'!$B$1"),IF(VLOOKUP(S$1,INDIRECT("'"&amp;$A103&amp;"'!$A$12:$Z$41"),MATCH("Points (Auto-generate)",INDIRECT("'"&amp;$A103&amp;"'!$A$12:$Z$12"),0),0)="","?",VLOOKUP(S$1,INDIRECT("'"&amp;$A103&amp;"'!$A$12:$Z$41"),MATCH("Points (Auto-generate)",INDIRECT("'"&amp;$A103&amp;"'!$A$12:$Z$12"),0),0)),"ER"))</f>
        <v>?</v>
      </c>
      <c r="T103" s="83" t="str">
        <f aca="true">IF($H103=0,"NA",IF($A103=INDIRECT("'"&amp;$A103&amp;"'!$B$1"),IF(VLOOKUP(T$1,INDIRECT("'"&amp;$A103&amp;"'!$A$12:$Z$41"),MATCH("Points (Auto-generate)",INDIRECT("'"&amp;$A103&amp;"'!$A$12:$Z$12"),0),0)="","?",VLOOKUP(T$1,INDIRECT("'"&amp;$A103&amp;"'!$A$12:$Z$41"),MATCH("Points (Auto-generate)",INDIRECT("'"&amp;$A103&amp;"'!$A$12:$Z$12"),0),0)),"ER"))</f>
        <v>?</v>
      </c>
      <c r="U103" s="83" t="str">
        <f aca="true">IF($H103=0,"NA",IF($A103=INDIRECT("'"&amp;$A103&amp;"'!$B$1"),IF(VLOOKUP(U$1,INDIRECT("'"&amp;$A103&amp;"'!$A$12:$Z$41"),MATCH("Points (Auto-generate)",INDIRECT("'"&amp;$A103&amp;"'!$A$12:$Z$12"),0),0)="","?",VLOOKUP(U$1,INDIRECT("'"&amp;$A103&amp;"'!$A$12:$Z$41"),MATCH("Points (Auto-generate)",INDIRECT("'"&amp;$A103&amp;"'!$A$12:$Z$12"),0),0)),"ER"))</f>
        <v>?</v>
      </c>
      <c r="V103" s="83" t="str">
        <f aca="true">IF($H103=0,"NA",IF($A103=INDIRECT("'"&amp;$A103&amp;"'!$B$1"),IF(VLOOKUP(V$1,INDIRECT("'"&amp;$A103&amp;"'!$A$12:$Z$41"),MATCH("Points (Auto-generate)",INDIRECT("'"&amp;$A103&amp;"'!$A$12:$Z$12"),0),0)="","?",VLOOKUP(V$1,INDIRECT("'"&amp;$A103&amp;"'!$A$12:$Z$41"),MATCH("Points (Auto-generate)",INDIRECT("'"&amp;$A103&amp;"'!$A$12:$Z$12"),0),0)),"ER"))</f>
        <v>?</v>
      </c>
      <c r="W103" s="83" t="str">
        <f aca="true">IF($H103=0,"NA",IF($A103=INDIRECT("'"&amp;$A103&amp;"'!$B$1"),IF(VLOOKUP(W$1,INDIRECT("'"&amp;$A103&amp;"'!$A$12:$Z$41"),MATCH("Points (Auto-generate)",INDIRECT("'"&amp;$A103&amp;"'!$A$12:$Z$12"),0),0)="","?",VLOOKUP(W$1,INDIRECT("'"&amp;$A103&amp;"'!$A$12:$Z$41"),MATCH("Points (Auto-generate)",INDIRECT("'"&amp;$A103&amp;"'!$A$12:$Z$12"),0),0)),"ER"))</f>
        <v>?</v>
      </c>
      <c r="X103" s="83" t="str">
        <f aca="true">IF($H103=0,"NA",IF($A103=INDIRECT("'"&amp;$A103&amp;"'!$B$1"),IF(VLOOKUP(X$1,INDIRECT("'"&amp;$A103&amp;"'!$A$12:$Z$41"),MATCH("Points (Auto-generate)",INDIRECT("'"&amp;$A103&amp;"'!$A$12:$Z$12"),0),0)="","?",VLOOKUP(X$1,INDIRECT("'"&amp;$A103&amp;"'!$A$12:$Z$41"),MATCH("Points (Auto-generate)",INDIRECT("'"&amp;$A103&amp;"'!$A$12:$Z$12"),0),0)),"ER"))</f>
        <v>?</v>
      </c>
      <c r="Y103" s="83" t="str">
        <f aca="true">IF($H103=0,"NA",IF($A103=INDIRECT("'"&amp;$A103&amp;"'!$B$1"),IF(VLOOKUP(Y$1,INDIRECT("'"&amp;$A103&amp;"'!$A$12:$Z$41"),MATCH("Points (Auto-generate)",INDIRECT("'"&amp;$A103&amp;"'!$A$12:$Z$12"),0),0)="","?",VLOOKUP(Y$1,INDIRECT("'"&amp;$A103&amp;"'!$A$12:$Z$41"),MATCH("Points (Auto-generate)",INDIRECT("'"&amp;$A103&amp;"'!$A$12:$Z$12"),0),0)),"ER"))</f>
        <v>?</v>
      </c>
      <c r="Z103" s="83" t="str">
        <f aca="true">IF($H103=0,"NA",IF($A103=INDIRECT("'"&amp;$A103&amp;"'!$B$1"),IF(VLOOKUP(Z$1,INDIRECT("'"&amp;$A103&amp;"'!$A$12:$Z$41"),MATCH("Points (Auto-generate)",INDIRECT("'"&amp;$A103&amp;"'!$A$12:$Z$12"),0),0)="","?",VLOOKUP(Z$1,INDIRECT("'"&amp;$A103&amp;"'!$A$12:$Z$41"),MATCH("Points (Auto-generate)",INDIRECT("'"&amp;$A103&amp;"'!$A$12:$Z$12"),0),0)),"ER"))</f>
        <v>?</v>
      </c>
      <c r="AA103" s="83" t="str">
        <f aca="true">IF($H103=0,"NA",IF($A103=INDIRECT("'"&amp;$A103&amp;"'!$B$1"),IF(VLOOKUP(AA$1,INDIRECT("'"&amp;$A103&amp;"'!$A$12:$Z$41"),MATCH("Points (Auto-generate)",INDIRECT("'"&amp;$A103&amp;"'!$A$12:$Z$12"),0),0)="","?",VLOOKUP(AA$1,INDIRECT("'"&amp;$A103&amp;"'!$A$12:$Z$41"),MATCH("Points (Auto-generate)",INDIRECT("'"&amp;$A103&amp;"'!$A$12:$Z$12"),0),0)),"ER"))</f>
        <v>?</v>
      </c>
      <c r="AB103" s="83" t="str">
        <f aca="true">IF($H103=0,"NA",IF($A103=INDIRECT("'"&amp;$A103&amp;"'!$B$1"),IF(VLOOKUP(AB$1,INDIRECT("'"&amp;$A103&amp;"'!$A$12:$Z$41"),MATCH("Points (Auto-generate)",INDIRECT("'"&amp;$A103&amp;"'!$A$12:$Z$12"),0),0)="","?",VLOOKUP(AB$1,INDIRECT("'"&amp;$A103&amp;"'!$A$12:$Z$41"),MATCH("Points (Auto-generate)",INDIRECT("'"&amp;$A103&amp;"'!$A$12:$Z$12"),0),0)),"ER"))</f>
        <v>?</v>
      </c>
      <c r="AC103" s="83" t="str">
        <f aca="true">IF($H103=0,"NA",IF($A103=INDIRECT("'"&amp;$A103&amp;"'!$B$1"),IF(VLOOKUP(AC$1,INDIRECT("'"&amp;$A103&amp;"'!$A$12:$Z$41"),MATCH("Points (Auto-generate)",INDIRECT("'"&amp;$A103&amp;"'!$A$12:$Z$12"),0),0)="","?",VLOOKUP(AC$1,INDIRECT("'"&amp;$A103&amp;"'!$A$12:$Z$41"),MATCH("Points (Auto-generate)",INDIRECT("'"&amp;$A103&amp;"'!$A$12:$Z$12"),0),0)),"ER"))</f>
        <v>?</v>
      </c>
      <c r="AD103" s="83" t="str">
        <f aca="true">IF($H103=0,"NA",IF($A103=INDIRECT("'"&amp;$A103&amp;"'!$B$1"),IF(VLOOKUP(AD$1,INDIRECT("'"&amp;$A103&amp;"'!$A$12:$Z$41"),MATCH("Points (Auto-generate)",INDIRECT("'"&amp;$A103&amp;"'!$A$12:$Z$12"),0),0)="","?",VLOOKUP(AD$1,INDIRECT("'"&amp;$A103&amp;"'!$A$12:$Z$41"),MATCH("Points (Auto-generate)",INDIRECT("'"&amp;$A103&amp;"'!$A$12:$Z$12"),0),0)),"ER"))</f>
        <v>?</v>
      </c>
      <c r="AE103" s="83" t="str">
        <f aca="true">IF($H103=0,"NA",IF($A103=INDIRECT("'"&amp;$A103&amp;"'!$B$1"),IF(VLOOKUP(AE$1,INDIRECT("'"&amp;$A103&amp;"'!$A$12:$Z$41"),MATCH("Points (Auto-generate)",INDIRECT("'"&amp;$A103&amp;"'!$A$12:$Z$12"),0),0)="","?",VLOOKUP(AE$1,INDIRECT("'"&amp;$A103&amp;"'!$A$12:$Z$41"),MATCH("Points (Auto-generate)",INDIRECT("'"&amp;$A103&amp;"'!$A$12:$Z$12"),0),0)),"ER"))</f>
        <v>?</v>
      </c>
      <c r="AF103" s="83" t="str">
        <f aca="true">IF($H103=0,"NA",IF($A103=INDIRECT("'"&amp;$A103&amp;"'!$B$1"),IF(VLOOKUP(AF$1,INDIRECT("'"&amp;$A103&amp;"'!$A$12:$Z$41"),MATCH("Points (Auto-generate)",INDIRECT("'"&amp;$A103&amp;"'!$A$12:$Z$12"),0),0)="","?",VLOOKUP(AF$1,INDIRECT("'"&amp;$A103&amp;"'!$A$12:$Z$41"),MATCH("Points (Auto-generate)",INDIRECT("'"&amp;$A103&amp;"'!$A$12:$Z$12"),0),0)),"ER"))</f>
        <v>?</v>
      </c>
      <c r="AG103" s="83" t="str">
        <f aca="true">IF($H103=0,"NA",IF($A103=INDIRECT("'"&amp;$A103&amp;"'!$B$1"),IF(VLOOKUP(AG$1,INDIRECT("'"&amp;$A103&amp;"'!$A$12:$Z$41"),MATCH("Points (Auto-generate)",INDIRECT("'"&amp;$A103&amp;"'!$A$12:$Z$12"),0),0)="","?",VLOOKUP(AG$1,INDIRECT("'"&amp;$A103&amp;"'!$A$12:$Z$41"),MATCH("Points (Auto-generate)",INDIRECT("'"&amp;$A103&amp;"'!$A$12:$Z$12"),0),0)),"ER"))</f>
        <v>?</v>
      </c>
      <c r="AH103" s="83" t="str">
        <f aca="true">IF($H103=0,"NA",IF($A103=INDIRECT("'"&amp;$A103&amp;"'!$B$1"),IF(VLOOKUP(AH$1,INDIRECT("'"&amp;$A103&amp;"'!$A$12:$Z$41"),MATCH("Points (Auto-generate)",INDIRECT("'"&amp;$A103&amp;"'!$A$12:$Z$12"),0),0)="","?",VLOOKUP(AH$1,INDIRECT("'"&amp;$A103&amp;"'!$A$12:$Z$41"),MATCH("Points (Auto-generate)",INDIRECT("'"&amp;$A103&amp;"'!$A$12:$Z$12"),0),0)),"ER"))</f>
        <v>?</v>
      </c>
      <c r="AI103" s="83" t="str">
        <f aca="true">IF($H103=0,"NA",IF($A103=INDIRECT("'"&amp;$A103&amp;"'!$B$1"),IF(VLOOKUP(AI$1,INDIRECT("'"&amp;$A103&amp;"'!$A$12:$Z$41"),MATCH("Points (Auto-generate)",INDIRECT("'"&amp;$A103&amp;"'!$A$12:$Z$12"),0),0)="","?",VLOOKUP(AI$1,INDIRECT("'"&amp;$A103&amp;"'!$A$12:$Z$41"),MATCH("Points (Auto-generate)",INDIRECT("'"&amp;$A103&amp;"'!$A$12:$Z$12"),0),0)),"ER"))</f>
        <v>?</v>
      </c>
      <c r="AJ103" s="83" t="str">
        <f aca="true">IF($H103=0,"NA",IF($A103=INDIRECT("'"&amp;$A103&amp;"'!$B$1"),IF(VLOOKUP(AJ$1,INDIRECT("'"&amp;$A103&amp;"'!$A$12:$Z$41"),MATCH("Points (Auto-generate)",INDIRECT("'"&amp;$A103&amp;"'!$A$12:$Z$12"),0),0)="","?",VLOOKUP(AJ$1,INDIRECT("'"&amp;$A103&amp;"'!$A$12:$Z$41"),MATCH("Points (Auto-generate)",INDIRECT("'"&amp;$A103&amp;"'!$A$12:$Z$12"),0),0)),"ER"))</f>
        <v>?</v>
      </c>
      <c r="AK103" s="83" t="str">
        <f aca="true">IF($H103=0,"NA",IF($A103=INDIRECT("'"&amp;$A103&amp;"'!$B$1"),IF(VLOOKUP(AK$1,INDIRECT("'"&amp;$A103&amp;"'!$A$12:$Z$41"),MATCH("Points (Auto-generate)",INDIRECT("'"&amp;$A103&amp;"'!$A$12:$Z$12"),0),0)="","?",VLOOKUP(AK$1,INDIRECT("'"&amp;$A103&amp;"'!$A$12:$Z$41"),MATCH("Points (Auto-generate)",INDIRECT("'"&amp;$A103&amp;"'!$A$12:$Z$12"),0),0)),"ER"))</f>
        <v>?</v>
      </c>
    </row>
    <row r="104" customFormat="false" ht="14.25" hidden="false" customHeight="false" outlineLevel="0" collapsed="false">
      <c r="A104" s="79" t="s">
        <v>786</v>
      </c>
      <c r="B104" s="80" t="str">
        <f aca="false">IF(ISBLANK($A104),"NO_CODE",VLOOKUP($A104,'UPD Questions_290926 '!$E$1:$N$300,MATCH(B$1,'UPD Questions_290926 '!$E$1:$N$1,0),0)&amp;"")</f>
        <v>Enforcement</v>
      </c>
      <c r="C104" s="80" t="str">
        <f aca="false">IF(ISBLANK($A104),"NO_CODE",VLOOKUP($A104,'UPD Questions_290926 '!$E$1:$N$300,MATCH(C$1,'UPD Questions_290926 '!$E$1:$N$1,0),0)&amp;"")</f>
        <v>Development Compliance</v>
      </c>
      <c r="D104" s="80" t="str">
        <f aca="false">IF(ISBLANK($A104),"NO_CODE",VLOOKUP($A104,'UPD Questions_290926 '!$E$1:$N$300,MATCH(D$1,'UPD Questions_290926 '!$E$1:$N$1,0),0)&amp;"")</f>
        <v>Construction monitoring</v>
      </c>
      <c r="E104" s="80" t="str">
        <f aca="false">IF(ISBLANK($A104),"NO_CODE",VLOOKUP($A104,'UPD Questions_290926 '!$E$1:$N$300,MATCH(E$1,'UPD Questions_290926 '!$E$1:$N$1,0),0)&amp;"")</f>
        <v>MQ</v>
      </c>
      <c r="F104" s="80" t="str">
        <f aca="false">IF(ISBLANK($A104),"NO_CODE",VLOOKUP($A104,'UPD Questions_290926 '!$E$1:$N$300,MATCH(F$1,'UPD Questions_290926 '!$E$1:$N$1,0),0)&amp;"")</f>
        <v>Does the law mandate mechanisms for monitoring ongoing construction/development projects for compliance with approved plans and permissions?  </v>
      </c>
      <c r="G104" s="80" t="str">
        <f aca="false">IF(ISBLANK($A104),"NO_CODE",VLOOKUP($A104,'UPD Questions_290926 '!$E$1:$N$300,MATCH(G$1,'UPD Questions_290926 '!$E$1:$N$1,0),0)&amp;"")</f>
        <v>Implementation</v>
      </c>
      <c r="H104" s="82" t="n">
        <f aca="false">IF(ISBLANK($A104),"NO_CODE",VLOOKUP($A104,'UPD Questions_290926 '!$E$1:$N$300,MATCH(H$1,'UPD Questions_290926 '!$E$1:$N$1,0),0))</f>
        <v>10</v>
      </c>
      <c r="I104" s="83" t="str">
        <f aca="false">IF(OR(I105="ER",I106="ER"),"ER",IF(OR(I105="?",I106="?"),"?",IF(AND(I105="NA",I106="NA"),"NA",SUM(I105,I106)/((I105&lt;&gt;"NA")*$H$105+(I106&lt;&gt;"NA")*$H$106)*$H104)))</f>
        <v>?</v>
      </c>
      <c r="J104" s="83" t="str">
        <f aca="false">IF(OR(J105="ER",J106="ER"),"ER",IF(OR(J105="?",J106="?"),"?",IF(AND(J105="NA",J106="NA"),"NA",SUM(J105,J106)/((J105&lt;&gt;"NA")*$H$105+(J106&lt;&gt;"NA")*$H$106)*$H104)))</f>
        <v>?</v>
      </c>
      <c r="K104" s="83" t="str">
        <f aca="false">IF(OR(K105="ER",K106="ER"),"ER",IF(OR(K105="?",K106="?"),"?",IF(AND(K105="NA",K106="NA"),"NA",SUM(K105,K106)/((K105&lt;&gt;"NA")*$H$105+(K106&lt;&gt;"NA")*$H$106)*$H104)))</f>
        <v>?</v>
      </c>
      <c r="L104" s="83" t="str">
        <f aca="false">IF(OR(L105="ER",L106="ER"),"ER",IF(OR(L105="?",L106="?"),"?",IF(AND(L105="NA",L106="NA"),"NA",SUM(L105,L106)/((L105&lt;&gt;"NA")*$H$105+(L106&lt;&gt;"NA")*$H$106)*$H104)))</f>
        <v>?</v>
      </c>
      <c r="M104" s="83" t="str">
        <f aca="false">IF(OR(M105="ER",M106="ER"),"ER",IF(OR(M105="?",M106="?"),"?",IF(AND(M105="NA",M106="NA"),"NA",SUM(M105,M106)/((M105&lt;&gt;"NA")*$H$105+(M106&lt;&gt;"NA")*$H$106)*$H104)))</f>
        <v>?</v>
      </c>
      <c r="N104" s="83" t="str">
        <f aca="false">IF(OR(N105="ER",N106="ER"),"ER",IF(OR(N105="?",N106="?"),"?",IF(AND(N105="NA",N106="NA"),"NA",SUM(N105,N106)/((N105&lt;&gt;"NA")*$H$105+(N106&lt;&gt;"NA")*$H$106)*$H104)))</f>
        <v>?</v>
      </c>
      <c r="O104" s="83" t="str">
        <f aca="false">IF(OR(O105="ER",O106="ER"),"ER",IF(OR(O105="?",O106="?"),"?",IF(AND(O105="NA",O106="NA"),"NA",SUM(O105,O106)/((O105&lt;&gt;"NA")*$H$105+(O106&lt;&gt;"NA")*$H$106)*$H104)))</f>
        <v>?</v>
      </c>
      <c r="P104" s="83" t="str">
        <f aca="false">IF(OR(P105="ER",P106="ER"),"ER",IF(OR(P105="?",P106="?"),"?",IF(AND(P105="NA",P106="NA"),"NA",SUM(P105,P106)/((P105&lt;&gt;"NA")*$H$105+(P106&lt;&gt;"NA")*$H$106)*$H104)))</f>
        <v>?</v>
      </c>
      <c r="Q104" s="83" t="str">
        <f aca="false">IF(OR(Q105="ER",Q106="ER"),"ER",IF(OR(Q105="?",Q106="?"),"?",IF(AND(Q105="NA",Q106="NA"),"NA",SUM(Q105,Q106)/((Q105&lt;&gt;"NA")*$H$105+(Q106&lt;&gt;"NA")*$H$106)*$H104)))</f>
        <v>?</v>
      </c>
      <c r="R104" s="83" t="str">
        <f aca="false">IF(OR(R105="ER",R106="ER"),"ER",IF(OR(R105="?",R106="?"),"?",IF(AND(R105="NA",R106="NA"),"NA",SUM(R105,R106)/((R105&lt;&gt;"NA")*$H$105+(R106&lt;&gt;"NA")*$H$106)*$H104)))</f>
        <v>?</v>
      </c>
      <c r="S104" s="83" t="str">
        <f aca="false">IF(OR(S105="ER",S106="ER"),"ER",IF(OR(S105="?",S106="?"),"?",IF(AND(S105="NA",S106="NA"),"NA",SUM(S105,S106)/((S105&lt;&gt;"NA")*$H$105+(S106&lt;&gt;"NA")*$H$106)*$H104)))</f>
        <v>?</v>
      </c>
      <c r="T104" s="83" t="str">
        <f aca="false">IF(OR(T105="ER",T106="ER"),"ER",IF(OR(T105="?",T106="?"),"?",IF(AND(T105="NA",T106="NA"),"NA",SUM(T105,T106)/((T105&lt;&gt;"NA")*$H$105+(T106&lt;&gt;"NA")*$H$106)*$H104)))</f>
        <v>?</v>
      </c>
      <c r="U104" s="83" t="str">
        <f aca="false">IF(OR(U105="ER",U106="ER"),"ER",IF(OR(U105="?",U106="?"),"?",IF(AND(U105="NA",U106="NA"),"NA",SUM(U105,U106)/((U105&lt;&gt;"NA")*$H$105+(U106&lt;&gt;"NA")*$H$106)*$H104)))</f>
        <v>?</v>
      </c>
      <c r="V104" s="83" t="str">
        <f aca="false">IF(OR(V105="ER",V106="ER"),"ER",IF(OR(V105="?",V106="?"),"?",IF(AND(V105="NA",V106="NA"),"NA",SUM(V105,V106)/((V105&lt;&gt;"NA")*$H$105+(V106&lt;&gt;"NA")*$H$106)*$H104)))</f>
        <v>?</v>
      </c>
      <c r="W104" s="83" t="str">
        <f aca="false">IF(OR(W105="ER",W106="ER"),"ER",IF(OR(W105="?",W106="?"),"?",IF(AND(W105="NA",W106="NA"),"NA",SUM(W105,W106)/((W105&lt;&gt;"NA")*$H$105+(W106&lt;&gt;"NA")*$H$106)*$H104)))</f>
        <v>?</v>
      </c>
      <c r="X104" s="83" t="str">
        <f aca="false">IF(OR(X105="ER",X106="ER"),"ER",IF(OR(X105="?",X106="?"),"?",IF(AND(X105="NA",X106="NA"),"NA",SUM(X105,X106)/((X105&lt;&gt;"NA")*$H$105+(X106&lt;&gt;"NA")*$H$106)*$H104)))</f>
        <v>?</v>
      </c>
      <c r="Y104" s="83" t="str">
        <f aca="false">IF(OR(Y105="ER",Y106="ER"),"ER",IF(OR(Y105="?",Y106="?"),"?",IF(AND(Y105="NA",Y106="NA"),"NA",SUM(Y105,Y106)/((Y105&lt;&gt;"NA")*$H$105+(Y106&lt;&gt;"NA")*$H$106)*$H104)))</f>
        <v>?</v>
      </c>
      <c r="Z104" s="83" t="str">
        <f aca="false">IF(OR(Z105="ER",Z106="ER"),"ER",IF(OR(Z105="?",Z106="?"),"?",IF(AND(Z105="NA",Z106="NA"),"NA",SUM(Z105,Z106)/((Z105&lt;&gt;"NA")*$H$105+(Z106&lt;&gt;"NA")*$H$106)*$H104)))</f>
        <v>?</v>
      </c>
      <c r="AA104" s="83" t="str">
        <f aca="false">IF(OR(AA105="ER",AA106="ER"),"ER",IF(OR(AA105="?",AA106="?"),"?",IF(AND(AA105="NA",AA106="NA"),"NA",SUM(AA105,AA106)/((AA105&lt;&gt;"NA")*$H$105+(AA106&lt;&gt;"NA")*$H$106)*$H104)))</f>
        <v>?</v>
      </c>
      <c r="AB104" s="83" t="str">
        <f aca="false">IF(OR(AB105="ER",AB106="ER"),"ER",IF(OR(AB105="?",AB106="?"),"?",IF(AND(AB105="NA",AB106="NA"),"NA",SUM(AB105,AB106)/((AB105&lt;&gt;"NA")*$H$105+(AB106&lt;&gt;"NA")*$H$106)*$H104)))</f>
        <v>?</v>
      </c>
      <c r="AC104" s="83" t="str">
        <f aca="false">IF(OR(AC105="ER",AC106="ER"),"ER",IF(OR(AC105="?",AC106="?"),"?",IF(AND(AC105="NA",AC106="NA"),"NA",SUM(AC105,AC106)/((AC105&lt;&gt;"NA")*$H$105+(AC106&lt;&gt;"NA")*$H$106)*$H104)))</f>
        <v>?</v>
      </c>
      <c r="AD104" s="83" t="str">
        <f aca="false">IF(OR(AD105="ER",AD106="ER"),"ER",IF(OR(AD105="?",AD106="?"),"?",IF(AND(AD105="NA",AD106="NA"),"NA",SUM(AD105,AD106)/((AD105&lt;&gt;"NA")*$H$105+(AD106&lt;&gt;"NA")*$H$106)*$H104)))</f>
        <v>?</v>
      </c>
      <c r="AE104" s="83" t="str">
        <f aca="false">IF(OR(AE105="ER",AE106="ER"),"ER",IF(OR(AE105="?",AE106="?"),"?",IF(AND(AE105="NA",AE106="NA"),"NA",SUM(AE105,AE106)/((AE105&lt;&gt;"NA")*$H$105+(AE106&lt;&gt;"NA")*$H$106)*$H104)))</f>
        <v>?</v>
      </c>
      <c r="AF104" s="83" t="str">
        <f aca="false">IF(OR(AF105="ER",AF106="ER"),"ER",IF(OR(AF105="?",AF106="?"),"?",IF(AND(AF105="NA",AF106="NA"),"NA",SUM(AF105,AF106)/((AF105&lt;&gt;"NA")*$H$105+(AF106&lt;&gt;"NA")*$H$106)*$H104)))</f>
        <v>?</v>
      </c>
      <c r="AG104" s="83" t="str">
        <f aca="false">IF(OR(AG105="ER",AG106="ER"),"ER",IF(OR(AG105="?",AG106="?"),"?",IF(AND(AG105="NA",AG106="NA"),"NA",SUM(AG105,AG106)/((AG105&lt;&gt;"NA")*$H$105+(AG106&lt;&gt;"NA")*$H$106)*$H104)))</f>
        <v>?</v>
      </c>
      <c r="AH104" s="83" t="str">
        <f aca="false">IF(OR(AH105="ER",AH106="ER"),"ER",IF(OR(AH105="?",AH106="?"),"?",IF(AND(AH105="NA",AH106="NA"),"NA",SUM(AH105,AH106)/((AH105&lt;&gt;"NA")*$H$105+(AH106&lt;&gt;"NA")*$H$106)*$H104)))</f>
        <v>?</v>
      </c>
      <c r="AI104" s="83" t="str">
        <f aca="false">IF(OR(AI105="ER",AI106="ER"),"ER",IF(OR(AI105="?",AI106="?"),"?",IF(AND(AI105="NA",AI106="NA"),"NA",SUM(AI105,AI106)/((AI105&lt;&gt;"NA")*$H$105+(AI106&lt;&gt;"NA")*$H$106)*$H104)))</f>
        <v>?</v>
      </c>
      <c r="AJ104" s="83" t="str">
        <f aca="false">IF(OR(AJ105="ER",AJ106="ER"),"ER",IF(OR(AJ105="?",AJ106="?"),"?",IF(AND(AJ105="NA",AJ106="NA"),"NA",SUM(AJ105,AJ106)/((AJ105&lt;&gt;"NA")*$H$105+(AJ106&lt;&gt;"NA")*$H$106)*$H104)))</f>
        <v>?</v>
      </c>
      <c r="AK104" s="83" t="str">
        <f aca="false">IF(OR(AK105="ER",AK106="ER"),"ER",IF(OR(AK105="?",AK106="?"),"?",IF(AND(AK105="NA",AK106="NA"),"NA",SUM(AK105,AK106)/((AK105&lt;&gt;"NA")*$H$105+(AK106&lt;&gt;"NA")*$H$106)*$H104)))</f>
        <v>?</v>
      </c>
    </row>
    <row r="105" customFormat="false" ht="14.25" hidden="false" customHeight="false" outlineLevel="0" collapsed="false">
      <c r="A105" s="79" t="s">
        <v>396</v>
      </c>
      <c r="B105" s="80" t="str">
        <f aca="false">IF(ISBLANK($A105),"NO_CODE",VLOOKUP($A105,'UPD Questions_290926 '!$E$1:$N$300,MATCH(B$1,'UPD Questions_290926 '!$E$1:$N$1,0),0)&amp;"")</f>
        <v>Enforcement</v>
      </c>
      <c r="C105" s="80" t="str">
        <f aca="false">IF(ISBLANK($A105),"NO_CODE",VLOOKUP($A105,'UPD Questions_290926 '!$E$1:$N$300,MATCH(C$1,'UPD Questions_290926 '!$E$1:$N$1,0),0)&amp;"")</f>
        <v>Development Compliance</v>
      </c>
      <c r="D105" s="80" t="str">
        <f aca="false">IF(ISBLANK($A105),"NO_CODE",VLOOKUP($A105,'UPD Questions_290926 '!$E$1:$N$300,MATCH(D$1,'UPD Questions_290926 '!$E$1:$N$1,0),0)&amp;"")</f>
        <v>Construction monitoring</v>
      </c>
      <c r="E105" s="80" t="str">
        <f aca="false">IF(ISBLANK($A105),"NO_CODE",VLOOKUP($A105,'UPD Questions_290926 '!$E$1:$N$300,MATCH(E$1,'UPD Questions_290926 '!$E$1:$N$1,0),0)&amp;"")</f>
        <v>SQ</v>
      </c>
      <c r="F105" s="80" t="str">
        <f aca="false">IF(ISBLANK($A105),"NO_CODE",VLOOKUP($A105,'UPD Questions_290926 '!$E$1:$N$300,MATCH(F$1,'UPD Questions_290926 '!$E$1:$N$1,0),0)&amp;"")</f>
        <v>Does the law mandate a system for monitoring ongoing construction/projects for possible violations?</v>
      </c>
      <c r="G105" s="80" t="str">
        <f aca="false">IF(ISBLANK($A105),"NO_CODE",VLOOKUP($A105,'UPD Questions_290926 '!$E$1:$N$300,MATCH(G$1,'UPD Questions_290926 '!$E$1:$N$1,0),0)&amp;"")</f>
        <v>Implementation</v>
      </c>
      <c r="H105" s="82" t="n">
        <f aca="false">IF(ISBLANK($A105),"NO_CODE",VLOOKUP($A105,'UPD Questions_290926 '!$E$1:$N$300,MATCH(H$1,'UPD Questions_290926 '!$E$1:$N$1,0),0))</f>
        <v>5</v>
      </c>
      <c r="I105" s="83" t="str">
        <f aca="true">IF($H105=0,"NA",IF($A105=INDIRECT("'"&amp;$A105&amp;"'!$B$1"),IF(VLOOKUP(I$1,INDIRECT("'"&amp;$A105&amp;"'!$A$12:$Z$41"),MATCH("Points (Auto-generate)",INDIRECT("'"&amp;$A105&amp;"'!$A$12:$Z$12"),0),0)="","?",VLOOKUP(I$1,INDIRECT("'"&amp;$A105&amp;"'!$A$12:$Z$41"),MATCH("Points (Auto-generate)",INDIRECT("'"&amp;$A105&amp;"'!$A$12:$Z$12"),0),0)),"ER"))</f>
        <v>?</v>
      </c>
      <c r="J105" s="83" t="str">
        <f aca="true">IF($H105=0,"NA",IF($A105=INDIRECT("'"&amp;$A105&amp;"'!$B$1"),IF(VLOOKUP(J$1,INDIRECT("'"&amp;$A105&amp;"'!$A$12:$Z$41"),MATCH("Points (Auto-generate)",INDIRECT("'"&amp;$A105&amp;"'!$A$12:$Z$12"),0),0)="","?",VLOOKUP(J$1,INDIRECT("'"&amp;$A105&amp;"'!$A$12:$Z$41"),MATCH("Points (Auto-generate)",INDIRECT("'"&amp;$A105&amp;"'!$A$12:$Z$12"),0),0)),"ER"))</f>
        <v>?</v>
      </c>
      <c r="K105" s="83" t="str">
        <f aca="true">IF($H105=0,"NA",IF($A105=INDIRECT("'"&amp;$A105&amp;"'!$B$1"),IF(VLOOKUP(K$1,INDIRECT("'"&amp;$A105&amp;"'!$A$12:$Z$41"),MATCH("Points (Auto-generate)",INDIRECT("'"&amp;$A105&amp;"'!$A$12:$Z$12"),0),0)="","?",VLOOKUP(K$1,INDIRECT("'"&amp;$A105&amp;"'!$A$12:$Z$41"),MATCH("Points (Auto-generate)",INDIRECT("'"&amp;$A105&amp;"'!$A$12:$Z$12"),0),0)),"ER"))</f>
        <v>?</v>
      </c>
      <c r="L105" s="83" t="str">
        <f aca="true">IF($H105=0,"NA",IF($A105=INDIRECT("'"&amp;$A105&amp;"'!$B$1"),IF(VLOOKUP(L$1,INDIRECT("'"&amp;$A105&amp;"'!$A$12:$Z$41"),MATCH("Points (Auto-generate)",INDIRECT("'"&amp;$A105&amp;"'!$A$12:$Z$12"),0),0)="","?",VLOOKUP(L$1,INDIRECT("'"&amp;$A105&amp;"'!$A$12:$Z$41"),MATCH("Points (Auto-generate)",INDIRECT("'"&amp;$A105&amp;"'!$A$12:$Z$12"),0),0)),"ER"))</f>
        <v>?</v>
      </c>
      <c r="M105" s="83" t="str">
        <f aca="true">IF($H105=0,"NA",IF($A105=INDIRECT("'"&amp;$A105&amp;"'!$B$1"),IF(VLOOKUP(M$1,INDIRECT("'"&amp;$A105&amp;"'!$A$12:$Z$41"),MATCH("Points (Auto-generate)",INDIRECT("'"&amp;$A105&amp;"'!$A$12:$Z$12"),0),0)="","?",VLOOKUP(M$1,INDIRECT("'"&amp;$A105&amp;"'!$A$12:$Z$41"),MATCH("Points (Auto-generate)",INDIRECT("'"&amp;$A105&amp;"'!$A$12:$Z$12"),0),0)),"ER"))</f>
        <v>?</v>
      </c>
      <c r="N105" s="83" t="str">
        <f aca="true">IF($H105=0,"NA",IF($A105=INDIRECT("'"&amp;$A105&amp;"'!$B$1"),IF(VLOOKUP(N$1,INDIRECT("'"&amp;$A105&amp;"'!$A$12:$Z$41"),MATCH("Points (Auto-generate)",INDIRECT("'"&amp;$A105&amp;"'!$A$12:$Z$12"),0),0)="","?",VLOOKUP(N$1,INDIRECT("'"&amp;$A105&amp;"'!$A$12:$Z$41"),MATCH("Points (Auto-generate)",INDIRECT("'"&amp;$A105&amp;"'!$A$12:$Z$12"),0),0)),"ER"))</f>
        <v>?</v>
      </c>
      <c r="O105" s="83" t="str">
        <f aca="true">IF($H105=0,"NA",IF($A105=INDIRECT("'"&amp;$A105&amp;"'!$B$1"),IF(VLOOKUP(O$1,INDIRECT("'"&amp;$A105&amp;"'!$A$12:$Z$41"),MATCH("Points (Auto-generate)",INDIRECT("'"&amp;$A105&amp;"'!$A$12:$Z$12"),0),0)="","?",VLOOKUP(O$1,INDIRECT("'"&amp;$A105&amp;"'!$A$12:$Z$41"),MATCH("Points (Auto-generate)",INDIRECT("'"&amp;$A105&amp;"'!$A$12:$Z$12"),0),0)),"ER"))</f>
        <v>?</v>
      </c>
      <c r="P105" s="83" t="str">
        <f aca="true">IF($H105=0,"NA",IF($A105=INDIRECT("'"&amp;$A105&amp;"'!$B$1"),IF(VLOOKUP(P$1,INDIRECT("'"&amp;$A105&amp;"'!$A$12:$Z$41"),MATCH("Points (Auto-generate)",INDIRECT("'"&amp;$A105&amp;"'!$A$12:$Z$12"),0),0)="","?",VLOOKUP(P$1,INDIRECT("'"&amp;$A105&amp;"'!$A$12:$Z$41"),MATCH("Points (Auto-generate)",INDIRECT("'"&amp;$A105&amp;"'!$A$12:$Z$12"),0),0)),"ER"))</f>
        <v>?</v>
      </c>
      <c r="Q105" s="83" t="str">
        <f aca="true">IF($H105=0,"NA",IF($A105=INDIRECT("'"&amp;$A105&amp;"'!$B$1"),IF(VLOOKUP(Q$1,INDIRECT("'"&amp;$A105&amp;"'!$A$12:$Z$41"),MATCH("Points (Auto-generate)",INDIRECT("'"&amp;$A105&amp;"'!$A$12:$Z$12"),0),0)="","?",VLOOKUP(Q$1,INDIRECT("'"&amp;$A105&amp;"'!$A$12:$Z$41"),MATCH("Points (Auto-generate)",INDIRECT("'"&amp;$A105&amp;"'!$A$12:$Z$12"),0),0)),"ER"))</f>
        <v>?</v>
      </c>
      <c r="R105" s="83" t="str">
        <f aca="true">IF($H105=0,"NA",IF($A105=INDIRECT("'"&amp;$A105&amp;"'!$B$1"),IF(VLOOKUP(R$1,INDIRECT("'"&amp;$A105&amp;"'!$A$12:$Z$41"),MATCH("Points (Auto-generate)",INDIRECT("'"&amp;$A105&amp;"'!$A$12:$Z$12"),0),0)="","?",VLOOKUP(R$1,INDIRECT("'"&amp;$A105&amp;"'!$A$12:$Z$41"),MATCH("Points (Auto-generate)",INDIRECT("'"&amp;$A105&amp;"'!$A$12:$Z$12"),0),0)),"ER"))</f>
        <v>?</v>
      </c>
      <c r="S105" s="83" t="str">
        <f aca="true">IF($H105=0,"NA",IF($A105=INDIRECT("'"&amp;$A105&amp;"'!$B$1"),IF(VLOOKUP(S$1,INDIRECT("'"&amp;$A105&amp;"'!$A$12:$Z$41"),MATCH("Points (Auto-generate)",INDIRECT("'"&amp;$A105&amp;"'!$A$12:$Z$12"),0),0)="","?",VLOOKUP(S$1,INDIRECT("'"&amp;$A105&amp;"'!$A$12:$Z$41"),MATCH("Points (Auto-generate)",INDIRECT("'"&amp;$A105&amp;"'!$A$12:$Z$12"),0),0)),"ER"))</f>
        <v>?</v>
      </c>
      <c r="T105" s="83" t="str">
        <f aca="true">IF($H105=0,"NA",IF($A105=INDIRECT("'"&amp;$A105&amp;"'!$B$1"),IF(VLOOKUP(T$1,INDIRECT("'"&amp;$A105&amp;"'!$A$12:$Z$41"),MATCH("Points (Auto-generate)",INDIRECT("'"&amp;$A105&amp;"'!$A$12:$Z$12"),0),0)="","?",VLOOKUP(T$1,INDIRECT("'"&amp;$A105&amp;"'!$A$12:$Z$41"),MATCH("Points (Auto-generate)",INDIRECT("'"&amp;$A105&amp;"'!$A$12:$Z$12"),0),0)),"ER"))</f>
        <v>?</v>
      </c>
      <c r="U105" s="83" t="str">
        <f aca="true">IF($H105=0,"NA",IF($A105=INDIRECT("'"&amp;$A105&amp;"'!$B$1"),IF(VLOOKUP(U$1,INDIRECT("'"&amp;$A105&amp;"'!$A$12:$Z$41"),MATCH("Points (Auto-generate)",INDIRECT("'"&amp;$A105&amp;"'!$A$12:$Z$12"),0),0)="","?",VLOOKUP(U$1,INDIRECT("'"&amp;$A105&amp;"'!$A$12:$Z$41"),MATCH("Points (Auto-generate)",INDIRECT("'"&amp;$A105&amp;"'!$A$12:$Z$12"),0),0)),"ER"))</f>
        <v>?</v>
      </c>
      <c r="V105" s="83" t="str">
        <f aca="true">IF($H105=0,"NA",IF($A105=INDIRECT("'"&amp;$A105&amp;"'!$B$1"),IF(VLOOKUP(V$1,INDIRECT("'"&amp;$A105&amp;"'!$A$12:$Z$41"),MATCH("Points (Auto-generate)",INDIRECT("'"&amp;$A105&amp;"'!$A$12:$Z$12"),0),0)="","?",VLOOKUP(V$1,INDIRECT("'"&amp;$A105&amp;"'!$A$12:$Z$41"),MATCH("Points (Auto-generate)",INDIRECT("'"&amp;$A105&amp;"'!$A$12:$Z$12"),0),0)),"ER"))</f>
        <v>?</v>
      </c>
      <c r="W105" s="83" t="str">
        <f aca="true">IF($H105=0,"NA",IF($A105=INDIRECT("'"&amp;$A105&amp;"'!$B$1"),IF(VLOOKUP(W$1,INDIRECT("'"&amp;$A105&amp;"'!$A$12:$Z$41"),MATCH("Points (Auto-generate)",INDIRECT("'"&amp;$A105&amp;"'!$A$12:$Z$12"),0),0)="","?",VLOOKUP(W$1,INDIRECT("'"&amp;$A105&amp;"'!$A$12:$Z$41"),MATCH("Points (Auto-generate)",INDIRECT("'"&amp;$A105&amp;"'!$A$12:$Z$12"),0),0)),"ER"))</f>
        <v>?</v>
      </c>
      <c r="X105" s="83" t="str">
        <f aca="true">IF($H105=0,"NA",IF($A105=INDIRECT("'"&amp;$A105&amp;"'!$B$1"),IF(VLOOKUP(X$1,INDIRECT("'"&amp;$A105&amp;"'!$A$12:$Z$41"),MATCH("Points (Auto-generate)",INDIRECT("'"&amp;$A105&amp;"'!$A$12:$Z$12"),0),0)="","?",VLOOKUP(X$1,INDIRECT("'"&amp;$A105&amp;"'!$A$12:$Z$41"),MATCH("Points (Auto-generate)",INDIRECT("'"&amp;$A105&amp;"'!$A$12:$Z$12"),0),0)),"ER"))</f>
        <v>?</v>
      </c>
      <c r="Y105" s="83" t="str">
        <f aca="true">IF($H105=0,"NA",IF($A105=INDIRECT("'"&amp;$A105&amp;"'!$B$1"),IF(VLOOKUP(Y$1,INDIRECT("'"&amp;$A105&amp;"'!$A$12:$Z$41"),MATCH("Points (Auto-generate)",INDIRECT("'"&amp;$A105&amp;"'!$A$12:$Z$12"),0),0)="","?",VLOOKUP(Y$1,INDIRECT("'"&amp;$A105&amp;"'!$A$12:$Z$41"),MATCH("Points (Auto-generate)",INDIRECT("'"&amp;$A105&amp;"'!$A$12:$Z$12"),0),0)),"ER"))</f>
        <v>?</v>
      </c>
      <c r="Z105" s="83" t="str">
        <f aca="true">IF($H105=0,"NA",IF($A105=INDIRECT("'"&amp;$A105&amp;"'!$B$1"),IF(VLOOKUP(Z$1,INDIRECT("'"&amp;$A105&amp;"'!$A$12:$Z$41"),MATCH("Points (Auto-generate)",INDIRECT("'"&amp;$A105&amp;"'!$A$12:$Z$12"),0),0)="","?",VLOOKUP(Z$1,INDIRECT("'"&amp;$A105&amp;"'!$A$12:$Z$41"),MATCH("Points (Auto-generate)",INDIRECT("'"&amp;$A105&amp;"'!$A$12:$Z$12"),0),0)),"ER"))</f>
        <v>?</v>
      </c>
      <c r="AA105" s="83" t="str">
        <f aca="true">IF($H105=0,"NA",IF($A105=INDIRECT("'"&amp;$A105&amp;"'!$B$1"),IF(VLOOKUP(AA$1,INDIRECT("'"&amp;$A105&amp;"'!$A$12:$Z$41"),MATCH("Points (Auto-generate)",INDIRECT("'"&amp;$A105&amp;"'!$A$12:$Z$12"),0),0)="","?",VLOOKUP(AA$1,INDIRECT("'"&amp;$A105&amp;"'!$A$12:$Z$41"),MATCH("Points (Auto-generate)",INDIRECT("'"&amp;$A105&amp;"'!$A$12:$Z$12"),0),0)),"ER"))</f>
        <v>?</v>
      </c>
      <c r="AB105" s="83" t="str">
        <f aca="true">IF($H105=0,"NA",IF($A105=INDIRECT("'"&amp;$A105&amp;"'!$B$1"),IF(VLOOKUP(AB$1,INDIRECT("'"&amp;$A105&amp;"'!$A$12:$Z$41"),MATCH("Points (Auto-generate)",INDIRECT("'"&amp;$A105&amp;"'!$A$12:$Z$12"),0),0)="","?",VLOOKUP(AB$1,INDIRECT("'"&amp;$A105&amp;"'!$A$12:$Z$41"),MATCH("Points (Auto-generate)",INDIRECT("'"&amp;$A105&amp;"'!$A$12:$Z$12"),0),0)),"ER"))</f>
        <v>?</v>
      </c>
      <c r="AC105" s="83" t="n">
        <f aca="true">IF($H105=0,"NA",IF($A105=INDIRECT("'"&amp;$A105&amp;"'!$B$1"),IF(VLOOKUP(AC$1,INDIRECT("'"&amp;$A105&amp;"'!$A$12:$Z$41"),MATCH("Points (Auto-generate)",INDIRECT("'"&amp;$A105&amp;"'!$A$12:$Z$12"),0),0)="","?",VLOOKUP(AC$1,INDIRECT("'"&amp;$A105&amp;"'!$A$12:$Z$41"),MATCH("Points (Auto-generate)",INDIRECT("'"&amp;$A105&amp;"'!$A$12:$Z$12"),0),0)),"ER"))</f>
        <v>5</v>
      </c>
      <c r="AD105" s="83" t="str">
        <f aca="true">IF($H105=0,"NA",IF($A105=INDIRECT("'"&amp;$A105&amp;"'!$B$1"),IF(VLOOKUP(AD$1,INDIRECT("'"&amp;$A105&amp;"'!$A$12:$Z$41"),MATCH("Points (Auto-generate)",INDIRECT("'"&amp;$A105&amp;"'!$A$12:$Z$12"),0),0)="","?",VLOOKUP(AD$1,INDIRECT("'"&amp;$A105&amp;"'!$A$12:$Z$41"),MATCH("Points (Auto-generate)",INDIRECT("'"&amp;$A105&amp;"'!$A$12:$Z$12"),0),0)),"ER"))</f>
        <v>?</v>
      </c>
      <c r="AE105" s="83" t="str">
        <f aca="true">IF($H105=0,"NA",IF($A105=INDIRECT("'"&amp;$A105&amp;"'!$B$1"),IF(VLOOKUP(AE$1,INDIRECT("'"&amp;$A105&amp;"'!$A$12:$Z$41"),MATCH("Points (Auto-generate)",INDIRECT("'"&amp;$A105&amp;"'!$A$12:$Z$12"),0),0)="","?",VLOOKUP(AE$1,INDIRECT("'"&amp;$A105&amp;"'!$A$12:$Z$41"),MATCH("Points (Auto-generate)",INDIRECT("'"&amp;$A105&amp;"'!$A$12:$Z$12"),0),0)),"ER"))</f>
        <v>?</v>
      </c>
      <c r="AF105" s="83" t="str">
        <f aca="true">IF($H105=0,"NA",IF($A105=INDIRECT("'"&amp;$A105&amp;"'!$B$1"),IF(VLOOKUP(AF$1,INDIRECT("'"&amp;$A105&amp;"'!$A$12:$Z$41"),MATCH("Points (Auto-generate)",INDIRECT("'"&amp;$A105&amp;"'!$A$12:$Z$12"),0),0)="","?",VLOOKUP(AF$1,INDIRECT("'"&amp;$A105&amp;"'!$A$12:$Z$41"),MATCH("Points (Auto-generate)",INDIRECT("'"&amp;$A105&amp;"'!$A$12:$Z$12"),0),0)),"ER"))</f>
        <v>?</v>
      </c>
      <c r="AG105" s="83" t="str">
        <f aca="true">IF($H105=0,"NA",IF($A105=INDIRECT("'"&amp;$A105&amp;"'!$B$1"),IF(VLOOKUP(AG$1,INDIRECT("'"&amp;$A105&amp;"'!$A$12:$Z$41"),MATCH("Points (Auto-generate)",INDIRECT("'"&amp;$A105&amp;"'!$A$12:$Z$12"),0),0)="","?",VLOOKUP(AG$1,INDIRECT("'"&amp;$A105&amp;"'!$A$12:$Z$41"),MATCH("Points (Auto-generate)",INDIRECT("'"&amp;$A105&amp;"'!$A$12:$Z$12"),0),0)),"ER"))</f>
        <v>?</v>
      </c>
      <c r="AH105" s="83" t="str">
        <f aca="true">IF($H105=0,"NA",IF($A105=INDIRECT("'"&amp;$A105&amp;"'!$B$1"),IF(VLOOKUP(AH$1,INDIRECT("'"&amp;$A105&amp;"'!$A$12:$Z$41"),MATCH("Points (Auto-generate)",INDIRECT("'"&amp;$A105&amp;"'!$A$12:$Z$12"),0),0)="","?",VLOOKUP(AH$1,INDIRECT("'"&amp;$A105&amp;"'!$A$12:$Z$41"),MATCH("Points (Auto-generate)",INDIRECT("'"&amp;$A105&amp;"'!$A$12:$Z$12"),0),0)),"ER"))</f>
        <v>?</v>
      </c>
      <c r="AI105" s="83" t="str">
        <f aca="true">IF($H105=0,"NA",IF($A105=INDIRECT("'"&amp;$A105&amp;"'!$B$1"),IF(VLOOKUP(AI$1,INDIRECT("'"&amp;$A105&amp;"'!$A$12:$Z$41"),MATCH("Points (Auto-generate)",INDIRECT("'"&amp;$A105&amp;"'!$A$12:$Z$12"),0),0)="","?",VLOOKUP(AI$1,INDIRECT("'"&amp;$A105&amp;"'!$A$12:$Z$41"),MATCH("Points (Auto-generate)",INDIRECT("'"&amp;$A105&amp;"'!$A$12:$Z$12"),0),0)),"ER"))</f>
        <v>?</v>
      </c>
      <c r="AJ105" s="83" t="str">
        <f aca="true">IF($H105=0,"NA",IF($A105=INDIRECT("'"&amp;$A105&amp;"'!$B$1"),IF(VLOOKUP(AJ$1,INDIRECT("'"&amp;$A105&amp;"'!$A$12:$Z$41"),MATCH("Points (Auto-generate)",INDIRECT("'"&amp;$A105&amp;"'!$A$12:$Z$12"),0),0)="","?",VLOOKUP(AJ$1,INDIRECT("'"&amp;$A105&amp;"'!$A$12:$Z$41"),MATCH("Points (Auto-generate)",INDIRECT("'"&amp;$A105&amp;"'!$A$12:$Z$12"),0),0)),"ER"))</f>
        <v>?</v>
      </c>
      <c r="AK105" s="83" t="str">
        <f aca="true">IF($H105=0,"NA",IF($A105=INDIRECT("'"&amp;$A105&amp;"'!$B$1"),IF(VLOOKUP(AK$1,INDIRECT("'"&amp;$A105&amp;"'!$A$12:$Z$41"),MATCH("Points (Auto-generate)",INDIRECT("'"&amp;$A105&amp;"'!$A$12:$Z$12"),0),0)="","?",VLOOKUP(AK$1,INDIRECT("'"&amp;$A105&amp;"'!$A$12:$Z$41"),MATCH("Points (Auto-generate)",INDIRECT("'"&amp;$A105&amp;"'!$A$12:$Z$12"),0),0)),"ER"))</f>
        <v>?</v>
      </c>
    </row>
    <row r="106" customFormat="false" ht="14.25" hidden="false" customHeight="false" outlineLevel="0" collapsed="false">
      <c r="A106" s="79" t="s">
        <v>401</v>
      </c>
      <c r="B106" s="80" t="str">
        <f aca="false">IF(ISBLANK($A106),"NO_CODE",VLOOKUP($A106,'UPD Questions_290926 '!$E$1:$N$300,MATCH(B$1,'UPD Questions_290926 '!$E$1:$N$1,0),0)&amp;"")</f>
        <v>Enforcement</v>
      </c>
      <c r="C106" s="80" t="str">
        <f aca="false">IF(ISBLANK($A106),"NO_CODE",VLOOKUP($A106,'UPD Questions_290926 '!$E$1:$N$300,MATCH(C$1,'UPD Questions_290926 '!$E$1:$N$1,0),0)&amp;"")</f>
        <v>Development Compliance</v>
      </c>
      <c r="D106" s="80" t="str">
        <f aca="false">IF(ISBLANK($A106),"NO_CODE",VLOOKUP($A106,'UPD Questions_290926 '!$E$1:$N$300,MATCH(D$1,'UPD Questions_290926 '!$E$1:$N$1,0),0)&amp;"")</f>
        <v>Construction monitoring</v>
      </c>
      <c r="E106" s="80" t="str">
        <f aca="false">IF(ISBLANK($A106),"NO_CODE",VLOOKUP($A106,'UPD Questions_290926 '!$E$1:$N$300,MATCH(E$1,'UPD Questions_290926 '!$E$1:$N$1,0),0)&amp;"")</f>
        <v>SQ</v>
      </c>
      <c r="F106" s="80" t="str">
        <f aca="false">IF(ISBLANK($A106),"NO_CODE",VLOOKUP($A106,'UPD Questions_290926 '!$E$1:$N$300,MATCH(F$1,'UPD Questions_290926 '!$E$1:$N$1,0),0)&amp;"")</f>
        <v>Has a system for monitoring ongoing construction/projects for possible violations been implemented?</v>
      </c>
      <c r="G106" s="80" t="str">
        <f aca="false">IF(ISBLANK($A106),"NO_CODE",VLOOKUP($A106,'UPD Questions_290926 '!$E$1:$N$300,MATCH(G$1,'UPD Questions_290926 '!$E$1:$N$1,0),0)&amp;"")</f>
        <v>Implementation</v>
      </c>
      <c r="H106" s="82" t="n">
        <f aca="false">IF(ISBLANK($A106),"NO_CODE",VLOOKUP($A106,'UPD Questions_290926 '!$E$1:$N$300,MATCH(H$1,'UPD Questions_290926 '!$E$1:$N$1,0),0))</f>
        <v>5</v>
      </c>
      <c r="I106" s="83" t="str">
        <f aca="true">IF($H106=0,"NA",IF($A106=INDIRECT("'"&amp;$A106&amp;"'!$B$1"),IF(VLOOKUP(I$1,INDIRECT("'"&amp;$A106&amp;"'!$A$12:$Z$41"),MATCH("Points (Auto-generate)",INDIRECT("'"&amp;$A106&amp;"'!$A$12:$Z$12"),0),0)="","?",VLOOKUP(I$1,INDIRECT("'"&amp;$A106&amp;"'!$A$12:$Z$41"),MATCH("Points (Auto-generate)",INDIRECT("'"&amp;$A106&amp;"'!$A$12:$Z$12"),0),0)),"ER"))</f>
        <v>?</v>
      </c>
      <c r="J106" s="83" t="str">
        <f aca="true">IF($H106=0,"NA",IF($A106=INDIRECT("'"&amp;$A106&amp;"'!$B$1"),IF(VLOOKUP(J$1,INDIRECT("'"&amp;$A106&amp;"'!$A$12:$Z$41"),MATCH("Points (Auto-generate)",INDIRECT("'"&amp;$A106&amp;"'!$A$12:$Z$12"),0),0)="","?",VLOOKUP(J$1,INDIRECT("'"&amp;$A106&amp;"'!$A$12:$Z$41"),MATCH("Points (Auto-generate)",INDIRECT("'"&amp;$A106&amp;"'!$A$12:$Z$12"),0),0)),"ER"))</f>
        <v>?</v>
      </c>
      <c r="K106" s="83" t="str">
        <f aca="true">IF($H106=0,"NA",IF($A106=INDIRECT("'"&amp;$A106&amp;"'!$B$1"),IF(VLOOKUP(K$1,INDIRECT("'"&amp;$A106&amp;"'!$A$12:$Z$41"),MATCH("Points (Auto-generate)",INDIRECT("'"&amp;$A106&amp;"'!$A$12:$Z$12"),0),0)="","?",VLOOKUP(K$1,INDIRECT("'"&amp;$A106&amp;"'!$A$12:$Z$41"),MATCH("Points (Auto-generate)",INDIRECT("'"&amp;$A106&amp;"'!$A$12:$Z$12"),0),0)),"ER"))</f>
        <v>?</v>
      </c>
      <c r="L106" s="83" t="str">
        <f aca="true">IF($H106=0,"NA",IF($A106=INDIRECT("'"&amp;$A106&amp;"'!$B$1"),IF(VLOOKUP(L$1,INDIRECT("'"&amp;$A106&amp;"'!$A$12:$Z$41"),MATCH("Points (Auto-generate)",INDIRECT("'"&amp;$A106&amp;"'!$A$12:$Z$12"),0),0)="","?",VLOOKUP(L$1,INDIRECT("'"&amp;$A106&amp;"'!$A$12:$Z$41"),MATCH("Points (Auto-generate)",INDIRECT("'"&amp;$A106&amp;"'!$A$12:$Z$12"),0),0)),"ER"))</f>
        <v>?</v>
      </c>
      <c r="M106" s="83" t="str">
        <f aca="true">IF($H106=0,"NA",IF($A106=INDIRECT("'"&amp;$A106&amp;"'!$B$1"),IF(VLOOKUP(M$1,INDIRECT("'"&amp;$A106&amp;"'!$A$12:$Z$41"),MATCH("Points (Auto-generate)",INDIRECT("'"&amp;$A106&amp;"'!$A$12:$Z$12"),0),0)="","?",VLOOKUP(M$1,INDIRECT("'"&amp;$A106&amp;"'!$A$12:$Z$41"),MATCH("Points (Auto-generate)",INDIRECT("'"&amp;$A106&amp;"'!$A$12:$Z$12"),0),0)),"ER"))</f>
        <v>?</v>
      </c>
      <c r="N106" s="83" t="str">
        <f aca="true">IF($H106=0,"NA",IF($A106=INDIRECT("'"&amp;$A106&amp;"'!$B$1"),IF(VLOOKUP(N$1,INDIRECT("'"&amp;$A106&amp;"'!$A$12:$Z$41"),MATCH("Points (Auto-generate)",INDIRECT("'"&amp;$A106&amp;"'!$A$12:$Z$12"),0),0)="","?",VLOOKUP(N$1,INDIRECT("'"&amp;$A106&amp;"'!$A$12:$Z$41"),MATCH("Points (Auto-generate)",INDIRECT("'"&amp;$A106&amp;"'!$A$12:$Z$12"),0),0)),"ER"))</f>
        <v>?</v>
      </c>
      <c r="O106" s="83" t="str">
        <f aca="true">IF($H106=0,"NA",IF($A106=INDIRECT("'"&amp;$A106&amp;"'!$B$1"),IF(VLOOKUP(O$1,INDIRECT("'"&amp;$A106&amp;"'!$A$12:$Z$41"),MATCH("Points (Auto-generate)",INDIRECT("'"&amp;$A106&amp;"'!$A$12:$Z$12"),0),0)="","?",VLOOKUP(O$1,INDIRECT("'"&amp;$A106&amp;"'!$A$12:$Z$41"),MATCH("Points (Auto-generate)",INDIRECT("'"&amp;$A106&amp;"'!$A$12:$Z$12"),0),0)),"ER"))</f>
        <v>?</v>
      </c>
      <c r="P106" s="83" t="str">
        <f aca="true">IF($H106=0,"NA",IF($A106=INDIRECT("'"&amp;$A106&amp;"'!$B$1"),IF(VLOOKUP(P$1,INDIRECT("'"&amp;$A106&amp;"'!$A$12:$Z$41"),MATCH("Points (Auto-generate)",INDIRECT("'"&amp;$A106&amp;"'!$A$12:$Z$12"),0),0)="","?",VLOOKUP(P$1,INDIRECT("'"&amp;$A106&amp;"'!$A$12:$Z$41"),MATCH("Points (Auto-generate)",INDIRECT("'"&amp;$A106&amp;"'!$A$12:$Z$12"),0),0)),"ER"))</f>
        <v>?</v>
      </c>
      <c r="Q106" s="83" t="str">
        <f aca="true">IF($H106=0,"NA",IF($A106=INDIRECT("'"&amp;$A106&amp;"'!$B$1"),IF(VLOOKUP(Q$1,INDIRECT("'"&amp;$A106&amp;"'!$A$12:$Z$41"),MATCH("Points (Auto-generate)",INDIRECT("'"&amp;$A106&amp;"'!$A$12:$Z$12"),0),0)="","?",VLOOKUP(Q$1,INDIRECT("'"&amp;$A106&amp;"'!$A$12:$Z$41"),MATCH("Points (Auto-generate)",INDIRECT("'"&amp;$A106&amp;"'!$A$12:$Z$12"),0),0)),"ER"))</f>
        <v>?</v>
      </c>
      <c r="R106" s="83" t="str">
        <f aca="true">IF($H106=0,"NA",IF($A106=INDIRECT("'"&amp;$A106&amp;"'!$B$1"),IF(VLOOKUP(R$1,INDIRECT("'"&amp;$A106&amp;"'!$A$12:$Z$41"),MATCH("Points (Auto-generate)",INDIRECT("'"&amp;$A106&amp;"'!$A$12:$Z$12"),0),0)="","?",VLOOKUP(R$1,INDIRECT("'"&amp;$A106&amp;"'!$A$12:$Z$41"),MATCH("Points (Auto-generate)",INDIRECT("'"&amp;$A106&amp;"'!$A$12:$Z$12"),0),0)),"ER"))</f>
        <v>?</v>
      </c>
      <c r="S106" s="83" t="str">
        <f aca="true">IF($H106=0,"NA",IF($A106=INDIRECT("'"&amp;$A106&amp;"'!$B$1"),IF(VLOOKUP(S$1,INDIRECT("'"&amp;$A106&amp;"'!$A$12:$Z$41"),MATCH("Points (Auto-generate)",INDIRECT("'"&amp;$A106&amp;"'!$A$12:$Z$12"),0),0)="","?",VLOOKUP(S$1,INDIRECT("'"&amp;$A106&amp;"'!$A$12:$Z$41"),MATCH("Points (Auto-generate)",INDIRECT("'"&amp;$A106&amp;"'!$A$12:$Z$12"),0),0)),"ER"))</f>
        <v>?</v>
      </c>
      <c r="T106" s="83" t="str">
        <f aca="true">IF($H106=0,"NA",IF($A106=INDIRECT("'"&amp;$A106&amp;"'!$B$1"),IF(VLOOKUP(T$1,INDIRECT("'"&amp;$A106&amp;"'!$A$12:$Z$41"),MATCH("Points (Auto-generate)",INDIRECT("'"&amp;$A106&amp;"'!$A$12:$Z$12"),0),0)="","?",VLOOKUP(T$1,INDIRECT("'"&amp;$A106&amp;"'!$A$12:$Z$41"),MATCH("Points (Auto-generate)",INDIRECT("'"&amp;$A106&amp;"'!$A$12:$Z$12"),0),0)),"ER"))</f>
        <v>?</v>
      </c>
      <c r="U106" s="83" t="str">
        <f aca="true">IF($H106=0,"NA",IF($A106=INDIRECT("'"&amp;$A106&amp;"'!$B$1"),IF(VLOOKUP(U$1,INDIRECT("'"&amp;$A106&amp;"'!$A$12:$Z$41"),MATCH("Points (Auto-generate)",INDIRECT("'"&amp;$A106&amp;"'!$A$12:$Z$12"),0),0)="","?",VLOOKUP(U$1,INDIRECT("'"&amp;$A106&amp;"'!$A$12:$Z$41"),MATCH("Points (Auto-generate)",INDIRECT("'"&amp;$A106&amp;"'!$A$12:$Z$12"),0),0)),"ER"))</f>
        <v>?</v>
      </c>
      <c r="V106" s="83" t="str">
        <f aca="true">IF($H106=0,"NA",IF($A106=INDIRECT("'"&amp;$A106&amp;"'!$B$1"),IF(VLOOKUP(V$1,INDIRECT("'"&amp;$A106&amp;"'!$A$12:$Z$41"),MATCH("Points (Auto-generate)",INDIRECT("'"&amp;$A106&amp;"'!$A$12:$Z$12"),0),0)="","?",VLOOKUP(V$1,INDIRECT("'"&amp;$A106&amp;"'!$A$12:$Z$41"),MATCH("Points (Auto-generate)",INDIRECT("'"&amp;$A106&amp;"'!$A$12:$Z$12"),0),0)),"ER"))</f>
        <v>?</v>
      </c>
      <c r="W106" s="83" t="str">
        <f aca="true">IF($H106=0,"NA",IF($A106=INDIRECT("'"&amp;$A106&amp;"'!$B$1"),IF(VLOOKUP(W$1,INDIRECT("'"&amp;$A106&amp;"'!$A$12:$Z$41"),MATCH("Points (Auto-generate)",INDIRECT("'"&amp;$A106&amp;"'!$A$12:$Z$12"),0),0)="","?",VLOOKUP(W$1,INDIRECT("'"&amp;$A106&amp;"'!$A$12:$Z$41"),MATCH("Points (Auto-generate)",INDIRECT("'"&amp;$A106&amp;"'!$A$12:$Z$12"),0),0)),"ER"))</f>
        <v>?</v>
      </c>
      <c r="X106" s="83" t="str">
        <f aca="true">IF($H106=0,"NA",IF($A106=INDIRECT("'"&amp;$A106&amp;"'!$B$1"),IF(VLOOKUP(X$1,INDIRECT("'"&amp;$A106&amp;"'!$A$12:$Z$41"),MATCH("Points (Auto-generate)",INDIRECT("'"&amp;$A106&amp;"'!$A$12:$Z$12"),0),0)="","?",VLOOKUP(X$1,INDIRECT("'"&amp;$A106&amp;"'!$A$12:$Z$41"),MATCH("Points (Auto-generate)",INDIRECT("'"&amp;$A106&amp;"'!$A$12:$Z$12"),0),0)),"ER"))</f>
        <v>?</v>
      </c>
      <c r="Y106" s="83" t="str">
        <f aca="true">IF($H106=0,"NA",IF($A106=INDIRECT("'"&amp;$A106&amp;"'!$B$1"),IF(VLOOKUP(Y$1,INDIRECT("'"&amp;$A106&amp;"'!$A$12:$Z$41"),MATCH("Points (Auto-generate)",INDIRECT("'"&amp;$A106&amp;"'!$A$12:$Z$12"),0),0)="","?",VLOOKUP(Y$1,INDIRECT("'"&amp;$A106&amp;"'!$A$12:$Z$41"),MATCH("Points (Auto-generate)",INDIRECT("'"&amp;$A106&amp;"'!$A$12:$Z$12"),0),0)),"ER"))</f>
        <v>?</v>
      </c>
      <c r="Z106" s="83" t="str">
        <f aca="true">IF($H106=0,"NA",IF($A106=INDIRECT("'"&amp;$A106&amp;"'!$B$1"),IF(VLOOKUP(Z$1,INDIRECT("'"&amp;$A106&amp;"'!$A$12:$Z$41"),MATCH("Points (Auto-generate)",INDIRECT("'"&amp;$A106&amp;"'!$A$12:$Z$12"),0),0)="","?",VLOOKUP(Z$1,INDIRECT("'"&amp;$A106&amp;"'!$A$12:$Z$41"),MATCH("Points (Auto-generate)",INDIRECT("'"&amp;$A106&amp;"'!$A$12:$Z$12"),0),0)),"ER"))</f>
        <v>?</v>
      </c>
      <c r="AA106" s="83" t="str">
        <f aca="true">IF($H106=0,"NA",IF($A106=INDIRECT("'"&amp;$A106&amp;"'!$B$1"),IF(VLOOKUP(AA$1,INDIRECT("'"&amp;$A106&amp;"'!$A$12:$Z$41"),MATCH("Points (Auto-generate)",INDIRECT("'"&amp;$A106&amp;"'!$A$12:$Z$12"),0),0)="","?",VLOOKUP(AA$1,INDIRECT("'"&amp;$A106&amp;"'!$A$12:$Z$41"),MATCH("Points (Auto-generate)",INDIRECT("'"&amp;$A106&amp;"'!$A$12:$Z$12"),0),0)),"ER"))</f>
        <v>?</v>
      </c>
      <c r="AB106" s="83" t="str">
        <f aca="true">IF($H106=0,"NA",IF($A106=INDIRECT("'"&amp;$A106&amp;"'!$B$1"),IF(VLOOKUP(AB$1,INDIRECT("'"&amp;$A106&amp;"'!$A$12:$Z$41"),MATCH("Points (Auto-generate)",INDIRECT("'"&amp;$A106&amp;"'!$A$12:$Z$12"),0),0)="","?",VLOOKUP(AB$1,INDIRECT("'"&amp;$A106&amp;"'!$A$12:$Z$41"),MATCH("Points (Auto-generate)",INDIRECT("'"&amp;$A106&amp;"'!$A$12:$Z$12"),0),0)),"ER"))</f>
        <v>?</v>
      </c>
      <c r="AC106" s="83" t="str">
        <f aca="true">IF($H106=0,"NA",IF($A106=INDIRECT("'"&amp;$A106&amp;"'!$B$1"),IF(VLOOKUP(AC$1,INDIRECT("'"&amp;$A106&amp;"'!$A$12:$Z$41"),MATCH("Points (Auto-generate)",INDIRECT("'"&amp;$A106&amp;"'!$A$12:$Z$12"),0),0)="","?",VLOOKUP(AC$1,INDIRECT("'"&amp;$A106&amp;"'!$A$12:$Z$41"),MATCH("Points (Auto-generate)",INDIRECT("'"&amp;$A106&amp;"'!$A$12:$Z$12"),0),0)),"ER"))</f>
        <v>?</v>
      </c>
      <c r="AD106" s="83" t="str">
        <f aca="true">IF($H106=0,"NA",IF($A106=INDIRECT("'"&amp;$A106&amp;"'!$B$1"),IF(VLOOKUP(AD$1,INDIRECT("'"&amp;$A106&amp;"'!$A$12:$Z$41"),MATCH("Points (Auto-generate)",INDIRECT("'"&amp;$A106&amp;"'!$A$12:$Z$12"),0),0)="","?",VLOOKUP(AD$1,INDIRECT("'"&amp;$A106&amp;"'!$A$12:$Z$41"),MATCH("Points (Auto-generate)",INDIRECT("'"&amp;$A106&amp;"'!$A$12:$Z$12"),0),0)),"ER"))</f>
        <v>?</v>
      </c>
      <c r="AE106" s="83" t="str">
        <f aca="true">IF($H106=0,"NA",IF($A106=INDIRECT("'"&amp;$A106&amp;"'!$B$1"),IF(VLOOKUP(AE$1,INDIRECT("'"&amp;$A106&amp;"'!$A$12:$Z$41"),MATCH("Points (Auto-generate)",INDIRECT("'"&amp;$A106&amp;"'!$A$12:$Z$12"),0),0)="","?",VLOOKUP(AE$1,INDIRECT("'"&amp;$A106&amp;"'!$A$12:$Z$41"),MATCH("Points (Auto-generate)",INDIRECT("'"&amp;$A106&amp;"'!$A$12:$Z$12"),0),0)),"ER"))</f>
        <v>?</v>
      </c>
      <c r="AF106" s="83" t="str">
        <f aca="true">IF($H106=0,"NA",IF($A106=INDIRECT("'"&amp;$A106&amp;"'!$B$1"),IF(VLOOKUP(AF$1,INDIRECT("'"&amp;$A106&amp;"'!$A$12:$Z$41"),MATCH("Points (Auto-generate)",INDIRECT("'"&amp;$A106&amp;"'!$A$12:$Z$12"),0),0)="","?",VLOOKUP(AF$1,INDIRECT("'"&amp;$A106&amp;"'!$A$12:$Z$41"),MATCH("Points (Auto-generate)",INDIRECT("'"&amp;$A106&amp;"'!$A$12:$Z$12"),0),0)),"ER"))</f>
        <v>?</v>
      </c>
      <c r="AG106" s="83" t="str">
        <f aca="true">IF($H106=0,"NA",IF($A106=INDIRECT("'"&amp;$A106&amp;"'!$B$1"),IF(VLOOKUP(AG$1,INDIRECT("'"&amp;$A106&amp;"'!$A$12:$Z$41"),MATCH("Points (Auto-generate)",INDIRECT("'"&amp;$A106&amp;"'!$A$12:$Z$12"),0),0)="","?",VLOOKUP(AG$1,INDIRECT("'"&amp;$A106&amp;"'!$A$12:$Z$41"),MATCH("Points (Auto-generate)",INDIRECT("'"&amp;$A106&amp;"'!$A$12:$Z$12"),0),0)),"ER"))</f>
        <v>?</v>
      </c>
      <c r="AH106" s="83" t="str">
        <f aca="true">IF($H106=0,"NA",IF($A106=INDIRECT("'"&amp;$A106&amp;"'!$B$1"),IF(VLOOKUP(AH$1,INDIRECT("'"&amp;$A106&amp;"'!$A$12:$Z$41"),MATCH("Points (Auto-generate)",INDIRECT("'"&amp;$A106&amp;"'!$A$12:$Z$12"),0),0)="","?",VLOOKUP(AH$1,INDIRECT("'"&amp;$A106&amp;"'!$A$12:$Z$41"),MATCH("Points (Auto-generate)",INDIRECT("'"&amp;$A106&amp;"'!$A$12:$Z$12"),0),0)),"ER"))</f>
        <v>?</v>
      </c>
      <c r="AI106" s="83" t="str">
        <f aca="true">IF($H106=0,"NA",IF($A106=INDIRECT("'"&amp;$A106&amp;"'!$B$1"),IF(VLOOKUP(AI$1,INDIRECT("'"&amp;$A106&amp;"'!$A$12:$Z$41"),MATCH("Points (Auto-generate)",INDIRECT("'"&amp;$A106&amp;"'!$A$12:$Z$12"),0),0)="","?",VLOOKUP(AI$1,INDIRECT("'"&amp;$A106&amp;"'!$A$12:$Z$41"),MATCH("Points (Auto-generate)",INDIRECT("'"&amp;$A106&amp;"'!$A$12:$Z$12"),0),0)),"ER"))</f>
        <v>?</v>
      </c>
      <c r="AJ106" s="83" t="str">
        <f aca="true">IF($H106=0,"NA",IF($A106=INDIRECT("'"&amp;$A106&amp;"'!$B$1"),IF(VLOOKUP(AJ$1,INDIRECT("'"&amp;$A106&amp;"'!$A$12:$Z$41"),MATCH("Points (Auto-generate)",INDIRECT("'"&amp;$A106&amp;"'!$A$12:$Z$12"),0),0)="","?",VLOOKUP(AJ$1,INDIRECT("'"&amp;$A106&amp;"'!$A$12:$Z$41"),MATCH("Points (Auto-generate)",INDIRECT("'"&amp;$A106&amp;"'!$A$12:$Z$12"),0),0)),"ER"))</f>
        <v>?</v>
      </c>
      <c r="AK106" s="83" t="str">
        <f aca="true">IF($H106=0,"NA",IF($A106=INDIRECT("'"&amp;$A106&amp;"'!$B$1"),IF(VLOOKUP(AK$1,INDIRECT("'"&amp;$A106&amp;"'!$A$12:$Z$41"),MATCH("Points (Auto-generate)",INDIRECT("'"&amp;$A106&amp;"'!$A$12:$Z$12"),0),0)="","?",VLOOKUP(AK$1,INDIRECT("'"&amp;$A106&amp;"'!$A$12:$Z$41"),MATCH("Points (Auto-generate)",INDIRECT("'"&amp;$A106&amp;"'!$A$12:$Z$12"),0),0)),"ER"))</f>
        <v>?</v>
      </c>
    </row>
    <row r="107" customFormat="false" ht="14.25" hidden="false" customHeight="false" outlineLevel="0" collapsed="false">
      <c r="A107" s="79" t="s">
        <v>404</v>
      </c>
      <c r="B107" s="80" t="str">
        <f aca="false">IF(ISBLANK($A107),"NO_CODE",VLOOKUP($A107,'UPD Questions_290926 '!$E$1:$N$300,MATCH(B$1,'UPD Questions_290926 '!$E$1:$N$1,0),0)&amp;"")</f>
        <v>Enforcement</v>
      </c>
      <c r="C107" s="80" t="str">
        <f aca="false">IF(ISBLANK($A107),"NO_CODE",VLOOKUP($A107,'UPD Questions_290926 '!$E$1:$N$300,MATCH(C$1,'UPD Questions_290926 '!$E$1:$N$1,0),0)&amp;"")</f>
        <v>Development Compliance</v>
      </c>
      <c r="D107" s="80" t="str">
        <f aca="false">IF(ISBLANK($A107),"NO_CODE",VLOOKUP($A107,'UPD Questions_290926 '!$E$1:$N$300,MATCH(D$1,'UPD Questions_290926 '!$E$1:$N$1,0),0)&amp;"")</f>
        <v>Corrective action</v>
      </c>
      <c r="E107" s="80" t="str">
        <f aca="false">IF(ISBLANK($A107),"NO_CODE",VLOOKUP($A107,'UPD Questions_290926 '!$E$1:$N$300,MATCH(E$1,'UPD Questions_290926 '!$E$1:$N$1,0),0)&amp;"")</f>
        <v>MQ</v>
      </c>
      <c r="F107" s="80" t="str">
        <f aca="false">IF(ISBLANK($A107),"NO_CODE",VLOOKUP($A107,'UPD Questions_290926 '!$E$1:$N$300,MATCH(F$1,'UPD Questions_290926 '!$E$1:$N$1,0),0)&amp;"")</f>
        <v>Are there provisions to penalise violating plans?</v>
      </c>
      <c r="G107" s="80" t="str">
        <f aca="false">IF(ISBLANK($A107),"NO_CODE",VLOOKUP($A107,'UPD Questions_290926 '!$E$1:$N$300,MATCH(G$1,'UPD Questions_290926 '!$E$1:$N$1,0),0)&amp;"")</f>
        <v>Law or Policy</v>
      </c>
      <c r="H107" s="82" t="n">
        <f aca="false">IF(ISBLANK($A107),"NO_CODE",VLOOKUP($A107,'UPD Questions_290926 '!$E$1:$N$300,MATCH(H$1,'UPD Questions_290926 '!$E$1:$N$1,0),0))</f>
        <v>10</v>
      </c>
      <c r="I107" s="83" t="str">
        <f aca="true">IF($H107=0,"NA",IF($A107=INDIRECT("'"&amp;$A107&amp;"'!$B$1"),IF(VLOOKUP(I$1,INDIRECT("'"&amp;$A107&amp;"'!$A$12:$Z$41"),MATCH("Points (Auto-generate)",INDIRECT("'"&amp;$A107&amp;"'!$A$12:$Z$12"),0),0)="","?",VLOOKUP(I$1,INDIRECT("'"&amp;$A107&amp;"'!$A$12:$Z$41"),MATCH("Points (Auto-generate)",INDIRECT("'"&amp;$A107&amp;"'!$A$12:$Z$12"),0),0)),"ER"))</f>
        <v>?</v>
      </c>
      <c r="J107" s="83" t="str">
        <f aca="true">IF($H107=0,"NA",IF($A107=INDIRECT("'"&amp;$A107&amp;"'!$B$1"),IF(VLOOKUP(J$1,INDIRECT("'"&amp;$A107&amp;"'!$A$12:$Z$41"),MATCH("Points (Auto-generate)",INDIRECT("'"&amp;$A107&amp;"'!$A$12:$Z$12"),0),0)="","?",VLOOKUP(J$1,INDIRECT("'"&amp;$A107&amp;"'!$A$12:$Z$41"),MATCH("Points (Auto-generate)",INDIRECT("'"&amp;$A107&amp;"'!$A$12:$Z$12"),0),0)),"ER"))</f>
        <v>?</v>
      </c>
      <c r="K107" s="83" t="str">
        <f aca="true">IF($H107=0,"NA",IF($A107=INDIRECT("'"&amp;$A107&amp;"'!$B$1"),IF(VLOOKUP(K$1,INDIRECT("'"&amp;$A107&amp;"'!$A$12:$Z$41"),MATCH("Points (Auto-generate)",INDIRECT("'"&amp;$A107&amp;"'!$A$12:$Z$12"),0),0)="","?",VLOOKUP(K$1,INDIRECT("'"&amp;$A107&amp;"'!$A$12:$Z$41"),MATCH("Points (Auto-generate)",INDIRECT("'"&amp;$A107&amp;"'!$A$12:$Z$12"),0),0)),"ER"))</f>
        <v>?</v>
      </c>
      <c r="L107" s="83" t="str">
        <f aca="true">IF($H107=0,"NA",IF($A107=INDIRECT("'"&amp;$A107&amp;"'!$B$1"),IF(VLOOKUP(L$1,INDIRECT("'"&amp;$A107&amp;"'!$A$12:$Z$41"),MATCH("Points (Auto-generate)",INDIRECT("'"&amp;$A107&amp;"'!$A$12:$Z$12"),0),0)="","?",VLOOKUP(L$1,INDIRECT("'"&amp;$A107&amp;"'!$A$12:$Z$41"),MATCH("Points (Auto-generate)",INDIRECT("'"&amp;$A107&amp;"'!$A$12:$Z$12"),0),0)),"ER"))</f>
        <v>?</v>
      </c>
      <c r="M107" s="83" t="str">
        <f aca="true">IF($H107=0,"NA",IF($A107=INDIRECT("'"&amp;$A107&amp;"'!$B$1"),IF(VLOOKUP(M$1,INDIRECT("'"&amp;$A107&amp;"'!$A$12:$Z$41"),MATCH("Points (Auto-generate)",INDIRECT("'"&amp;$A107&amp;"'!$A$12:$Z$12"),0),0)="","?",VLOOKUP(M$1,INDIRECT("'"&amp;$A107&amp;"'!$A$12:$Z$41"),MATCH("Points (Auto-generate)",INDIRECT("'"&amp;$A107&amp;"'!$A$12:$Z$12"),0),0)),"ER"))</f>
        <v>?</v>
      </c>
      <c r="N107" s="83" t="str">
        <f aca="true">IF($H107=0,"NA",IF($A107=INDIRECT("'"&amp;$A107&amp;"'!$B$1"),IF(VLOOKUP(N$1,INDIRECT("'"&amp;$A107&amp;"'!$A$12:$Z$41"),MATCH("Points (Auto-generate)",INDIRECT("'"&amp;$A107&amp;"'!$A$12:$Z$12"),0),0)="","?",VLOOKUP(N$1,INDIRECT("'"&amp;$A107&amp;"'!$A$12:$Z$41"),MATCH("Points (Auto-generate)",INDIRECT("'"&amp;$A107&amp;"'!$A$12:$Z$12"),0),0)),"ER"))</f>
        <v>?</v>
      </c>
      <c r="O107" s="83" t="str">
        <f aca="true">IF($H107=0,"NA",IF($A107=INDIRECT("'"&amp;$A107&amp;"'!$B$1"),IF(VLOOKUP(O$1,INDIRECT("'"&amp;$A107&amp;"'!$A$12:$Z$41"),MATCH("Points (Auto-generate)",INDIRECT("'"&amp;$A107&amp;"'!$A$12:$Z$12"),0),0)="","?",VLOOKUP(O$1,INDIRECT("'"&amp;$A107&amp;"'!$A$12:$Z$41"),MATCH("Points (Auto-generate)",INDIRECT("'"&amp;$A107&amp;"'!$A$12:$Z$12"),0),0)),"ER"))</f>
        <v>?</v>
      </c>
      <c r="P107" s="83" t="str">
        <f aca="true">IF($H107=0,"NA",IF($A107=INDIRECT("'"&amp;$A107&amp;"'!$B$1"),IF(VLOOKUP(P$1,INDIRECT("'"&amp;$A107&amp;"'!$A$12:$Z$41"),MATCH("Points (Auto-generate)",INDIRECT("'"&amp;$A107&amp;"'!$A$12:$Z$12"),0),0)="","?",VLOOKUP(P$1,INDIRECT("'"&amp;$A107&amp;"'!$A$12:$Z$41"),MATCH("Points (Auto-generate)",INDIRECT("'"&amp;$A107&amp;"'!$A$12:$Z$12"),0),0)),"ER"))</f>
        <v>?</v>
      </c>
      <c r="Q107" s="83" t="str">
        <f aca="true">IF($H107=0,"NA",IF($A107=INDIRECT("'"&amp;$A107&amp;"'!$B$1"),IF(VLOOKUP(Q$1,INDIRECT("'"&amp;$A107&amp;"'!$A$12:$Z$41"),MATCH("Points (Auto-generate)",INDIRECT("'"&amp;$A107&amp;"'!$A$12:$Z$12"),0),0)="","?",VLOOKUP(Q$1,INDIRECT("'"&amp;$A107&amp;"'!$A$12:$Z$41"),MATCH("Points (Auto-generate)",INDIRECT("'"&amp;$A107&amp;"'!$A$12:$Z$12"),0),0)),"ER"))</f>
        <v>?</v>
      </c>
      <c r="R107" s="83" t="str">
        <f aca="true">IF($H107=0,"NA",IF($A107=INDIRECT("'"&amp;$A107&amp;"'!$B$1"),IF(VLOOKUP(R$1,INDIRECT("'"&amp;$A107&amp;"'!$A$12:$Z$41"),MATCH("Points (Auto-generate)",INDIRECT("'"&amp;$A107&amp;"'!$A$12:$Z$12"),0),0)="","?",VLOOKUP(R$1,INDIRECT("'"&amp;$A107&amp;"'!$A$12:$Z$41"),MATCH("Points (Auto-generate)",INDIRECT("'"&amp;$A107&amp;"'!$A$12:$Z$12"),0),0)),"ER"))</f>
        <v>?</v>
      </c>
      <c r="S107" s="83" t="str">
        <f aca="true">IF($H107=0,"NA",IF($A107=INDIRECT("'"&amp;$A107&amp;"'!$B$1"),IF(VLOOKUP(S$1,INDIRECT("'"&amp;$A107&amp;"'!$A$12:$Z$41"),MATCH("Points (Auto-generate)",INDIRECT("'"&amp;$A107&amp;"'!$A$12:$Z$12"),0),0)="","?",VLOOKUP(S$1,INDIRECT("'"&amp;$A107&amp;"'!$A$12:$Z$41"),MATCH("Points (Auto-generate)",INDIRECT("'"&amp;$A107&amp;"'!$A$12:$Z$12"),0),0)),"ER"))</f>
        <v>?</v>
      </c>
      <c r="T107" s="83" t="str">
        <f aca="true">IF($H107=0,"NA",IF($A107=INDIRECT("'"&amp;$A107&amp;"'!$B$1"),IF(VLOOKUP(T$1,INDIRECT("'"&amp;$A107&amp;"'!$A$12:$Z$41"),MATCH("Points (Auto-generate)",INDIRECT("'"&amp;$A107&amp;"'!$A$12:$Z$12"),0),0)="","?",VLOOKUP(T$1,INDIRECT("'"&amp;$A107&amp;"'!$A$12:$Z$41"),MATCH("Points (Auto-generate)",INDIRECT("'"&amp;$A107&amp;"'!$A$12:$Z$12"),0),0)),"ER"))</f>
        <v>?</v>
      </c>
      <c r="U107" s="83" t="str">
        <f aca="true">IF($H107=0,"NA",IF($A107=INDIRECT("'"&amp;$A107&amp;"'!$B$1"),IF(VLOOKUP(U$1,INDIRECT("'"&amp;$A107&amp;"'!$A$12:$Z$41"),MATCH("Points (Auto-generate)",INDIRECT("'"&amp;$A107&amp;"'!$A$12:$Z$12"),0),0)="","?",VLOOKUP(U$1,INDIRECT("'"&amp;$A107&amp;"'!$A$12:$Z$41"),MATCH("Points (Auto-generate)",INDIRECT("'"&amp;$A107&amp;"'!$A$12:$Z$12"),0),0)),"ER"))</f>
        <v>?</v>
      </c>
      <c r="V107" s="83" t="str">
        <f aca="true">IF($H107=0,"NA",IF($A107=INDIRECT("'"&amp;$A107&amp;"'!$B$1"),IF(VLOOKUP(V$1,INDIRECT("'"&amp;$A107&amp;"'!$A$12:$Z$41"),MATCH("Points (Auto-generate)",INDIRECT("'"&amp;$A107&amp;"'!$A$12:$Z$12"),0),0)="","?",VLOOKUP(V$1,INDIRECT("'"&amp;$A107&amp;"'!$A$12:$Z$41"),MATCH("Points (Auto-generate)",INDIRECT("'"&amp;$A107&amp;"'!$A$12:$Z$12"),0),0)),"ER"))</f>
        <v>?</v>
      </c>
      <c r="W107" s="83" t="str">
        <f aca="true">IF($H107=0,"NA",IF($A107=INDIRECT("'"&amp;$A107&amp;"'!$B$1"),IF(VLOOKUP(W$1,INDIRECT("'"&amp;$A107&amp;"'!$A$12:$Z$41"),MATCH("Points (Auto-generate)",INDIRECT("'"&amp;$A107&amp;"'!$A$12:$Z$12"),0),0)="","?",VLOOKUP(W$1,INDIRECT("'"&amp;$A107&amp;"'!$A$12:$Z$41"),MATCH("Points (Auto-generate)",INDIRECT("'"&amp;$A107&amp;"'!$A$12:$Z$12"),0),0)),"ER"))</f>
        <v>?</v>
      </c>
      <c r="X107" s="83" t="str">
        <f aca="true">IF($H107=0,"NA",IF($A107=INDIRECT("'"&amp;$A107&amp;"'!$B$1"),IF(VLOOKUP(X$1,INDIRECT("'"&amp;$A107&amp;"'!$A$12:$Z$41"),MATCH("Points (Auto-generate)",INDIRECT("'"&amp;$A107&amp;"'!$A$12:$Z$12"),0),0)="","?",VLOOKUP(X$1,INDIRECT("'"&amp;$A107&amp;"'!$A$12:$Z$41"),MATCH("Points (Auto-generate)",INDIRECT("'"&amp;$A107&amp;"'!$A$12:$Z$12"),0),0)),"ER"))</f>
        <v>?</v>
      </c>
      <c r="Y107" s="83" t="str">
        <f aca="true">IF($H107=0,"NA",IF($A107=INDIRECT("'"&amp;$A107&amp;"'!$B$1"),IF(VLOOKUP(Y$1,INDIRECT("'"&amp;$A107&amp;"'!$A$12:$Z$41"),MATCH("Points (Auto-generate)",INDIRECT("'"&amp;$A107&amp;"'!$A$12:$Z$12"),0),0)="","?",VLOOKUP(Y$1,INDIRECT("'"&amp;$A107&amp;"'!$A$12:$Z$41"),MATCH("Points (Auto-generate)",INDIRECT("'"&amp;$A107&amp;"'!$A$12:$Z$12"),0),0)),"ER"))</f>
        <v>?</v>
      </c>
      <c r="Z107" s="83" t="str">
        <f aca="true">IF($H107=0,"NA",IF($A107=INDIRECT("'"&amp;$A107&amp;"'!$B$1"),IF(VLOOKUP(Z$1,INDIRECT("'"&amp;$A107&amp;"'!$A$12:$Z$41"),MATCH("Points (Auto-generate)",INDIRECT("'"&amp;$A107&amp;"'!$A$12:$Z$12"),0),0)="","?",VLOOKUP(Z$1,INDIRECT("'"&amp;$A107&amp;"'!$A$12:$Z$41"),MATCH("Points (Auto-generate)",INDIRECT("'"&amp;$A107&amp;"'!$A$12:$Z$12"),0),0)),"ER"))</f>
        <v>?</v>
      </c>
      <c r="AA107" s="83" t="str">
        <f aca="true">IF($H107=0,"NA",IF($A107=INDIRECT("'"&amp;$A107&amp;"'!$B$1"),IF(VLOOKUP(AA$1,INDIRECT("'"&amp;$A107&amp;"'!$A$12:$Z$41"),MATCH("Points (Auto-generate)",INDIRECT("'"&amp;$A107&amp;"'!$A$12:$Z$12"),0),0)="","?",VLOOKUP(AA$1,INDIRECT("'"&amp;$A107&amp;"'!$A$12:$Z$41"),MATCH("Points (Auto-generate)",INDIRECT("'"&amp;$A107&amp;"'!$A$12:$Z$12"),0),0)),"ER"))</f>
        <v>?</v>
      </c>
      <c r="AB107" s="83" t="str">
        <f aca="true">IF($H107=0,"NA",IF($A107=INDIRECT("'"&amp;$A107&amp;"'!$B$1"),IF(VLOOKUP(AB$1,INDIRECT("'"&amp;$A107&amp;"'!$A$12:$Z$41"),MATCH("Points (Auto-generate)",INDIRECT("'"&amp;$A107&amp;"'!$A$12:$Z$12"),0),0)="","?",VLOOKUP(AB$1,INDIRECT("'"&amp;$A107&amp;"'!$A$12:$Z$41"),MATCH("Points (Auto-generate)",INDIRECT("'"&amp;$A107&amp;"'!$A$12:$Z$12"),0),0)),"ER"))</f>
        <v>?</v>
      </c>
      <c r="AC107" s="83" t="str">
        <f aca="true">IF($H107=0,"NA",IF($A107=INDIRECT("'"&amp;$A107&amp;"'!$B$1"),IF(VLOOKUP(AC$1,INDIRECT("'"&amp;$A107&amp;"'!$A$12:$Z$41"),MATCH("Points (Auto-generate)",INDIRECT("'"&amp;$A107&amp;"'!$A$12:$Z$12"),0),0)="","?",VLOOKUP(AC$1,INDIRECT("'"&amp;$A107&amp;"'!$A$12:$Z$41"),MATCH("Points (Auto-generate)",INDIRECT("'"&amp;$A107&amp;"'!$A$12:$Z$12"),0),0)),"ER"))</f>
        <v>?</v>
      </c>
      <c r="AD107" s="83" t="str">
        <f aca="true">IF($H107=0,"NA",IF($A107=INDIRECT("'"&amp;$A107&amp;"'!$B$1"),IF(VLOOKUP(AD$1,INDIRECT("'"&amp;$A107&amp;"'!$A$12:$Z$41"),MATCH("Points (Auto-generate)",INDIRECT("'"&amp;$A107&amp;"'!$A$12:$Z$12"),0),0)="","?",VLOOKUP(AD$1,INDIRECT("'"&amp;$A107&amp;"'!$A$12:$Z$41"),MATCH("Points (Auto-generate)",INDIRECT("'"&amp;$A107&amp;"'!$A$12:$Z$12"),0),0)),"ER"))</f>
        <v>?</v>
      </c>
      <c r="AE107" s="83" t="str">
        <f aca="true">IF($H107=0,"NA",IF($A107=INDIRECT("'"&amp;$A107&amp;"'!$B$1"),IF(VLOOKUP(AE$1,INDIRECT("'"&amp;$A107&amp;"'!$A$12:$Z$41"),MATCH("Points (Auto-generate)",INDIRECT("'"&amp;$A107&amp;"'!$A$12:$Z$12"),0),0)="","?",VLOOKUP(AE$1,INDIRECT("'"&amp;$A107&amp;"'!$A$12:$Z$41"),MATCH("Points (Auto-generate)",INDIRECT("'"&amp;$A107&amp;"'!$A$12:$Z$12"),0),0)),"ER"))</f>
        <v>?</v>
      </c>
      <c r="AF107" s="83" t="str">
        <f aca="true">IF($H107=0,"NA",IF($A107=INDIRECT("'"&amp;$A107&amp;"'!$B$1"),IF(VLOOKUP(AF$1,INDIRECT("'"&amp;$A107&amp;"'!$A$12:$Z$41"),MATCH("Points (Auto-generate)",INDIRECT("'"&amp;$A107&amp;"'!$A$12:$Z$12"),0),0)="","?",VLOOKUP(AF$1,INDIRECT("'"&amp;$A107&amp;"'!$A$12:$Z$41"),MATCH("Points (Auto-generate)",INDIRECT("'"&amp;$A107&amp;"'!$A$12:$Z$12"),0),0)),"ER"))</f>
        <v>?</v>
      </c>
      <c r="AG107" s="83" t="str">
        <f aca="true">IF($H107=0,"NA",IF($A107=INDIRECT("'"&amp;$A107&amp;"'!$B$1"),IF(VLOOKUP(AG$1,INDIRECT("'"&amp;$A107&amp;"'!$A$12:$Z$41"),MATCH("Points (Auto-generate)",INDIRECT("'"&amp;$A107&amp;"'!$A$12:$Z$12"),0),0)="","?",VLOOKUP(AG$1,INDIRECT("'"&amp;$A107&amp;"'!$A$12:$Z$41"),MATCH("Points (Auto-generate)",INDIRECT("'"&amp;$A107&amp;"'!$A$12:$Z$12"),0),0)),"ER"))</f>
        <v>?</v>
      </c>
      <c r="AH107" s="83" t="str">
        <f aca="true">IF($H107=0,"NA",IF($A107=INDIRECT("'"&amp;$A107&amp;"'!$B$1"),IF(VLOOKUP(AH$1,INDIRECT("'"&amp;$A107&amp;"'!$A$12:$Z$41"),MATCH("Points (Auto-generate)",INDIRECT("'"&amp;$A107&amp;"'!$A$12:$Z$12"),0),0)="","?",VLOOKUP(AH$1,INDIRECT("'"&amp;$A107&amp;"'!$A$12:$Z$41"),MATCH("Points (Auto-generate)",INDIRECT("'"&amp;$A107&amp;"'!$A$12:$Z$12"),0),0)),"ER"))</f>
        <v>?</v>
      </c>
      <c r="AI107" s="83" t="str">
        <f aca="true">IF($H107=0,"NA",IF($A107=INDIRECT("'"&amp;$A107&amp;"'!$B$1"),IF(VLOOKUP(AI$1,INDIRECT("'"&amp;$A107&amp;"'!$A$12:$Z$41"),MATCH("Points (Auto-generate)",INDIRECT("'"&amp;$A107&amp;"'!$A$12:$Z$12"),0),0)="","?",VLOOKUP(AI$1,INDIRECT("'"&amp;$A107&amp;"'!$A$12:$Z$41"),MATCH("Points (Auto-generate)",INDIRECT("'"&amp;$A107&amp;"'!$A$12:$Z$12"),0),0)),"ER"))</f>
        <v>?</v>
      </c>
      <c r="AJ107" s="83" t="str">
        <f aca="true">IF($H107=0,"NA",IF($A107=INDIRECT("'"&amp;$A107&amp;"'!$B$1"),IF(VLOOKUP(AJ$1,INDIRECT("'"&amp;$A107&amp;"'!$A$12:$Z$41"),MATCH("Points (Auto-generate)",INDIRECT("'"&amp;$A107&amp;"'!$A$12:$Z$12"),0),0)="","?",VLOOKUP(AJ$1,INDIRECT("'"&amp;$A107&amp;"'!$A$12:$Z$41"),MATCH("Points (Auto-generate)",INDIRECT("'"&amp;$A107&amp;"'!$A$12:$Z$12"),0),0)),"ER"))</f>
        <v>?</v>
      </c>
      <c r="AK107" s="83" t="str">
        <f aca="true">IF($H107=0,"NA",IF($A107=INDIRECT("'"&amp;$A107&amp;"'!$B$1"),IF(VLOOKUP(AK$1,INDIRECT("'"&amp;$A107&amp;"'!$A$12:$Z$41"),MATCH("Points (Auto-generate)",INDIRECT("'"&amp;$A107&amp;"'!$A$12:$Z$12"),0),0)="","?",VLOOKUP(AK$1,INDIRECT("'"&amp;$A107&amp;"'!$A$12:$Z$41"),MATCH("Points (Auto-generate)",INDIRECT("'"&amp;$A107&amp;"'!$A$12:$Z$12"),0),0)),"ER"))</f>
        <v>?</v>
      </c>
    </row>
    <row r="109" customFormat="false" ht="93.75" hidden="false" customHeight="true" outlineLevel="0" collapsed="false">
      <c r="F109" s="84" t="s">
        <v>830</v>
      </c>
      <c r="I109" s="75" t="s">
        <v>800</v>
      </c>
      <c r="J109" s="75" t="s">
        <v>801</v>
      </c>
      <c r="K109" s="75" t="s">
        <v>802</v>
      </c>
      <c r="L109" s="75" t="s">
        <v>803</v>
      </c>
      <c r="M109" s="75" t="s">
        <v>804</v>
      </c>
      <c r="N109" s="75" t="s">
        <v>805</v>
      </c>
      <c r="O109" s="75" t="s">
        <v>806</v>
      </c>
      <c r="P109" s="75" t="s">
        <v>807</v>
      </c>
      <c r="Q109" s="75" t="s">
        <v>808</v>
      </c>
      <c r="R109" s="75" t="s">
        <v>809</v>
      </c>
      <c r="S109" s="75" t="s">
        <v>810</v>
      </c>
      <c r="T109" s="75" t="s">
        <v>811</v>
      </c>
      <c r="U109" s="75" t="s">
        <v>812</v>
      </c>
      <c r="V109" s="75" t="s">
        <v>813</v>
      </c>
      <c r="W109" s="75" t="s">
        <v>814</v>
      </c>
      <c r="X109" s="75" t="s">
        <v>815</v>
      </c>
      <c r="Y109" s="75" t="s">
        <v>816</v>
      </c>
      <c r="Z109" s="75" t="s">
        <v>817</v>
      </c>
      <c r="AA109" s="75" t="s">
        <v>818</v>
      </c>
      <c r="AB109" s="75" t="s">
        <v>819</v>
      </c>
      <c r="AC109" s="75" t="s">
        <v>17</v>
      </c>
      <c r="AD109" s="75" t="s">
        <v>820</v>
      </c>
      <c r="AE109" s="75" t="s">
        <v>821</v>
      </c>
      <c r="AF109" s="75" t="s">
        <v>822</v>
      </c>
      <c r="AG109" s="75" t="s">
        <v>823</v>
      </c>
      <c r="AH109" s="75" t="s">
        <v>824</v>
      </c>
      <c r="AI109" s="75" t="s">
        <v>825</v>
      </c>
      <c r="AJ109" s="75" t="s">
        <v>826</v>
      </c>
      <c r="AK109" s="75" t="s">
        <v>827</v>
      </c>
    </row>
    <row r="110" customFormat="false" ht="14.25" hidden="false" customHeight="false" outlineLevel="0" collapsed="false">
      <c r="F110" s="85" t="s">
        <v>831</v>
      </c>
      <c r="I110" s="86" t="n">
        <f aca="false">SUMIFS(I$3:I$107,$E$3:$E$107,"MQ")/(COUNTIFS($E$3:$E$107,"MQ")-COUNTIFS($E$3:$E$107,"MQ",I$3:I$107,"NA"))</f>
        <v>0</v>
      </c>
      <c r="J110" s="86" t="n">
        <f aca="false">SUMIFS(J$3:J$107,$E$3:$E$107,"MQ")/(COUNTIFS($E$3:$E$107,"MQ")-COUNTIFS($E$3:$E$107,"MQ",J$3:J$107,"NA"))</f>
        <v>1.08262108262108</v>
      </c>
      <c r="K110" s="86" t="n">
        <f aca="false">SUMIFS(K$3:K$107,$E$3:$E$107,"MQ")/(COUNTIFS($E$3:$E$107,"MQ")-COUNTIFS($E$3:$E$107,"MQ",K$3:K$107,"NA"))</f>
        <v>0</v>
      </c>
      <c r="L110" s="86" t="n">
        <f aca="false">SUMIFS(L$3:L$107,$E$3:$E$107,"MQ")/(COUNTIFS($E$3:$E$107,"MQ")-COUNTIFS($E$3:$E$107,"MQ",L$3:L$107,"NA"))</f>
        <v>0</v>
      </c>
      <c r="M110" s="86" t="n">
        <f aca="false">SUMIFS(M$3:M$107,$E$3:$E$107,"MQ")/(COUNTIFS($E$3:$E$107,"MQ")-COUNTIFS($E$3:$E$107,"MQ",M$3:M$107,"NA"))</f>
        <v>0</v>
      </c>
      <c r="N110" s="86" t="n">
        <f aca="false">SUMIFS(N$3:N$107,$E$3:$E$107,"MQ")/(COUNTIFS($E$3:$E$107,"MQ")-COUNTIFS($E$3:$E$107,"MQ",N$3:N$107,"NA"))</f>
        <v>0</v>
      </c>
      <c r="O110" s="86" t="n">
        <f aca="false">SUMIFS(O$3:O$107,$E$3:$E$107,"MQ")/(COUNTIFS($E$3:$E$107,"MQ")-COUNTIFS($E$3:$E$107,"MQ",O$3:O$107,"NA"))</f>
        <v>0</v>
      </c>
      <c r="P110" s="86" t="n">
        <f aca="false">SUMIFS(P$3:P$107,$E$3:$E$107,"MQ")/(COUNTIFS($E$3:$E$107,"MQ")-COUNTIFS($E$3:$E$107,"MQ",P$3:P$107,"NA"))</f>
        <v>0</v>
      </c>
      <c r="Q110" s="86" t="n">
        <f aca="false">SUMIFS(Q$3:Q$107,$E$3:$E$107,"MQ")/(COUNTIFS($E$3:$E$107,"MQ")-COUNTIFS($E$3:$E$107,"MQ",Q$3:Q$107,"NA"))</f>
        <v>0</v>
      </c>
      <c r="R110" s="86" t="n">
        <f aca="false">SUMIFS(R$3:R$107,$E$3:$E$107,"MQ")/(COUNTIFS($E$3:$E$107,"MQ")-COUNTIFS($E$3:$E$107,"MQ",R$3:R$107,"NA"))</f>
        <v>0</v>
      </c>
      <c r="S110" s="86" t="n">
        <f aca="false">SUMIFS(S$3:S$107,$E$3:$E$107,"MQ")/(COUNTIFS($E$3:$E$107,"MQ")-COUNTIFS($E$3:$E$107,"MQ",S$3:S$107,"NA"))</f>
        <v>0</v>
      </c>
      <c r="T110" s="86" t="n">
        <f aca="false">SUMIFS(T$3:T$107,$E$3:$E$107,"MQ")/(COUNTIFS($E$3:$E$107,"MQ")-COUNTIFS($E$3:$E$107,"MQ",T$3:T$107,"NA"))</f>
        <v>0</v>
      </c>
      <c r="U110" s="86" t="n">
        <f aca="false">SUMIFS(U$3:U$107,$E$3:$E$107,"MQ")/(COUNTIFS($E$3:$E$107,"MQ")-COUNTIFS($E$3:$E$107,"MQ",U$3:U$107,"NA"))</f>
        <v>0</v>
      </c>
      <c r="V110" s="86" t="n">
        <f aca="false">SUMIFS(V$3:V$107,$E$3:$E$107,"MQ")/(COUNTIFS($E$3:$E$107,"MQ")-COUNTIFS($E$3:$E$107,"MQ",V$3:V$107,"NA"))</f>
        <v>0</v>
      </c>
      <c r="W110" s="86" t="n">
        <f aca="false">SUMIFS(W$3:W$107,$E$3:$E$107,"MQ")/(COUNTIFS($E$3:$E$107,"MQ")-COUNTIFS($E$3:$E$107,"MQ",W$3:W$107,"NA"))</f>
        <v>0</v>
      </c>
      <c r="X110" s="86" t="n">
        <f aca="false">SUMIFS(X$3:X$107,$E$3:$E$107,"MQ")/(COUNTIFS($E$3:$E$107,"MQ")-COUNTIFS($E$3:$E$107,"MQ",X$3:X$107,"NA"))</f>
        <v>0</v>
      </c>
      <c r="Y110" s="86" t="n">
        <f aca="false">SUMIFS(Y$3:Y$107,$E$3:$E$107,"MQ")/(COUNTIFS($E$3:$E$107,"MQ")-COUNTIFS($E$3:$E$107,"MQ",Y$3:Y$107,"NA"))</f>
        <v>0</v>
      </c>
      <c r="Z110" s="86" t="n">
        <f aca="false">SUMIFS(Z$3:Z$107,$E$3:$E$107,"MQ")/(COUNTIFS($E$3:$E$107,"MQ")-COUNTIFS($E$3:$E$107,"MQ",Z$3:Z$107,"NA"))</f>
        <v>0</v>
      </c>
      <c r="AA110" s="86" t="n">
        <f aca="false">SUMIFS(AA$3:AA$107,$E$3:$E$107,"MQ")/(COUNTIFS($E$3:$E$107,"MQ")-COUNTIFS($E$3:$E$107,"MQ",AA$3:AA$107,"NA"))</f>
        <v>0</v>
      </c>
      <c r="AB110" s="86" t="n">
        <f aca="false">SUMIFS(AB$3:AB$107,$E$3:$E$107,"MQ")/(COUNTIFS($E$3:$E$107,"MQ")-COUNTIFS($E$3:$E$107,"MQ",AB$3:AB$107,"NA"))</f>
        <v>0</v>
      </c>
      <c r="AC110" s="86" t="n">
        <f aca="false">SUMIFS(AC$3:AC$107,$E$3:$E$107,"MQ")/(COUNTIFS($E$3:$E$107,"MQ")-COUNTIFS($E$3:$E$107,"MQ",AC$3:AC$107,"NA"))</f>
        <v>0.769230769230769</v>
      </c>
      <c r="AD110" s="86" t="n">
        <f aca="false">SUMIFS(AD$3:AD$107,$E$3:$E$107,"MQ")/(COUNTIFS($E$3:$E$107,"MQ")-COUNTIFS($E$3:$E$107,"MQ",AD$3:AD$107,"NA"))</f>
        <v>0</v>
      </c>
      <c r="AE110" s="86" t="n">
        <f aca="false">SUMIFS(AE$3:AE$107,$E$3:$E$107,"MQ")/(COUNTIFS($E$3:$E$107,"MQ")-COUNTIFS($E$3:$E$107,"MQ",AE$3:AE$107,"NA"))</f>
        <v>0</v>
      </c>
      <c r="AF110" s="86" t="n">
        <f aca="false">SUMIFS(AF$3:AF$107,$E$3:$E$107,"MQ")/(COUNTIFS($E$3:$E$107,"MQ")-COUNTIFS($E$3:$E$107,"MQ",AF$3:AF$107,"NA"))</f>
        <v>0</v>
      </c>
      <c r="AG110" s="86" t="n">
        <f aca="false">SUMIFS(AG$3:AG$107,$E$3:$E$107,"MQ")/(COUNTIFS($E$3:$E$107,"MQ")-COUNTIFS($E$3:$E$107,"MQ",AG$3:AG$107,"NA"))</f>
        <v>0</v>
      </c>
      <c r="AH110" s="86" t="n">
        <f aca="false">SUMIFS(AH$3:AH$107,$E$3:$E$107,"MQ")/(COUNTIFS($E$3:$E$107,"MQ")-COUNTIFS($E$3:$E$107,"MQ",AH$3:AH$107,"NA"))</f>
        <v>0</v>
      </c>
      <c r="AI110" s="86" t="n">
        <f aca="false">SUMIFS(AI$3:AI$107,$E$3:$E$107,"MQ")/(COUNTIFS($E$3:$E$107,"MQ")-COUNTIFS($E$3:$E$107,"MQ",AI$3:AI$107,"NA"))</f>
        <v>0</v>
      </c>
      <c r="AJ110" s="86" t="n">
        <f aca="false">SUMIFS(AJ$3:AJ$107,$E$3:$E$107,"MQ")/(COUNTIFS($E$3:$E$107,"MQ")-COUNTIFS($E$3:$E$107,"MQ",AJ$3:AJ$107,"NA"))</f>
        <v>0</v>
      </c>
      <c r="AK110" s="86" t="n">
        <f aca="false">SUMIFS(AK$3:AK$107,$E$3:$E$107,"MQ")/(COUNTIFS($E$3:$E$107,"MQ")-COUNTIFS($E$3:$E$107,"MQ",AK$3:AK$107,"NA"))</f>
        <v>0</v>
      </c>
    </row>
    <row r="111" customFormat="false" ht="14.25" hidden="false" customHeight="false" outlineLevel="0" collapsed="false">
      <c r="F111" s="87" t="s">
        <v>832</v>
      </c>
      <c r="I111" s="88" t="n">
        <f aca="false">COUNTIFS($E$3:$E$107,"MQ",I$3:I$107,"?")</f>
        <v>39</v>
      </c>
      <c r="J111" s="88" t="n">
        <f aca="false">COUNTIFS($E$3:$E$107,"MQ",J$3:J$107,"?")</f>
        <v>27</v>
      </c>
      <c r="K111" s="88" t="n">
        <f aca="false">COUNTIFS($E$3:$E$107,"MQ",K$3:K$107,"?")</f>
        <v>39</v>
      </c>
      <c r="L111" s="88" t="n">
        <f aca="false">COUNTIFS($E$3:$E$107,"MQ",L$3:L$107,"?")</f>
        <v>39</v>
      </c>
      <c r="M111" s="88" t="n">
        <f aca="false">COUNTIFS($E$3:$E$107,"MQ",M$3:M$107,"?")</f>
        <v>39</v>
      </c>
      <c r="N111" s="88" t="n">
        <f aca="false">COUNTIFS($E$3:$E$107,"MQ",N$3:N$107,"?")</f>
        <v>39</v>
      </c>
      <c r="O111" s="88" t="n">
        <f aca="false">COUNTIFS($E$3:$E$107,"MQ",O$3:O$107,"?")</f>
        <v>39</v>
      </c>
      <c r="P111" s="88" t="n">
        <f aca="false">COUNTIFS($E$3:$E$107,"MQ",P$3:P$107,"?")</f>
        <v>39</v>
      </c>
      <c r="Q111" s="88" t="n">
        <f aca="false">COUNTIFS($E$3:$E$107,"MQ",Q$3:Q$107,"?")</f>
        <v>39</v>
      </c>
      <c r="R111" s="88" t="n">
        <f aca="false">COUNTIFS($E$3:$E$107,"MQ",R$3:R$107,"?")</f>
        <v>39</v>
      </c>
      <c r="S111" s="88" t="n">
        <f aca="false">COUNTIFS($E$3:$E$107,"MQ",S$3:S$107,"?")</f>
        <v>39</v>
      </c>
      <c r="T111" s="88" t="n">
        <f aca="false">COUNTIFS($E$3:$E$107,"MQ",T$3:T$107,"?")</f>
        <v>39</v>
      </c>
      <c r="U111" s="88" t="n">
        <f aca="false">COUNTIFS($E$3:$E$107,"MQ",U$3:U$107,"?")</f>
        <v>39</v>
      </c>
      <c r="V111" s="88" t="n">
        <f aca="false">COUNTIFS($E$3:$E$107,"MQ",V$3:V$107,"?")</f>
        <v>39</v>
      </c>
      <c r="W111" s="88" t="n">
        <f aca="false">COUNTIFS($E$3:$E$107,"MQ",W$3:W$107,"?")</f>
        <v>39</v>
      </c>
      <c r="X111" s="88" t="n">
        <f aca="false">COUNTIFS($E$3:$E$107,"MQ",X$3:X$107,"?")</f>
        <v>39</v>
      </c>
      <c r="Y111" s="88" t="n">
        <f aca="false">COUNTIFS($E$3:$E$107,"MQ",Y$3:Y$107,"?")</f>
        <v>39</v>
      </c>
      <c r="Z111" s="88" t="n">
        <f aca="false">COUNTIFS($E$3:$E$107,"MQ",Z$3:Z$107,"?")</f>
        <v>39</v>
      </c>
      <c r="AA111" s="88" t="n">
        <f aca="false">COUNTIFS($E$3:$E$107,"MQ",AA$3:AA$107,"?")</f>
        <v>39</v>
      </c>
      <c r="AB111" s="88" t="n">
        <f aca="false">COUNTIFS($E$3:$E$107,"MQ",AB$3:AB$107,"?")</f>
        <v>39</v>
      </c>
      <c r="AC111" s="88" t="n">
        <f aca="false">COUNTIFS($E$3:$E$107,"MQ",AC$3:AC$107,"?")</f>
        <v>35</v>
      </c>
      <c r="AD111" s="88" t="n">
        <f aca="false">COUNTIFS($E$3:$E$107,"MQ",AD$3:AD$107,"?")</f>
        <v>39</v>
      </c>
      <c r="AE111" s="88" t="n">
        <f aca="false">COUNTIFS($E$3:$E$107,"MQ",AE$3:AE$107,"?")</f>
        <v>39</v>
      </c>
      <c r="AF111" s="88" t="n">
        <f aca="false">COUNTIFS($E$3:$E$107,"MQ",AF$3:AF$107,"?")</f>
        <v>39</v>
      </c>
      <c r="AG111" s="88" t="n">
        <f aca="false">COUNTIFS($E$3:$E$107,"MQ",AG$3:AG$107,"?")</f>
        <v>39</v>
      </c>
      <c r="AH111" s="88" t="n">
        <f aca="false">COUNTIFS($E$3:$E$107,"MQ",AH$3:AH$107,"?")</f>
        <v>39</v>
      </c>
      <c r="AI111" s="88" t="n">
        <f aca="false">COUNTIFS($E$3:$E$107,"MQ",AI$3:AI$107,"?")</f>
        <v>39</v>
      </c>
      <c r="AJ111" s="88" t="n">
        <f aca="false">COUNTIFS($E$3:$E$107,"MQ",AJ$3:AJ$107,"?")</f>
        <v>39</v>
      </c>
      <c r="AK111" s="88" t="n">
        <f aca="false">COUNTIFS($E$3:$E$107,"MQ",AK$3:AK$107,"?")</f>
        <v>39</v>
      </c>
    </row>
    <row r="112" customFormat="false" ht="14.25" hidden="false" customHeight="false" outlineLevel="0" collapsed="false">
      <c r="F112" s="87" t="s">
        <v>833</v>
      </c>
      <c r="I112" s="88" t="n">
        <f aca="false">COUNTIFS($E$3:$E$107,"MQ",I$3:I$107,"NA")</f>
        <v>0</v>
      </c>
      <c r="J112" s="88" t="n">
        <f aca="false">COUNTIFS($E$3:$E$107,"MQ",J$3:J$107,"NA")</f>
        <v>0</v>
      </c>
      <c r="K112" s="88" t="n">
        <f aca="false">COUNTIFS($E$3:$E$107,"MQ",K$3:K$107,"NA")</f>
        <v>0</v>
      </c>
      <c r="L112" s="88" t="n">
        <f aca="false">COUNTIFS($E$3:$E$107,"MQ",L$3:L$107,"NA")</f>
        <v>0</v>
      </c>
      <c r="M112" s="88" t="n">
        <f aca="false">COUNTIFS($E$3:$E$107,"MQ",M$3:M$107,"NA")</f>
        <v>0</v>
      </c>
      <c r="N112" s="88" t="n">
        <f aca="false">COUNTIFS($E$3:$E$107,"MQ",N$3:N$107,"NA")</f>
        <v>0</v>
      </c>
      <c r="O112" s="88" t="n">
        <f aca="false">COUNTIFS($E$3:$E$107,"MQ",O$3:O$107,"NA")</f>
        <v>0</v>
      </c>
      <c r="P112" s="88" t="n">
        <f aca="false">COUNTIFS($E$3:$E$107,"MQ",P$3:P$107,"NA")</f>
        <v>0</v>
      </c>
      <c r="Q112" s="88" t="n">
        <f aca="false">COUNTIFS($E$3:$E$107,"MQ",Q$3:Q$107,"NA")</f>
        <v>0</v>
      </c>
      <c r="R112" s="88" t="n">
        <f aca="false">COUNTIFS($E$3:$E$107,"MQ",R$3:R$107,"NA")</f>
        <v>0</v>
      </c>
      <c r="S112" s="88" t="n">
        <f aca="false">COUNTIFS($E$3:$E$107,"MQ",S$3:S$107,"NA")</f>
        <v>0</v>
      </c>
      <c r="T112" s="88" t="n">
        <f aca="false">COUNTIFS($E$3:$E$107,"MQ",T$3:T$107,"NA")</f>
        <v>0</v>
      </c>
      <c r="U112" s="88" t="n">
        <f aca="false">COUNTIFS($E$3:$E$107,"MQ",U$3:U$107,"NA")</f>
        <v>0</v>
      </c>
      <c r="V112" s="88" t="n">
        <f aca="false">COUNTIFS($E$3:$E$107,"MQ",V$3:V$107,"NA")</f>
        <v>0</v>
      </c>
      <c r="W112" s="88" t="n">
        <f aca="false">COUNTIFS($E$3:$E$107,"MQ",W$3:W$107,"NA")</f>
        <v>0</v>
      </c>
      <c r="X112" s="88" t="n">
        <f aca="false">COUNTIFS($E$3:$E$107,"MQ",X$3:X$107,"NA")</f>
        <v>0</v>
      </c>
      <c r="Y112" s="88" t="n">
        <f aca="false">COUNTIFS($E$3:$E$107,"MQ",Y$3:Y$107,"NA")</f>
        <v>0</v>
      </c>
      <c r="Z112" s="88" t="n">
        <f aca="false">COUNTIFS($E$3:$E$107,"MQ",Z$3:Z$107,"NA")</f>
        <v>0</v>
      </c>
      <c r="AA112" s="88" t="n">
        <f aca="false">COUNTIFS($E$3:$E$107,"MQ",AA$3:AA$107,"NA")</f>
        <v>0</v>
      </c>
      <c r="AB112" s="88" t="n">
        <f aca="false">COUNTIFS($E$3:$E$107,"MQ",AB$3:AB$107,"NA")</f>
        <v>0</v>
      </c>
      <c r="AC112" s="88" t="n">
        <f aca="false">COUNTIFS($E$3:$E$107,"MQ",AC$3:AC$107,"NA")</f>
        <v>0</v>
      </c>
      <c r="AD112" s="88" t="n">
        <f aca="false">COUNTIFS($E$3:$E$107,"MQ",AD$3:AD$107,"NA")</f>
        <v>0</v>
      </c>
      <c r="AE112" s="88" t="n">
        <f aca="false">COUNTIFS($E$3:$E$107,"MQ",AE$3:AE$107,"NA")</f>
        <v>0</v>
      </c>
      <c r="AF112" s="88" t="n">
        <f aca="false">COUNTIFS($E$3:$E$107,"MQ",AF$3:AF$107,"NA")</f>
        <v>0</v>
      </c>
      <c r="AG112" s="88" t="n">
        <f aca="false">COUNTIFS($E$3:$E$107,"MQ",AG$3:AG$107,"NA")</f>
        <v>0</v>
      </c>
      <c r="AH112" s="88" t="n">
        <f aca="false">COUNTIFS($E$3:$E$107,"MQ",AH$3:AH$107,"NA")</f>
        <v>0</v>
      </c>
      <c r="AI112" s="88" t="n">
        <f aca="false">COUNTIFS($E$3:$E$107,"MQ",AI$3:AI$107,"NA")</f>
        <v>0</v>
      </c>
      <c r="AJ112" s="88" t="n">
        <f aca="false">COUNTIFS($E$3:$E$107,"MQ",AJ$3:AJ$107,"NA")</f>
        <v>0</v>
      </c>
      <c r="AK112" s="88" t="n">
        <f aca="false">COUNTIFS($E$3:$E$107,"MQ",AK$3:AK$107,"NA")</f>
        <v>0</v>
      </c>
    </row>
  </sheetData>
  <mergeCells count="1">
    <mergeCell ref="I2:AK2"/>
  </mergeCells>
  <conditionalFormatting sqref="A3:AK107">
    <cfRule type="expression" priority="2" aboveAverage="0" equalAverage="0" bottom="0" percent="0" rank="0" text="" dxfId="10">
      <formula>$A4=$A3&amp;"a"</formula>
    </cfRule>
    <cfRule type="expression" priority="3" aboveAverage="0" equalAverage="0" bottom="0" percent="0" rank="0" text="" dxfId="11">
      <formula>AND(LEFT($E3,2)="SQ",LEN($E3)=3)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4.25" customHeight="false" zeroHeight="false" outlineLevelRow="0" outlineLevelCol="0"/>
  <cols>
    <col collapsed="false" customWidth="false" hidden="false" outlineLevel="0" max="1" min="1" style="89" width="9.14"/>
    <col collapsed="false" customWidth="false" hidden="false" outlineLevel="0" max="2" min="2" style="90" width="9.14"/>
    <col collapsed="false" customWidth="true" hidden="false" outlineLevel="0" max="3" min="3" style="90" width="7.57"/>
    <col collapsed="false" customWidth="true" hidden="false" outlineLevel="0" max="4" min="4" style="90" width="5.14"/>
    <col collapsed="false" customWidth="true" hidden="false" outlineLevel="0" max="5" min="5" style="91" width="7.57"/>
    <col collapsed="false" customWidth="true" hidden="false" outlineLevel="0" max="6" min="6" style="91" width="8.71"/>
    <col collapsed="false" customWidth="true" hidden="false" outlineLevel="0" max="7" min="7" style="92" width="22.29"/>
    <col collapsed="false" customWidth="true" hidden="false" outlineLevel="0" max="8" min="8" style="93" width="19.14"/>
    <col collapsed="false" customWidth="true" hidden="false" outlineLevel="0" max="9" min="9" style="90" width="79.86"/>
    <col collapsed="false" customWidth="true" hidden="false" outlineLevel="0" max="10" min="10" style="89" width="7.71"/>
    <col collapsed="false" customWidth="true" hidden="false" outlineLevel="0" max="11" min="11" style="94" width="19.57"/>
    <col collapsed="false" customWidth="true" hidden="false" outlineLevel="0" max="12" min="12" style="90" width="18.29"/>
    <col collapsed="false" customWidth="true" hidden="false" outlineLevel="0" max="13" min="13" style="90" width="98.29"/>
    <col collapsed="false" customWidth="true" hidden="false" outlineLevel="0" max="14" min="14" style="3" width="138.14"/>
    <col collapsed="false" customWidth="false" hidden="false" outlineLevel="0" max="16384" min="15" style="90" width="9.14"/>
  </cols>
  <sheetData>
    <row r="1" s="89" customFormat="true" ht="48" hidden="false" customHeight="true" outlineLevel="0" collapsed="false">
      <c r="A1" s="95" t="s">
        <v>410</v>
      </c>
      <c r="B1" s="95" t="s">
        <v>411</v>
      </c>
      <c r="C1" s="95" t="s">
        <v>412</v>
      </c>
      <c r="D1" s="95" t="s">
        <v>413</v>
      </c>
      <c r="E1" s="96" t="s">
        <v>414</v>
      </c>
      <c r="F1" s="96" t="s">
        <v>415</v>
      </c>
      <c r="G1" s="13" t="s">
        <v>416</v>
      </c>
      <c r="H1" s="13" t="s">
        <v>417</v>
      </c>
      <c r="I1" s="95" t="s">
        <v>0</v>
      </c>
      <c r="J1" s="95" t="s">
        <v>418</v>
      </c>
      <c r="K1" s="95" t="s">
        <v>419</v>
      </c>
      <c r="L1" s="97" t="s">
        <v>420</v>
      </c>
      <c r="M1" s="98" t="s">
        <v>421</v>
      </c>
      <c r="N1" s="98" t="s">
        <v>422</v>
      </c>
    </row>
    <row r="2" customFormat="false" ht="111" hidden="false" customHeight="true" outlineLevel="0" collapsed="false">
      <c r="A2" s="99" t="s">
        <v>423</v>
      </c>
      <c r="B2" s="100" t="s">
        <v>16</v>
      </c>
      <c r="C2" s="100" t="s">
        <v>16</v>
      </c>
      <c r="D2" s="100" t="s">
        <v>424</v>
      </c>
      <c r="E2" s="101" t="s">
        <v>16</v>
      </c>
      <c r="F2" s="101" t="s">
        <v>425</v>
      </c>
      <c r="G2" s="19" t="s">
        <v>426</v>
      </c>
      <c r="H2" s="19" t="s">
        <v>427</v>
      </c>
      <c r="I2" s="17" t="s">
        <v>18</v>
      </c>
      <c r="J2" s="99" t="s">
        <v>428</v>
      </c>
      <c r="K2" s="102" t="n">
        <v>10</v>
      </c>
      <c r="L2" s="103" t="s">
        <v>429</v>
      </c>
      <c r="M2" s="100" t="s">
        <v>430</v>
      </c>
      <c r="N2" s="104" t="s">
        <v>431</v>
      </c>
    </row>
    <row r="3" customFormat="false" ht="40.5" hidden="false" customHeight="true" outlineLevel="0" collapsed="false">
      <c r="A3" s="99" t="s">
        <v>432</v>
      </c>
      <c r="B3" s="100" t="s">
        <v>93</v>
      </c>
      <c r="C3" s="100" t="s">
        <v>76</v>
      </c>
      <c r="D3" s="100" t="s">
        <v>424</v>
      </c>
      <c r="E3" s="101" t="s">
        <v>23</v>
      </c>
      <c r="F3" s="101" t="s">
        <v>425</v>
      </c>
      <c r="G3" s="19" t="s">
        <v>426</v>
      </c>
      <c r="H3" s="19" t="s">
        <v>427</v>
      </c>
      <c r="I3" s="100" t="s">
        <v>834</v>
      </c>
      <c r="J3" s="99" t="s">
        <v>428</v>
      </c>
      <c r="K3" s="102" t="n">
        <v>10</v>
      </c>
      <c r="L3" s="103" t="s">
        <v>429</v>
      </c>
      <c r="M3" s="100" t="s">
        <v>835</v>
      </c>
      <c r="N3" s="104"/>
    </row>
    <row r="4" customFormat="false" ht="48" hidden="false" customHeight="true" outlineLevel="0" collapsed="false">
      <c r="A4" s="105" t="s">
        <v>453</v>
      </c>
      <c r="B4" s="106" t="s">
        <v>23</v>
      </c>
      <c r="C4" s="100" t="s">
        <v>23</v>
      </c>
      <c r="D4" s="100" t="s">
        <v>424</v>
      </c>
      <c r="E4" s="101" t="s">
        <v>53</v>
      </c>
      <c r="F4" s="101" t="s">
        <v>425</v>
      </c>
      <c r="G4" s="19" t="s">
        <v>426</v>
      </c>
      <c r="H4" s="19" t="s">
        <v>436</v>
      </c>
      <c r="I4" s="106" t="s">
        <v>437</v>
      </c>
      <c r="J4" s="105" t="s">
        <v>428</v>
      </c>
      <c r="K4" s="107" t="n">
        <v>10</v>
      </c>
      <c r="L4" s="108" t="s">
        <v>429</v>
      </c>
      <c r="M4" s="100" t="s">
        <v>836</v>
      </c>
      <c r="N4" s="104"/>
    </row>
    <row r="5" customFormat="false" ht="69" hidden="false" customHeight="true" outlineLevel="0" collapsed="false">
      <c r="A5" s="109" t="s">
        <v>837</v>
      </c>
      <c r="B5" s="110" t="s">
        <v>440</v>
      </c>
      <c r="C5" s="110" t="s">
        <v>440</v>
      </c>
      <c r="D5" s="100" t="s">
        <v>424</v>
      </c>
      <c r="E5" s="101" t="s">
        <v>838</v>
      </c>
      <c r="F5" s="101" t="s">
        <v>425</v>
      </c>
      <c r="G5" s="19" t="s">
        <v>426</v>
      </c>
      <c r="H5" s="19" t="s">
        <v>436</v>
      </c>
      <c r="I5" s="110" t="s">
        <v>441</v>
      </c>
      <c r="J5" s="109" t="s">
        <v>442</v>
      </c>
      <c r="K5" s="111" t="n">
        <v>3.33</v>
      </c>
      <c r="L5" s="112" t="s">
        <v>429</v>
      </c>
      <c r="M5" s="110" t="s">
        <v>443</v>
      </c>
      <c r="N5" s="104"/>
    </row>
    <row r="6" customFormat="false" ht="42.75" hidden="false" customHeight="true" outlineLevel="0" collapsed="false">
      <c r="A6" s="109" t="s">
        <v>839</v>
      </c>
      <c r="B6" s="110" t="s">
        <v>445</v>
      </c>
      <c r="C6" s="110" t="s">
        <v>445</v>
      </c>
      <c r="D6" s="100" t="s">
        <v>424</v>
      </c>
      <c r="E6" s="101" t="s">
        <v>840</v>
      </c>
      <c r="F6" s="101" t="s">
        <v>425</v>
      </c>
      <c r="G6" s="19" t="s">
        <v>426</v>
      </c>
      <c r="H6" s="19" t="s">
        <v>436</v>
      </c>
      <c r="I6" s="27" t="s">
        <v>446</v>
      </c>
      <c r="J6" s="109" t="s">
        <v>442</v>
      </c>
      <c r="K6" s="111" t="n">
        <v>3.33</v>
      </c>
      <c r="L6" s="112" t="s">
        <v>429</v>
      </c>
      <c r="M6" s="110" t="s">
        <v>841</v>
      </c>
      <c r="N6" s="104"/>
    </row>
    <row r="7" customFormat="false" ht="67.5" hidden="false" customHeight="true" outlineLevel="0" collapsed="false">
      <c r="A7" s="109" t="s">
        <v>842</v>
      </c>
      <c r="B7" s="110" t="s">
        <v>449</v>
      </c>
      <c r="C7" s="110" t="s">
        <v>449</v>
      </c>
      <c r="D7" s="100" t="s">
        <v>424</v>
      </c>
      <c r="E7" s="101" t="s">
        <v>843</v>
      </c>
      <c r="F7" s="101" t="s">
        <v>425</v>
      </c>
      <c r="G7" s="19" t="s">
        <v>426</v>
      </c>
      <c r="H7" s="19" t="s">
        <v>436</v>
      </c>
      <c r="I7" s="113" t="s">
        <v>450</v>
      </c>
      <c r="J7" s="114" t="s">
        <v>442</v>
      </c>
      <c r="K7" s="111" t="n">
        <v>3.33</v>
      </c>
      <c r="L7" s="115" t="s">
        <v>429</v>
      </c>
      <c r="M7" s="113" t="s">
        <v>844</v>
      </c>
      <c r="N7" s="104" t="s">
        <v>452</v>
      </c>
    </row>
    <row r="8" customFormat="false" ht="404.25" hidden="false" customHeight="true" outlineLevel="0" collapsed="false">
      <c r="A8" s="99" t="s">
        <v>456</v>
      </c>
      <c r="B8" s="100" t="s">
        <v>76</v>
      </c>
      <c r="C8" s="116" t="s">
        <v>454</v>
      </c>
      <c r="D8" s="116" t="s">
        <v>424</v>
      </c>
      <c r="E8" s="117" t="s">
        <v>457</v>
      </c>
      <c r="F8" s="101" t="s">
        <v>425</v>
      </c>
      <c r="G8" s="19" t="s">
        <v>426</v>
      </c>
      <c r="H8" s="118" t="s">
        <v>436</v>
      </c>
      <c r="I8" s="119" t="s">
        <v>54</v>
      </c>
      <c r="J8" s="99" t="s">
        <v>428</v>
      </c>
      <c r="K8" s="102" t="n">
        <v>10</v>
      </c>
      <c r="L8" s="100" t="s">
        <v>429</v>
      </c>
      <c r="M8" s="116" t="s">
        <v>845</v>
      </c>
      <c r="N8" s="120"/>
      <c r="O8" s="90" t="s">
        <v>846</v>
      </c>
    </row>
    <row r="9" customFormat="false" ht="37.5" hidden="false" customHeight="true" outlineLevel="0" collapsed="false">
      <c r="A9" s="121" t="n">
        <v>8</v>
      </c>
      <c r="B9" s="122" t="s">
        <v>424</v>
      </c>
      <c r="C9" s="123"/>
      <c r="D9" s="123"/>
      <c r="E9" s="123"/>
      <c r="F9" s="124" t="s">
        <v>425</v>
      </c>
      <c r="G9" s="19" t="s">
        <v>426</v>
      </c>
      <c r="H9" s="118" t="s">
        <v>436</v>
      </c>
      <c r="I9" s="31" t="s">
        <v>458</v>
      </c>
      <c r="J9" s="32" t="s">
        <v>428</v>
      </c>
      <c r="K9" s="107" t="n">
        <v>10</v>
      </c>
      <c r="L9" s="108" t="s">
        <v>429</v>
      </c>
      <c r="M9" s="125" t="s">
        <v>847</v>
      </c>
      <c r="N9" s="126"/>
      <c r="O9" s="127"/>
      <c r="P9" s="35"/>
      <c r="R9" s="128"/>
      <c r="S9" s="129"/>
    </row>
    <row r="10" customFormat="false" ht="66" hidden="false" customHeight="true" outlineLevel="0" collapsed="false">
      <c r="A10" s="121" t="s">
        <v>848</v>
      </c>
      <c r="B10" s="122" t="s">
        <v>424</v>
      </c>
      <c r="C10" s="123"/>
      <c r="D10" s="123"/>
      <c r="E10" s="123"/>
      <c r="F10" s="124" t="s">
        <v>425</v>
      </c>
      <c r="G10" s="19" t="s">
        <v>426</v>
      </c>
      <c r="H10" s="118" t="s">
        <v>436</v>
      </c>
      <c r="I10" s="27" t="s">
        <v>461</v>
      </c>
      <c r="J10" s="30" t="s">
        <v>442</v>
      </c>
      <c r="K10" s="30" t="n">
        <v>3.3</v>
      </c>
      <c r="L10" s="103" t="s">
        <v>429</v>
      </c>
      <c r="M10" s="130" t="s">
        <v>849</v>
      </c>
      <c r="N10" s="126"/>
      <c r="P10" s="35"/>
      <c r="R10" s="128"/>
      <c r="S10" s="129"/>
    </row>
    <row r="11" customFormat="false" ht="66" hidden="false" customHeight="true" outlineLevel="0" collapsed="false">
      <c r="A11" s="121" t="s">
        <v>850</v>
      </c>
      <c r="B11" s="122" t="s">
        <v>424</v>
      </c>
      <c r="C11" s="123"/>
      <c r="D11" s="123"/>
      <c r="E11" s="123"/>
      <c r="F11" s="124" t="s">
        <v>425</v>
      </c>
      <c r="G11" s="19" t="s">
        <v>426</v>
      </c>
      <c r="H11" s="118" t="s">
        <v>436</v>
      </c>
      <c r="I11" s="27" t="s">
        <v>464</v>
      </c>
      <c r="J11" s="30" t="s">
        <v>442</v>
      </c>
      <c r="K11" s="30" t="n">
        <v>3.3</v>
      </c>
      <c r="L11" s="100" t="s">
        <v>429</v>
      </c>
      <c r="M11" s="130" t="s">
        <v>851</v>
      </c>
      <c r="N11" s="126"/>
      <c r="P11" s="35"/>
      <c r="R11" s="128"/>
      <c r="S11" s="129"/>
    </row>
    <row r="12" customFormat="false" ht="34.5" hidden="false" customHeight="true" outlineLevel="0" collapsed="false">
      <c r="A12" s="121" t="s">
        <v>852</v>
      </c>
      <c r="B12" s="122" t="s">
        <v>424</v>
      </c>
      <c r="C12" s="123"/>
      <c r="D12" s="123"/>
      <c r="E12" s="123"/>
      <c r="F12" s="124" t="s">
        <v>425</v>
      </c>
      <c r="G12" s="19" t="s">
        <v>426</v>
      </c>
      <c r="H12" s="118" t="s">
        <v>436</v>
      </c>
      <c r="I12" s="27" t="s">
        <v>467</v>
      </c>
      <c r="J12" s="30" t="s">
        <v>442</v>
      </c>
      <c r="K12" s="30" t="n">
        <v>3.3</v>
      </c>
      <c r="L12" s="100" t="s">
        <v>429</v>
      </c>
      <c r="M12" s="130" t="s">
        <v>853</v>
      </c>
      <c r="N12" s="126"/>
      <c r="P12" s="35"/>
      <c r="R12" s="128"/>
      <c r="S12" s="129"/>
    </row>
    <row r="13" customFormat="false" ht="124.5" hidden="false" customHeight="true" outlineLevel="0" collapsed="false">
      <c r="A13" s="99" t="s">
        <v>472</v>
      </c>
      <c r="B13" s="100" t="s">
        <v>457</v>
      </c>
      <c r="C13" s="131" t="s">
        <v>53</v>
      </c>
      <c r="D13" s="131" t="s">
        <v>424</v>
      </c>
      <c r="E13" s="132" t="s">
        <v>474</v>
      </c>
      <c r="F13" s="101" t="s">
        <v>425</v>
      </c>
      <c r="G13" s="19" t="s">
        <v>426</v>
      </c>
      <c r="H13" s="19" t="s">
        <v>854</v>
      </c>
      <c r="I13" s="100" t="s">
        <v>77</v>
      </c>
      <c r="J13" s="99" t="s">
        <v>428</v>
      </c>
      <c r="K13" s="102" t="n">
        <v>10</v>
      </c>
      <c r="L13" s="103" t="s">
        <v>429</v>
      </c>
      <c r="M13" s="100" t="s">
        <v>855</v>
      </c>
      <c r="N13" s="104"/>
    </row>
    <row r="14" customFormat="false" ht="42" hidden="false" customHeight="true" outlineLevel="0" collapsed="false">
      <c r="A14" s="99" t="s">
        <v>607</v>
      </c>
      <c r="B14" s="100" t="s">
        <v>473</v>
      </c>
      <c r="C14" s="100" t="s">
        <v>93</v>
      </c>
      <c r="D14" s="100" t="s">
        <v>424</v>
      </c>
      <c r="E14" s="101" t="s">
        <v>608</v>
      </c>
      <c r="F14" s="101" t="s">
        <v>425</v>
      </c>
      <c r="G14" s="19" t="s">
        <v>426</v>
      </c>
      <c r="H14" s="19" t="s">
        <v>475</v>
      </c>
      <c r="I14" s="100" t="s">
        <v>476</v>
      </c>
      <c r="J14" s="99" t="s">
        <v>428</v>
      </c>
      <c r="K14" s="102" t="n">
        <v>10</v>
      </c>
      <c r="L14" s="103" t="s">
        <v>477</v>
      </c>
      <c r="M14" s="100" t="s">
        <v>478</v>
      </c>
      <c r="N14" s="104"/>
    </row>
    <row r="15" customFormat="false" ht="40.5" hidden="false" customHeight="true" outlineLevel="0" collapsed="false">
      <c r="A15" s="109" t="s">
        <v>613</v>
      </c>
      <c r="B15" s="110" t="s">
        <v>165</v>
      </c>
      <c r="C15" s="110" t="s">
        <v>480</v>
      </c>
      <c r="D15" s="100" t="s">
        <v>424</v>
      </c>
      <c r="E15" s="101" t="s">
        <v>216</v>
      </c>
      <c r="F15" s="101" t="s">
        <v>425</v>
      </c>
      <c r="G15" s="19" t="s">
        <v>426</v>
      </c>
      <c r="H15" s="19" t="s">
        <v>475</v>
      </c>
      <c r="I15" s="110" t="s">
        <v>481</v>
      </c>
      <c r="J15" s="109" t="s">
        <v>442</v>
      </c>
      <c r="K15" s="111" t="n">
        <v>5</v>
      </c>
      <c r="L15" s="103" t="s">
        <v>482</v>
      </c>
      <c r="M15" s="110" t="s">
        <v>856</v>
      </c>
      <c r="N15" s="104" t="s">
        <v>857</v>
      </c>
    </row>
    <row r="16" customFormat="false" ht="84.75" hidden="false" customHeight="true" outlineLevel="0" collapsed="false">
      <c r="A16" s="109" t="s">
        <v>629</v>
      </c>
      <c r="B16" s="110" t="s">
        <v>169</v>
      </c>
      <c r="C16" s="110" t="s">
        <v>485</v>
      </c>
      <c r="D16" s="100" t="s">
        <v>424</v>
      </c>
      <c r="E16" s="101" t="s">
        <v>219</v>
      </c>
      <c r="F16" s="101" t="s">
        <v>425</v>
      </c>
      <c r="G16" s="19" t="s">
        <v>426</v>
      </c>
      <c r="H16" s="19" t="s">
        <v>475</v>
      </c>
      <c r="I16" s="110" t="s">
        <v>858</v>
      </c>
      <c r="J16" s="109" t="s">
        <v>442</v>
      </c>
      <c r="K16" s="111" t="n">
        <v>5</v>
      </c>
      <c r="L16" s="103" t="s">
        <v>487</v>
      </c>
      <c r="M16" s="110" t="s">
        <v>859</v>
      </c>
      <c r="N16" s="104"/>
    </row>
    <row r="17" customFormat="false" ht="81.75" hidden="false" customHeight="true" outlineLevel="0" collapsed="false">
      <c r="A17" s="109" t="s">
        <v>647</v>
      </c>
      <c r="B17" s="133" t="s">
        <v>799</v>
      </c>
      <c r="C17" s="133" t="s">
        <v>799</v>
      </c>
      <c r="D17" s="17" t="s">
        <v>424</v>
      </c>
      <c r="E17" s="38" t="s">
        <v>648</v>
      </c>
      <c r="F17" s="38" t="s">
        <v>425</v>
      </c>
      <c r="G17" s="19" t="s">
        <v>426</v>
      </c>
      <c r="H17" s="19" t="s">
        <v>475</v>
      </c>
      <c r="I17" s="17" t="s">
        <v>89</v>
      </c>
      <c r="J17" s="99" t="s">
        <v>428</v>
      </c>
      <c r="K17" s="111" t="n">
        <v>10</v>
      </c>
      <c r="L17" s="134" t="s">
        <v>490</v>
      </c>
      <c r="M17" s="17" t="s">
        <v>860</v>
      </c>
      <c r="N17" s="104"/>
    </row>
    <row r="18" customFormat="false" ht="90.75" hidden="false" customHeight="true" outlineLevel="0" collapsed="false">
      <c r="A18" s="99" t="s">
        <v>489</v>
      </c>
      <c r="B18" s="100" t="s">
        <v>53</v>
      </c>
      <c r="C18" s="100" t="s">
        <v>435</v>
      </c>
      <c r="D18" s="100" t="s">
        <v>424</v>
      </c>
      <c r="E18" s="101" t="s">
        <v>88</v>
      </c>
      <c r="F18" s="101" t="s">
        <v>425</v>
      </c>
      <c r="G18" s="19" t="s">
        <v>861</v>
      </c>
      <c r="H18" s="19" t="s">
        <v>494</v>
      </c>
      <c r="I18" s="17" t="s">
        <v>94</v>
      </c>
      <c r="J18" s="99" t="s">
        <v>428</v>
      </c>
      <c r="K18" s="102" t="n">
        <v>10</v>
      </c>
      <c r="L18" s="135" t="s">
        <v>429</v>
      </c>
      <c r="M18" s="116" t="s">
        <v>862</v>
      </c>
      <c r="N18" s="104"/>
    </row>
    <row r="19" customFormat="false" ht="95.25" hidden="false" customHeight="true" outlineLevel="0" collapsed="false">
      <c r="A19" s="136" t="s">
        <v>492</v>
      </c>
      <c r="B19" s="100" t="s">
        <v>496</v>
      </c>
      <c r="C19" s="100" t="s">
        <v>177</v>
      </c>
      <c r="D19" s="100" t="s">
        <v>424</v>
      </c>
      <c r="E19" s="101" t="s">
        <v>93</v>
      </c>
      <c r="F19" s="101" t="s">
        <v>425</v>
      </c>
      <c r="G19" s="19" t="s">
        <v>861</v>
      </c>
      <c r="H19" s="19" t="s">
        <v>497</v>
      </c>
      <c r="I19" s="17" t="s">
        <v>99</v>
      </c>
      <c r="J19" s="136" t="s">
        <v>428</v>
      </c>
      <c r="K19" s="137" t="n">
        <v>10</v>
      </c>
      <c r="L19" s="100" t="s">
        <v>429</v>
      </c>
      <c r="M19" s="100" t="s">
        <v>863</v>
      </c>
      <c r="N19" s="110"/>
    </row>
    <row r="20" customFormat="false" ht="54" hidden="false" customHeight="true" outlineLevel="0" collapsed="false">
      <c r="A20" s="136" t="s">
        <v>19</v>
      </c>
      <c r="B20" s="100" t="s">
        <v>376</v>
      </c>
      <c r="C20" s="100" t="s">
        <v>500</v>
      </c>
      <c r="D20" s="100" t="s">
        <v>424</v>
      </c>
      <c r="E20" s="101" t="s">
        <v>98</v>
      </c>
      <c r="F20" s="101" t="s">
        <v>425</v>
      </c>
      <c r="G20" s="19" t="s">
        <v>861</v>
      </c>
      <c r="H20" s="19" t="s">
        <v>497</v>
      </c>
      <c r="I20" s="17" t="s">
        <v>502</v>
      </c>
      <c r="J20" s="136" t="s">
        <v>428</v>
      </c>
      <c r="K20" s="137" t="n">
        <v>10</v>
      </c>
      <c r="L20" s="100" t="s">
        <v>477</v>
      </c>
      <c r="M20" s="100" t="s">
        <v>478</v>
      </c>
      <c r="N20" s="120"/>
    </row>
    <row r="21" customFormat="false" ht="105.75" hidden="false" customHeight="true" outlineLevel="0" collapsed="false">
      <c r="A21" s="136"/>
      <c r="B21" s="100" t="s">
        <v>504</v>
      </c>
      <c r="C21" s="100"/>
      <c r="D21" s="100"/>
      <c r="E21" s="101"/>
      <c r="F21" s="101" t="s">
        <v>425</v>
      </c>
      <c r="G21" s="19" t="s">
        <v>861</v>
      </c>
      <c r="H21" s="19" t="s">
        <v>497</v>
      </c>
      <c r="I21" s="17" t="s">
        <v>505</v>
      </c>
      <c r="J21" s="136" t="s">
        <v>442</v>
      </c>
      <c r="K21" s="137" t="n">
        <v>5</v>
      </c>
      <c r="L21" s="100" t="s">
        <v>482</v>
      </c>
      <c r="M21" s="110" t="s">
        <v>864</v>
      </c>
      <c r="N21" s="120"/>
    </row>
    <row r="22" customFormat="false" ht="54" hidden="false" customHeight="true" outlineLevel="0" collapsed="false">
      <c r="A22" s="136"/>
      <c r="B22" s="100" t="s">
        <v>508</v>
      </c>
      <c r="C22" s="100"/>
      <c r="D22" s="100"/>
      <c r="E22" s="101"/>
      <c r="F22" s="101" t="s">
        <v>425</v>
      </c>
      <c r="G22" s="19" t="s">
        <v>861</v>
      </c>
      <c r="H22" s="19" t="s">
        <v>497</v>
      </c>
      <c r="I22" s="17" t="s">
        <v>509</v>
      </c>
      <c r="J22" s="136" t="s">
        <v>442</v>
      </c>
      <c r="K22" s="138" t="n">
        <v>5</v>
      </c>
      <c r="L22" s="139" t="s">
        <v>487</v>
      </c>
      <c r="M22" s="140" t="s">
        <v>865</v>
      </c>
      <c r="N22" s="104"/>
    </row>
    <row r="23" customFormat="false" ht="164.25" hidden="false" customHeight="true" outlineLevel="0" collapsed="false">
      <c r="A23" s="141" t="s">
        <v>555</v>
      </c>
      <c r="B23" s="142"/>
      <c r="C23" s="142"/>
      <c r="D23" s="142" t="s">
        <v>424</v>
      </c>
      <c r="E23" s="92" t="s">
        <v>161</v>
      </c>
      <c r="F23" s="101" t="s">
        <v>425</v>
      </c>
      <c r="G23" s="19" t="s">
        <v>861</v>
      </c>
      <c r="H23" s="19" t="s">
        <v>512</v>
      </c>
      <c r="I23" s="143" t="s">
        <v>866</v>
      </c>
      <c r="J23" s="136" t="s">
        <v>428</v>
      </c>
      <c r="K23" s="138" t="n">
        <v>10</v>
      </c>
      <c r="L23" s="103" t="s">
        <v>429</v>
      </c>
      <c r="M23" s="143" t="s">
        <v>867</v>
      </c>
      <c r="N23" s="104"/>
    </row>
    <row r="24" customFormat="false" ht="54" hidden="false" customHeight="true" outlineLevel="0" collapsed="false">
      <c r="A24" s="99" t="s">
        <v>499</v>
      </c>
      <c r="B24" s="100" t="s">
        <v>454</v>
      </c>
      <c r="C24" s="100" t="s">
        <v>501</v>
      </c>
      <c r="D24" s="100" t="s">
        <v>424</v>
      </c>
      <c r="E24" s="101" t="s">
        <v>501</v>
      </c>
      <c r="F24" s="101" t="s">
        <v>425</v>
      </c>
      <c r="G24" s="19" t="s">
        <v>868</v>
      </c>
      <c r="H24" s="19" t="s">
        <v>517</v>
      </c>
      <c r="I24" s="100" t="s">
        <v>869</v>
      </c>
      <c r="J24" s="99" t="s">
        <v>428</v>
      </c>
      <c r="K24" s="102" t="n">
        <v>10</v>
      </c>
      <c r="L24" s="103" t="s">
        <v>519</v>
      </c>
      <c r="M24" s="110" t="s">
        <v>520</v>
      </c>
      <c r="N24" s="104"/>
    </row>
    <row r="25" customFormat="false" ht="126.75" hidden="false" customHeight="true" outlineLevel="0" collapsed="false">
      <c r="A25" s="136" t="s">
        <v>503</v>
      </c>
      <c r="B25" s="100"/>
      <c r="C25" s="100"/>
      <c r="D25" s="100"/>
      <c r="E25" s="101" t="s">
        <v>104</v>
      </c>
      <c r="F25" s="101" t="s">
        <v>425</v>
      </c>
      <c r="G25" s="19" t="s">
        <v>868</v>
      </c>
      <c r="H25" s="19" t="s">
        <v>517</v>
      </c>
      <c r="I25" s="100" t="s">
        <v>522</v>
      </c>
      <c r="J25" s="99" t="s">
        <v>442</v>
      </c>
      <c r="K25" s="102" t="n">
        <v>1.67</v>
      </c>
      <c r="L25" s="103" t="s">
        <v>482</v>
      </c>
      <c r="M25" s="110" t="s">
        <v>870</v>
      </c>
      <c r="N25" s="104"/>
    </row>
    <row r="26" customFormat="false" ht="57" hidden="false" customHeight="true" outlineLevel="0" collapsed="false">
      <c r="A26" s="136" t="s">
        <v>507</v>
      </c>
      <c r="B26" s="100"/>
      <c r="C26" s="100"/>
      <c r="D26" s="100"/>
      <c r="E26" s="101" t="s">
        <v>108</v>
      </c>
      <c r="F26" s="101" t="s">
        <v>425</v>
      </c>
      <c r="G26" s="19" t="s">
        <v>868</v>
      </c>
      <c r="H26" s="19" t="s">
        <v>517</v>
      </c>
      <c r="I26" s="100" t="s">
        <v>525</v>
      </c>
      <c r="J26" s="99" t="s">
        <v>442</v>
      </c>
      <c r="K26" s="102" t="n">
        <v>1.67</v>
      </c>
      <c r="L26" s="103" t="s">
        <v>482</v>
      </c>
      <c r="M26" s="110" t="s">
        <v>526</v>
      </c>
      <c r="N26" s="104"/>
    </row>
    <row r="27" customFormat="false" ht="54" hidden="false" customHeight="true" outlineLevel="0" collapsed="false">
      <c r="A27" s="136" t="s">
        <v>871</v>
      </c>
      <c r="B27" s="100"/>
      <c r="C27" s="100"/>
      <c r="D27" s="100"/>
      <c r="E27" s="101" t="s">
        <v>872</v>
      </c>
      <c r="F27" s="101" t="s">
        <v>425</v>
      </c>
      <c r="G27" s="19" t="s">
        <v>868</v>
      </c>
      <c r="H27" s="19" t="s">
        <v>517</v>
      </c>
      <c r="I27" s="100" t="s">
        <v>528</v>
      </c>
      <c r="J27" s="99" t="s">
        <v>442</v>
      </c>
      <c r="K27" s="102" t="n">
        <v>1.67</v>
      </c>
      <c r="L27" s="103" t="s">
        <v>482</v>
      </c>
      <c r="M27" s="110" t="s">
        <v>529</v>
      </c>
      <c r="N27" s="104"/>
    </row>
    <row r="28" customFormat="false" ht="65.25" hidden="false" customHeight="true" outlineLevel="0" collapsed="false">
      <c r="A28" s="136" t="s">
        <v>873</v>
      </c>
      <c r="B28" s="100"/>
      <c r="C28" s="100"/>
      <c r="D28" s="100"/>
      <c r="E28" s="101" t="s">
        <v>874</v>
      </c>
      <c r="F28" s="101" t="s">
        <v>425</v>
      </c>
      <c r="G28" s="19" t="s">
        <v>868</v>
      </c>
      <c r="H28" s="19" t="s">
        <v>517</v>
      </c>
      <c r="I28" s="100" t="s">
        <v>531</v>
      </c>
      <c r="J28" s="99" t="s">
        <v>442</v>
      </c>
      <c r="K28" s="102" t="n">
        <v>1.67</v>
      </c>
      <c r="L28" s="103" t="s">
        <v>482</v>
      </c>
      <c r="M28" s="110" t="s">
        <v>532</v>
      </c>
      <c r="N28" s="104"/>
    </row>
    <row r="29" customFormat="false" ht="55.5" hidden="false" customHeight="true" outlineLevel="0" collapsed="false">
      <c r="A29" s="136" t="s">
        <v>875</v>
      </c>
      <c r="B29" s="100"/>
      <c r="C29" s="100"/>
      <c r="D29" s="100"/>
      <c r="E29" s="101" t="s">
        <v>876</v>
      </c>
      <c r="F29" s="101" t="s">
        <v>425</v>
      </c>
      <c r="G29" s="19" t="s">
        <v>868</v>
      </c>
      <c r="H29" s="19" t="s">
        <v>517</v>
      </c>
      <c r="I29" s="100" t="s">
        <v>534</v>
      </c>
      <c r="J29" s="99" t="s">
        <v>442</v>
      </c>
      <c r="K29" s="102" t="n">
        <v>1.67</v>
      </c>
      <c r="L29" s="103" t="s">
        <v>482</v>
      </c>
      <c r="M29" s="110" t="s">
        <v>535</v>
      </c>
      <c r="N29" s="104"/>
    </row>
    <row r="30" customFormat="false" ht="120.75" hidden="false" customHeight="true" outlineLevel="0" collapsed="false">
      <c r="A30" s="136" t="s">
        <v>877</v>
      </c>
      <c r="B30" s="100"/>
      <c r="C30" s="100"/>
      <c r="D30" s="100"/>
      <c r="E30" s="101" t="s">
        <v>878</v>
      </c>
      <c r="F30" s="101" t="s">
        <v>425</v>
      </c>
      <c r="G30" s="19" t="s">
        <v>868</v>
      </c>
      <c r="H30" s="19" t="s">
        <v>517</v>
      </c>
      <c r="I30" s="100" t="s">
        <v>537</v>
      </c>
      <c r="J30" s="99" t="s">
        <v>442</v>
      </c>
      <c r="K30" s="102" t="n">
        <v>1.67</v>
      </c>
      <c r="L30" s="103" t="s">
        <v>482</v>
      </c>
      <c r="M30" s="110" t="s">
        <v>879</v>
      </c>
      <c r="N30" s="104"/>
    </row>
    <row r="31" customFormat="false" ht="47.25" hidden="false" customHeight="true" outlineLevel="0" collapsed="false">
      <c r="A31" s="105" t="s">
        <v>586</v>
      </c>
      <c r="B31" s="106" t="s">
        <v>435</v>
      </c>
      <c r="C31" s="106" t="s">
        <v>454</v>
      </c>
      <c r="D31" s="100" t="s">
        <v>424</v>
      </c>
      <c r="E31" s="101" t="s">
        <v>589</v>
      </c>
      <c r="F31" s="101" t="s">
        <v>487</v>
      </c>
      <c r="G31" s="19" t="s">
        <v>880</v>
      </c>
      <c r="H31" s="19" t="s">
        <v>881</v>
      </c>
      <c r="I31" s="106" t="s">
        <v>543</v>
      </c>
      <c r="J31" s="105" t="s">
        <v>428</v>
      </c>
      <c r="K31" s="107" t="n">
        <v>10</v>
      </c>
      <c r="L31" s="108" t="s">
        <v>487</v>
      </c>
      <c r="M31" s="110" t="s">
        <v>544</v>
      </c>
      <c r="N31" s="104"/>
    </row>
    <row r="32" customFormat="false" ht="60" hidden="false" customHeight="true" outlineLevel="0" collapsed="false">
      <c r="A32" s="109" t="s">
        <v>592</v>
      </c>
      <c r="B32" s="110" t="s">
        <v>32</v>
      </c>
      <c r="C32" s="106" t="s">
        <v>454</v>
      </c>
      <c r="D32" s="100" t="s">
        <v>424</v>
      </c>
      <c r="E32" s="101" t="s">
        <v>193</v>
      </c>
      <c r="F32" s="101" t="s">
        <v>487</v>
      </c>
      <c r="G32" s="19" t="s">
        <v>880</v>
      </c>
      <c r="H32" s="19" t="s">
        <v>881</v>
      </c>
      <c r="I32" s="110" t="s">
        <v>546</v>
      </c>
      <c r="J32" s="109" t="s">
        <v>442</v>
      </c>
      <c r="K32" s="111" t="n">
        <v>3.3</v>
      </c>
      <c r="L32" s="112" t="s">
        <v>487</v>
      </c>
      <c r="M32" s="110" t="s">
        <v>547</v>
      </c>
      <c r="N32" s="104" t="s">
        <v>548</v>
      </c>
    </row>
    <row r="33" customFormat="false" ht="54" hidden="false" customHeight="true" outlineLevel="0" collapsed="false">
      <c r="A33" s="109" t="s">
        <v>595</v>
      </c>
      <c r="B33" s="110" t="s">
        <v>41</v>
      </c>
      <c r="C33" s="106" t="s">
        <v>454</v>
      </c>
      <c r="D33" s="100" t="s">
        <v>424</v>
      </c>
      <c r="E33" s="101" t="s">
        <v>198</v>
      </c>
      <c r="F33" s="101" t="s">
        <v>487</v>
      </c>
      <c r="G33" s="19" t="s">
        <v>880</v>
      </c>
      <c r="H33" s="19" t="s">
        <v>881</v>
      </c>
      <c r="I33" s="110" t="s">
        <v>550</v>
      </c>
      <c r="J33" s="109" t="s">
        <v>442</v>
      </c>
      <c r="K33" s="111" t="n">
        <v>3.3</v>
      </c>
      <c r="L33" s="112" t="s">
        <v>487</v>
      </c>
      <c r="M33" s="110" t="s">
        <v>882</v>
      </c>
      <c r="N33" s="104" t="s">
        <v>548</v>
      </c>
    </row>
    <row r="34" customFormat="false" ht="44.25" hidden="false" customHeight="true" outlineLevel="0" collapsed="false">
      <c r="A34" s="109" t="s">
        <v>598</v>
      </c>
      <c r="B34" s="110" t="s">
        <v>48</v>
      </c>
      <c r="C34" s="106" t="s">
        <v>454</v>
      </c>
      <c r="D34" s="100" t="s">
        <v>424</v>
      </c>
      <c r="E34" s="101" t="s">
        <v>203</v>
      </c>
      <c r="F34" s="101" t="s">
        <v>487</v>
      </c>
      <c r="G34" s="19" t="s">
        <v>880</v>
      </c>
      <c r="H34" s="19" t="s">
        <v>881</v>
      </c>
      <c r="I34" s="110" t="s">
        <v>553</v>
      </c>
      <c r="J34" s="109" t="s">
        <v>442</v>
      </c>
      <c r="K34" s="111" t="n">
        <v>3.3</v>
      </c>
      <c r="L34" s="112" t="s">
        <v>487</v>
      </c>
      <c r="M34" s="110" t="s">
        <v>554</v>
      </c>
      <c r="N34" s="104"/>
    </row>
    <row r="35" customFormat="false" ht="131.25" hidden="false" customHeight="true" outlineLevel="0" collapsed="false">
      <c r="A35" s="141" t="s">
        <v>601</v>
      </c>
      <c r="B35" s="142"/>
      <c r="C35" s="142"/>
      <c r="D35" s="142" t="s">
        <v>424</v>
      </c>
      <c r="E35" s="92" t="s">
        <v>208</v>
      </c>
      <c r="F35" s="101" t="s">
        <v>487</v>
      </c>
      <c r="G35" s="19" t="s">
        <v>880</v>
      </c>
      <c r="H35" s="19" t="s">
        <v>883</v>
      </c>
      <c r="I35" s="100" t="s">
        <v>162</v>
      </c>
      <c r="J35" s="136" t="s">
        <v>428</v>
      </c>
      <c r="K35" s="138" t="n">
        <v>10</v>
      </c>
      <c r="L35" s="135" t="s">
        <v>487</v>
      </c>
      <c r="M35" s="144" t="s">
        <v>884</v>
      </c>
      <c r="N35" s="104"/>
    </row>
    <row r="36" customFormat="false" ht="49.5" hidden="false" customHeight="true" outlineLevel="0" collapsed="false">
      <c r="A36" s="105" t="s">
        <v>604</v>
      </c>
      <c r="B36" s="106" t="s">
        <v>474</v>
      </c>
      <c r="C36" s="106" t="s">
        <v>454</v>
      </c>
      <c r="D36" s="100" t="s">
        <v>424</v>
      </c>
      <c r="E36" s="101" t="s">
        <v>213</v>
      </c>
      <c r="F36" s="101" t="s">
        <v>487</v>
      </c>
      <c r="G36" s="19" t="s">
        <v>880</v>
      </c>
      <c r="H36" s="19" t="s">
        <v>559</v>
      </c>
      <c r="I36" s="106" t="s">
        <v>560</v>
      </c>
      <c r="J36" s="105" t="s">
        <v>428</v>
      </c>
      <c r="K36" s="145" t="n">
        <v>10</v>
      </c>
      <c r="L36" s="106" t="s">
        <v>487</v>
      </c>
      <c r="M36" s="144" t="s">
        <v>561</v>
      </c>
      <c r="N36" s="120"/>
    </row>
    <row r="37" customFormat="false" ht="75" hidden="false" customHeight="true" outlineLevel="0" collapsed="false">
      <c r="A37" s="109" t="s">
        <v>885</v>
      </c>
      <c r="B37" s="110" t="s">
        <v>79</v>
      </c>
      <c r="C37" s="106" t="s">
        <v>454</v>
      </c>
      <c r="D37" s="100" t="s">
        <v>424</v>
      </c>
      <c r="E37" s="101" t="s">
        <v>886</v>
      </c>
      <c r="F37" s="101" t="s">
        <v>487</v>
      </c>
      <c r="G37" s="19" t="s">
        <v>880</v>
      </c>
      <c r="H37" s="19" t="s">
        <v>559</v>
      </c>
      <c r="I37" s="110" t="s">
        <v>563</v>
      </c>
      <c r="J37" s="109" t="s">
        <v>442</v>
      </c>
      <c r="K37" s="146" t="n">
        <v>5</v>
      </c>
      <c r="L37" s="103" t="s">
        <v>487</v>
      </c>
      <c r="M37" s="143" t="s">
        <v>887</v>
      </c>
      <c r="N37" s="120"/>
    </row>
    <row r="38" customFormat="false" ht="71.25" hidden="false" customHeight="true" outlineLevel="0" collapsed="false">
      <c r="A38" s="109" t="s">
        <v>888</v>
      </c>
      <c r="B38" s="110" t="s">
        <v>85</v>
      </c>
      <c r="C38" s="106" t="s">
        <v>454</v>
      </c>
      <c r="D38" s="100" t="s">
        <v>424</v>
      </c>
      <c r="E38" s="101" t="s">
        <v>889</v>
      </c>
      <c r="F38" s="101" t="s">
        <v>487</v>
      </c>
      <c r="G38" s="19" t="s">
        <v>880</v>
      </c>
      <c r="H38" s="19" t="s">
        <v>559</v>
      </c>
      <c r="I38" s="110" t="s">
        <v>890</v>
      </c>
      <c r="J38" s="109" t="s">
        <v>442</v>
      </c>
      <c r="K38" s="111" t="n">
        <v>5</v>
      </c>
      <c r="L38" s="139" t="s">
        <v>487</v>
      </c>
      <c r="M38" s="110" t="s">
        <v>891</v>
      </c>
      <c r="N38" s="120"/>
    </row>
    <row r="39" customFormat="false" ht="78.75" hidden="false" customHeight="true" outlineLevel="0" collapsed="false">
      <c r="A39" s="99" t="s">
        <v>671</v>
      </c>
      <c r="B39" s="100" t="s">
        <v>113</v>
      </c>
      <c r="C39" s="100" t="s">
        <v>454</v>
      </c>
      <c r="D39" s="100" t="s">
        <v>424</v>
      </c>
      <c r="E39" s="101" t="s">
        <v>672</v>
      </c>
      <c r="F39" s="101" t="s">
        <v>487</v>
      </c>
      <c r="G39" s="19" t="s">
        <v>880</v>
      </c>
      <c r="H39" s="19" t="s">
        <v>569</v>
      </c>
      <c r="I39" s="100" t="s">
        <v>892</v>
      </c>
      <c r="J39" s="99" t="s">
        <v>428</v>
      </c>
      <c r="K39" s="102" t="n">
        <v>10</v>
      </c>
      <c r="L39" s="103" t="s">
        <v>487</v>
      </c>
      <c r="M39" s="140" t="s">
        <v>893</v>
      </c>
      <c r="N39" s="104"/>
    </row>
    <row r="40" customFormat="false" ht="264" hidden="false" customHeight="true" outlineLevel="0" collapsed="false">
      <c r="A40" s="136" t="s">
        <v>739</v>
      </c>
      <c r="B40" s="100" t="s">
        <v>573</v>
      </c>
      <c r="C40" s="100" t="s">
        <v>454</v>
      </c>
      <c r="D40" s="100" t="s">
        <v>424</v>
      </c>
      <c r="E40" s="101" t="s">
        <v>740</v>
      </c>
      <c r="F40" s="147" t="s">
        <v>487</v>
      </c>
      <c r="G40" s="19" t="s">
        <v>880</v>
      </c>
      <c r="H40" s="19" t="s">
        <v>894</v>
      </c>
      <c r="I40" s="100" t="s">
        <v>895</v>
      </c>
      <c r="J40" s="136" t="s">
        <v>428</v>
      </c>
      <c r="K40" s="138" t="n">
        <v>10</v>
      </c>
      <c r="L40" s="103" t="s">
        <v>487</v>
      </c>
      <c r="M40" s="110" t="s">
        <v>896</v>
      </c>
      <c r="N40" s="104"/>
    </row>
    <row r="41" customFormat="false" ht="45" hidden="false" customHeight="true" outlineLevel="0" collapsed="false">
      <c r="A41" s="136" t="s">
        <v>761</v>
      </c>
      <c r="B41" s="100" t="s">
        <v>577</v>
      </c>
      <c r="C41" s="100" t="s">
        <v>454</v>
      </c>
      <c r="D41" s="100" t="s">
        <v>424</v>
      </c>
      <c r="E41" s="101" t="s">
        <v>496</v>
      </c>
      <c r="F41" s="147" t="s">
        <v>487</v>
      </c>
      <c r="G41" s="19" t="s">
        <v>880</v>
      </c>
      <c r="H41" s="19" t="s">
        <v>894</v>
      </c>
      <c r="I41" s="100" t="s">
        <v>897</v>
      </c>
      <c r="J41" s="136" t="s">
        <v>428</v>
      </c>
      <c r="K41" s="138" t="n">
        <v>10</v>
      </c>
      <c r="L41" s="103" t="s">
        <v>487</v>
      </c>
      <c r="M41" s="100" t="s">
        <v>579</v>
      </c>
      <c r="N41" s="104"/>
    </row>
    <row r="42" customFormat="false" ht="336" hidden="false" customHeight="true" outlineLevel="0" collapsed="false">
      <c r="A42" s="136"/>
      <c r="B42" s="100"/>
      <c r="C42" s="100"/>
      <c r="D42" s="100"/>
      <c r="E42" s="101"/>
      <c r="F42" s="147"/>
      <c r="G42" s="19"/>
      <c r="H42" s="19"/>
      <c r="I42" s="100" t="s">
        <v>581</v>
      </c>
      <c r="J42" s="136" t="s">
        <v>442</v>
      </c>
      <c r="K42" s="138" t="n">
        <v>5</v>
      </c>
      <c r="L42" s="103" t="s">
        <v>487</v>
      </c>
      <c r="M42" s="110" t="s">
        <v>898</v>
      </c>
      <c r="N42" s="104"/>
    </row>
    <row r="43" customFormat="false" ht="266.25" hidden="false" customHeight="true" outlineLevel="0" collapsed="false">
      <c r="A43" s="136"/>
      <c r="B43" s="100"/>
      <c r="C43" s="100"/>
      <c r="D43" s="100"/>
      <c r="E43" s="101"/>
      <c r="F43" s="147"/>
      <c r="G43" s="19"/>
      <c r="H43" s="19"/>
      <c r="I43" s="100" t="s">
        <v>584</v>
      </c>
      <c r="J43" s="136" t="s">
        <v>442</v>
      </c>
      <c r="K43" s="138" t="n">
        <v>5</v>
      </c>
      <c r="L43" s="103" t="s">
        <v>487</v>
      </c>
      <c r="M43" s="110" t="s">
        <v>899</v>
      </c>
      <c r="N43" s="104"/>
    </row>
    <row r="44" customFormat="false" ht="53.25" hidden="false" customHeight="true" outlineLevel="0" collapsed="false">
      <c r="A44" s="136" t="s">
        <v>771</v>
      </c>
      <c r="B44" s="100" t="s">
        <v>587</v>
      </c>
      <c r="C44" s="100" t="s">
        <v>588</v>
      </c>
      <c r="D44" s="100" t="s">
        <v>424</v>
      </c>
      <c r="E44" s="101" t="s">
        <v>376</v>
      </c>
      <c r="F44" s="147" t="s">
        <v>487</v>
      </c>
      <c r="G44" s="19" t="s">
        <v>880</v>
      </c>
      <c r="H44" s="19" t="s">
        <v>894</v>
      </c>
      <c r="I44" s="100" t="s">
        <v>900</v>
      </c>
      <c r="J44" s="136" t="s">
        <v>428</v>
      </c>
      <c r="K44" s="138" t="n">
        <v>10</v>
      </c>
      <c r="L44" s="103" t="s">
        <v>487</v>
      </c>
      <c r="M44" s="110" t="s">
        <v>901</v>
      </c>
      <c r="N44" s="104"/>
    </row>
    <row r="45" customFormat="false" ht="137.25" hidden="false" customHeight="true" outlineLevel="0" collapsed="false">
      <c r="A45" s="136"/>
      <c r="B45" s="100"/>
      <c r="C45" s="100"/>
      <c r="D45" s="100"/>
      <c r="E45" s="101"/>
      <c r="F45" s="147"/>
      <c r="G45" s="19"/>
      <c r="H45" s="19"/>
      <c r="I45" s="100" t="s">
        <v>593</v>
      </c>
      <c r="J45" s="136" t="s">
        <v>442</v>
      </c>
      <c r="K45" s="138" t="n">
        <v>3.33</v>
      </c>
      <c r="L45" s="103" t="s">
        <v>487</v>
      </c>
      <c r="M45" s="110" t="s">
        <v>902</v>
      </c>
      <c r="N45" s="104"/>
    </row>
    <row r="46" customFormat="false" ht="186.75" hidden="false" customHeight="true" outlineLevel="0" collapsed="false">
      <c r="A46" s="136"/>
      <c r="B46" s="100"/>
      <c r="C46" s="100"/>
      <c r="D46" s="100"/>
      <c r="E46" s="101"/>
      <c r="F46" s="147"/>
      <c r="G46" s="19"/>
      <c r="H46" s="19"/>
      <c r="I46" s="100" t="s">
        <v>596</v>
      </c>
      <c r="J46" s="136" t="s">
        <v>442</v>
      </c>
      <c r="K46" s="138" t="n">
        <v>3.33</v>
      </c>
      <c r="L46" s="103" t="s">
        <v>487</v>
      </c>
      <c r="M46" s="129" t="s">
        <v>903</v>
      </c>
      <c r="N46" s="104"/>
    </row>
    <row r="47" customFormat="false" ht="180" hidden="false" customHeight="true" outlineLevel="0" collapsed="false">
      <c r="A47" s="136"/>
      <c r="B47" s="100"/>
      <c r="C47" s="100"/>
      <c r="D47" s="100"/>
      <c r="E47" s="101"/>
      <c r="F47" s="147"/>
      <c r="G47" s="19"/>
      <c r="H47" s="19"/>
      <c r="I47" s="100" t="s">
        <v>599</v>
      </c>
      <c r="J47" s="136" t="s">
        <v>442</v>
      </c>
      <c r="K47" s="138" t="n">
        <v>3.33</v>
      </c>
      <c r="L47" s="103" t="s">
        <v>487</v>
      </c>
      <c r="M47" s="110" t="s">
        <v>904</v>
      </c>
      <c r="N47" s="104"/>
    </row>
    <row r="48" customFormat="false" ht="271.5" hidden="false" customHeight="true" outlineLevel="0" collapsed="false">
      <c r="A48" s="136" t="s">
        <v>774</v>
      </c>
      <c r="B48" s="100" t="s">
        <v>602</v>
      </c>
      <c r="C48" s="100" t="s">
        <v>454</v>
      </c>
      <c r="D48" s="100" t="s">
        <v>424</v>
      </c>
      <c r="E48" s="101" t="s">
        <v>382</v>
      </c>
      <c r="F48" s="147" t="s">
        <v>487</v>
      </c>
      <c r="G48" s="19" t="s">
        <v>880</v>
      </c>
      <c r="H48" s="19" t="s">
        <v>894</v>
      </c>
      <c r="I48" s="100" t="s">
        <v>905</v>
      </c>
      <c r="J48" s="136" t="s">
        <v>428</v>
      </c>
      <c r="K48" s="138" t="n">
        <v>10</v>
      </c>
      <c r="L48" s="103" t="s">
        <v>487</v>
      </c>
      <c r="M48" s="113" t="s">
        <v>906</v>
      </c>
      <c r="N48" s="104"/>
    </row>
    <row r="49" customFormat="false" ht="96" hidden="false" customHeight="true" outlineLevel="0" collapsed="false">
      <c r="A49" s="99" t="s">
        <v>682</v>
      </c>
      <c r="B49" s="100" t="s">
        <v>515</v>
      </c>
      <c r="C49" s="100" t="s">
        <v>454</v>
      </c>
      <c r="D49" s="100" t="s">
        <v>424</v>
      </c>
      <c r="E49" s="101" t="s">
        <v>573</v>
      </c>
      <c r="F49" s="147" t="s">
        <v>487</v>
      </c>
      <c r="G49" s="19" t="s">
        <v>880</v>
      </c>
      <c r="H49" s="19" t="s">
        <v>605</v>
      </c>
      <c r="I49" s="100" t="s">
        <v>907</v>
      </c>
      <c r="J49" s="99" t="s">
        <v>428</v>
      </c>
      <c r="K49" s="102" t="n">
        <v>10</v>
      </c>
      <c r="L49" s="135" t="s">
        <v>487</v>
      </c>
      <c r="M49" s="110" t="s">
        <v>606</v>
      </c>
      <c r="N49" s="120"/>
    </row>
    <row r="50" customFormat="false" ht="50.25" hidden="false" customHeight="true" outlineLevel="0" collapsed="false">
      <c r="A50" s="99"/>
      <c r="B50" s="100"/>
      <c r="C50" s="100"/>
      <c r="D50" s="100"/>
      <c r="E50" s="101"/>
      <c r="F50" s="147"/>
      <c r="G50" s="19"/>
      <c r="H50" s="19"/>
      <c r="I50" s="106" t="s">
        <v>611</v>
      </c>
      <c r="J50" s="99" t="s">
        <v>428</v>
      </c>
      <c r="K50" s="148" t="n">
        <v>10</v>
      </c>
      <c r="L50" s="103" t="s">
        <v>487</v>
      </c>
      <c r="M50" s="149" t="s">
        <v>612</v>
      </c>
      <c r="N50" s="150"/>
    </row>
    <row r="51" customFormat="false" ht="153" hidden="false" customHeight="true" outlineLevel="0" collapsed="false">
      <c r="A51" s="99"/>
      <c r="B51" s="100"/>
      <c r="C51" s="100"/>
      <c r="D51" s="100"/>
      <c r="E51" s="101"/>
      <c r="F51" s="147"/>
      <c r="G51" s="19"/>
      <c r="H51" s="19"/>
      <c r="I51" s="110" t="s">
        <v>614</v>
      </c>
      <c r="J51" s="109" t="s">
        <v>442</v>
      </c>
      <c r="K51" s="146" t="n">
        <v>3.33</v>
      </c>
      <c r="L51" s="108" t="s">
        <v>487</v>
      </c>
      <c r="M51" s="131" t="s">
        <v>908</v>
      </c>
      <c r="N51" s="120"/>
    </row>
    <row r="52" customFormat="false" ht="19.5" hidden="false" customHeight="true" outlineLevel="0" collapsed="false">
      <c r="A52" s="99"/>
      <c r="B52" s="100"/>
      <c r="C52" s="100"/>
      <c r="D52" s="100"/>
      <c r="E52" s="101"/>
      <c r="F52" s="147"/>
      <c r="G52" s="19"/>
      <c r="H52" s="19"/>
      <c r="I52" s="110" t="s">
        <v>618</v>
      </c>
      <c r="J52" s="109" t="s">
        <v>619</v>
      </c>
      <c r="K52" s="146" t="n">
        <v>0.56</v>
      </c>
      <c r="L52" s="108" t="s">
        <v>487</v>
      </c>
      <c r="M52" s="110" t="s">
        <v>620</v>
      </c>
      <c r="N52" s="151"/>
    </row>
    <row r="53" customFormat="false" ht="19.5" hidden="false" customHeight="true" outlineLevel="0" collapsed="false">
      <c r="A53" s="99"/>
      <c r="B53" s="100"/>
      <c r="C53" s="100"/>
      <c r="D53" s="100"/>
      <c r="E53" s="101"/>
      <c r="F53" s="147"/>
      <c r="G53" s="19"/>
      <c r="H53" s="19"/>
      <c r="I53" s="110" t="s">
        <v>623</v>
      </c>
      <c r="J53" s="109" t="s">
        <v>624</v>
      </c>
      <c r="K53" s="146" t="n">
        <v>0.56</v>
      </c>
      <c r="L53" s="106" t="s">
        <v>487</v>
      </c>
      <c r="M53" s="110" t="s">
        <v>620</v>
      </c>
      <c r="N53" s="120"/>
    </row>
    <row r="54" customFormat="false" ht="22.5" hidden="false" customHeight="true" outlineLevel="0" collapsed="false">
      <c r="A54" s="99"/>
      <c r="B54" s="100"/>
      <c r="C54" s="100"/>
      <c r="D54" s="100"/>
      <c r="E54" s="101"/>
      <c r="F54" s="147"/>
      <c r="G54" s="19"/>
      <c r="H54" s="19"/>
      <c r="I54" s="110" t="s">
        <v>627</v>
      </c>
      <c r="J54" s="109" t="s">
        <v>628</v>
      </c>
      <c r="K54" s="111" t="n">
        <v>0.56</v>
      </c>
      <c r="L54" s="152" t="s">
        <v>487</v>
      </c>
      <c r="M54" s="110" t="s">
        <v>620</v>
      </c>
      <c r="N54" s="104"/>
    </row>
    <row r="55" customFormat="false" ht="79.5" hidden="false" customHeight="true" outlineLevel="0" collapsed="false">
      <c r="A55" s="99"/>
      <c r="B55" s="100"/>
      <c r="C55" s="100"/>
      <c r="D55" s="100"/>
      <c r="E55" s="101"/>
      <c r="F55" s="147"/>
      <c r="G55" s="19"/>
      <c r="H55" s="19"/>
      <c r="I55" s="110" t="s">
        <v>630</v>
      </c>
      <c r="J55" s="109" t="s">
        <v>442</v>
      </c>
      <c r="K55" s="111" t="n">
        <v>3.3</v>
      </c>
      <c r="L55" s="108" t="s">
        <v>487</v>
      </c>
      <c r="M55" s="110" t="s">
        <v>909</v>
      </c>
      <c r="N55" s="104"/>
    </row>
    <row r="56" customFormat="false" ht="19.5" hidden="false" customHeight="true" outlineLevel="0" collapsed="false">
      <c r="A56" s="99"/>
      <c r="B56" s="100"/>
      <c r="C56" s="100"/>
      <c r="D56" s="100"/>
      <c r="E56" s="101"/>
      <c r="F56" s="147"/>
      <c r="G56" s="19"/>
      <c r="H56" s="19"/>
      <c r="I56" s="110" t="s">
        <v>618</v>
      </c>
      <c r="J56" s="109" t="s">
        <v>619</v>
      </c>
      <c r="K56" s="111" t="n">
        <v>0.56</v>
      </c>
      <c r="L56" s="108" t="s">
        <v>487</v>
      </c>
      <c r="M56" s="110" t="s">
        <v>620</v>
      </c>
      <c r="N56" s="104"/>
    </row>
    <row r="57" customFormat="false" ht="19.5" hidden="false" customHeight="true" outlineLevel="0" collapsed="false">
      <c r="A57" s="99"/>
      <c r="B57" s="100"/>
      <c r="C57" s="100"/>
      <c r="D57" s="100"/>
      <c r="E57" s="101"/>
      <c r="F57" s="147"/>
      <c r="G57" s="19"/>
      <c r="H57" s="19"/>
      <c r="I57" s="110" t="s">
        <v>623</v>
      </c>
      <c r="J57" s="109" t="s">
        <v>624</v>
      </c>
      <c r="K57" s="111" t="n">
        <v>0.56</v>
      </c>
      <c r="L57" s="108" t="s">
        <v>487</v>
      </c>
      <c r="M57" s="110" t="s">
        <v>620</v>
      </c>
      <c r="N57" s="104"/>
    </row>
    <row r="58" customFormat="false" ht="27" hidden="false" customHeight="true" outlineLevel="0" collapsed="false">
      <c r="A58" s="99"/>
      <c r="B58" s="100"/>
      <c r="C58" s="100"/>
      <c r="D58" s="100"/>
      <c r="E58" s="101"/>
      <c r="F58" s="147"/>
      <c r="G58" s="19"/>
      <c r="H58" s="19"/>
      <c r="I58" s="110" t="s">
        <v>627</v>
      </c>
      <c r="J58" s="109" t="s">
        <v>628</v>
      </c>
      <c r="K58" s="111" t="n">
        <v>0.56</v>
      </c>
      <c r="L58" s="108" t="s">
        <v>487</v>
      </c>
      <c r="M58" s="110" t="s">
        <v>620</v>
      </c>
      <c r="N58" s="104"/>
    </row>
    <row r="59" customFormat="false" ht="87" hidden="false" customHeight="true" outlineLevel="0" collapsed="false">
      <c r="A59" s="99"/>
      <c r="B59" s="100"/>
      <c r="C59" s="100"/>
      <c r="D59" s="100"/>
      <c r="E59" s="101"/>
      <c r="F59" s="147"/>
      <c r="G59" s="19"/>
      <c r="H59" s="19"/>
      <c r="I59" s="110" t="s">
        <v>639</v>
      </c>
      <c r="J59" s="109" t="s">
        <v>442</v>
      </c>
      <c r="K59" s="111" t="n">
        <v>3.3</v>
      </c>
      <c r="L59" s="108" t="s">
        <v>487</v>
      </c>
      <c r="M59" s="110" t="s">
        <v>640</v>
      </c>
      <c r="N59" s="104"/>
    </row>
    <row r="60" customFormat="false" ht="19.5" hidden="false" customHeight="true" outlineLevel="0" collapsed="false">
      <c r="A60" s="99"/>
      <c r="B60" s="100"/>
      <c r="C60" s="100"/>
      <c r="D60" s="100"/>
      <c r="E60" s="101"/>
      <c r="F60" s="147"/>
      <c r="G60" s="19"/>
      <c r="H60" s="19"/>
      <c r="I60" s="110" t="s">
        <v>618</v>
      </c>
      <c r="J60" s="109" t="s">
        <v>619</v>
      </c>
      <c r="K60" s="111" t="n">
        <v>0.56</v>
      </c>
      <c r="L60" s="108" t="s">
        <v>487</v>
      </c>
      <c r="M60" s="110" t="s">
        <v>620</v>
      </c>
      <c r="N60" s="104"/>
    </row>
    <row r="61" customFormat="false" ht="19.5" hidden="false" customHeight="true" outlineLevel="0" collapsed="false">
      <c r="A61" s="99"/>
      <c r="B61" s="100"/>
      <c r="C61" s="100"/>
      <c r="D61" s="100"/>
      <c r="E61" s="101"/>
      <c r="F61" s="147"/>
      <c r="G61" s="19"/>
      <c r="H61" s="19"/>
      <c r="I61" s="110" t="s">
        <v>623</v>
      </c>
      <c r="J61" s="109" t="s">
        <v>624</v>
      </c>
      <c r="K61" s="111" t="n">
        <v>0.56</v>
      </c>
      <c r="L61" s="108" t="s">
        <v>487</v>
      </c>
      <c r="M61" s="110" t="s">
        <v>620</v>
      </c>
      <c r="N61" s="104"/>
    </row>
    <row r="62" customFormat="false" ht="30.75" hidden="false" customHeight="true" outlineLevel="0" collapsed="false">
      <c r="A62" s="99"/>
      <c r="B62" s="100"/>
      <c r="C62" s="100"/>
      <c r="D62" s="100"/>
      <c r="E62" s="101"/>
      <c r="F62" s="147"/>
      <c r="G62" s="19"/>
      <c r="H62" s="19"/>
      <c r="I62" s="110" t="s">
        <v>627</v>
      </c>
      <c r="J62" s="109" t="s">
        <v>628</v>
      </c>
      <c r="K62" s="111" t="n">
        <v>0.56</v>
      </c>
      <c r="L62" s="108" t="s">
        <v>487</v>
      </c>
      <c r="M62" s="110" t="s">
        <v>620</v>
      </c>
      <c r="N62" s="104"/>
    </row>
    <row r="63" customFormat="false" ht="50.25" hidden="false" customHeight="true" outlineLevel="0" collapsed="false">
      <c r="A63" s="99" t="s">
        <v>713</v>
      </c>
      <c r="B63" s="100" t="s">
        <v>500</v>
      </c>
      <c r="C63" s="100" t="s">
        <v>454</v>
      </c>
      <c r="D63" s="100" t="s">
        <v>424</v>
      </c>
      <c r="E63" s="101" t="s">
        <v>587</v>
      </c>
      <c r="F63" s="147" t="s">
        <v>487</v>
      </c>
      <c r="G63" s="19" t="s">
        <v>609</v>
      </c>
      <c r="H63" s="19" t="s">
        <v>649</v>
      </c>
      <c r="I63" s="106" t="s">
        <v>650</v>
      </c>
      <c r="J63" s="99" t="s">
        <v>428</v>
      </c>
      <c r="K63" s="102" t="n">
        <v>10</v>
      </c>
      <c r="L63" s="108" t="s">
        <v>487</v>
      </c>
      <c r="M63" s="110" t="s">
        <v>454</v>
      </c>
      <c r="N63" s="104"/>
    </row>
    <row r="64" customFormat="false" ht="96" hidden="false" customHeight="true" outlineLevel="0" collapsed="false">
      <c r="A64" s="109" t="s">
        <v>717</v>
      </c>
      <c r="B64" s="110" t="s">
        <v>182</v>
      </c>
      <c r="C64" s="110" t="s">
        <v>454</v>
      </c>
      <c r="D64" s="100" t="s">
        <v>424</v>
      </c>
      <c r="E64" s="101" t="s">
        <v>310</v>
      </c>
      <c r="F64" s="147" t="s">
        <v>487</v>
      </c>
      <c r="G64" s="19" t="s">
        <v>609</v>
      </c>
      <c r="H64" s="19" t="s">
        <v>649</v>
      </c>
      <c r="I64" s="110" t="s">
        <v>652</v>
      </c>
      <c r="J64" s="109" t="s">
        <v>442</v>
      </c>
      <c r="K64" s="102" t="n">
        <v>3.33</v>
      </c>
      <c r="L64" s="103" t="s">
        <v>487</v>
      </c>
      <c r="M64" s="110" t="s">
        <v>910</v>
      </c>
      <c r="N64" s="104" t="s">
        <v>654</v>
      </c>
    </row>
    <row r="65" customFormat="false" ht="141" hidden="false" customHeight="true" outlineLevel="0" collapsed="false">
      <c r="A65" s="109" t="s">
        <v>720</v>
      </c>
      <c r="B65" s="110" t="s">
        <v>187</v>
      </c>
      <c r="C65" s="110" t="s">
        <v>454</v>
      </c>
      <c r="D65" s="100" t="s">
        <v>424</v>
      </c>
      <c r="E65" s="101" t="s">
        <v>318</v>
      </c>
      <c r="F65" s="147" t="s">
        <v>487</v>
      </c>
      <c r="G65" s="19" t="s">
        <v>609</v>
      </c>
      <c r="H65" s="19" t="s">
        <v>649</v>
      </c>
      <c r="I65" s="110" t="s">
        <v>656</v>
      </c>
      <c r="J65" s="109" t="s">
        <v>442</v>
      </c>
      <c r="K65" s="102" t="n">
        <v>3.33</v>
      </c>
      <c r="L65" s="103" t="s">
        <v>487</v>
      </c>
      <c r="M65" s="110" t="s">
        <v>911</v>
      </c>
      <c r="N65" s="104"/>
    </row>
    <row r="66" customFormat="false" ht="30" hidden="false" customHeight="true" outlineLevel="0" collapsed="false">
      <c r="A66" s="109" t="s">
        <v>912</v>
      </c>
      <c r="B66" s="110" t="s">
        <v>454</v>
      </c>
      <c r="C66" s="110" t="s">
        <v>454</v>
      </c>
      <c r="D66" s="100" t="s">
        <v>424</v>
      </c>
      <c r="E66" s="101" t="s">
        <v>913</v>
      </c>
      <c r="F66" s="147" t="s">
        <v>487</v>
      </c>
      <c r="G66" s="19" t="s">
        <v>609</v>
      </c>
      <c r="H66" s="19" t="s">
        <v>649</v>
      </c>
      <c r="I66" s="110" t="s">
        <v>639</v>
      </c>
      <c r="J66" s="109" t="s">
        <v>442</v>
      </c>
      <c r="K66" s="102" t="n">
        <v>3.33</v>
      </c>
      <c r="L66" s="108" t="s">
        <v>487</v>
      </c>
      <c r="M66" s="110" t="s">
        <v>914</v>
      </c>
      <c r="N66" s="104"/>
    </row>
    <row r="67" customFormat="false" ht="37.5" hidden="false" customHeight="true" outlineLevel="0" collapsed="false">
      <c r="A67" s="99" t="s">
        <v>723</v>
      </c>
      <c r="B67" s="100" t="s">
        <v>589</v>
      </c>
      <c r="C67" s="100" t="s">
        <v>454</v>
      </c>
      <c r="D67" s="100" t="s">
        <v>424</v>
      </c>
      <c r="E67" s="101" t="s">
        <v>724</v>
      </c>
      <c r="F67" s="147" t="s">
        <v>487</v>
      </c>
      <c r="G67" s="19" t="s">
        <v>609</v>
      </c>
      <c r="H67" s="19" t="s">
        <v>662</v>
      </c>
      <c r="I67" s="106" t="s">
        <v>663</v>
      </c>
      <c r="J67" s="99" t="s">
        <v>428</v>
      </c>
      <c r="K67" s="102" t="n">
        <v>10</v>
      </c>
      <c r="L67" s="103" t="s">
        <v>487</v>
      </c>
      <c r="M67" s="110" t="s">
        <v>454</v>
      </c>
      <c r="N67" s="104"/>
    </row>
    <row r="68" customFormat="false" ht="207" hidden="false" customHeight="true" outlineLevel="0" collapsed="false">
      <c r="A68" s="99" t="s">
        <v>727</v>
      </c>
      <c r="B68" s="100" t="s">
        <v>454</v>
      </c>
      <c r="C68" s="100" t="s">
        <v>454</v>
      </c>
      <c r="D68" s="100" t="s">
        <v>424</v>
      </c>
      <c r="E68" s="101" t="s">
        <v>324</v>
      </c>
      <c r="F68" s="147" t="s">
        <v>487</v>
      </c>
      <c r="G68" s="19" t="s">
        <v>609</v>
      </c>
      <c r="H68" s="19" t="s">
        <v>662</v>
      </c>
      <c r="I68" s="110" t="s">
        <v>665</v>
      </c>
      <c r="J68" s="109" t="s">
        <v>442</v>
      </c>
      <c r="K68" s="102" t="n">
        <v>3.33</v>
      </c>
      <c r="L68" s="108" t="s">
        <v>487</v>
      </c>
      <c r="M68" s="110" t="s">
        <v>915</v>
      </c>
      <c r="N68" s="104"/>
    </row>
    <row r="69" customFormat="false" ht="143.25" hidden="false" customHeight="true" outlineLevel="0" collapsed="false">
      <c r="A69" s="99" t="s">
        <v>730</v>
      </c>
      <c r="B69" s="100" t="s">
        <v>454</v>
      </c>
      <c r="C69" s="100" t="s">
        <v>454</v>
      </c>
      <c r="D69" s="100" t="s">
        <v>424</v>
      </c>
      <c r="E69" s="101" t="s">
        <v>332</v>
      </c>
      <c r="F69" s="147" t="s">
        <v>487</v>
      </c>
      <c r="G69" s="19" t="s">
        <v>609</v>
      </c>
      <c r="H69" s="19" t="s">
        <v>662</v>
      </c>
      <c r="I69" s="110" t="s">
        <v>656</v>
      </c>
      <c r="J69" s="109" t="s">
        <v>442</v>
      </c>
      <c r="K69" s="102" t="n">
        <v>3.33</v>
      </c>
      <c r="L69" s="108" t="s">
        <v>487</v>
      </c>
      <c r="M69" s="110" t="s">
        <v>668</v>
      </c>
      <c r="N69" s="104"/>
    </row>
    <row r="70" customFormat="false" ht="159.75" hidden="false" customHeight="true" outlineLevel="0" collapsed="false">
      <c r="A70" s="99" t="s">
        <v>916</v>
      </c>
      <c r="B70" s="100" t="s">
        <v>454</v>
      </c>
      <c r="C70" s="100" t="s">
        <v>454</v>
      </c>
      <c r="D70" s="100" t="s">
        <v>424</v>
      </c>
      <c r="E70" s="101" t="s">
        <v>917</v>
      </c>
      <c r="F70" s="147" t="s">
        <v>487</v>
      </c>
      <c r="G70" s="19" t="s">
        <v>609</v>
      </c>
      <c r="H70" s="19" t="s">
        <v>662</v>
      </c>
      <c r="I70" s="110" t="s">
        <v>639</v>
      </c>
      <c r="J70" s="109" t="s">
        <v>442</v>
      </c>
      <c r="K70" s="102" t="n">
        <v>3.33</v>
      </c>
      <c r="L70" s="108" t="s">
        <v>487</v>
      </c>
      <c r="M70" s="110" t="s">
        <v>670</v>
      </c>
      <c r="N70" s="104"/>
    </row>
    <row r="71" customFormat="false" ht="37.5" hidden="false" customHeight="true" outlineLevel="0" collapsed="false">
      <c r="A71" s="99" t="s">
        <v>734</v>
      </c>
      <c r="B71" s="100" t="s">
        <v>454</v>
      </c>
      <c r="C71" s="100" t="s">
        <v>454</v>
      </c>
      <c r="D71" s="100" t="s">
        <v>424</v>
      </c>
      <c r="E71" s="101" t="s">
        <v>337</v>
      </c>
      <c r="F71" s="147" t="s">
        <v>487</v>
      </c>
      <c r="G71" s="19" t="s">
        <v>609</v>
      </c>
      <c r="H71" s="19" t="s">
        <v>673</v>
      </c>
      <c r="I71" s="106" t="s">
        <v>674</v>
      </c>
      <c r="J71" s="99" t="s">
        <v>428</v>
      </c>
      <c r="K71" s="102" t="n">
        <v>10</v>
      </c>
      <c r="L71" s="108" t="s">
        <v>487</v>
      </c>
      <c r="M71" s="110" t="s">
        <v>454</v>
      </c>
      <c r="N71" s="104"/>
    </row>
    <row r="72" customFormat="false" ht="203.25" hidden="false" customHeight="true" outlineLevel="0" collapsed="false">
      <c r="A72" s="99" t="s">
        <v>918</v>
      </c>
      <c r="B72" s="100" t="s">
        <v>454</v>
      </c>
      <c r="C72" s="100" t="s">
        <v>454</v>
      </c>
      <c r="D72" s="100" t="s">
        <v>424</v>
      </c>
      <c r="E72" s="101" t="s">
        <v>919</v>
      </c>
      <c r="F72" s="147" t="s">
        <v>487</v>
      </c>
      <c r="G72" s="19" t="s">
        <v>609</v>
      </c>
      <c r="H72" s="19" t="s">
        <v>673</v>
      </c>
      <c r="I72" s="110" t="s">
        <v>676</v>
      </c>
      <c r="J72" s="109" t="s">
        <v>442</v>
      </c>
      <c r="K72" s="102" t="n">
        <v>3.3</v>
      </c>
      <c r="L72" s="103" t="s">
        <v>487</v>
      </c>
      <c r="M72" s="110" t="s">
        <v>920</v>
      </c>
      <c r="N72" s="104"/>
    </row>
    <row r="73" customFormat="false" ht="190.5" hidden="false" customHeight="true" outlineLevel="0" collapsed="false">
      <c r="A73" s="99" t="s">
        <v>921</v>
      </c>
      <c r="B73" s="100" t="s">
        <v>454</v>
      </c>
      <c r="C73" s="100" t="s">
        <v>454</v>
      </c>
      <c r="D73" s="100" t="s">
        <v>424</v>
      </c>
      <c r="E73" s="101" t="s">
        <v>922</v>
      </c>
      <c r="F73" s="147" t="s">
        <v>487</v>
      </c>
      <c r="G73" s="19" t="s">
        <v>609</v>
      </c>
      <c r="H73" s="19" t="s">
        <v>673</v>
      </c>
      <c r="I73" s="110" t="s">
        <v>656</v>
      </c>
      <c r="J73" s="109" t="s">
        <v>442</v>
      </c>
      <c r="K73" s="102" t="n">
        <v>3.3</v>
      </c>
      <c r="L73" s="103" t="s">
        <v>487</v>
      </c>
      <c r="M73" s="110" t="s">
        <v>679</v>
      </c>
      <c r="N73" s="104"/>
    </row>
    <row r="74" customFormat="false" ht="50.25" hidden="false" customHeight="true" outlineLevel="0" collapsed="false">
      <c r="A74" s="99" t="s">
        <v>923</v>
      </c>
      <c r="B74" s="100" t="s">
        <v>454</v>
      </c>
      <c r="C74" s="100" t="s">
        <v>454</v>
      </c>
      <c r="D74" s="100" t="s">
        <v>424</v>
      </c>
      <c r="E74" s="101" t="s">
        <v>924</v>
      </c>
      <c r="F74" s="147" t="s">
        <v>487</v>
      </c>
      <c r="G74" s="19" t="s">
        <v>609</v>
      </c>
      <c r="H74" s="19" t="s">
        <v>673</v>
      </c>
      <c r="I74" s="110" t="s">
        <v>639</v>
      </c>
      <c r="J74" s="109" t="s">
        <v>442</v>
      </c>
      <c r="K74" s="102" t="n">
        <v>3.3</v>
      </c>
      <c r="L74" s="103" t="s">
        <v>487</v>
      </c>
      <c r="M74" s="110" t="s">
        <v>681</v>
      </c>
      <c r="N74" s="104"/>
    </row>
    <row r="75" customFormat="false" ht="50.25" hidden="false" customHeight="true" outlineLevel="0" collapsed="false">
      <c r="A75" s="99"/>
      <c r="B75" s="100"/>
      <c r="C75" s="100"/>
      <c r="D75" s="100"/>
      <c r="E75" s="101"/>
      <c r="F75" s="101" t="s">
        <v>487</v>
      </c>
      <c r="G75" s="19" t="s">
        <v>683</v>
      </c>
      <c r="H75" s="19" t="s">
        <v>683</v>
      </c>
      <c r="I75" s="153" t="s">
        <v>684</v>
      </c>
      <c r="J75" s="109" t="s">
        <v>428</v>
      </c>
      <c r="K75" s="102" t="n">
        <v>10</v>
      </c>
      <c r="L75" s="103" t="s">
        <v>487</v>
      </c>
      <c r="M75" s="110" t="s">
        <v>612</v>
      </c>
      <c r="N75" s="104"/>
    </row>
    <row r="76" customFormat="false" ht="50.25" hidden="false" customHeight="true" outlineLevel="0" collapsed="false">
      <c r="A76" s="99"/>
      <c r="B76" s="100"/>
      <c r="C76" s="100"/>
      <c r="D76" s="100"/>
      <c r="E76" s="101"/>
      <c r="F76" s="101" t="s">
        <v>487</v>
      </c>
      <c r="G76" s="19" t="s">
        <v>683</v>
      </c>
      <c r="H76" s="19" t="s">
        <v>683</v>
      </c>
      <c r="I76" s="154" t="s">
        <v>686</v>
      </c>
      <c r="J76" s="109" t="s">
        <v>442</v>
      </c>
      <c r="K76" s="102" t="n">
        <v>5</v>
      </c>
      <c r="L76" s="103" t="s">
        <v>487</v>
      </c>
      <c r="M76" s="110" t="s">
        <v>687</v>
      </c>
      <c r="N76" s="104" t="s">
        <v>688</v>
      </c>
    </row>
    <row r="77" customFormat="false" ht="50.25" hidden="false" customHeight="true" outlineLevel="0" collapsed="false">
      <c r="A77" s="99"/>
      <c r="B77" s="100"/>
      <c r="C77" s="100"/>
      <c r="D77" s="100"/>
      <c r="E77" s="101"/>
      <c r="F77" s="101" t="s">
        <v>487</v>
      </c>
      <c r="G77" s="19" t="s">
        <v>683</v>
      </c>
      <c r="H77" s="19" t="s">
        <v>683</v>
      </c>
      <c r="I77" s="110" t="s">
        <v>690</v>
      </c>
      <c r="J77" s="109" t="s">
        <v>442</v>
      </c>
      <c r="K77" s="102" t="n">
        <v>5</v>
      </c>
      <c r="L77" s="103" t="s">
        <v>487</v>
      </c>
      <c r="M77" s="110" t="s">
        <v>691</v>
      </c>
      <c r="N77" s="104" t="s">
        <v>692</v>
      </c>
    </row>
    <row r="78" customFormat="false" ht="47.25" hidden="false" customHeight="true" outlineLevel="0" collapsed="false">
      <c r="A78" s="136" t="s">
        <v>660</v>
      </c>
      <c r="B78" s="155" t="s">
        <v>454</v>
      </c>
      <c r="C78" s="155" t="s">
        <v>454</v>
      </c>
      <c r="D78" s="155" t="s">
        <v>424</v>
      </c>
      <c r="E78" s="101" t="s">
        <v>661</v>
      </c>
      <c r="F78" s="101" t="s">
        <v>487</v>
      </c>
      <c r="G78" s="19" t="s">
        <v>683</v>
      </c>
      <c r="H78" s="19" t="s">
        <v>683</v>
      </c>
      <c r="I78" s="106" t="s">
        <v>694</v>
      </c>
      <c r="J78" s="136" t="s">
        <v>428</v>
      </c>
      <c r="K78" s="138" t="n">
        <v>10</v>
      </c>
      <c r="L78" s="156" t="s">
        <v>487</v>
      </c>
      <c r="M78" s="110" t="s">
        <v>695</v>
      </c>
      <c r="N78" s="104"/>
    </row>
    <row r="79" customFormat="false" ht="138" hidden="false" customHeight="true" outlineLevel="0" collapsed="false">
      <c r="A79" s="136" t="s">
        <v>664</v>
      </c>
      <c r="B79" s="155" t="s">
        <v>454</v>
      </c>
      <c r="C79" s="155" t="s">
        <v>454</v>
      </c>
      <c r="D79" s="155" t="s">
        <v>424</v>
      </c>
      <c r="E79" s="101" t="s">
        <v>249</v>
      </c>
      <c r="F79" s="101" t="s">
        <v>487</v>
      </c>
      <c r="G79" s="19" t="s">
        <v>683</v>
      </c>
      <c r="H79" s="19" t="s">
        <v>697</v>
      </c>
      <c r="I79" s="46" t="s">
        <v>698</v>
      </c>
      <c r="J79" s="136" t="s">
        <v>442</v>
      </c>
      <c r="K79" s="138" t="n">
        <v>2.5</v>
      </c>
      <c r="L79" s="156" t="s">
        <v>487</v>
      </c>
      <c r="M79" s="110" t="s">
        <v>925</v>
      </c>
      <c r="N79" s="104"/>
    </row>
    <row r="80" customFormat="false" ht="147" hidden="false" customHeight="true" outlineLevel="0" collapsed="false">
      <c r="A80" s="136" t="s">
        <v>667</v>
      </c>
      <c r="B80" s="155" t="s">
        <v>454</v>
      </c>
      <c r="C80" s="155" t="s">
        <v>454</v>
      </c>
      <c r="D80" s="155" t="s">
        <v>424</v>
      </c>
      <c r="E80" s="101" t="s">
        <v>252</v>
      </c>
      <c r="F80" s="101" t="s">
        <v>487</v>
      </c>
      <c r="G80" s="19" t="s">
        <v>701</v>
      </c>
      <c r="H80" s="19" t="s">
        <v>702</v>
      </c>
      <c r="I80" s="27" t="s">
        <v>703</v>
      </c>
      <c r="J80" s="136" t="s">
        <v>442</v>
      </c>
      <c r="K80" s="138" t="n">
        <v>2.5</v>
      </c>
      <c r="L80" s="156" t="s">
        <v>487</v>
      </c>
      <c r="M80" s="110" t="s">
        <v>926</v>
      </c>
      <c r="N80" s="104"/>
    </row>
    <row r="81" customFormat="false" ht="102.75" hidden="false" customHeight="true" outlineLevel="0" collapsed="false">
      <c r="A81" s="136" t="s">
        <v>669</v>
      </c>
      <c r="B81" s="155" t="s">
        <v>454</v>
      </c>
      <c r="C81" s="155" t="s">
        <v>454</v>
      </c>
      <c r="D81" s="155" t="s">
        <v>424</v>
      </c>
      <c r="E81" s="101" t="s">
        <v>255</v>
      </c>
      <c r="F81" s="101" t="s">
        <v>487</v>
      </c>
      <c r="G81" s="19" t="s">
        <v>701</v>
      </c>
      <c r="H81" s="19" t="s">
        <v>706</v>
      </c>
      <c r="I81" s="46" t="s">
        <v>927</v>
      </c>
      <c r="J81" s="136" t="s">
        <v>442</v>
      </c>
      <c r="K81" s="138" t="n">
        <v>2.5</v>
      </c>
      <c r="L81" s="156" t="s">
        <v>487</v>
      </c>
      <c r="M81" s="110" t="s">
        <v>928</v>
      </c>
      <c r="N81" s="104"/>
    </row>
    <row r="82" customFormat="false" ht="107.25" hidden="false" customHeight="true" outlineLevel="0" collapsed="false">
      <c r="A82" s="136" t="s">
        <v>929</v>
      </c>
      <c r="B82" s="155" t="s">
        <v>454</v>
      </c>
      <c r="C82" s="155" t="s">
        <v>454</v>
      </c>
      <c r="D82" s="155" t="s">
        <v>424</v>
      </c>
      <c r="E82" s="101" t="s">
        <v>930</v>
      </c>
      <c r="F82" s="101" t="s">
        <v>487</v>
      </c>
      <c r="G82" s="19" t="s">
        <v>701</v>
      </c>
      <c r="H82" s="19" t="s">
        <v>710</v>
      </c>
      <c r="I82" s="46" t="s">
        <v>711</v>
      </c>
      <c r="J82" s="136" t="s">
        <v>442</v>
      </c>
      <c r="K82" s="138" t="n">
        <v>2.5</v>
      </c>
      <c r="L82" s="156" t="s">
        <v>487</v>
      </c>
      <c r="M82" s="110" t="s">
        <v>931</v>
      </c>
      <c r="N82" s="104"/>
    </row>
    <row r="83" customFormat="false" ht="33" hidden="false" customHeight="true" outlineLevel="0" collapsed="false">
      <c r="A83" s="99" t="s">
        <v>781</v>
      </c>
      <c r="B83" s="100" t="s">
        <v>608</v>
      </c>
      <c r="C83" s="100" t="s">
        <v>113</v>
      </c>
      <c r="D83" s="100" t="s">
        <v>424</v>
      </c>
      <c r="E83" s="101" t="s">
        <v>390</v>
      </c>
      <c r="F83" s="147" t="s">
        <v>487</v>
      </c>
      <c r="G83" s="123"/>
      <c r="H83" s="19" t="s">
        <v>715</v>
      </c>
      <c r="I83" s="106" t="s">
        <v>716</v>
      </c>
      <c r="J83" s="99" t="s">
        <v>428</v>
      </c>
      <c r="K83" s="102" t="n">
        <v>10</v>
      </c>
      <c r="L83" s="103" t="s">
        <v>429</v>
      </c>
      <c r="M83" s="27" t="s">
        <v>612</v>
      </c>
      <c r="N83" s="104"/>
    </row>
    <row r="84" customFormat="false" ht="246" hidden="false" customHeight="true" outlineLevel="0" collapsed="false">
      <c r="A84" s="99" t="s">
        <v>932</v>
      </c>
      <c r="B84" s="100" t="s">
        <v>454</v>
      </c>
      <c r="C84" s="100" t="s">
        <v>454</v>
      </c>
      <c r="D84" s="100" t="s">
        <v>424</v>
      </c>
      <c r="E84" s="101" t="s">
        <v>933</v>
      </c>
      <c r="F84" s="147" t="s">
        <v>487</v>
      </c>
      <c r="G84" s="19" t="s">
        <v>714</v>
      </c>
      <c r="H84" s="19" t="s">
        <v>715</v>
      </c>
      <c r="I84" s="110" t="s">
        <v>718</v>
      </c>
      <c r="J84" s="99" t="s">
        <v>442</v>
      </c>
      <c r="K84" s="102" t="n">
        <v>5</v>
      </c>
      <c r="L84" s="108" t="s">
        <v>429</v>
      </c>
      <c r="M84" s="110" t="s">
        <v>719</v>
      </c>
      <c r="N84" s="104"/>
    </row>
    <row r="85" customFormat="false" ht="391.5" hidden="false" customHeight="true" outlineLevel="0" collapsed="false">
      <c r="A85" s="99" t="s">
        <v>934</v>
      </c>
      <c r="B85" s="100" t="s">
        <v>454</v>
      </c>
      <c r="C85" s="100" t="s">
        <v>454</v>
      </c>
      <c r="D85" s="100" t="s">
        <v>424</v>
      </c>
      <c r="E85" s="101" t="s">
        <v>935</v>
      </c>
      <c r="F85" s="147" t="s">
        <v>487</v>
      </c>
      <c r="G85" s="19" t="s">
        <v>714</v>
      </c>
      <c r="H85" s="19" t="s">
        <v>715</v>
      </c>
      <c r="I85" s="110" t="s">
        <v>721</v>
      </c>
      <c r="J85" s="99" t="s">
        <v>442</v>
      </c>
      <c r="K85" s="102" t="n">
        <v>5</v>
      </c>
      <c r="L85" s="108" t="s">
        <v>487</v>
      </c>
      <c r="M85" s="110" t="s">
        <v>722</v>
      </c>
      <c r="N85" s="104"/>
    </row>
    <row r="86" customFormat="false" ht="37.5" hidden="false" customHeight="true" outlineLevel="0" collapsed="false">
      <c r="A86" s="99" t="s">
        <v>785</v>
      </c>
      <c r="B86" s="100" t="s">
        <v>454</v>
      </c>
      <c r="C86" s="100" t="s">
        <v>454</v>
      </c>
      <c r="D86" s="100" t="s">
        <v>424</v>
      </c>
      <c r="E86" s="101" t="s">
        <v>786</v>
      </c>
      <c r="F86" s="147" t="s">
        <v>487</v>
      </c>
      <c r="G86" s="19" t="s">
        <v>714</v>
      </c>
      <c r="H86" s="19" t="s">
        <v>725</v>
      </c>
      <c r="I86" s="100" t="s">
        <v>726</v>
      </c>
      <c r="J86" s="105" t="s">
        <v>428</v>
      </c>
      <c r="K86" s="107" t="n">
        <v>10</v>
      </c>
      <c r="L86" s="108" t="s">
        <v>487</v>
      </c>
      <c r="M86" s="110" t="s">
        <v>612</v>
      </c>
      <c r="N86" s="104"/>
    </row>
    <row r="87" customFormat="false" ht="37.5" hidden="false" customHeight="true" outlineLevel="0" collapsed="false">
      <c r="A87" s="99" t="s">
        <v>789</v>
      </c>
      <c r="B87" s="100" t="s">
        <v>454</v>
      </c>
      <c r="C87" s="100" t="s">
        <v>454</v>
      </c>
      <c r="D87" s="100" t="s">
        <v>424</v>
      </c>
      <c r="E87" s="101" t="s">
        <v>396</v>
      </c>
      <c r="F87" s="147" t="s">
        <v>487</v>
      </c>
      <c r="G87" s="19" t="s">
        <v>714</v>
      </c>
      <c r="H87" s="19" t="s">
        <v>725</v>
      </c>
      <c r="I87" s="100" t="s">
        <v>728</v>
      </c>
      <c r="J87" s="99" t="s">
        <v>442</v>
      </c>
      <c r="K87" s="102" t="n">
        <v>5</v>
      </c>
      <c r="L87" s="103" t="s">
        <v>429</v>
      </c>
      <c r="M87" s="110" t="s">
        <v>729</v>
      </c>
      <c r="N87" s="104"/>
    </row>
    <row r="88" customFormat="false" ht="36" hidden="false" customHeight="true" outlineLevel="0" collapsed="false">
      <c r="A88" s="99" t="s">
        <v>792</v>
      </c>
      <c r="B88" s="100" t="s">
        <v>454</v>
      </c>
      <c r="C88" s="100" t="s">
        <v>454</v>
      </c>
      <c r="D88" s="100" t="s">
        <v>424</v>
      </c>
      <c r="E88" s="101" t="s">
        <v>401</v>
      </c>
      <c r="F88" s="147" t="s">
        <v>487</v>
      </c>
      <c r="G88" s="19" t="s">
        <v>714</v>
      </c>
      <c r="H88" s="19" t="s">
        <v>725</v>
      </c>
      <c r="I88" s="100" t="s">
        <v>731</v>
      </c>
      <c r="J88" s="99" t="s">
        <v>442</v>
      </c>
      <c r="K88" s="102" t="n">
        <v>5</v>
      </c>
      <c r="L88" s="103" t="s">
        <v>487</v>
      </c>
      <c r="M88" s="110" t="s">
        <v>936</v>
      </c>
      <c r="N88" s="104"/>
    </row>
    <row r="89" customFormat="false" ht="32.25" hidden="false" customHeight="true" outlineLevel="0" collapsed="false">
      <c r="A89" s="136" t="s">
        <v>558</v>
      </c>
      <c r="B89" s="142" t="s">
        <v>454</v>
      </c>
      <c r="C89" s="142" t="s">
        <v>454</v>
      </c>
      <c r="D89" s="142" t="s">
        <v>424</v>
      </c>
      <c r="E89" s="101" t="s">
        <v>473</v>
      </c>
      <c r="F89" s="147" t="s">
        <v>487</v>
      </c>
      <c r="G89" s="19" t="s">
        <v>735</v>
      </c>
      <c r="H89" s="19" t="s">
        <v>736</v>
      </c>
      <c r="I89" s="157" t="s">
        <v>338</v>
      </c>
      <c r="J89" s="158" t="s">
        <v>428</v>
      </c>
      <c r="K89" s="159" t="n">
        <v>10</v>
      </c>
      <c r="L89" s="156" t="s">
        <v>737</v>
      </c>
      <c r="M89" s="100" t="s">
        <v>738</v>
      </c>
      <c r="N89" s="104"/>
    </row>
    <row r="90" s="171" customFormat="true" ht="201.75" hidden="false" customHeight="true" outlineLevel="0" collapsed="false">
      <c r="A90" s="160" t="s">
        <v>568</v>
      </c>
      <c r="B90" s="161"/>
      <c r="C90" s="161"/>
      <c r="D90" s="161" t="s">
        <v>424</v>
      </c>
      <c r="E90" s="162" t="s">
        <v>172</v>
      </c>
      <c r="F90" s="163" t="s">
        <v>487</v>
      </c>
      <c r="G90" s="164" t="s">
        <v>735</v>
      </c>
      <c r="H90" s="164" t="s">
        <v>741</v>
      </c>
      <c r="I90" s="165" t="s">
        <v>937</v>
      </c>
      <c r="J90" s="166" t="s">
        <v>428</v>
      </c>
      <c r="K90" s="167" t="n">
        <v>10</v>
      </c>
      <c r="L90" s="168" t="s">
        <v>737</v>
      </c>
      <c r="M90" s="169" t="s">
        <v>764</v>
      </c>
      <c r="N90" s="170"/>
    </row>
    <row r="91" s="171" customFormat="true" ht="108" hidden="false" customHeight="true" outlineLevel="0" collapsed="false">
      <c r="A91" s="160"/>
      <c r="B91" s="161"/>
      <c r="C91" s="161"/>
      <c r="D91" s="161"/>
      <c r="E91" s="162"/>
      <c r="F91" s="172"/>
      <c r="G91" s="164" t="s">
        <v>735</v>
      </c>
      <c r="H91" s="164" t="s">
        <v>741</v>
      </c>
      <c r="I91" s="173" t="s">
        <v>790</v>
      </c>
      <c r="J91" s="166" t="s">
        <v>442</v>
      </c>
      <c r="K91" s="174" t="n">
        <v>3.33</v>
      </c>
      <c r="L91" s="168" t="s">
        <v>429</v>
      </c>
      <c r="M91" s="169" t="s">
        <v>938</v>
      </c>
      <c r="N91" s="170"/>
    </row>
    <row r="92" s="171" customFormat="true" ht="81.75" hidden="false" customHeight="true" outlineLevel="0" collapsed="false">
      <c r="A92" s="160"/>
      <c r="B92" s="161"/>
      <c r="C92" s="161"/>
      <c r="D92" s="161"/>
      <c r="E92" s="162"/>
      <c r="F92" s="172"/>
      <c r="G92" s="164" t="s">
        <v>735</v>
      </c>
      <c r="H92" s="164" t="s">
        <v>741</v>
      </c>
      <c r="I92" s="169" t="s">
        <v>793</v>
      </c>
      <c r="J92" s="166" t="s">
        <v>442</v>
      </c>
      <c r="K92" s="174" t="n">
        <v>3.33</v>
      </c>
      <c r="L92" s="168" t="s">
        <v>487</v>
      </c>
      <c r="M92" s="169" t="s">
        <v>939</v>
      </c>
      <c r="N92" s="170"/>
    </row>
    <row r="93" s="181" customFormat="true" ht="139.5" hidden="false" customHeight="true" outlineLevel="0" collapsed="false">
      <c r="A93" s="175"/>
      <c r="B93" s="176"/>
      <c r="C93" s="176"/>
      <c r="D93" s="176"/>
      <c r="E93" s="177"/>
      <c r="F93" s="178"/>
      <c r="G93" s="19" t="s">
        <v>735</v>
      </c>
      <c r="H93" s="19" t="s">
        <v>741</v>
      </c>
      <c r="I93" s="147" t="s">
        <v>742</v>
      </c>
      <c r="J93" s="31" t="s">
        <v>428</v>
      </c>
      <c r="K93" s="179" t="n">
        <v>10</v>
      </c>
      <c r="L93" s="108" t="s">
        <v>429</v>
      </c>
      <c r="M93" s="42" t="s">
        <v>743</v>
      </c>
      <c r="N93" s="180"/>
    </row>
    <row r="94" s="181" customFormat="true" ht="272.25" hidden="false" customHeight="true" outlineLevel="0" collapsed="false">
      <c r="A94" s="175"/>
      <c r="B94" s="176"/>
      <c r="C94" s="176"/>
      <c r="D94" s="176"/>
      <c r="E94" s="177"/>
      <c r="F94" s="178"/>
      <c r="G94" s="19"/>
      <c r="H94" s="19"/>
      <c r="I94" s="182" t="s">
        <v>745</v>
      </c>
      <c r="J94" s="131" t="s">
        <v>442</v>
      </c>
      <c r="K94" s="183" t="n">
        <v>2</v>
      </c>
      <c r="L94" s="108" t="s">
        <v>429</v>
      </c>
      <c r="M94" s="184" t="s">
        <v>746</v>
      </c>
    </row>
    <row r="95" s="181" customFormat="true" ht="406.5" hidden="false" customHeight="true" outlineLevel="0" collapsed="false">
      <c r="A95" s="175"/>
      <c r="B95" s="176"/>
      <c r="C95" s="176"/>
      <c r="D95" s="176"/>
      <c r="E95" s="177"/>
      <c r="F95" s="178"/>
      <c r="G95" s="19" t="s">
        <v>735</v>
      </c>
      <c r="H95" s="19" t="s">
        <v>741</v>
      </c>
      <c r="I95" s="185" t="s">
        <v>748</v>
      </c>
      <c r="J95" s="186" t="s">
        <v>442</v>
      </c>
      <c r="K95" s="187" t="n">
        <v>2</v>
      </c>
      <c r="L95" s="103" t="s">
        <v>429</v>
      </c>
      <c r="M95" s="188" t="s">
        <v>749</v>
      </c>
      <c r="N95" s="180" t="s">
        <v>750</v>
      </c>
    </row>
    <row r="96" s="181" customFormat="true" ht="219.75" hidden="false" customHeight="true" outlineLevel="0" collapsed="false">
      <c r="A96" s="175"/>
      <c r="B96" s="176"/>
      <c r="C96" s="176"/>
      <c r="D96" s="176"/>
      <c r="E96" s="177"/>
      <c r="F96" s="178"/>
      <c r="G96" s="19" t="s">
        <v>735</v>
      </c>
      <c r="H96" s="19" t="s">
        <v>741</v>
      </c>
      <c r="I96" s="185" t="s">
        <v>752</v>
      </c>
      <c r="J96" s="186" t="s">
        <v>442</v>
      </c>
      <c r="K96" s="187" t="n">
        <v>2</v>
      </c>
      <c r="L96" s="103" t="s">
        <v>429</v>
      </c>
      <c r="M96" s="186" t="s">
        <v>753</v>
      </c>
      <c r="N96" s="180" t="s">
        <v>754</v>
      </c>
    </row>
    <row r="97" s="181" customFormat="true" ht="243.75" hidden="false" customHeight="true" outlineLevel="0" collapsed="false">
      <c r="A97" s="175"/>
      <c r="B97" s="176"/>
      <c r="C97" s="176"/>
      <c r="D97" s="176"/>
      <c r="E97" s="177"/>
      <c r="F97" s="178"/>
      <c r="G97" s="19" t="s">
        <v>735</v>
      </c>
      <c r="H97" s="19" t="s">
        <v>741</v>
      </c>
      <c r="I97" s="185" t="s">
        <v>756</v>
      </c>
      <c r="J97" s="186" t="s">
        <v>442</v>
      </c>
      <c r="K97" s="187" t="n">
        <v>2</v>
      </c>
      <c r="L97" s="103" t="s">
        <v>429</v>
      </c>
      <c r="M97" s="186" t="s">
        <v>757</v>
      </c>
      <c r="N97" s="180" t="s">
        <v>750</v>
      </c>
    </row>
    <row r="98" s="181" customFormat="true" ht="324" hidden="false" customHeight="true" outlineLevel="0" collapsed="false">
      <c r="A98" s="175"/>
      <c r="B98" s="176"/>
      <c r="C98" s="176"/>
      <c r="D98" s="176"/>
      <c r="E98" s="177"/>
      <c r="F98" s="178"/>
      <c r="G98" s="19" t="s">
        <v>735</v>
      </c>
      <c r="H98" s="19" t="s">
        <v>741</v>
      </c>
      <c r="I98" s="189" t="s">
        <v>759</v>
      </c>
      <c r="J98" s="186" t="s">
        <v>442</v>
      </c>
      <c r="K98" s="187" t="n">
        <v>2</v>
      </c>
      <c r="L98" s="103" t="s">
        <v>429</v>
      </c>
      <c r="M98" s="186" t="s">
        <v>760</v>
      </c>
      <c r="N98" s="180" t="s">
        <v>750</v>
      </c>
    </row>
    <row r="99" customFormat="false" ht="56.25" hidden="false" customHeight="true" outlineLevel="0" collapsed="false">
      <c r="A99" s="99" t="s">
        <v>777</v>
      </c>
      <c r="B99" s="100" t="s">
        <v>172</v>
      </c>
      <c r="C99" s="100" t="s">
        <v>98</v>
      </c>
      <c r="D99" s="100" t="s">
        <v>424</v>
      </c>
      <c r="E99" s="101" t="s">
        <v>387</v>
      </c>
      <c r="F99" s="147" t="s">
        <v>487</v>
      </c>
      <c r="G99" s="19" t="s">
        <v>735</v>
      </c>
      <c r="H99" s="19" t="s">
        <v>762</v>
      </c>
      <c r="I99" s="190" t="s">
        <v>763</v>
      </c>
      <c r="J99" s="105" t="s">
        <v>428</v>
      </c>
      <c r="K99" s="107" t="n">
        <v>10</v>
      </c>
      <c r="L99" s="108" t="s">
        <v>737</v>
      </c>
      <c r="M99" s="110" t="s">
        <v>764</v>
      </c>
      <c r="N99" s="104"/>
    </row>
    <row r="100" customFormat="false" ht="105.75" hidden="false" customHeight="true" outlineLevel="0" collapsed="false">
      <c r="A100" s="99"/>
      <c r="B100" s="100"/>
      <c r="C100" s="100"/>
      <c r="D100" s="100"/>
      <c r="E100" s="101"/>
      <c r="F100" s="147" t="s">
        <v>487</v>
      </c>
      <c r="G100" s="19" t="s">
        <v>735</v>
      </c>
      <c r="H100" s="19" t="s">
        <v>762</v>
      </c>
      <c r="I100" s="191" t="s">
        <v>766</v>
      </c>
      <c r="J100" s="99" t="s">
        <v>442</v>
      </c>
      <c r="K100" s="102" t="n">
        <v>5</v>
      </c>
      <c r="L100" s="103" t="s">
        <v>429</v>
      </c>
      <c r="M100" s="110" t="s">
        <v>767</v>
      </c>
      <c r="N100" s="104"/>
    </row>
    <row r="101" customFormat="false" ht="130.5" hidden="false" customHeight="true" outlineLevel="0" collapsed="false">
      <c r="A101" s="99"/>
      <c r="B101" s="100"/>
      <c r="C101" s="100"/>
      <c r="D101" s="100"/>
      <c r="E101" s="101"/>
      <c r="F101" s="147" t="s">
        <v>487</v>
      </c>
      <c r="G101" s="19" t="s">
        <v>735</v>
      </c>
      <c r="H101" s="19" t="s">
        <v>762</v>
      </c>
      <c r="I101" s="191" t="s">
        <v>769</v>
      </c>
      <c r="J101" s="99" t="s">
        <v>442</v>
      </c>
      <c r="K101" s="102" t="n">
        <v>5</v>
      </c>
      <c r="L101" s="103" t="s">
        <v>487</v>
      </c>
      <c r="M101" s="110" t="s">
        <v>940</v>
      </c>
      <c r="N101" s="104"/>
    </row>
    <row r="102" customFormat="false" ht="249.75" hidden="false" customHeight="true" outlineLevel="0" collapsed="false">
      <c r="A102" s="136" t="s">
        <v>511</v>
      </c>
      <c r="B102" s="100" t="s">
        <v>648</v>
      </c>
      <c r="C102" s="100" t="s">
        <v>515</v>
      </c>
      <c r="D102" s="100" t="s">
        <v>424</v>
      </c>
      <c r="E102" s="101" t="s">
        <v>113</v>
      </c>
      <c r="F102" s="147" t="s">
        <v>487</v>
      </c>
      <c r="G102" s="19" t="s">
        <v>735</v>
      </c>
      <c r="H102" s="19" t="s">
        <v>772</v>
      </c>
      <c r="I102" s="192" t="s">
        <v>377</v>
      </c>
      <c r="J102" s="136" t="s">
        <v>428</v>
      </c>
      <c r="K102" s="138" t="n">
        <v>10</v>
      </c>
      <c r="L102" s="103" t="s">
        <v>429</v>
      </c>
      <c r="M102" s="110" t="s">
        <v>773</v>
      </c>
      <c r="N102" s="104"/>
    </row>
    <row r="103" customFormat="false" ht="144" hidden="false" customHeight="true" outlineLevel="0" collapsed="false">
      <c r="A103" s="136" t="s">
        <v>514</v>
      </c>
      <c r="B103" s="100" t="s">
        <v>661</v>
      </c>
      <c r="C103" s="100" t="s">
        <v>540</v>
      </c>
      <c r="D103" s="100" t="s">
        <v>424</v>
      </c>
      <c r="E103" s="101" t="s">
        <v>515</v>
      </c>
      <c r="F103" s="147" t="s">
        <v>487</v>
      </c>
      <c r="G103" s="19" t="s">
        <v>735</v>
      </c>
      <c r="H103" s="19" t="s">
        <v>772</v>
      </c>
      <c r="I103" s="192" t="s">
        <v>383</v>
      </c>
      <c r="J103" s="136" t="s">
        <v>428</v>
      </c>
      <c r="K103" s="138" t="n">
        <v>10</v>
      </c>
      <c r="L103" s="103" t="s">
        <v>429</v>
      </c>
      <c r="M103" s="110" t="s">
        <v>775</v>
      </c>
      <c r="N103" s="104" t="s">
        <v>776</v>
      </c>
    </row>
    <row r="104" customFormat="false" ht="60.75" hidden="false" customHeight="true" outlineLevel="0" collapsed="false">
      <c r="A104" s="136" t="s">
        <v>795</v>
      </c>
      <c r="B104" s="100" t="s">
        <v>672</v>
      </c>
      <c r="C104" s="100" t="s">
        <v>454</v>
      </c>
      <c r="D104" s="100" t="s">
        <v>424</v>
      </c>
      <c r="E104" s="101" t="s">
        <v>404</v>
      </c>
      <c r="F104" s="17" t="s">
        <v>487</v>
      </c>
      <c r="G104" s="19" t="s">
        <v>778</v>
      </c>
      <c r="H104" s="19" t="s">
        <v>779</v>
      </c>
      <c r="I104" s="100" t="s">
        <v>941</v>
      </c>
      <c r="J104" s="136" t="s">
        <v>428</v>
      </c>
      <c r="K104" s="138" t="n">
        <v>10</v>
      </c>
      <c r="L104" s="103" t="s">
        <v>487</v>
      </c>
      <c r="M104" s="110" t="s">
        <v>780</v>
      </c>
      <c r="N104" s="104"/>
    </row>
    <row r="105" customFormat="false" ht="148.5" hidden="false" customHeight="true" outlineLevel="0" collapsed="false">
      <c r="A105" s="136" t="s">
        <v>942</v>
      </c>
      <c r="B105" s="100" t="s">
        <v>724</v>
      </c>
      <c r="C105" s="100" t="s">
        <v>161</v>
      </c>
      <c r="D105" s="100" t="s">
        <v>424</v>
      </c>
      <c r="E105" s="101" t="s">
        <v>943</v>
      </c>
      <c r="F105" s="101" t="s">
        <v>782</v>
      </c>
      <c r="G105" s="19" t="s">
        <v>778</v>
      </c>
      <c r="H105" s="19" t="s">
        <v>779</v>
      </c>
      <c r="I105" s="100" t="s">
        <v>944</v>
      </c>
      <c r="J105" s="136" t="s">
        <v>428</v>
      </c>
      <c r="K105" s="138" t="n">
        <v>10</v>
      </c>
      <c r="L105" s="135" t="s">
        <v>783</v>
      </c>
      <c r="M105" s="110" t="s">
        <v>945</v>
      </c>
      <c r="N105" s="104"/>
    </row>
    <row r="106" customFormat="false" ht="48.75" hidden="false" customHeight="true" outlineLevel="0" collapsed="false">
      <c r="A106" s="136" t="s">
        <v>946</v>
      </c>
      <c r="B106" s="100" t="s">
        <v>337</v>
      </c>
      <c r="C106" s="100" t="s">
        <v>473</v>
      </c>
      <c r="D106" s="100" t="s">
        <v>424</v>
      </c>
      <c r="E106" s="101" t="s">
        <v>947</v>
      </c>
      <c r="F106" s="101" t="s">
        <v>782</v>
      </c>
      <c r="G106" s="19" t="s">
        <v>778</v>
      </c>
      <c r="H106" s="19" t="s">
        <v>787</v>
      </c>
      <c r="I106" s="106" t="s">
        <v>788</v>
      </c>
      <c r="J106" s="158" t="s">
        <v>428</v>
      </c>
      <c r="K106" s="193" t="n">
        <v>10</v>
      </c>
      <c r="L106" s="190" t="s">
        <v>487</v>
      </c>
      <c r="M106" s="194" t="s">
        <v>612</v>
      </c>
      <c r="N106" s="104"/>
    </row>
    <row r="107" customFormat="false" ht="114.75" hidden="false" customHeight="true" outlineLevel="0" collapsed="false">
      <c r="A107" s="136"/>
      <c r="B107" s="100"/>
      <c r="C107" s="100"/>
      <c r="D107" s="100"/>
      <c r="E107" s="101"/>
      <c r="F107" s="101"/>
      <c r="G107" s="19" t="s">
        <v>778</v>
      </c>
      <c r="H107" s="19" t="s">
        <v>787</v>
      </c>
      <c r="I107" s="110" t="s">
        <v>790</v>
      </c>
      <c r="J107" s="136" t="s">
        <v>442</v>
      </c>
      <c r="K107" s="138" t="n">
        <v>5</v>
      </c>
      <c r="L107" s="195" t="s">
        <v>487</v>
      </c>
      <c r="M107" s="191" t="s">
        <v>791</v>
      </c>
      <c r="N107" s="104"/>
    </row>
    <row r="108" customFormat="false" ht="161.25" hidden="false" customHeight="true" outlineLevel="0" collapsed="false">
      <c r="A108" s="136"/>
      <c r="B108" s="100"/>
      <c r="C108" s="100"/>
      <c r="D108" s="100"/>
      <c r="E108" s="101"/>
      <c r="F108" s="101"/>
      <c r="G108" s="19" t="s">
        <v>778</v>
      </c>
      <c r="H108" s="19" t="s">
        <v>787</v>
      </c>
      <c r="I108" s="110" t="s">
        <v>793</v>
      </c>
      <c r="J108" s="136" t="s">
        <v>442</v>
      </c>
      <c r="K108" s="138" t="n">
        <v>5</v>
      </c>
      <c r="L108" s="196" t="s">
        <v>487</v>
      </c>
      <c r="M108" s="191" t="s">
        <v>794</v>
      </c>
      <c r="N108" s="104"/>
    </row>
    <row r="109" customFormat="false" ht="409.5" hidden="false" customHeight="true" outlineLevel="0" collapsed="false">
      <c r="A109" s="136" t="s">
        <v>948</v>
      </c>
      <c r="B109" s="100" t="s">
        <v>740</v>
      </c>
      <c r="C109" s="100" t="s">
        <v>172</v>
      </c>
      <c r="D109" s="100" t="s">
        <v>424</v>
      </c>
      <c r="E109" s="101" t="s">
        <v>949</v>
      </c>
      <c r="F109" s="101" t="s">
        <v>782</v>
      </c>
      <c r="G109" s="19" t="s">
        <v>778</v>
      </c>
      <c r="H109" s="19" t="s">
        <v>950</v>
      </c>
      <c r="I109" s="100" t="s">
        <v>405</v>
      </c>
      <c r="J109" s="136" t="s">
        <v>428</v>
      </c>
      <c r="K109" s="138" t="n">
        <v>10</v>
      </c>
      <c r="L109" s="103" t="s">
        <v>429</v>
      </c>
      <c r="M109" s="110" t="s">
        <v>951</v>
      </c>
      <c r="N109" s="197" t="s">
        <v>952</v>
      </c>
      <c r="O109" s="138"/>
    </row>
    <row r="110" s="90" customFormat="true" ht="29.25" hidden="false" customHeight="true" outlineLevel="0" collapsed="false">
      <c r="H110" s="3"/>
      <c r="I110" s="181"/>
      <c r="J110" s="89"/>
      <c r="K110" s="89"/>
      <c r="N110" s="3"/>
    </row>
    <row r="111" s="90" customFormat="true" ht="14.25" hidden="false" customHeight="false" outlineLevel="0" collapsed="false">
      <c r="H111" s="3"/>
      <c r="J111" s="89"/>
      <c r="K111" s="89"/>
      <c r="N111" s="3"/>
    </row>
    <row r="112" s="90" customFormat="true" ht="14.25" hidden="false" customHeight="false" outlineLevel="0" collapsed="false">
      <c r="H112" s="3"/>
      <c r="J112" s="89"/>
      <c r="K112" s="89"/>
      <c r="N112" s="3"/>
    </row>
    <row r="113" s="90" customFormat="true" ht="14.25" hidden="false" customHeight="false" outlineLevel="0" collapsed="false">
      <c r="H113" s="3"/>
      <c r="J113" s="89"/>
      <c r="K113" s="89"/>
      <c r="N113" s="3"/>
    </row>
    <row r="114" s="90" customFormat="true" ht="14.25" hidden="false" customHeight="false" outlineLevel="0" collapsed="false">
      <c r="H114" s="3"/>
      <c r="J114" s="89"/>
      <c r="K114" s="89"/>
      <c r="N114" s="3"/>
    </row>
    <row r="115" customFormat="false" ht="14.25" hidden="false" customHeight="true" outlineLevel="0" collapsed="false">
      <c r="A115" s="198"/>
      <c r="B115" s="199"/>
      <c r="C115" s="199"/>
      <c r="D115" s="199"/>
      <c r="G115" s="91"/>
      <c r="H115" s="200"/>
      <c r="I115" s="199"/>
      <c r="J115" s="198"/>
      <c r="K115" s="198"/>
      <c r="L115" s="199"/>
      <c r="M115" s="201"/>
    </row>
    <row r="116" customFormat="false" ht="14.25" hidden="false" customHeight="true" outlineLevel="0" collapsed="false">
      <c r="A116" s="198"/>
      <c r="B116" s="199"/>
      <c r="C116" s="199"/>
      <c r="D116" s="199"/>
      <c r="G116" s="91"/>
      <c r="H116" s="200"/>
      <c r="I116" s="199"/>
      <c r="J116" s="198"/>
      <c r="K116" s="198"/>
      <c r="L116" s="199"/>
      <c r="M116" s="201"/>
    </row>
    <row r="117" customFormat="false" ht="14.25" hidden="false" customHeight="true" outlineLevel="0" collapsed="false">
      <c r="A117" s="198"/>
      <c r="B117" s="199"/>
      <c r="C117" s="199"/>
      <c r="D117" s="199"/>
      <c r="G117" s="91"/>
      <c r="H117" s="200"/>
      <c r="I117" s="199"/>
      <c r="J117" s="198"/>
      <c r="K117" s="198"/>
      <c r="L117" s="199"/>
      <c r="M117" s="201"/>
    </row>
    <row r="118" customFormat="false" ht="14.25" hidden="false" customHeight="true" outlineLevel="0" collapsed="false">
      <c r="A118" s="198"/>
      <c r="B118" s="199"/>
      <c r="C118" s="199"/>
      <c r="D118" s="199"/>
      <c r="G118" s="91"/>
      <c r="H118" s="200"/>
      <c r="I118" s="199"/>
      <c r="J118" s="198"/>
      <c r="K118" s="198"/>
      <c r="L118" s="199"/>
      <c r="M118" s="201"/>
    </row>
    <row r="119" customFormat="false" ht="14.25" hidden="false" customHeight="true" outlineLevel="0" collapsed="false">
      <c r="A119" s="198"/>
      <c r="B119" s="199"/>
      <c r="C119" s="199"/>
      <c r="D119" s="199"/>
      <c r="G119" s="91"/>
      <c r="H119" s="200"/>
      <c r="I119" s="199"/>
      <c r="J119" s="198"/>
      <c r="K119" s="198"/>
      <c r="L119" s="199"/>
      <c r="M119" s="201"/>
    </row>
    <row r="120" customFormat="false" ht="14.25" hidden="false" customHeight="true" outlineLevel="0" collapsed="false">
      <c r="A120" s="198"/>
      <c r="B120" s="199"/>
      <c r="C120" s="199"/>
      <c r="D120" s="199"/>
      <c r="G120" s="91"/>
      <c r="H120" s="200"/>
      <c r="I120" s="199"/>
      <c r="J120" s="198"/>
      <c r="K120" s="198"/>
      <c r="L120" s="199"/>
      <c r="M120" s="201"/>
    </row>
    <row r="121" customFormat="false" ht="14.25" hidden="false" customHeight="true" outlineLevel="0" collapsed="false">
      <c r="A121" s="198"/>
      <c r="B121" s="199"/>
      <c r="C121" s="199"/>
      <c r="D121" s="199"/>
      <c r="G121" s="91"/>
      <c r="H121" s="200"/>
      <c r="I121" s="199"/>
      <c r="J121" s="198"/>
      <c r="K121" s="198"/>
      <c r="L121" s="199"/>
      <c r="M121" s="201"/>
    </row>
    <row r="122" customFormat="false" ht="14.25" hidden="false" customHeight="true" outlineLevel="0" collapsed="false">
      <c r="A122" s="198"/>
      <c r="B122" s="199"/>
      <c r="C122" s="199"/>
      <c r="D122" s="199"/>
      <c r="G122" s="91"/>
      <c r="H122" s="200"/>
      <c r="I122" s="199"/>
      <c r="J122" s="198"/>
      <c r="K122" s="198"/>
      <c r="L122" s="199"/>
      <c r="M122" s="201"/>
    </row>
    <row r="123" customFormat="false" ht="14.25" hidden="false" customHeight="true" outlineLevel="0" collapsed="false">
      <c r="A123" s="198"/>
      <c r="B123" s="199"/>
      <c r="C123" s="199"/>
      <c r="D123" s="199"/>
      <c r="G123" s="91"/>
      <c r="H123" s="200"/>
      <c r="I123" s="199"/>
      <c r="J123" s="198"/>
      <c r="K123" s="198"/>
      <c r="L123" s="199"/>
      <c r="M123" s="201"/>
    </row>
    <row r="124" customFormat="false" ht="14.25" hidden="false" customHeight="true" outlineLevel="0" collapsed="false">
      <c r="A124" s="198"/>
      <c r="B124" s="199"/>
      <c r="C124" s="199"/>
      <c r="D124" s="199"/>
      <c r="G124" s="91"/>
      <c r="H124" s="200"/>
      <c r="I124" s="199"/>
      <c r="J124" s="198"/>
      <c r="K124" s="198"/>
      <c r="L124" s="199"/>
      <c r="M124" s="201"/>
    </row>
    <row r="125" customFormat="false" ht="14.25" hidden="false" customHeight="true" outlineLevel="0" collapsed="false">
      <c r="A125" s="198"/>
      <c r="B125" s="199"/>
      <c r="C125" s="199"/>
      <c r="D125" s="199"/>
      <c r="G125" s="91"/>
      <c r="H125" s="200"/>
      <c r="I125" s="199"/>
      <c r="J125" s="198"/>
      <c r="K125" s="198"/>
      <c r="L125" s="199"/>
      <c r="M125" s="201"/>
    </row>
    <row r="126" customFormat="false" ht="14.25" hidden="false" customHeight="true" outlineLevel="0" collapsed="false">
      <c r="A126" s="198"/>
      <c r="B126" s="199"/>
      <c r="C126" s="199"/>
      <c r="D126" s="199"/>
      <c r="G126" s="91"/>
      <c r="H126" s="200"/>
      <c r="I126" s="199"/>
      <c r="J126" s="198"/>
      <c r="K126" s="198"/>
      <c r="L126" s="199"/>
      <c r="M126" s="201"/>
    </row>
    <row r="127" customFormat="false" ht="14.25" hidden="false" customHeight="true" outlineLevel="0" collapsed="false">
      <c r="A127" s="198"/>
      <c r="B127" s="199"/>
      <c r="C127" s="199"/>
      <c r="D127" s="199"/>
      <c r="G127" s="91"/>
      <c r="H127" s="200"/>
      <c r="I127" s="199"/>
      <c r="J127" s="198"/>
      <c r="K127" s="198"/>
      <c r="L127" s="199"/>
      <c r="M127" s="201"/>
    </row>
    <row r="128" customFormat="false" ht="14.25" hidden="false" customHeight="true" outlineLevel="0" collapsed="false">
      <c r="A128" s="198"/>
      <c r="B128" s="199"/>
      <c r="C128" s="199"/>
      <c r="D128" s="199"/>
      <c r="G128" s="91"/>
      <c r="H128" s="200"/>
      <c r="I128" s="199"/>
      <c r="J128" s="198"/>
      <c r="K128" s="198"/>
      <c r="L128" s="199"/>
      <c r="M128" s="201"/>
    </row>
    <row r="129" customFormat="false" ht="14.25" hidden="false" customHeight="true" outlineLevel="0" collapsed="false">
      <c r="A129" s="198"/>
      <c r="B129" s="199"/>
      <c r="C129" s="199"/>
      <c r="D129" s="199"/>
      <c r="G129" s="91"/>
      <c r="H129" s="200"/>
      <c r="I129" s="199"/>
      <c r="J129" s="198"/>
      <c r="K129" s="198"/>
      <c r="L129" s="199"/>
      <c r="M129" s="201"/>
    </row>
    <row r="130" customFormat="false" ht="14.25" hidden="false" customHeight="true" outlineLevel="0" collapsed="false">
      <c r="A130" s="198"/>
      <c r="B130" s="199"/>
      <c r="C130" s="199"/>
      <c r="D130" s="199"/>
      <c r="G130" s="91"/>
      <c r="H130" s="200"/>
      <c r="I130" s="199"/>
      <c r="J130" s="198"/>
      <c r="K130" s="198"/>
      <c r="L130" s="199"/>
      <c r="M130" s="201"/>
    </row>
    <row r="131" customFormat="false" ht="14.25" hidden="false" customHeight="true" outlineLevel="0" collapsed="false">
      <c r="A131" s="198"/>
      <c r="B131" s="199"/>
      <c r="C131" s="199"/>
      <c r="D131" s="199"/>
      <c r="G131" s="91"/>
      <c r="H131" s="200"/>
      <c r="I131" s="199"/>
      <c r="J131" s="198"/>
      <c r="K131" s="198"/>
      <c r="L131" s="199"/>
      <c r="M131" s="201"/>
    </row>
    <row r="132" customFormat="false" ht="14.25" hidden="false" customHeight="true" outlineLevel="0" collapsed="false">
      <c r="A132" s="198"/>
      <c r="B132" s="199"/>
      <c r="C132" s="199"/>
      <c r="D132" s="199"/>
      <c r="G132" s="91"/>
      <c r="H132" s="200"/>
      <c r="I132" s="199"/>
      <c r="J132" s="198"/>
      <c r="K132" s="198"/>
      <c r="L132" s="199"/>
      <c r="M132" s="201"/>
    </row>
    <row r="133" customFormat="false" ht="14.25" hidden="false" customHeight="true" outlineLevel="0" collapsed="false">
      <c r="A133" s="198"/>
      <c r="B133" s="199"/>
      <c r="C133" s="199"/>
      <c r="D133" s="199"/>
      <c r="G133" s="91"/>
      <c r="H133" s="200"/>
      <c r="I133" s="199"/>
      <c r="J133" s="198"/>
      <c r="K133" s="198"/>
      <c r="L133" s="199"/>
      <c r="M133" s="201"/>
    </row>
    <row r="134" customFormat="false" ht="14.25" hidden="false" customHeight="true" outlineLevel="0" collapsed="false">
      <c r="A134" s="198"/>
      <c r="B134" s="199"/>
      <c r="C134" s="199"/>
      <c r="D134" s="199"/>
      <c r="G134" s="91"/>
      <c r="H134" s="200"/>
      <c r="I134" s="199"/>
      <c r="J134" s="198"/>
      <c r="K134" s="198"/>
      <c r="L134" s="199"/>
      <c r="M134" s="201"/>
    </row>
    <row r="135" customFormat="false" ht="14.25" hidden="false" customHeight="true" outlineLevel="0" collapsed="false">
      <c r="A135" s="198"/>
      <c r="B135" s="199"/>
      <c r="C135" s="199"/>
      <c r="D135" s="199"/>
      <c r="G135" s="91"/>
      <c r="H135" s="200"/>
      <c r="I135" s="199"/>
      <c r="J135" s="198"/>
      <c r="K135" s="198"/>
      <c r="L135" s="199"/>
      <c r="M135" s="201"/>
    </row>
    <row r="136" customFormat="false" ht="14.25" hidden="false" customHeight="true" outlineLevel="0" collapsed="false">
      <c r="A136" s="198"/>
      <c r="B136" s="199"/>
      <c r="C136" s="199"/>
      <c r="D136" s="199"/>
      <c r="G136" s="91"/>
      <c r="H136" s="200"/>
      <c r="I136" s="199"/>
      <c r="J136" s="198"/>
      <c r="K136" s="198"/>
      <c r="L136" s="199"/>
      <c r="M136" s="201"/>
    </row>
    <row r="137" customFormat="false" ht="14.25" hidden="false" customHeight="true" outlineLevel="0" collapsed="false">
      <c r="A137" s="198"/>
      <c r="B137" s="199"/>
      <c r="C137" s="199"/>
      <c r="D137" s="199"/>
      <c r="G137" s="91"/>
      <c r="H137" s="200"/>
      <c r="I137" s="199"/>
      <c r="J137" s="198"/>
      <c r="K137" s="198"/>
      <c r="L137" s="199"/>
      <c r="M137" s="201"/>
    </row>
    <row r="138" customFormat="false" ht="14.25" hidden="false" customHeight="true" outlineLevel="0" collapsed="false">
      <c r="A138" s="198"/>
      <c r="B138" s="199"/>
      <c r="C138" s="199"/>
      <c r="D138" s="199"/>
      <c r="G138" s="91"/>
      <c r="H138" s="200"/>
      <c r="I138" s="199"/>
      <c r="J138" s="198"/>
      <c r="K138" s="198"/>
      <c r="L138" s="199"/>
      <c r="M138" s="201"/>
    </row>
    <row r="139" customFormat="false" ht="15.75" hidden="false" customHeight="true" outlineLevel="0" collapsed="false">
      <c r="A139" s="198"/>
      <c r="B139" s="199"/>
      <c r="C139" s="199"/>
      <c r="D139" s="199"/>
      <c r="G139" s="91"/>
      <c r="H139" s="200"/>
      <c r="I139" s="199"/>
      <c r="J139" s="198"/>
      <c r="K139" s="198"/>
      <c r="L139" s="199"/>
      <c r="M139" s="201" t="s">
        <v>799</v>
      </c>
    </row>
    <row r="140" customFormat="false" ht="14.25" hidden="false" customHeight="true" outlineLevel="0" collapsed="false">
      <c r="A140" s="198"/>
      <c r="B140" s="199"/>
      <c r="C140" s="199"/>
      <c r="D140" s="199"/>
      <c r="G140" s="91"/>
      <c r="H140" s="200"/>
      <c r="I140" s="199"/>
      <c r="J140" s="198"/>
      <c r="K140" s="198"/>
      <c r="L140" s="199"/>
      <c r="M140" s="201"/>
    </row>
    <row r="141" customFormat="false" ht="14.25" hidden="false" customHeight="true" outlineLevel="0" collapsed="false">
      <c r="A141" s="198"/>
      <c r="B141" s="199"/>
      <c r="C141" s="199"/>
      <c r="D141" s="199"/>
      <c r="G141" s="91"/>
      <c r="H141" s="200"/>
      <c r="I141" s="199"/>
      <c r="J141" s="198"/>
      <c r="K141" s="198"/>
      <c r="L141" s="199"/>
      <c r="M141" s="201"/>
    </row>
    <row r="142" customFormat="false" ht="14.25" hidden="false" customHeight="true" outlineLevel="0" collapsed="false">
      <c r="A142" s="198"/>
      <c r="B142" s="199"/>
      <c r="C142" s="199"/>
      <c r="D142" s="199"/>
      <c r="G142" s="91"/>
      <c r="H142" s="200"/>
      <c r="I142" s="199"/>
      <c r="J142" s="198"/>
      <c r="K142" s="198"/>
      <c r="L142" s="199"/>
      <c r="M142" s="201"/>
    </row>
    <row r="143" customFormat="false" ht="14.25" hidden="false" customHeight="true" outlineLevel="0" collapsed="false">
      <c r="A143" s="198"/>
      <c r="B143" s="199"/>
      <c r="C143" s="199"/>
      <c r="D143" s="199"/>
      <c r="G143" s="91"/>
      <c r="H143" s="200"/>
      <c r="I143" s="199"/>
      <c r="J143" s="198"/>
      <c r="K143" s="198"/>
      <c r="L143" s="199"/>
      <c r="M143" s="201"/>
    </row>
    <row r="144" customFormat="false" ht="14.25" hidden="false" customHeight="true" outlineLevel="0" collapsed="false">
      <c r="A144" s="198"/>
      <c r="B144" s="199"/>
      <c r="C144" s="199"/>
      <c r="D144" s="199"/>
      <c r="G144" s="91"/>
      <c r="H144" s="200"/>
      <c r="I144" s="199"/>
      <c r="J144" s="198"/>
      <c r="K144" s="198"/>
      <c r="L144" s="199"/>
      <c r="M144" s="201"/>
    </row>
    <row r="145" customFormat="false" ht="14.25" hidden="false" customHeight="true" outlineLevel="0" collapsed="false">
      <c r="A145" s="198"/>
      <c r="B145" s="199"/>
      <c r="C145" s="199"/>
      <c r="D145" s="199"/>
      <c r="G145" s="91"/>
      <c r="H145" s="200"/>
      <c r="I145" s="199"/>
      <c r="J145" s="198"/>
      <c r="K145" s="198"/>
      <c r="L145" s="199"/>
      <c r="M145" s="201"/>
    </row>
    <row r="146" customFormat="false" ht="15.75" hidden="false" customHeight="true" outlineLevel="0" collapsed="false">
      <c r="A146" s="198"/>
      <c r="B146" s="199"/>
      <c r="C146" s="199"/>
      <c r="D146" s="199"/>
      <c r="G146" s="91"/>
      <c r="H146" s="200"/>
      <c r="I146" s="199"/>
      <c r="J146" s="198"/>
      <c r="K146" s="198"/>
      <c r="L146" s="199"/>
      <c r="M146" s="201" t="s">
        <v>799</v>
      </c>
    </row>
    <row r="147" customFormat="false" ht="14.25" hidden="false" customHeight="true" outlineLevel="0" collapsed="false">
      <c r="A147" s="198"/>
      <c r="B147" s="199"/>
      <c r="C147" s="199"/>
      <c r="D147" s="199"/>
      <c r="G147" s="91"/>
      <c r="H147" s="200"/>
      <c r="I147" s="199"/>
      <c r="J147" s="198"/>
      <c r="K147" s="198"/>
      <c r="L147" s="199"/>
      <c r="M147" s="201"/>
    </row>
    <row r="148" customFormat="false" ht="14.25" hidden="false" customHeight="true" outlineLevel="0" collapsed="false">
      <c r="A148" s="198"/>
      <c r="B148" s="199"/>
      <c r="C148" s="199"/>
      <c r="D148" s="199"/>
      <c r="G148" s="91"/>
      <c r="H148" s="200"/>
      <c r="I148" s="199"/>
      <c r="J148" s="198"/>
      <c r="K148" s="198"/>
      <c r="L148" s="199"/>
      <c r="M148" s="201"/>
    </row>
    <row r="149" customFormat="false" ht="14.25" hidden="false" customHeight="true" outlineLevel="0" collapsed="false">
      <c r="A149" s="198"/>
      <c r="B149" s="199"/>
      <c r="C149" s="199"/>
      <c r="D149" s="199"/>
      <c r="G149" s="91"/>
      <c r="H149" s="200"/>
      <c r="I149" s="199"/>
      <c r="J149" s="198"/>
      <c r="K149" s="198"/>
      <c r="L149" s="199"/>
      <c r="M149" s="201"/>
    </row>
    <row r="150" customFormat="false" ht="14.25" hidden="false" customHeight="true" outlineLevel="0" collapsed="false">
      <c r="A150" s="198"/>
      <c r="B150" s="199"/>
      <c r="C150" s="199"/>
      <c r="D150" s="199"/>
      <c r="G150" s="91"/>
      <c r="H150" s="200"/>
      <c r="I150" s="199"/>
      <c r="J150" s="198"/>
      <c r="K150" s="198"/>
      <c r="L150" s="199"/>
      <c r="M150" s="201"/>
    </row>
    <row r="151" customFormat="false" ht="14.25" hidden="false" customHeight="true" outlineLevel="0" collapsed="false">
      <c r="A151" s="198"/>
      <c r="B151" s="199"/>
      <c r="C151" s="199"/>
      <c r="D151" s="199"/>
      <c r="G151" s="91"/>
      <c r="H151" s="200"/>
      <c r="I151" s="199"/>
      <c r="J151" s="198"/>
      <c r="K151" s="198"/>
      <c r="L151" s="199"/>
      <c r="M151" s="201"/>
    </row>
    <row r="152" customFormat="false" ht="15.75" hidden="false" customHeight="true" outlineLevel="0" collapsed="false">
      <c r="A152" s="198"/>
      <c r="B152" s="199"/>
      <c r="C152" s="199"/>
      <c r="D152" s="199"/>
      <c r="G152" s="91"/>
      <c r="H152" s="200"/>
      <c r="I152" s="199"/>
      <c r="J152" s="198"/>
      <c r="K152" s="198"/>
      <c r="L152" s="199"/>
      <c r="M152" s="201" t="s">
        <v>799</v>
      </c>
    </row>
    <row r="153" customFormat="false" ht="14.25" hidden="false" customHeight="true" outlineLevel="0" collapsed="false">
      <c r="A153" s="198"/>
      <c r="B153" s="199"/>
      <c r="C153" s="199"/>
      <c r="D153" s="199"/>
      <c r="G153" s="91"/>
      <c r="H153" s="200"/>
      <c r="I153" s="199"/>
      <c r="J153" s="198"/>
      <c r="K153" s="198"/>
      <c r="L153" s="199"/>
      <c r="M153" s="201"/>
    </row>
    <row r="154" customFormat="false" ht="14.25" hidden="false" customHeight="true" outlineLevel="0" collapsed="false">
      <c r="A154" s="198"/>
      <c r="B154" s="199"/>
      <c r="C154" s="199"/>
      <c r="D154" s="199"/>
      <c r="G154" s="91"/>
      <c r="H154" s="200"/>
      <c r="I154" s="199"/>
      <c r="J154" s="198"/>
      <c r="K154" s="198"/>
      <c r="L154" s="199"/>
      <c r="M154" s="201"/>
    </row>
    <row r="155" customFormat="false" ht="14.25" hidden="false" customHeight="true" outlineLevel="0" collapsed="false">
      <c r="A155" s="198"/>
      <c r="B155" s="199"/>
      <c r="C155" s="199"/>
      <c r="D155" s="199"/>
      <c r="G155" s="91"/>
      <c r="H155" s="200"/>
      <c r="I155" s="199"/>
      <c r="J155" s="198"/>
      <c r="K155" s="198"/>
      <c r="L155" s="199"/>
      <c r="M155" s="201"/>
    </row>
    <row r="156" customFormat="false" ht="14.25" hidden="false" customHeight="true" outlineLevel="0" collapsed="false">
      <c r="A156" s="198"/>
      <c r="B156" s="199"/>
      <c r="C156" s="199"/>
      <c r="D156" s="199"/>
      <c r="G156" s="91"/>
      <c r="H156" s="200"/>
      <c r="I156" s="199"/>
      <c r="J156" s="198"/>
      <c r="K156" s="198"/>
      <c r="L156" s="199"/>
      <c r="M156" s="201"/>
    </row>
    <row r="157" customFormat="false" ht="14.25" hidden="false" customHeight="true" outlineLevel="0" collapsed="false">
      <c r="A157" s="198"/>
      <c r="B157" s="199"/>
      <c r="C157" s="199"/>
      <c r="D157" s="199"/>
      <c r="G157" s="91"/>
      <c r="H157" s="200"/>
      <c r="I157" s="199"/>
      <c r="J157" s="198"/>
      <c r="K157" s="198"/>
      <c r="L157" s="199"/>
      <c r="M157" s="201"/>
    </row>
    <row r="158" customFormat="false" ht="14.25" hidden="false" customHeight="true" outlineLevel="0" collapsed="false">
      <c r="A158" s="198"/>
      <c r="B158" s="199"/>
      <c r="C158" s="199"/>
      <c r="D158" s="199"/>
      <c r="G158" s="91"/>
      <c r="H158" s="200"/>
      <c r="I158" s="199"/>
      <c r="J158" s="198"/>
      <c r="K158" s="198"/>
      <c r="L158" s="199"/>
      <c r="M158" s="201"/>
    </row>
    <row r="159" customFormat="false" ht="14.25" hidden="false" customHeight="true" outlineLevel="0" collapsed="false">
      <c r="A159" s="198"/>
      <c r="B159" s="199"/>
      <c r="C159" s="199"/>
      <c r="D159" s="199"/>
      <c r="G159" s="91"/>
      <c r="H159" s="200"/>
      <c r="I159" s="199"/>
      <c r="J159" s="198"/>
      <c r="K159" s="198"/>
      <c r="L159" s="199"/>
      <c r="M159" s="201"/>
    </row>
    <row r="160" customFormat="false" ht="14.25" hidden="false" customHeight="true" outlineLevel="0" collapsed="false">
      <c r="A160" s="198"/>
      <c r="B160" s="199"/>
      <c r="C160" s="199"/>
      <c r="D160" s="199"/>
      <c r="G160" s="91"/>
      <c r="H160" s="200"/>
      <c r="I160" s="199"/>
      <c r="J160" s="198"/>
      <c r="K160" s="198"/>
      <c r="L160" s="199"/>
      <c r="M160" s="201"/>
    </row>
    <row r="161" customFormat="false" ht="14.25" hidden="false" customHeight="true" outlineLevel="0" collapsed="false">
      <c r="A161" s="198"/>
      <c r="B161" s="199"/>
      <c r="C161" s="199"/>
      <c r="D161" s="199"/>
      <c r="G161" s="91"/>
      <c r="H161" s="200"/>
      <c r="I161" s="199"/>
      <c r="J161" s="198"/>
      <c r="K161" s="198"/>
      <c r="L161" s="199"/>
      <c r="M161" s="201"/>
    </row>
    <row r="162" customFormat="false" ht="14.25" hidden="false" customHeight="true" outlineLevel="0" collapsed="false">
      <c r="A162" s="198"/>
      <c r="B162" s="199"/>
      <c r="C162" s="199"/>
      <c r="D162" s="199"/>
      <c r="G162" s="91"/>
      <c r="H162" s="200"/>
      <c r="I162" s="199"/>
      <c r="J162" s="198"/>
      <c r="K162" s="198"/>
      <c r="L162" s="199"/>
      <c r="M162" s="201"/>
    </row>
    <row r="163" customFormat="false" ht="14.25" hidden="false" customHeight="true" outlineLevel="0" collapsed="false">
      <c r="A163" s="198"/>
      <c r="B163" s="199"/>
      <c r="C163" s="199"/>
      <c r="D163" s="199"/>
      <c r="G163" s="91"/>
      <c r="H163" s="200"/>
      <c r="I163" s="199"/>
      <c r="J163" s="198"/>
      <c r="K163" s="198"/>
      <c r="L163" s="199"/>
      <c r="M163" s="201"/>
    </row>
    <row r="164" customFormat="false" ht="14.25" hidden="false" customHeight="true" outlineLevel="0" collapsed="false">
      <c r="A164" s="198"/>
      <c r="B164" s="199"/>
      <c r="C164" s="199"/>
      <c r="D164" s="199"/>
      <c r="G164" s="91"/>
      <c r="H164" s="200"/>
      <c r="I164" s="199"/>
      <c r="J164" s="198"/>
      <c r="K164" s="198"/>
      <c r="L164" s="199"/>
      <c r="M164" s="201"/>
    </row>
    <row r="165" customFormat="false" ht="14.25" hidden="false" customHeight="true" outlineLevel="0" collapsed="false">
      <c r="A165" s="198"/>
      <c r="B165" s="199"/>
      <c r="C165" s="199"/>
      <c r="D165" s="199"/>
      <c r="G165" s="91"/>
      <c r="H165" s="200"/>
      <c r="I165" s="199"/>
      <c r="J165" s="198"/>
      <c r="K165" s="198"/>
      <c r="L165" s="199"/>
      <c r="M165" s="201"/>
    </row>
    <row r="166" customFormat="false" ht="14.25" hidden="false" customHeight="true" outlineLevel="0" collapsed="false">
      <c r="A166" s="198"/>
      <c r="B166" s="199"/>
      <c r="C166" s="199"/>
      <c r="D166" s="199"/>
      <c r="G166" s="91"/>
      <c r="H166" s="200"/>
      <c r="I166" s="199"/>
      <c r="J166" s="198"/>
      <c r="K166" s="198"/>
      <c r="L166" s="199"/>
      <c r="M166" s="201"/>
    </row>
    <row r="167" customFormat="false" ht="14.25" hidden="false" customHeight="true" outlineLevel="0" collapsed="false">
      <c r="A167" s="198"/>
      <c r="B167" s="199"/>
      <c r="C167" s="199"/>
      <c r="D167" s="199"/>
      <c r="G167" s="91"/>
      <c r="H167" s="200"/>
      <c r="I167" s="199"/>
      <c r="J167" s="198"/>
      <c r="K167" s="198"/>
      <c r="L167" s="199"/>
      <c r="M167" s="201"/>
    </row>
    <row r="168" customFormat="false" ht="14.25" hidden="false" customHeight="true" outlineLevel="0" collapsed="false">
      <c r="A168" s="198"/>
      <c r="B168" s="199"/>
      <c r="C168" s="199"/>
      <c r="D168" s="199"/>
      <c r="G168" s="91"/>
      <c r="H168" s="200"/>
      <c r="I168" s="199"/>
      <c r="J168" s="198"/>
      <c r="K168" s="198"/>
      <c r="L168" s="199"/>
      <c r="M168" s="201"/>
    </row>
    <row r="169" customFormat="false" ht="14.25" hidden="false" customHeight="true" outlineLevel="0" collapsed="false">
      <c r="A169" s="198"/>
      <c r="B169" s="199"/>
      <c r="C169" s="199"/>
      <c r="D169" s="199"/>
      <c r="G169" s="91"/>
      <c r="H169" s="200"/>
      <c r="I169" s="199"/>
      <c r="J169" s="198"/>
      <c r="K169" s="198"/>
      <c r="L169" s="199"/>
      <c r="M169" s="201"/>
    </row>
    <row r="170" customFormat="false" ht="14.25" hidden="false" customHeight="true" outlineLevel="0" collapsed="false">
      <c r="A170" s="198"/>
      <c r="B170" s="199"/>
      <c r="C170" s="199"/>
      <c r="D170" s="199"/>
      <c r="G170" s="91"/>
      <c r="H170" s="200"/>
      <c r="I170" s="199"/>
      <c r="J170" s="198"/>
      <c r="K170" s="198"/>
      <c r="L170" s="199"/>
      <c r="M170" s="201"/>
    </row>
    <row r="171" customFormat="false" ht="14.25" hidden="false" customHeight="true" outlineLevel="0" collapsed="false">
      <c r="A171" s="198"/>
      <c r="B171" s="199"/>
      <c r="C171" s="199"/>
      <c r="D171" s="199"/>
      <c r="G171" s="91"/>
      <c r="H171" s="200"/>
      <c r="I171" s="199"/>
      <c r="J171" s="198"/>
      <c r="K171" s="198"/>
      <c r="L171" s="199"/>
      <c r="M171" s="201"/>
    </row>
    <row r="172" customFormat="false" ht="14.25" hidden="false" customHeight="true" outlineLevel="0" collapsed="false">
      <c r="A172" s="198"/>
      <c r="B172" s="199"/>
      <c r="C172" s="199"/>
      <c r="D172" s="199"/>
      <c r="G172" s="91"/>
      <c r="H172" s="200"/>
      <c r="I172" s="199"/>
      <c r="J172" s="198"/>
      <c r="K172" s="198"/>
      <c r="L172" s="199"/>
      <c r="M172" s="201"/>
    </row>
    <row r="173" customFormat="false" ht="14.25" hidden="false" customHeight="true" outlineLevel="0" collapsed="false">
      <c r="A173" s="198"/>
      <c r="B173" s="199"/>
      <c r="C173" s="199"/>
      <c r="D173" s="199"/>
      <c r="G173" s="91"/>
      <c r="H173" s="200"/>
      <c r="I173" s="199"/>
      <c r="J173" s="198"/>
      <c r="K173" s="198"/>
      <c r="L173" s="199"/>
      <c r="M173" s="201"/>
    </row>
    <row r="174" customFormat="false" ht="15" hidden="false" customHeight="true" outlineLevel="0" collapsed="false">
      <c r="A174" s="198"/>
      <c r="B174" s="199"/>
      <c r="C174" s="199"/>
      <c r="D174" s="199"/>
      <c r="G174" s="91"/>
      <c r="H174" s="200"/>
      <c r="I174" s="199"/>
      <c r="J174" s="198"/>
      <c r="K174" s="198"/>
      <c r="L174" s="199"/>
      <c r="M174" s="201" t="s">
        <v>799</v>
      </c>
    </row>
    <row r="175" customFormat="false" ht="14.25" hidden="false" customHeight="true" outlineLevel="0" collapsed="false">
      <c r="A175" s="198"/>
      <c r="B175" s="199"/>
      <c r="C175" s="199"/>
      <c r="D175" s="199"/>
      <c r="G175" s="91"/>
      <c r="H175" s="200"/>
      <c r="I175" s="199"/>
      <c r="J175" s="198"/>
      <c r="K175" s="198"/>
      <c r="L175" s="199"/>
      <c r="M175" s="201"/>
    </row>
    <row r="176" customFormat="false" ht="14.25" hidden="false" customHeight="true" outlineLevel="0" collapsed="false">
      <c r="A176" s="198"/>
      <c r="B176" s="199"/>
      <c r="C176" s="199"/>
      <c r="D176" s="199"/>
      <c r="G176" s="91"/>
      <c r="H176" s="200"/>
      <c r="I176" s="199"/>
      <c r="J176" s="198"/>
      <c r="K176" s="198"/>
      <c r="L176" s="199"/>
      <c r="M176" s="201"/>
    </row>
    <row r="177" customFormat="false" ht="15" hidden="false" customHeight="true" outlineLevel="0" collapsed="false">
      <c r="A177" s="198"/>
      <c r="B177" s="199"/>
      <c r="C177" s="199"/>
      <c r="D177" s="199"/>
      <c r="G177" s="91"/>
      <c r="H177" s="200"/>
      <c r="I177" s="199"/>
      <c r="J177" s="198"/>
      <c r="K177" s="198"/>
      <c r="L177" s="199"/>
      <c r="M177" s="201" t="s">
        <v>799</v>
      </c>
    </row>
    <row r="178" customFormat="false" ht="14.25" hidden="false" customHeight="true" outlineLevel="0" collapsed="false">
      <c r="A178" s="198"/>
      <c r="B178" s="199"/>
      <c r="C178" s="199"/>
      <c r="D178" s="199"/>
      <c r="G178" s="91"/>
      <c r="H178" s="200"/>
      <c r="I178" s="199"/>
      <c r="J178" s="198"/>
      <c r="K178" s="198"/>
      <c r="L178" s="199"/>
      <c r="M178" s="201"/>
    </row>
    <row r="179" customFormat="false" ht="14.25" hidden="false" customHeight="true" outlineLevel="0" collapsed="false">
      <c r="A179" s="198"/>
      <c r="B179" s="199"/>
      <c r="C179" s="199"/>
      <c r="D179" s="199"/>
      <c r="G179" s="91"/>
      <c r="H179" s="200"/>
      <c r="I179" s="199"/>
      <c r="J179" s="198"/>
      <c r="K179" s="198"/>
      <c r="L179" s="199"/>
      <c r="M179" s="201"/>
    </row>
    <row r="180" customFormat="false" ht="14.25" hidden="false" customHeight="false" outlineLevel="0" collapsed="false">
      <c r="G180" s="91"/>
      <c r="H180" s="200"/>
    </row>
    <row r="181" customFormat="false" ht="14.25" hidden="false" customHeight="false" outlineLevel="0" collapsed="false">
      <c r="G181" s="91"/>
      <c r="H181" s="200"/>
    </row>
    <row r="182" customFormat="false" ht="14.25" hidden="false" customHeight="false" outlineLevel="0" collapsed="false">
      <c r="G182" s="91"/>
      <c r="H182" s="200"/>
    </row>
    <row r="183" customFormat="false" ht="14.25" hidden="false" customHeight="false" outlineLevel="0" collapsed="false">
      <c r="G183" s="91"/>
      <c r="H183" s="200"/>
    </row>
    <row r="184" customFormat="false" ht="14.25" hidden="false" customHeight="false" outlineLevel="0" collapsed="false">
      <c r="G184" s="91"/>
      <c r="H184" s="200"/>
    </row>
    <row r="185" customFormat="false" ht="14.25" hidden="false" customHeight="false" outlineLevel="0" collapsed="false">
      <c r="G185" s="91"/>
      <c r="H185" s="200"/>
    </row>
    <row r="186" customFormat="false" ht="14.25" hidden="false" customHeight="false" outlineLevel="0" collapsed="false">
      <c r="G186" s="91"/>
      <c r="H186" s="200"/>
    </row>
    <row r="187" customFormat="false" ht="14.25" hidden="false" customHeight="false" outlineLevel="0" collapsed="false">
      <c r="G187" s="91"/>
      <c r="H187" s="200"/>
    </row>
    <row r="188" customFormat="false" ht="14.25" hidden="false" customHeight="false" outlineLevel="0" collapsed="false">
      <c r="G188" s="91"/>
      <c r="H188" s="200"/>
    </row>
    <row r="189" customFormat="false" ht="14.25" hidden="false" customHeight="false" outlineLevel="0" collapsed="false">
      <c r="G189" s="91"/>
      <c r="H189" s="200"/>
    </row>
    <row r="190" customFormat="false" ht="14.25" hidden="false" customHeight="false" outlineLevel="0" collapsed="false">
      <c r="G190" s="91"/>
      <c r="H190" s="200"/>
    </row>
    <row r="191" customFormat="false" ht="14.25" hidden="false" customHeight="false" outlineLevel="0" collapsed="false">
      <c r="G191" s="91"/>
      <c r="H191" s="200"/>
    </row>
    <row r="192" customFormat="false" ht="14.25" hidden="false" customHeight="false" outlineLevel="0" collapsed="false">
      <c r="G192" s="91"/>
      <c r="H192" s="200"/>
    </row>
    <row r="193" customFormat="false" ht="14.25" hidden="false" customHeight="false" outlineLevel="0" collapsed="false">
      <c r="G193" s="91"/>
      <c r="H193" s="200"/>
    </row>
    <row r="194" customFormat="false" ht="14.25" hidden="false" customHeight="false" outlineLevel="0" collapsed="false">
      <c r="G194" s="91"/>
      <c r="H194" s="200"/>
    </row>
    <row r="195" customFormat="false" ht="14.25" hidden="false" customHeight="false" outlineLevel="0" collapsed="false">
      <c r="G195" s="91"/>
      <c r="H195" s="200"/>
    </row>
    <row r="196" customFormat="false" ht="14.25" hidden="false" customHeight="false" outlineLevel="0" collapsed="false">
      <c r="G196" s="91"/>
      <c r="H196" s="200"/>
    </row>
    <row r="197" customFormat="false" ht="14.25" hidden="false" customHeight="false" outlineLevel="0" collapsed="false">
      <c r="G197" s="91"/>
      <c r="H197" s="200"/>
    </row>
    <row r="198" customFormat="false" ht="14.25" hidden="false" customHeight="false" outlineLevel="0" collapsed="false">
      <c r="G198" s="91"/>
      <c r="H198" s="200"/>
    </row>
    <row r="199" customFormat="false" ht="14.25" hidden="false" customHeight="false" outlineLevel="0" collapsed="false">
      <c r="G199" s="91"/>
      <c r="H199" s="200"/>
    </row>
    <row r="200" customFormat="false" ht="14.25" hidden="false" customHeight="false" outlineLevel="0" collapsed="false">
      <c r="G200" s="91"/>
      <c r="H200" s="200"/>
    </row>
    <row r="201" customFormat="false" ht="14.25" hidden="false" customHeight="false" outlineLevel="0" collapsed="false">
      <c r="G201" s="91"/>
      <c r="H201" s="200"/>
    </row>
    <row r="202" customFormat="false" ht="14.25" hidden="false" customHeight="false" outlineLevel="0" collapsed="false">
      <c r="G202" s="91"/>
      <c r="H202" s="200"/>
    </row>
    <row r="203" customFormat="false" ht="14.25" hidden="false" customHeight="false" outlineLevel="0" collapsed="false">
      <c r="G203" s="91"/>
      <c r="H203" s="200"/>
    </row>
    <row r="204" customFormat="false" ht="14.25" hidden="false" customHeight="false" outlineLevel="0" collapsed="false">
      <c r="G204" s="91"/>
      <c r="H204" s="200"/>
    </row>
    <row r="205" customFormat="false" ht="14.25" hidden="false" customHeight="false" outlineLevel="0" collapsed="false">
      <c r="G205" s="91"/>
      <c r="H205" s="200"/>
    </row>
    <row r="206" customFormat="false" ht="14.25" hidden="false" customHeight="false" outlineLevel="0" collapsed="false">
      <c r="G206" s="91"/>
      <c r="H206" s="200"/>
    </row>
    <row r="207" customFormat="false" ht="14.25" hidden="false" customHeight="false" outlineLevel="0" collapsed="false">
      <c r="G207" s="91"/>
      <c r="H207" s="200"/>
    </row>
    <row r="208" customFormat="false" ht="14.25" hidden="false" customHeight="false" outlineLevel="0" collapsed="false">
      <c r="G208" s="91"/>
      <c r="H208" s="200"/>
    </row>
    <row r="209" customFormat="false" ht="14.25" hidden="false" customHeight="false" outlineLevel="0" collapsed="false">
      <c r="G209" s="91"/>
      <c r="H209" s="200"/>
    </row>
    <row r="210" customFormat="false" ht="14.25" hidden="false" customHeight="false" outlineLevel="0" collapsed="false">
      <c r="G210" s="91"/>
      <c r="H210" s="200"/>
    </row>
    <row r="211" customFormat="false" ht="14.25" hidden="false" customHeight="false" outlineLevel="0" collapsed="false">
      <c r="G211" s="91"/>
      <c r="H211" s="200"/>
    </row>
    <row r="212" customFormat="false" ht="14.25" hidden="false" customHeight="false" outlineLevel="0" collapsed="false">
      <c r="G212" s="91"/>
      <c r="H212" s="200"/>
    </row>
    <row r="213" customFormat="false" ht="14.25" hidden="false" customHeight="false" outlineLevel="0" collapsed="false">
      <c r="G213" s="91"/>
      <c r="H213" s="200"/>
    </row>
    <row r="214" customFormat="false" ht="14.25" hidden="false" customHeight="false" outlineLevel="0" collapsed="false">
      <c r="G214" s="91"/>
      <c r="H214" s="200"/>
    </row>
    <row r="215" customFormat="false" ht="14.25" hidden="false" customHeight="false" outlineLevel="0" collapsed="false">
      <c r="G215" s="91"/>
      <c r="H215" s="200"/>
    </row>
    <row r="216" customFormat="false" ht="14.25" hidden="false" customHeight="false" outlineLevel="0" collapsed="false">
      <c r="G216" s="91"/>
      <c r="H216" s="200"/>
    </row>
    <row r="217" customFormat="false" ht="14.25" hidden="false" customHeight="false" outlineLevel="0" collapsed="false">
      <c r="G217" s="91"/>
      <c r="H217" s="200"/>
    </row>
    <row r="218" customFormat="false" ht="14.25" hidden="false" customHeight="false" outlineLevel="0" collapsed="false">
      <c r="G218" s="91"/>
      <c r="H218" s="200"/>
    </row>
    <row r="219" customFormat="false" ht="14.25" hidden="false" customHeight="false" outlineLevel="0" collapsed="false">
      <c r="G219" s="91"/>
      <c r="H219" s="200"/>
    </row>
    <row r="220" customFormat="false" ht="14.25" hidden="false" customHeight="false" outlineLevel="0" collapsed="false">
      <c r="G220" s="91"/>
      <c r="H220" s="200"/>
    </row>
    <row r="221" customFormat="false" ht="14.25" hidden="false" customHeight="false" outlineLevel="0" collapsed="false">
      <c r="G221" s="91"/>
      <c r="H221" s="200"/>
    </row>
    <row r="222" customFormat="false" ht="14.25" hidden="false" customHeight="false" outlineLevel="0" collapsed="false">
      <c r="G222" s="91"/>
      <c r="H222" s="200"/>
    </row>
    <row r="223" customFormat="false" ht="14.25" hidden="false" customHeight="false" outlineLevel="0" collapsed="false">
      <c r="G223" s="91"/>
      <c r="H223" s="200"/>
    </row>
    <row r="224" customFormat="false" ht="14.25" hidden="false" customHeight="false" outlineLevel="0" collapsed="false">
      <c r="G224" s="91"/>
      <c r="H224" s="200"/>
    </row>
    <row r="225" customFormat="false" ht="14.25" hidden="false" customHeight="false" outlineLevel="0" collapsed="false">
      <c r="G225" s="91"/>
      <c r="H225" s="200"/>
    </row>
    <row r="226" customFormat="false" ht="14.25" hidden="false" customHeight="false" outlineLevel="0" collapsed="false">
      <c r="G226" s="91"/>
      <c r="H226" s="200"/>
    </row>
    <row r="227" customFormat="false" ht="14.25" hidden="false" customHeight="false" outlineLevel="0" collapsed="false">
      <c r="G227" s="91"/>
      <c r="H227" s="200"/>
    </row>
    <row r="228" customFormat="false" ht="14.25" hidden="false" customHeight="false" outlineLevel="0" collapsed="false">
      <c r="G228" s="91"/>
      <c r="H228" s="200"/>
    </row>
    <row r="229" customFormat="false" ht="14.25" hidden="false" customHeight="false" outlineLevel="0" collapsed="false">
      <c r="G229" s="91"/>
      <c r="H229" s="200"/>
    </row>
    <row r="230" customFormat="false" ht="14.25" hidden="false" customHeight="false" outlineLevel="0" collapsed="false">
      <c r="G230" s="91"/>
      <c r="H230" s="200"/>
    </row>
    <row r="231" customFormat="false" ht="14.25" hidden="false" customHeight="false" outlineLevel="0" collapsed="false">
      <c r="G231" s="91"/>
      <c r="H231" s="200"/>
    </row>
    <row r="232" customFormat="false" ht="14.25" hidden="false" customHeight="false" outlineLevel="0" collapsed="false">
      <c r="G232" s="91"/>
      <c r="H232" s="200"/>
    </row>
    <row r="233" customFormat="false" ht="14.25" hidden="false" customHeight="false" outlineLevel="0" collapsed="false">
      <c r="G233" s="91"/>
      <c r="H233" s="200"/>
    </row>
    <row r="234" customFormat="false" ht="14.25" hidden="false" customHeight="false" outlineLevel="0" collapsed="false">
      <c r="G234" s="91"/>
      <c r="H234" s="200"/>
    </row>
    <row r="235" customFormat="false" ht="14.25" hidden="false" customHeight="false" outlineLevel="0" collapsed="false">
      <c r="G235" s="91"/>
      <c r="H235" s="200"/>
    </row>
    <row r="236" customFormat="false" ht="14.25" hidden="false" customHeight="false" outlineLevel="0" collapsed="false">
      <c r="G236" s="91"/>
      <c r="H236" s="200"/>
    </row>
    <row r="237" customFormat="false" ht="14.25" hidden="false" customHeight="false" outlineLevel="0" collapsed="false">
      <c r="G237" s="91"/>
      <c r="H237" s="200"/>
    </row>
    <row r="238" customFormat="false" ht="14.25" hidden="false" customHeight="false" outlineLevel="0" collapsed="false">
      <c r="G238" s="91"/>
      <c r="H238" s="200"/>
    </row>
    <row r="239" customFormat="false" ht="14.25" hidden="false" customHeight="false" outlineLevel="0" collapsed="false">
      <c r="G239" s="91"/>
      <c r="H239" s="200"/>
    </row>
    <row r="240" customFormat="false" ht="14.25" hidden="false" customHeight="false" outlineLevel="0" collapsed="false">
      <c r="G240" s="91"/>
      <c r="H240" s="200"/>
    </row>
    <row r="241" customFormat="false" ht="14.25" hidden="false" customHeight="false" outlineLevel="0" collapsed="false">
      <c r="G241" s="91"/>
      <c r="H241" s="200"/>
    </row>
    <row r="242" customFormat="false" ht="14.25" hidden="false" customHeight="false" outlineLevel="0" collapsed="false">
      <c r="G242" s="202"/>
      <c r="H242" s="203"/>
    </row>
  </sheetData>
  <autoFilter ref="A1:N10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9.1484375" defaultRowHeight="14.25" customHeight="false" zeroHeight="false" outlineLevelRow="0" outlineLevelCol="0"/>
  <cols>
    <col collapsed="false" customWidth="true" hidden="false" outlineLevel="0" max="1" min="1" style="90" width="29.57"/>
    <col collapsed="false" customWidth="true" hidden="false" outlineLevel="0" max="2" min="2" style="3" width="44.29"/>
    <col collapsed="false" customWidth="false" hidden="false" outlineLevel="0" max="16384" min="3" style="90" width="9.14"/>
  </cols>
  <sheetData>
    <row r="1" customFormat="false" ht="14.25" hidden="false" customHeight="false" outlineLevel="0" collapsed="false">
      <c r="A1" s="90" t="s">
        <v>953</v>
      </c>
    </row>
    <row r="2" customFormat="false" ht="14.25" hidden="false" customHeight="false" outlineLevel="0" collapsed="false">
      <c r="A2" s="90" t="s">
        <v>954</v>
      </c>
    </row>
    <row r="3" customFormat="false" ht="14.25" hidden="false" customHeight="false" outlineLevel="0" collapsed="false">
      <c r="A3" s="90" t="s">
        <v>955</v>
      </c>
    </row>
    <row r="4" customFormat="false" ht="14.25" hidden="false" customHeight="false" outlineLevel="0" collapsed="false">
      <c r="A4" s="90" t="s">
        <v>956</v>
      </c>
    </row>
    <row r="5" customFormat="false" ht="43.5" hidden="false" customHeight="true" outlineLevel="0" collapsed="false">
      <c r="A5" s="90" t="s">
        <v>957</v>
      </c>
      <c r="B5" s="3" t="s">
        <v>958</v>
      </c>
    </row>
    <row r="7" customFormat="false" ht="28.5" hidden="false" customHeight="true" outlineLevel="0" collapsed="false">
      <c r="A7" s="90" t="s">
        <v>959</v>
      </c>
      <c r="B7" s="204" t="s">
        <v>960</v>
      </c>
    </row>
    <row r="8" customFormat="false" ht="14.25" hidden="false" customHeight="false" outlineLevel="0" collapsed="false">
      <c r="A8" s="90" t="s">
        <v>961</v>
      </c>
    </row>
    <row r="9" customFormat="false" ht="28.5" hidden="false" customHeight="true" outlineLevel="0" collapsed="false">
      <c r="A9" s="90" t="s">
        <v>962</v>
      </c>
      <c r="B9" s="3" t="s">
        <v>963</v>
      </c>
    </row>
    <row r="10" customFormat="false" ht="14.25" hidden="false" customHeight="false" outlineLevel="0" collapsed="false">
      <c r="A10" s="90" t="s">
        <v>964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2"/>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I46" activeCellId="0" sqref="I46"/>
    </sheetView>
  </sheetViews>
  <sheetFormatPr defaultColWidth="9.1484375" defaultRowHeight="14.25" customHeight="false" zeroHeight="false" outlineLevelRow="0" outlineLevelCol="0"/>
  <cols>
    <col collapsed="false" customWidth="false" hidden="false" outlineLevel="0" max="1" min="1" style="89" width="9.14"/>
    <col collapsed="false" customWidth="false" hidden="false" outlineLevel="0" max="2" min="2" style="90" width="9.14"/>
    <col collapsed="false" customWidth="true" hidden="false" outlineLevel="0" max="3" min="3" style="90" width="7.57"/>
    <col collapsed="false" customWidth="true" hidden="false" outlineLevel="0" max="4" min="4" style="90" width="5.14"/>
    <col collapsed="false" customWidth="true" hidden="false" outlineLevel="0" max="5" min="5" style="91" width="7.57"/>
    <col collapsed="false" customWidth="true" hidden="false" outlineLevel="0" max="6" min="6" style="91" width="8.71"/>
    <col collapsed="false" customWidth="true" hidden="false" outlineLevel="0" max="7" min="7" style="92" width="22.29"/>
    <col collapsed="false" customWidth="true" hidden="false" outlineLevel="0" max="8" min="8" style="93" width="19.14"/>
    <col collapsed="false" customWidth="true" hidden="false" outlineLevel="0" max="9" min="9" style="90" width="73.14"/>
    <col collapsed="false" customWidth="true" hidden="false" outlineLevel="0" max="10" min="10" style="89" width="7.71"/>
    <col collapsed="false" customWidth="true" hidden="false" outlineLevel="0" max="11" min="11" style="94" width="7.29"/>
    <col collapsed="false" customWidth="true" hidden="false" outlineLevel="0" max="12" min="12" style="90" width="12.86"/>
    <col collapsed="false" customWidth="true" hidden="false" outlineLevel="0" max="13" min="13" style="90" width="81.14"/>
    <col collapsed="false" customWidth="false" hidden="false" outlineLevel="0" max="16384" min="14" style="90" width="9.14"/>
  </cols>
  <sheetData>
    <row r="1" s="89" customFormat="true" ht="48" hidden="false" customHeight="true" outlineLevel="0" collapsed="false">
      <c r="A1" s="95" t="s">
        <v>410</v>
      </c>
      <c r="B1" s="95" t="s">
        <v>411</v>
      </c>
      <c r="C1" s="95" t="s">
        <v>412</v>
      </c>
      <c r="D1" s="95" t="s">
        <v>413</v>
      </c>
      <c r="E1" s="96" t="s">
        <v>414</v>
      </c>
      <c r="F1" s="96" t="s">
        <v>415</v>
      </c>
      <c r="G1" s="13" t="s">
        <v>416</v>
      </c>
      <c r="H1" s="13" t="s">
        <v>417</v>
      </c>
      <c r="I1" s="95" t="s">
        <v>0</v>
      </c>
      <c r="J1" s="95" t="s">
        <v>418</v>
      </c>
      <c r="K1" s="95" t="s">
        <v>419</v>
      </c>
      <c r="L1" s="95" t="s">
        <v>420</v>
      </c>
      <c r="M1" s="98" t="s">
        <v>421</v>
      </c>
    </row>
    <row r="2" customFormat="false" ht="94.5" hidden="false" customHeight="true" outlineLevel="0" collapsed="false">
      <c r="A2" s="99" t="s">
        <v>423</v>
      </c>
      <c r="B2" s="100" t="s">
        <v>16</v>
      </c>
      <c r="C2" s="100" t="s">
        <v>16</v>
      </c>
      <c r="D2" s="100" t="s">
        <v>424</v>
      </c>
      <c r="E2" s="101" t="s">
        <v>16</v>
      </c>
      <c r="F2" s="101" t="s">
        <v>425</v>
      </c>
      <c r="G2" s="19" t="s">
        <v>426</v>
      </c>
      <c r="H2" s="19" t="s">
        <v>427</v>
      </c>
      <c r="I2" s="17" t="s">
        <v>965</v>
      </c>
      <c r="J2" s="99" t="s">
        <v>428</v>
      </c>
      <c r="K2" s="102" t="n">
        <v>10</v>
      </c>
      <c r="L2" s="100" t="s">
        <v>429</v>
      </c>
      <c r="M2" s="110" t="s">
        <v>966</v>
      </c>
    </row>
    <row r="3" customFormat="false" ht="85.5" hidden="false" customHeight="true" outlineLevel="0" collapsed="false">
      <c r="A3" s="99" t="s">
        <v>432</v>
      </c>
      <c r="B3" s="100" t="s">
        <v>93</v>
      </c>
      <c r="C3" s="100" t="s">
        <v>76</v>
      </c>
      <c r="D3" s="100" t="s">
        <v>424</v>
      </c>
      <c r="E3" s="101" t="s">
        <v>23</v>
      </c>
      <c r="F3" s="101" t="s">
        <v>425</v>
      </c>
      <c r="G3" s="19" t="s">
        <v>426</v>
      </c>
      <c r="H3" s="19" t="s">
        <v>427</v>
      </c>
      <c r="I3" s="100" t="s">
        <v>834</v>
      </c>
      <c r="J3" s="99" t="s">
        <v>428</v>
      </c>
      <c r="K3" s="102" t="n">
        <v>10</v>
      </c>
      <c r="L3" s="100" t="s">
        <v>429</v>
      </c>
      <c r="M3" s="110" t="s">
        <v>835</v>
      </c>
    </row>
    <row r="4" customFormat="false" ht="48" hidden="false" customHeight="true" outlineLevel="0" collapsed="false">
      <c r="A4" s="105" t="s">
        <v>453</v>
      </c>
      <c r="B4" s="106" t="s">
        <v>23</v>
      </c>
      <c r="C4" s="100" t="s">
        <v>23</v>
      </c>
      <c r="D4" s="100" t="s">
        <v>424</v>
      </c>
      <c r="E4" s="101" t="s">
        <v>53</v>
      </c>
      <c r="F4" s="101" t="s">
        <v>425</v>
      </c>
      <c r="G4" s="19" t="s">
        <v>426</v>
      </c>
      <c r="H4" s="19" t="s">
        <v>436</v>
      </c>
      <c r="I4" s="106" t="s">
        <v>967</v>
      </c>
      <c r="J4" s="105" t="s">
        <v>428</v>
      </c>
      <c r="K4" s="107" t="n">
        <v>10</v>
      </c>
      <c r="L4" s="106" t="s">
        <v>429</v>
      </c>
      <c r="M4" s="110" t="s">
        <v>836</v>
      </c>
    </row>
    <row r="5" customFormat="false" ht="105.75" hidden="false" customHeight="true" outlineLevel="0" collapsed="false">
      <c r="A5" s="109" t="s">
        <v>837</v>
      </c>
      <c r="B5" s="110" t="s">
        <v>440</v>
      </c>
      <c r="C5" s="110" t="s">
        <v>440</v>
      </c>
      <c r="D5" s="100" t="s">
        <v>424</v>
      </c>
      <c r="E5" s="101" t="s">
        <v>838</v>
      </c>
      <c r="F5" s="101" t="s">
        <v>425</v>
      </c>
      <c r="G5" s="19" t="s">
        <v>426</v>
      </c>
      <c r="H5" s="19" t="s">
        <v>436</v>
      </c>
      <c r="I5" s="27" t="s">
        <v>968</v>
      </c>
      <c r="J5" s="109" t="s">
        <v>442</v>
      </c>
      <c r="K5" s="111" t="n">
        <v>3.3</v>
      </c>
      <c r="L5" s="110" t="s">
        <v>429</v>
      </c>
      <c r="M5" s="110" t="s">
        <v>969</v>
      </c>
    </row>
    <row r="6" customFormat="false" ht="42.75" hidden="false" customHeight="true" outlineLevel="0" collapsed="false">
      <c r="A6" s="109" t="s">
        <v>839</v>
      </c>
      <c r="B6" s="110" t="s">
        <v>445</v>
      </c>
      <c r="C6" s="110" t="s">
        <v>445</v>
      </c>
      <c r="D6" s="100" t="s">
        <v>424</v>
      </c>
      <c r="E6" s="101" t="s">
        <v>840</v>
      </c>
      <c r="F6" s="101" t="s">
        <v>425</v>
      </c>
      <c r="G6" s="19" t="s">
        <v>426</v>
      </c>
      <c r="H6" s="19" t="s">
        <v>436</v>
      </c>
      <c r="I6" s="27" t="s">
        <v>970</v>
      </c>
      <c r="J6" s="109" t="s">
        <v>442</v>
      </c>
      <c r="K6" s="111" t="n">
        <v>3.3</v>
      </c>
      <c r="L6" s="110" t="s">
        <v>429</v>
      </c>
      <c r="M6" s="110" t="s">
        <v>971</v>
      </c>
    </row>
    <row r="7" customFormat="false" ht="40.5" hidden="false" customHeight="true" outlineLevel="0" collapsed="false">
      <c r="A7" s="109" t="s">
        <v>842</v>
      </c>
      <c r="B7" s="110" t="s">
        <v>449</v>
      </c>
      <c r="C7" s="110" t="s">
        <v>449</v>
      </c>
      <c r="D7" s="100" t="s">
        <v>424</v>
      </c>
      <c r="E7" s="101" t="s">
        <v>843</v>
      </c>
      <c r="F7" s="101" t="s">
        <v>425</v>
      </c>
      <c r="G7" s="19" t="s">
        <v>426</v>
      </c>
      <c r="H7" s="19" t="s">
        <v>436</v>
      </c>
      <c r="I7" s="27" t="s">
        <v>972</v>
      </c>
      <c r="J7" s="109" t="s">
        <v>442</v>
      </c>
      <c r="K7" s="111" t="n">
        <v>3.3</v>
      </c>
      <c r="L7" s="110" t="s">
        <v>429</v>
      </c>
      <c r="M7" s="110" t="s">
        <v>973</v>
      </c>
    </row>
    <row r="8" customFormat="false" ht="54" hidden="false" customHeight="true" outlineLevel="0" collapsed="false">
      <c r="A8" s="99" t="s">
        <v>456</v>
      </c>
      <c r="B8" s="100" t="s">
        <v>76</v>
      </c>
      <c r="C8" s="100" t="s">
        <v>454</v>
      </c>
      <c r="D8" s="100" t="s">
        <v>424</v>
      </c>
      <c r="E8" s="101" t="s">
        <v>457</v>
      </c>
      <c r="F8" s="101" t="s">
        <v>425</v>
      </c>
      <c r="G8" s="19" t="s">
        <v>426</v>
      </c>
      <c r="H8" s="19" t="s">
        <v>436</v>
      </c>
      <c r="I8" s="100" t="s">
        <v>974</v>
      </c>
      <c r="J8" s="99" t="s">
        <v>428</v>
      </c>
      <c r="K8" s="102" t="n">
        <v>10</v>
      </c>
      <c r="L8" s="100" t="s">
        <v>429</v>
      </c>
      <c r="M8" s="110" t="s">
        <v>975</v>
      </c>
    </row>
    <row r="9" customFormat="false" ht="391.5" hidden="false" customHeight="true" outlineLevel="0" collapsed="false">
      <c r="A9" s="105" t="s">
        <v>469</v>
      </c>
      <c r="B9" s="106" t="s">
        <v>88</v>
      </c>
      <c r="C9" s="106" t="s">
        <v>457</v>
      </c>
      <c r="D9" s="100" t="s">
        <v>424</v>
      </c>
      <c r="E9" s="101" t="s">
        <v>76</v>
      </c>
      <c r="F9" s="101" t="s">
        <v>425</v>
      </c>
      <c r="G9" s="19" t="s">
        <v>426</v>
      </c>
      <c r="H9" s="19" t="s">
        <v>976</v>
      </c>
      <c r="I9" s="205" t="s">
        <v>977</v>
      </c>
      <c r="J9" s="105" t="s">
        <v>428</v>
      </c>
      <c r="K9" s="107" t="n">
        <v>10</v>
      </c>
      <c r="L9" s="106" t="s">
        <v>429</v>
      </c>
      <c r="M9" s="110" t="s">
        <v>978</v>
      </c>
    </row>
    <row r="10" customFormat="false" ht="25.5" hidden="false" customHeight="true" outlineLevel="0" collapsed="false">
      <c r="A10" s="109" t="s">
        <v>979</v>
      </c>
      <c r="B10" s="110" t="s">
        <v>980</v>
      </c>
      <c r="C10" s="110" t="s">
        <v>58</v>
      </c>
      <c r="D10" s="100" t="s">
        <v>424</v>
      </c>
      <c r="E10" s="101" t="s">
        <v>981</v>
      </c>
      <c r="F10" s="101" t="s">
        <v>425</v>
      </c>
      <c r="G10" s="19" t="s">
        <v>426</v>
      </c>
      <c r="H10" s="19" t="s">
        <v>976</v>
      </c>
      <c r="I10" s="110" t="s">
        <v>982</v>
      </c>
      <c r="J10" s="109" t="s">
        <v>442</v>
      </c>
      <c r="K10" s="111" t="n">
        <v>3.3</v>
      </c>
      <c r="L10" s="106" t="s">
        <v>429</v>
      </c>
      <c r="M10" s="110" t="s">
        <v>983</v>
      </c>
    </row>
    <row r="11" customFormat="false" ht="25.5" hidden="false" customHeight="true" outlineLevel="0" collapsed="false">
      <c r="A11" s="109" t="s">
        <v>984</v>
      </c>
      <c r="B11" s="110" t="s">
        <v>985</v>
      </c>
      <c r="C11" s="110" t="s">
        <v>64</v>
      </c>
      <c r="D11" s="100" t="s">
        <v>424</v>
      </c>
      <c r="E11" s="101" t="s">
        <v>986</v>
      </c>
      <c r="F11" s="101" t="s">
        <v>425</v>
      </c>
      <c r="G11" s="19" t="s">
        <v>426</v>
      </c>
      <c r="H11" s="19" t="s">
        <v>976</v>
      </c>
      <c r="I11" s="110" t="s">
        <v>987</v>
      </c>
      <c r="J11" s="109" t="s">
        <v>442</v>
      </c>
      <c r="K11" s="111" t="n">
        <v>3.3</v>
      </c>
      <c r="L11" s="106" t="s">
        <v>429</v>
      </c>
      <c r="M11" s="110" t="s">
        <v>983</v>
      </c>
    </row>
    <row r="12" customFormat="false" ht="37.5" hidden="false" customHeight="true" outlineLevel="0" collapsed="false">
      <c r="A12" s="109" t="s">
        <v>988</v>
      </c>
      <c r="B12" s="110" t="s">
        <v>989</v>
      </c>
      <c r="C12" s="110" t="s">
        <v>71</v>
      </c>
      <c r="D12" s="100" t="s">
        <v>424</v>
      </c>
      <c r="E12" s="101" t="s">
        <v>990</v>
      </c>
      <c r="F12" s="101" t="s">
        <v>425</v>
      </c>
      <c r="G12" s="19" t="s">
        <v>426</v>
      </c>
      <c r="H12" s="19" t="s">
        <v>976</v>
      </c>
      <c r="I12" s="110" t="s">
        <v>991</v>
      </c>
      <c r="J12" s="109" t="s">
        <v>442</v>
      </c>
      <c r="K12" s="111" t="n">
        <v>3.3</v>
      </c>
      <c r="L12" s="106" t="s">
        <v>429</v>
      </c>
      <c r="M12" s="110" t="s">
        <v>992</v>
      </c>
    </row>
    <row r="13" customFormat="false" ht="87" hidden="false" customHeight="true" outlineLevel="0" collapsed="false">
      <c r="A13" s="99" t="s">
        <v>472</v>
      </c>
      <c r="B13" s="100" t="s">
        <v>457</v>
      </c>
      <c r="C13" s="100" t="s">
        <v>53</v>
      </c>
      <c r="D13" s="100" t="s">
        <v>424</v>
      </c>
      <c r="E13" s="101" t="s">
        <v>474</v>
      </c>
      <c r="F13" s="101" t="s">
        <v>425</v>
      </c>
      <c r="G13" s="19" t="s">
        <v>426</v>
      </c>
      <c r="H13" s="19" t="s">
        <v>854</v>
      </c>
      <c r="I13" s="100" t="s">
        <v>993</v>
      </c>
      <c r="J13" s="99" t="s">
        <v>428</v>
      </c>
      <c r="K13" s="102" t="n">
        <v>10</v>
      </c>
      <c r="L13" s="100" t="s">
        <v>429</v>
      </c>
      <c r="M13" s="110" t="s">
        <v>994</v>
      </c>
    </row>
    <row r="14" s="171" customFormat="true" ht="37.5" hidden="false" customHeight="true" outlineLevel="0" collapsed="false">
      <c r="A14" s="206" t="s">
        <v>434</v>
      </c>
      <c r="B14" s="207" t="s">
        <v>98</v>
      </c>
      <c r="C14" s="207" t="s">
        <v>474</v>
      </c>
      <c r="D14" s="207" t="s">
        <v>424</v>
      </c>
      <c r="E14" s="208" t="s">
        <v>435</v>
      </c>
      <c r="F14" s="208" t="s">
        <v>425</v>
      </c>
      <c r="G14" s="164" t="s">
        <v>426</v>
      </c>
      <c r="H14" s="164" t="s">
        <v>976</v>
      </c>
      <c r="I14" s="209" t="s">
        <v>995</v>
      </c>
      <c r="J14" s="206" t="s">
        <v>428</v>
      </c>
      <c r="K14" s="210" t="n">
        <v>10</v>
      </c>
      <c r="L14" s="207" t="s">
        <v>429</v>
      </c>
      <c r="M14" s="211" t="s">
        <v>996</v>
      </c>
    </row>
    <row r="15" customFormat="false" ht="42" hidden="false" customHeight="true" outlineLevel="0" collapsed="false">
      <c r="A15" s="99" t="s">
        <v>607</v>
      </c>
      <c r="B15" s="100" t="s">
        <v>473</v>
      </c>
      <c r="C15" s="100" t="s">
        <v>93</v>
      </c>
      <c r="D15" s="100" t="s">
        <v>424</v>
      </c>
      <c r="E15" s="101" t="s">
        <v>608</v>
      </c>
      <c r="F15" s="101" t="s">
        <v>425</v>
      </c>
      <c r="G15" s="19" t="s">
        <v>426</v>
      </c>
      <c r="H15" s="19" t="s">
        <v>475</v>
      </c>
      <c r="I15" s="106" t="s">
        <v>476</v>
      </c>
      <c r="J15" s="99" t="s">
        <v>428</v>
      </c>
      <c r="K15" s="102" t="n">
        <v>10</v>
      </c>
      <c r="L15" s="100" t="s">
        <v>487</v>
      </c>
      <c r="M15" s="110" t="s">
        <v>454</v>
      </c>
    </row>
    <row r="16" customFormat="false" ht="81" hidden="false" customHeight="true" outlineLevel="0" collapsed="false">
      <c r="A16" s="109" t="s">
        <v>613</v>
      </c>
      <c r="B16" s="110" t="s">
        <v>165</v>
      </c>
      <c r="C16" s="110" t="s">
        <v>480</v>
      </c>
      <c r="D16" s="100" t="s">
        <v>424</v>
      </c>
      <c r="E16" s="101" t="s">
        <v>216</v>
      </c>
      <c r="F16" s="101" t="s">
        <v>425</v>
      </c>
      <c r="G16" s="19" t="s">
        <v>426</v>
      </c>
      <c r="H16" s="19" t="s">
        <v>475</v>
      </c>
      <c r="I16" s="110" t="s">
        <v>997</v>
      </c>
      <c r="J16" s="109" t="s">
        <v>442</v>
      </c>
      <c r="K16" s="111" t="n">
        <v>5</v>
      </c>
      <c r="L16" s="106" t="s">
        <v>487</v>
      </c>
      <c r="M16" s="110" t="s">
        <v>998</v>
      </c>
    </row>
    <row r="17" customFormat="false" ht="100.5" hidden="false" customHeight="true" outlineLevel="0" collapsed="false">
      <c r="A17" s="109" t="s">
        <v>629</v>
      </c>
      <c r="B17" s="110" t="s">
        <v>169</v>
      </c>
      <c r="C17" s="110" t="s">
        <v>485</v>
      </c>
      <c r="D17" s="100" t="s">
        <v>424</v>
      </c>
      <c r="E17" s="101" t="s">
        <v>219</v>
      </c>
      <c r="F17" s="101" t="s">
        <v>425</v>
      </c>
      <c r="G17" s="19" t="s">
        <v>426</v>
      </c>
      <c r="H17" s="19" t="s">
        <v>475</v>
      </c>
      <c r="I17" s="110" t="s">
        <v>858</v>
      </c>
      <c r="J17" s="109" t="s">
        <v>442</v>
      </c>
      <c r="K17" s="111" t="n">
        <v>5</v>
      </c>
      <c r="L17" s="106" t="s">
        <v>487</v>
      </c>
      <c r="M17" s="110" t="s">
        <v>999</v>
      </c>
    </row>
    <row r="18" customFormat="false" ht="121.5" hidden="false" customHeight="true" outlineLevel="0" collapsed="false">
      <c r="A18" s="109" t="s">
        <v>647</v>
      </c>
      <c r="B18" s="133" t="s">
        <v>799</v>
      </c>
      <c r="C18" s="133" t="s">
        <v>799</v>
      </c>
      <c r="D18" s="212" t="s">
        <v>424</v>
      </c>
      <c r="E18" s="213" t="s">
        <v>648</v>
      </c>
      <c r="F18" s="213" t="s">
        <v>425</v>
      </c>
      <c r="G18" s="19" t="s">
        <v>426</v>
      </c>
      <c r="H18" s="19" t="s">
        <v>475</v>
      </c>
      <c r="I18" s="17" t="s">
        <v>89</v>
      </c>
      <c r="J18" s="109" t="s">
        <v>428</v>
      </c>
      <c r="K18" s="111" t="n">
        <v>10</v>
      </c>
      <c r="L18" s="212" t="s">
        <v>487</v>
      </c>
      <c r="M18" s="27" t="s">
        <v>1000</v>
      </c>
    </row>
    <row r="19" customFormat="false" ht="88.5" hidden="false" customHeight="true" outlineLevel="0" collapsed="false">
      <c r="A19" s="99" t="s">
        <v>489</v>
      </c>
      <c r="B19" s="100" t="s">
        <v>53</v>
      </c>
      <c r="C19" s="100" t="s">
        <v>435</v>
      </c>
      <c r="D19" s="100" t="s">
        <v>424</v>
      </c>
      <c r="E19" s="101" t="s">
        <v>88</v>
      </c>
      <c r="F19" s="101" t="s">
        <v>425</v>
      </c>
      <c r="G19" s="19" t="s">
        <v>861</v>
      </c>
      <c r="H19" s="19" t="s">
        <v>494</v>
      </c>
      <c r="I19" s="100" t="s">
        <v>1001</v>
      </c>
      <c r="J19" s="99" t="s">
        <v>428</v>
      </c>
      <c r="K19" s="102" t="n">
        <v>10</v>
      </c>
      <c r="L19" s="100" t="s">
        <v>429</v>
      </c>
      <c r="M19" s="110" t="s">
        <v>1002</v>
      </c>
    </row>
    <row r="20" customFormat="false" ht="63" hidden="false" customHeight="true" outlineLevel="0" collapsed="false">
      <c r="A20" s="136" t="s">
        <v>492</v>
      </c>
      <c r="B20" s="100" t="s">
        <v>496</v>
      </c>
      <c r="C20" s="100" t="s">
        <v>177</v>
      </c>
      <c r="D20" s="100" t="s">
        <v>424</v>
      </c>
      <c r="E20" s="101" t="s">
        <v>93</v>
      </c>
      <c r="F20" s="101" t="s">
        <v>425</v>
      </c>
      <c r="G20" s="19" t="s">
        <v>861</v>
      </c>
      <c r="H20" s="19" t="s">
        <v>497</v>
      </c>
      <c r="I20" s="214" t="s">
        <v>1003</v>
      </c>
      <c r="J20" s="136" t="s">
        <v>428</v>
      </c>
      <c r="K20" s="138" t="n">
        <v>10</v>
      </c>
      <c r="L20" s="100" t="s">
        <v>429</v>
      </c>
      <c r="M20" s="110" t="s">
        <v>1004</v>
      </c>
      <c r="N20" s="90" t="s">
        <v>1005</v>
      </c>
    </row>
    <row r="21" customFormat="false" ht="67.5" hidden="false" customHeight="true" outlineLevel="0" collapsed="false">
      <c r="A21" s="136" t="s">
        <v>19</v>
      </c>
      <c r="B21" s="100" t="s">
        <v>376</v>
      </c>
      <c r="C21" s="100" t="s">
        <v>500</v>
      </c>
      <c r="D21" s="100" t="s">
        <v>424</v>
      </c>
      <c r="E21" s="101" t="s">
        <v>98</v>
      </c>
      <c r="F21" s="101" t="s">
        <v>425</v>
      </c>
      <c r="G21" s="19" t="s">
        <v>861</v>
      </c>
      <c r="H21" s="19" t="s">
        <v>497</v>
      </c>
      <c r="I21" s="214" t="s">
        <v>1006</v>
      </c>
      <c r="J21" s="136" t="s">
        <v>428</v>
      </c>
      <c r="K21" s="138" t="n">
        <v>10</v>
      </c>
      <c r="L21" s="100" t="s">
        <v>429</v>
      </c>
      <c r="M21" s="110" t="s">
        <v>1007</v>
      </c>
    </row>
    <row r="22" customFormat="false" ht="81" hidden="false" customHeight="true" outlineLevel="0" collapsed="false">
      <c r="A22" s="99" t="s">
        <v>539</v>
      </c>
      <c r="B22" s="100" t="s">
        <v>161</v>
      </c>
      <c r="C22" s="100" t="s">
        <v>88</v>
      </c>
      <c r="D22" s="100" t="s">
        <v>424</v>
      </c>
      <c r="E22" s="101" t="s">
        <v>540</v>
      </c>
      <c r="F22" s="101" t="s">
        <v>425</v>
      </c>
      <c r="G22" s="19" t="s">
        <v>861</v>
      </c>
      <c r="H22" s="19" t="s">
        <v>512</v>
      </c>
      <c r="I22" s="100" t="s">
        <v>1008</v>
      </c>
      <c r="J22" s="99" t="s">
        <v>428</v>
      </c>
      <c r="K22" s="102" t="n">
        <v>10</v>
      </c>
      <c r="L22" s="100" t="s">
        <v>429</v>
      </c>
      <c r="M22" s="110" t="s">
        <v>1009</v>
      </c>
    </row>
    <row r="23" customFormat="false" ht="126" hidden="false" customHeight="true" outlineLevel="0" collapsed="false">
      <c r="A23" s="141" t="s">
        <v>555</v>
      </c>
      <c r="B23" s="142"/>
      <c r="C23" s="142"/>
      <c r="D23" s="142" t="s">
        <v>424</v>
      </c>
      <c r="E23" s="92" t="s">
        <v>161</v>
      </c>
      <c r="F23" s="101" t="s">
        <v>425</v>
      </c>
      <c r="G23" s="19" t="s">
        <v>861</v>
      </c>
      <c r="H23" s="19" t="s">
        <v>512</v>
      </c>
      <c r="I23" s="143" t="s">
        <v>1010</v>
      </c>
      <c r="J23" s="136" t="s">
        <v>428</v>
      </c>
      <c r="K23" s="138" t="n">
        <v>10</v>
      </c>
      <c r="L23" s="100" t="s">
        <v>429</v>
      </c>
      <c r="M23" s="143" t="s">
        <v>1011</v>
      </c>
    </row>
    <row r="24" customFormat="false" ht="54" hidden="false" customHeight="true" outlineLevel="0" collapsed="false">
      <c r="A24" s="99" t="s">
        <v>499</v>
      </c>
      <c r="B24" s="100" t="s">
        <v>454</v>
      </c>
      <c r="C24" s="100" t="s">
        <v>501</v>
      </c>
      <c r="D24" s="100" t="s">
        <v>424</v>
      </c>
      <c r="E24" s="101" t="s">
        <v>501</v>
      </c>
      <c r="F24" s="101" t="s">
        <v>425</v>
      </c>
      <c r="G24" s="19" t="s">
        <v>868</v>
      </c>
      <c r="H24" s="19" t="s">
        <v>517</v>
      </c>
      <c r="I24" s="106" t="s">
        <v>869</v>
      </c>
      <c r="J24" s="100" t="s">
        <v>428</v>
      </c>
      <c r="K24" s="102" t="n">
        <v>10</v>
      </c>
      <c r="L24" s="100" t="s">
        <v>519</v>
      </c>
      <c r="M24" s="110" t="s">
        <v>1012</v>
      </c>
    </row>
    <row r="25" customFormat="false" ht="104.25" hidden="false" customHeight="true" outlineLevel="0" collapsed="false">
      <c r="A25" s="136" t="s">
        <v>503</v>
      </c>
      <c r="B25" s="100"/>
      <c r="C25" s="100"/>
      <c r="D25" s="100"/>
      <c r="E25" s="101" t="s">
        <v>104</v>
      </c>
      <c r="F25" s="101" t="s">
        <v>425</v>
      </c>
      <c r="G25" s="19" t="s">
        <v>868</v>
      </c>
      <c r="H25" s="19" t="s">
        <v>517</v>
      </c>
      <c r="I25" s="100" t="s">
        <v>1013</v>
      </c>
      <c r="J25" s="100" t="s">
        <v>442</v>
      </c>
      <c r="K25" s="102" t="n">
        <v>1.67</v>
      </c>
      <c r="L25" s="100"/>
      <c r="M25" s="211" t="s">
        <v>1014</v>
      </c>
    </row>
    <row r="26" customFormat="false" ht="64.5" hidden="false" customHeight="true" outlineLevel="0" collapsed="false">
      <c r="A26" s="136" t="s">
        <v>507</v>
      </c>
      <c r="B26" s="100"/>
      <c r="C26" s="100"/>
      <c r="D26" s="100"/>
      <c r="E26" s="101" t="s">
        <v>108</v>
      </c>
      <c r="F26" s="101" t="s">
        <v>425</v>
      </c>
      <c r="G26" s="19" t="s">
        <v>868</v>
      </c>
      <c r="H26" s="19" t="s">
        <v>517</v>
      </c>
      <c r="I26" s="100" t="s">
        <v>1015</v>
      </c>
      <c r="J26" s="100" t="s">
        <v>442</v>
      </c>
      <c r="K26" s="102" t="n">
        <v>1.67</v>
      </c>
      <c r="L26" s="100"/>
      <c r="M26" s="211" t="s">
        <v>1016</v>
      </c>
    </row>
    <row r="27" customFormat="false" ht="72" hidden="false" customHeight="true" outlineLevel="0" collapsed="false">
      <c r="A27" s="136" t="s">
        <v>871</v>
      </c>
      <c r="B27" s="100"/>
      <c r="C27" s="100"/>
      <c r="D27" s="100"/>
      <c r="E27" s="101" t="s">
        <v>872</v>
      </c>
      <c r="F27" s="101" t="s">
        <v>425</v>
      </c>
      <c r="G27" s="19" t="s">
        <v>868</v>
      </c>
      <c r="H27" s="19" t="s">
        <v>517</v>
      </c>
      <c r="I27" s="100" t="s">
        <v>528</v>
      </c>
      <c r="J27" s="100" t="s">
        <v>442</v>
      </c>
      <c r="K27" s="102" t="n">
        <v>1.67</v>
      </c>
      <c r="L27" s="100"/>
      <c r="M27" s="211" t="s">
        <v>1017</v>
      </c>
    </row>
    <row r="28" customFormat="false" ht="65.25" hidden="false" customHeight="true" outlineLevel="0" collapsed="false">
      <c r="A28" s="136" t="s">
        <v>873</v>
      </c>
      <c r="B28" s="100"/>
      <c r="C28" s="100"/>
      <c r="D28" s="100"/>
      <c r="E28" s="101" t="s">
        <v>874</v>
      </c>
      <c r="F28" s="101" t="s">
        <v>425</v>
      </c>
      <c r="G28" s="19" t="s">
        <v>868</v>
      </c>
      <c r="H28" s="19" t="s">
        <v>517</v>
      </c>
      <c r="I28" s="100" t="s">
        <v>1018</v>
      </c>
      <c r="J28" s="100" t="s">
        <v>442</v>
      </c>
      <c r="K28" s="102" t="n">
        <v>1.67</v>
      </c>
      <c r="L28" s="100"/>
      <c r="M28" s="211" t="s">
        <v>1019</v>
      </c>
    </row>
    <row r="29" customFormat="false" ht="74.25" hidden="false" customHeight="true" outlineLevel="0" collapsed="false">
      <c r="A29" s="136" t="s">
        <v>875</v>
      </c>
      <c r="B29" s="100"/>
      <c r="C29" s="100"/>
      <c r="D29" s="100"/>
      <c r="E29" s="101" t="s">
        <v>876</v>
      </c>
      <c r="F29" s="101" t="s">
        <v>425</v>
      </c>
      <c r="G29" s="19" t="s">
        <v>868</v>
      </c>
      <c r="H29" s="19" t="s">
        <v>517</v>
      </c>
      <c r="I29" s="100" t="s">
        <v>534</v>
      </c>
      <c r="J29" s="100" t="s">
        <v>442</v>
      </c>
      <c r="K29" s="102" t="n">
        <v>1.67</v>
      </c>
      <c r="L29" s="100"/>
      <c r="M29" s="211" t="s">
        <v>1020</v>
      </c>
    </row>
    <row r="30" customFormat="false" ht="63.75" hidden="false" customHeight="true" outlineLevel="0" collapsed="false">
      <c r="A30" s="136" t="s">
        <v>877</v>
      </c>
      <c r="B30" s="100"/>
      <c r="C30" s="100"/>
      <c r="D30" s="100"/>
      <c r="E30" s="101" t="s">
        <v>878</v>
      </c>
      <c r="F30" s="101" t="s">
        <v>425</v>
      </c>
      <c r="G30" s="19" t="s">
        <v>868</v>
      </c>
      <c r="H30" s="19" t="s">
        <v>517</v>
      </c>
      <c r="I30" s="100" t="s">
        <v>537</v>
      </c>
      <c r="J30" s="100" t="s">
        <v>442</v>
      </c>
      <c r="K30" s="102" t="n">
        <v>1.67</v>
      </c>
      <c r="L30" s="100"/>
      <c r="M30" s="211" t="s">
        <v>1021</v>
      </c>
    </row>
    <row r="31" customFormat="false" ht="47.25" hidden="false" customHeight="true" outlineLevel="0" collapsed="false">
      <c r="A31" s="105" t="s">
        <v>586</v>
      </c>
      <c r="B31" s="106" t="s">
        <v>435</v>
      </c>
      <c r="C31" s="106" t="s">
        <v>454</v>
      </c>
      <c r="D31" s="100" t="s">
        <v>424</v>
      </c>
      <c r="E31" s="101" t="s">
        <v>589</v>
      </c>
      <c r="F31" s="101" t="s">
        <v>487</v>
      </c>
      <c r="G31" s="19" t="s">
        <v>880</v>
      </c>
      <c r="H31" s="19" t="s">
        <v>881</v>
      </c>
      <c r="I31" s="209" t="s">
        <v>1022</v>
      </c>
      <c r="J31" s="105" t="s">
        <v>428</v>
      </c>
      <c r="K31" s="107" t="n">
        <v>10</v>
      </c>
      <c r="L31" s="106" t="s">
        <v>487</v>
      </c>
      <c r="M31" s="110" t="s">
        <v>544</v>
      </c>
    </row>
    <row r="32" customFormat="false" ht="50.25" hidden="false" customHeight="true" outlineLevel="0" collapsed="false">
      <c r="A32" s="109" t="s">
        <v>592</v>
      </c>
      <c r="B32" s="110" t="s">
        <v>32</v>
      </c>
      <c r="C32" s="106" t="s">
        <v>454</v>
      </c>
      <c r="D32" s="100" t="s">
        <v>424</v>
      </c>
      <c r="E32" s="101" t="s">
        <v>193</v>
      </c>
      <c r="F32" s="101" t="s">
        <v>487</v>
      </c>
      <c r="G32" s="19" t="s">
        <v>880</v>
      </c>
      <c r="H32" s="19" t="s">
        <v>881</v>
      </c>
      <c r="I32" s="211" t="s">
        <v>1023</v>
      </c>
      <c r="J32" s="109" t="s">
        <v>442</v>
      </c>
      <c r="K32" s="111" t="n">
        <v>3.3</v>
      </c>
      <c r="L32" s="110" t="s">
        <v>487</v>
      </c>
      <c r="M32" s="110" t="s">
        <v>1024</v>
      </c>
    </row>
    <row r="33" customFormat="false" ht="50.25" hidden="false" customHeight="true" outlineLevel="0" collapsed="false">
      <c r="A33" s="109" t="s">
        <v>595</v>
      </c>
      <c r="B33" s="110" t="s">
        <v>41</v>
      </c>
      <c r="C33" s="106" t="s">
        <v>454</v>
      </c>
      <c r="D33" s="100" t="s">
        <v>424</v>
      </c>
      <c r="E33" s="101" t="s">
        <v>198</v>
      </c>
      <c r="F33" s="101" t="s">
        <v>487</v>
      </c>
      <c r="G33" s="19" t="s">
        <v>880</v>
      </c>
      <c r="H33" s="19" t="s">
        <v>881</v>
      </c>
      <c r="I33" s="211" t="s">
        <v>1025</v>
      </c>
      <c r="J33" s="109" t="s">
        <v>442</v>
      </c>
      <c r="K33" s="111" t="n">
        <v>3.3</v>
      </c>
      <c r="L33" s="110" t="s">
        <v>487</v>
      </c>
      <c r="M33" s="211" t="s">
        <v>1026</v>
      </c>
    </row>
    <row r="34" customFormat="false" ht="63" hidden="false" customHeight="true" outlineLevel="0" collapsed="false">
      <c r="A34" s="109" t="s">
        <v>598</v>
      </c>
      <c r="B34" s="110" t="s">
        <v>48</v>
      </c>
      <c r="C34" s="106" t="s">
        <v>454</v>
      </c>
      <c r="D34" s="100" t="s">
        <v>424</v>
      </c>
      <c r="E34" s="101" t="s">
        <v>203</v>
      </c>
      <c r="F34" s="101" t="s">
        <v>487</v>
      </c>
      <c r="G34" s="19" t="s">
        <v>880</v>
      </c>
      <c r="H34" s="19" t="s">
        <v>881</v>
      </c>
      <c r="I34" s="211" t="s">
        <v>1027</v>
      </c>
      <c r="J34" s="109" t="s">
        <v>442</v>
      </c>
      <c r="K34" s="111" t="n">
        <v>3.3</v>
      </c>
      <c r="L34" s="110" t="s">
        <v>487</v>
      </c>
      <c r="M34" s="110" t="s">
        <v>1028</v>
      </c>
    </row>
    <row r="35" customFormat="false" ht="138.75" hidden="false" customHeight="true" outlineLevel="0" collapsed="false">
      <c r="A35" s="141" t="s">
        <v>601</v>
      </c>
      <c r="B35" s="142"/>
      <c r="C35" s="142"/>
      <c r="D35" s="142" t="s">
        <v>424</v>
      </c>
      <c r="E35" s="92" t="s">
        <v>208</v>
      </c>
      <c r="F35" s="101" t="s">
        <v>487</v>
      </c>
      <c r="G35" s="19" t="s">
        <v>880</v>
      </c>
      <c r="H35" s="19" t="s">
        <v>883</v>
      </c>
      <c r="I35" s="207" t="s">
        <v>1029</v>
      </c>
      <c r="J35" s="166" t="s">
        <v>428</v>
      </c>
      <c r="K35" s="167" t="n">
        <v>10</v>
      </c>
      <c r="L35" s="207" t="s">
        <v>487</v>
      </c>
      <c r="M35" s="169" t="s">
        <v>1030</v>
      </c>
    </row>
    <row r="36" customFormat="false" ht="25.5" hidden="false" customHeight="true" outlineLevel="0" collapsed="false">
      <c r="A36" s="105" t="s">
        <v>604</v>
      </c>
      <c r="B36" s="106" t="s">
        <v>474</v>
      </c>
      <c r="C36" s="106" t="s">
        <v>454</v>
      </c>
      <c r="D36" s="100" t="s">
        <v>424</v>
      </c>
      <c r="E36" s="101" t="s">
        <v>213</v>
      </c>
      <c r="F36" s="101" t="s">
        <v>487</v>
      </c>
      <c r="G36" s="19" t="s">
        <v>880</v>
      </c>
      <c r="H36" s="19" t="s">
        <v>559</v>
      </c>
      <c r="I36" s="209" t="s">
        <v>1031</v>
      </c>
      <c r="J36" s="95" t="s">
        <v>428</v>
      </c>
      <c r="K36" s="215" t="n">
        <v>10</v>
      </c>
      <c r="L36" s="209" t="s">
        <v>487</v>
      </c>
      <c r="M36" s="211" t="s">
        <v>1032</v>
      </c>
    </row>
    <row r="37" customFormat="false" ht="63" hidden="false" customHeight="true" outlineLevel="0" collapsed="false">
      <c r="A37" s="109" t="s">
        <v>885</v>
      </c>
      <c r="B37" s="110" t="s">
        <v>79</v>
      </c>
      <c r="C37" s="106" t="s">
        <v>454</v>
      </c>
      <c r="D37" s="100" t="s">
        <v>424</v>
      </c>
      <c r="E37" s="101" t="s">
        <v>886</v>
      </c>
      <c r="F37" s="101" t="s">
        <v>487</v>
      </c>
      <c r="G37" s="19" t="s">
        <v>880</v>
      </c>
      <c r="H37" s="19" t="s">
        <v>559</v>
      </c>
      <c r="I37" s="211" t="s">
        <v>1033</v>
      </c>
      <c r="J37" s="216" t="s">
        <v>442</v>
      </c>
      <c r="K37" s="217" t="n">
        <v>5</v>
      </c>
      <c r="L37" s="207" t="s">
        <v>487</v>
      </c>
      <c r="M37" s="211" t="s">
        <v>1034</v>
      </c>
    </row>
    <row r="38" customFormat="false" ht="50.25" hidden="false" customHeight="true" outlineLevel="0" collapsed="false">
      <c r="A38" s="109" t="s">
        <v>888</v>
      </c>
      <c r="B38" s="110" t="s">
        <v>85</v>
      </c>
      <c r="C38" s="106" t="s">
        <v>454</v>
      </c>
      <c r="D38" s="100" t="s">
        <v>424</v>
      </c>
      <c r="E38" s="101" t="s">
        <v>889</v>
      </c>
      <c r="F38" s="101" t="s">
        <v>487</v>
      </c>
      <c r="G38" s="19" t="s">
        <v>880</v>
      </c>
      <c r="H38" s="19" t="s">
        <v>559</v>
      </c>
      <c r="I38" s="211" t="s">
        <v>890</v>
      </c>
      <c r="J38" s="216" t="s">
        <v>442</v>
      </c>
      <c r="K38" s="217" t="n">
        <v>5</v>
      </c>
      <c r="L38" s="207" t="s">
        <v>487</v>
      </c>
      <c r="M38" s="211" t="s">
        <v>1035</v>
      </c>
    </row>
    <row r="39" customFormat="false" ht="63" hidden="false" customHeight="true" outlineLevel="0" collapsed="false">
      <c r="A39" s="99" t="s">
        <v>671</v>
      </c>
      <c r="B39" s="100" t="s">
        <v>113</v>
      </c>
      <c r="C39" s="100" t="s">
        <v>454</v>
      </c>
      <c r="D39" s="100" t="s">
        <v>424</v>
      </c>
      <c r="E39" s="101" t="s">
        <v>672</v>
      </c>
      <c r="F39" s="101" t="s">
        <v>487</v>
      </c>
      <c r="G39" s="19" t="s">
        <v>880</v>
      </c>
      <c r="H39" s="19" t="s">
        <v>569</v>
      </c>
      <c r="I39" s="207" t="s">
        <v>892</v>
      </c>
      <c r="J39" s="206" t="s">
        <v>428</v>
      </c>
      <c r="K39" s="210" t="n">
        <v>10</v>
      </c>
      <c r="L39" s="207" t="s">
        <v>487</v>
      </c>
      <c r="M39" s="211" t="s">
        <v>893</v>
      </c>
    </row>
    <row r="40" customFormat="false" ht="126" hidden="false" customHeight="true" outlineLevel="0" collapsed="false">
      <c r="A40" s="136" t="s">
        <v>739</v>
      </c>
      <c r="B40" s="100" t="s">
        <v>573</v>
      </c>
      <c r="C40" s="100" t="s">
        <v>454</v>
      </c>
      <c r="D40" s="100" t="s">
        <v>424</v>
      </c>
      <c r="E40" s="101" t="s">
        <v>740</v>
      </c>
      <c r="F40" s="147" t="s">
        <v>487</v>
      </c>
      <c r="G40" s="19" t="s">
        <v>880</v>
      </c>
      <c r="H40" s="19" t="s">
        <v>894</v>
      </c>
      <c r="I40" s="207" t="s">
        <v>895</v>
      </c>
      <c r="J40" s="166" t="s">
        <v>428</v>
      </c>
      <c r="K40" s="167" t="n">
        <v>10</v>
      </c>
      <c r="L40" s="207" t="s">
        <v>487</v>
      </c>
      <c r="M40" s="211" t="s">
        <v>1036</v>
      </c>
    </row>
    <row r="41" customFormat="false" ht="264.75" hidden="false" customHeight="true" outlineLevel="0" collapsed="false">
      <c r="A41" s="136" t="s">
        <v>761</v>
      </c>
      <c r="B41" s="100" t="s">
        <v>577</v>
      </c>
      <c r="C41" s="100" t="s">
        <v>454</v>
      </c>
      <c r="D41" s="100" t="s">
        <v>424</v>
      </c>
      <c r="E41" s="101" t="s">
        <v>496</v>
      </c>
      <c r="F41" s="147" t="s">
        <v>487</v>
      </c>
      <c r="G41" s="19" t="s">
        <v>880</v>
      </c>
      <c r="H41" s="19" t="s">
        <v>894</v>
      </c>
      <c r="I41" s="100" t="s">
        <v>897</v>
      </c>
      <c r="J41" s="136" t="s">
        <v>428</v>
      </c>
      <c r="K41" s="138" t="n">
        <v>10</v>
      </c>
      <c r="L41" s="100" t="s">
        <v>487</v>
      </c>
      <c r="M41" s="110" t="s">
        <v>1037</v>
      </c>
    </row>
    <row r="42" customFormat="false" ht="53.25" hidden="false" customHeight="true" outlineLevel="0" collapsed="false">
      <c r="A42" s="136" t="s">
        <v>771</v>
      </c>
      <c r="B42" s="100" t="s">
        <v>587</v>
      </c>
      <c r="C42" s="100" t="s">
        <v>588</v>
      </c>
      <c r="D42" s="100" t="s">
        <v>424</v>
      </c>
      <c r="E42" s="101" t="s">
        <v>376</v>
      </c>
      <c r="F42" s="147" t="s">
        <v>487</v>
      </c>
      <c r="G42" s="19" t="s">
        <v>880</v>
      </c>
      <c r="H42" s="19" t="s">
        <v>894</v>
      </c>
      <c r="I42" s="100" t="s">
        <v>900</v>
      </c>
      <c r="J42" s="136" t="s">
        <v>428</v>
      </c>
      <c r="K42" s="138" t="n">
        <v>10</v>
      </c>
      <c r="L42" s="100" t="s">
        <v>487</v>
      </c>
      <c r="M42" s="110" t="s">
        <v>1038</v>
      </c>
    </row>
    <row r="43" customFormat="false" ht="50.25" hidden="false" customHeight="true" outlineLevel="0" collapsed="false">
      <c r="A43" s="136" t="s">
        <v>774</v>
      </c>
      <c r="B43" s="100" t="s">
        <v>602</v>
      </c>
      <c r="C43" s="100" t="s">
        <v>454</v>
      </c>
      <c r="D43" s="100" t="s">
        <v>424</v>
      </c>
      <c r="E43" s="101" t="s">
        <v>382</v>
      </c>
      <c r="F43" s="147" t="s">
        <v>487</v>
      </c>
      <c r="G43" s="19" t="s">
        <v>880</v>
      </c>
      <c r="H43" s="19" t="s">
        <v>894</v>
      </c>
      <c r="I43" s="100" t="s">
        <v>905</v>
      </c>
      <c r="J43" s="136" t="s">
        <v>428</v>
      </c>
      <c r="K43" s="138" t="n">
        <v>10</v>
      </c>
      <c r="L43" s="100" t="s">
        <v>487</v>
      </c>
      <c r="M43" s="110" t="s">
        <v>1039</v>
      </c>
    </row>
    <row r="44" customFormat="false" ht="88.5" hidden="false" customHeight="true" outlineLevel="0" collapsed="false">
      <c r="A44" s="99" t="s">
        <v>682</v>
      </c>
      <c r="B44" s="100" t="s">
        <v>515</v>
      </c>
      <c r="C44" s="100" t="s">
        <v>454</v>
      </c>
      <c r="D44" s="100" t="s">
        <v>424</v>
      </c>
      <c r="E44" s="101" t="s">
        <v>573</v>
      </c>
      <c r="F44" s="147" t="s">
        <v>487</v>
      </c>
      <c r="G44" s="19" t="s">
        <v>880</v>
      </c>
      <c r="H44" s="19" t="s">
        <v>605</v>
      </c>
      <c r="I44" s="100" t="s">
        <v>907</v>
      </c>
      <c r="J44" s="99" t="s">
        <v>428</v>
      </c>
      <c r="K44" s="102" t="n">
        <v>10</v>
      </c>
      <c r="L44" s="100" t="s">
        <v>487</v>
      </c>
      <c r="M44" s="110" t="s">
        <v>1040</v>
      </c>
    </row>
    <row r="45" s="228" customFormat="true" ht="282.75" hidden="false" customHeight="true" outlineLevel="0" collapsed="false">
      <c r="A45" s="218" t="s">
        <v>572</v>
      </c>
      <c r="B45" s="219"/>
      <c r="C45" s="219"/>
      <c r="D45" s="219" t="s">
        <v>424</v>
      </c>
      <c r="E45" s="220" t="s">
        <v>177</v>
      </c>
      <c r="F45" s="221" t="s">
        <v>425</v>
      </c>
      <c r="G45" s="222"/>
      <c r="H45" s="223"/>
      <c r="I45" s="224" t="s">
        <v>1041</v>
      </c>
      <c r="J45" s="225" t="s">
        <v>428</v>
      </c>
      <c r="K45" s="226" t="n">
        <v>10</v>
      </c>
      <c r="L45" s="227" t="s">
        <v>429</v>
      </c>
      <c r="M45" s="224" t="s">
        <v>1042</v>
      </c>
    </row>
    <row r="46" s="228" customFormat="true" ht="108.75" hidden="false" customHeight="true" outlineLevel="0" collapsed="false">
      <c r="A46" s="218" t="s">
        <v>576</v>
      </c>
      <c r="B46" s="219"/>
      <c r="C46" s="219"/>
      <c r="D46" s="219" t="s">
        <v>424</v>
      </c>
      <c r="E46" s="220" t="s">
        <v>500</v>
      </c>
      <c r="F46" s="221" t="s">
        <v>425</v>
      </c>
      <c r="G46" s="222"/>
      <c r="H46" s="223"/>
      <c r="I46" s="224" t="s">
        <v>1043</v>
      </c>
      <c r="J46" s="225" t="s">
        <v>428</v>
      </c>
      <c r="K46" s="226" t="n">
        <v>10</v>
      </c>
      <c r="L46" s="225" t="s">
        <v>429</v>
      </c>
      <c r="M46" s="224" t="s">
        <v>1044</v>
      </c>
    </row>
    <row r="47" customFormat="false" ht="56.25" hidden="false" customHeight="true" outlineLevel="0" collapsed="false">
      <c r="A47" s="99" t="s">
        <v>693</v>
      </c>
      <c r="B47" s="100" t="s">
        <v>177</v>
      </c>
      <c r="C47" s="100" t="s">
        <v>454</v>
      </c>
      <c r="D47" s="100" t="s">
        <v>424</v>
      </c>
      <c r="E47" s="101" t="s">
        <v>577</v>
      </c>
      <c r="F47" s="147" t="s">
        <v>487</v>
      </c>
      <c r="G47" s="19" t="s">
        <v>609</v>
      </c>
      <c r="H47" s="19" t="s">
        <v>1045</v>
      </c>
      <c r="I47" s="106" t="s">
        <v>1046</v>
      </c>
      <c r="J47" s="99" t="s">
        <v>428</v>
      </c>
      <c r="K47" s="102" t="n">
        <v>10</v>
      </c>
      <c r="L47" s="100" t="s">
        <v>487</v>
      </c>
      <c r="M47" s="229" t="s">
        <v>454</v>
      </c>
    </row>
    <row r="48" customFormat="false" ht="37.5" hidden="false" customHeight="true" outlineLevel="0" collapsed="false">
      <c r="A48" s="109" t="s">
        <v>696</v>
      </c>
      <c r="B48" s="110" t="s">
        <v>1047</v>
      </c>
      <c r="C48" s="110" t="s">
        <v>454</v>
      </c>
      <c r="D48" s="100" t="s">
        <v>424</v>
      </c>
      <c r="E48" s="101" t="s">
        <v>287</v>
      </c>
      <c r="F48" s="147" t="s">
        <v>487</v>
      </c>
      <c r="G48" s="19" t="s">
        <v>609</v>
      </c>
      <c r="H48" s="19" t="s">
        <v>1045</v>
      </c>
      <c r="I48" s="110" t="s">
        <v>1048</v>
      </c>
      <c r="J48" s="109" t="s">
        <v>442</v>
      </c>
      <c r="K48" s="111" t="n">
        <v>3.3</v>
      </c>
      <c r="L48" s="106" t="s">
        <v>487</v>
      </c>
      <c r="M48" s="110" t="s">
        <v>1049</v>
      </c>
    </row>
    <row r="49" customFormat="false" ht="88.5" hidden="false" customHeight="true" outlineLevel="0" collapsed="false">
      <c r="A49" s="109" t="s">
        <v>700</v>
      </c>
      <c r="B49" s="110" t="s">
        <v>1050</v>
      </c>
      <c r="C49" s="110" t="s">
        <v>454</v>
      </c>
      <c r="D49" s="100" t="s">
        <v>424</v>
      </c>
      <c r="E49" s="101" t="s">
        <v>295</v>
      </c>
      <c r="F49" s="147" t="s">
        <v>487</v>
      </c>
      <c r="G49" s="19" t="s">
        <v>609</v>
      </c>
      <c r="H49" s="19" t="s">
        <v>1045</v>
      </c>
      <c r="I49" s="110" t="s">
        <v>630</v>
      </c>
      <c r="J49" s="109" t="s">
        <v>442</v>
      </c>
      <c r="K49" s="111" t="n">
        <v>3.3</v>
      </c>
      <c r="L49" s="106" t="s">
        <v>487</v>
      </c>
      <c r="M49" s="110" t="s">
        <v>1051</v>
      </c>
    </row>
    <row r="50" customFormat="false" ht="25.5" hidden="false" customHeight="true" outlineLevel="0" collapsed="false">
      <c r="A50" s="109" t="s">
        <v>705</v>
      </c>
      <c r="B50" s="110" t="s">
        <v>799</v>
      </c>
      <c r="C50" s="110" t="s">
        <v>454</v>
      </c>
      <c r="D50" s="100" t="s">
        <v>424</v>
      </c>
      <c r="E50" s="101" t="s">
        <v>300</v>
      </c>
      <c r="F50" s="147" t="s">
        <v>487</v>
      </c>
      <c r="G50" s="19" t="s">
        <v>609</v>
      </c>
      <c r="H50" s="19" t="s">
        <v>1045</v>
      </c>
      <c r="I50" s="110" t="s">
        <v>639</v>
      </c>
      <c r="J50" s="109" t="s">
        <v>442</v>
      </c>
      <c r="K50" s="111" t="n">
        <v>3.3</v>
      </c>
      <c r="L50" s="106" t="s">
        <v>487</v>
      </c>
      <c r="M50" s="110" t="s">
        <v>1052</v>
      </c>
    </row>
    <row r="51" customFormat="false" ht="50.25" hidden="false" customHeight="true" outlineLevel="0" collapsed="false">
      <c r="A51" s="99" t="s">
        <v>713</v>
      </c>
      <c r="B51" s="100" t="s">
        <v>500</v>
      </c>
      <c r="C51" s="100" t="s">
        <v>454</v>
      </c>
      <c r="D51" s="100" t="s">
        <v>424</v>
      </c>
      <c r="E51" s="101" t="s">
        <v>587</v>
      </c>
      <c r="F51" s="147" t="s">
        <v>487</v>
      </c>
      <c r="G51" s="19" t="s">
        <v>609</v>
      </c>
      <c r="H51" s="19" t="s">
        <v>649</v>
      </c>
      <c r="I51" s="106" t="s">
        <v>650</v>
      </c>
      <c r="J51" s="99" t="s">
        <v>428</v>
      </c>
      <c r="K51" s="102" t="n">
        <v>10</v>
      </c>
      <c r="L51" s="106" t="s">
        <v>487</v>
      </c>
      <c r="M51" s="110" t="s">
        <v>454</v>
      </c>
    </row>
    <row r="52" customFormat="false" ht="113.25" hidden="false" customHeight="true" outlineLevel="0" collapsed="false">
      <c r="A52" s="109" t="s">
        <v>717</v>
      </c>
      <c r="B52" s="110" t="s">
        <v>182</v>
      </c>
      <c r="C52" s="110" t="s">
        <v>454</v>
      </c>
      <c r="D52" s="100" t="s">
        <v>424</v>
      </c>
      <c r="E52" s="101" t="s">
        <v>310</v>
      </c>
      <c r="F52" s="147" t="s">
        <v>487</v>
      </c>
      <c r="G52" s="19" t="s">
        <v>609</v>
      </c>
      <c r="H52" s="19" t="s">
        <v>649</v>
      </c>
      <c r="I52" s="110" t="s">
        <v>652</v>
      </c>
      <c r="J52" s="109" t="s">
        <v>442</v>
      </c>
      <c r="K52" s="111" t="n">
        <v>3.3</v>
      </c>
      <c r="L52" s="100" t="s">
        <v>487</v>
      </c>
      <c r="M52" s="110" t="s">
        <v>1053</v>
      </c>
    </row>
    <row r="53" customFormat="false" ht="88.5" hidden="false" customHeight="true" outlineLevel="0" collapsed="false">
      <c r="A53" s="109" t="s">
        <v>720</v>
      </c>
      <c r="B53" s="110" t="s">
        <v>187</v>
      </c>
      <c r="C53" s="110" t="s">
        <v>454</v>
      </c>
      <c r="D53" s="100" t="s">
        <v>424</v>
      </c>
      <c r="E53" s="101" t="s">
        <v>318</v>
      </c>
      <c r="F53" s="147" t="s">
        <v>487</v>
      </c>
      <c r="G53" s="19" t="s">
        <v>609</v>
      </c>
      <c r="H53" s="19" t="s">
        <v>649</v>
      </c>
      <c r="I53" s="110" t="s">
        <v>656</v>
      </c>
      <c r="J53" s="109" t="s">
        <v>442</v>
      </c>
      <c r="K53" s="111" t="n">
        <v>3.3</v>
      </c>
      <c r="L53" s="100" t="s">
        <v>487</v>
      </c>
      <c r="M53" s="110" t="s">
        <v>1054</v>
      </c>
    </row>
    <row r="54" customFormat="false" ht="25.5" hidden="false" customHeight="true" outlineLevel="0" collapsed="false">
      <c r="A54" s="109" t="s">
        <v>912</v>
      </c>
      <c r="B54" s="110" t="s">
        <v>454</v>
      </c>
      <c r="C54" s="110" t="s">
        <v>454</v>
      </c>
      <c r="D54" s="100" t="s">
        <v>424</v>
      </c>
      <c r="E54" s="101" t="s">
        <v>913</v>
      </c>
      <c r="F54" s="147" t="s">
        <v>487</v>
      </c>
      <c r="G54" s="19" t="s">
        <v>609</v>
      </c>
      <c r="H54" s="19" t="s">
        <v>649</v>
      </c>
      <c r="I54" s="110" t="s">
        <v>639</v>
      </c>
      <c r="J54" s="109" t="s">
        <v>442</v>
      </c>
      <c r="K54" s="111" t="n">
        <v>3.3</v>
      </c>
      <c r="L54" s="106" t="s">
        <v>487</v>
      </c>
      <c r="M54" s="110" t="s">
        <v>914</v>
      </c>
    </row>
    <row r="55" customFormat="false" ht="37.5" hidden="false" customHeight="true" outlineLevel="0" collapsed="false">
      <c r="A55" s="99" t="s">
        <v>723</v>
      </c>
      <c r="B55" s="100" t="s">
        <v>589</v>
      </c>
      <c r="C55" s="100" t="s">
        <v>454</v>
      </c>
      <c r="D55" s="100" t="s">
        <v>424</v>
      </c>
      <c r="E55" s="101" t="s">
        <v>724</v>
      </c>
      <c r="F55" s="147" t="s">
        <v>487</v>
      </c>
      <c r="G55" s="19" t="s">
        <v>609</v>
      </c>
      <c r="H55" s="19" t="s">
        <v>662</v>
      </c>
      <c r="I55" s="106" t="s">
        <v>663</v>
      </c>
      <c r="J55" s="99" t="s">
        <v>428</v>
      </c>
      <c r="K55" s="102" t="n">
        <v>10</v>
      </c>
      <c r="L55" s="100" t="s">
        <v>487</v>
      </c>
      <c r="M55" s="110" t="s">
        <v>454</v>
      </c>
    </row>
    <row r="56" customFormat="false" ht="75.75" hidden="false" customHeight="true" outlineLevel="0" collapsed="false">
      <c r="A56" s="99" t="s">
        <v>727</v>
      </c>
      <c r="B56" s="100" t="s">
        <v>454</v>
      </c>
      <c r="C56" s="100" t="s">
        <v>454</v>
      </c>
      <c r="D56" s="100" t="s">
        <v>424</v>
      </c>
      <c r="E56" s="101" t="s">
        <v>324</v>
      </c>
      <c r="F56" s="147" t="s">
        <v>487</v>
      </c>
      <c r="G56" s="19" t="s">
        <v>609</v>
      </c>
      <c r="H56" s="19" t="s">
        <v>662</v>
      </c>
      <c r="I56" s="110" t="s">
        <v>665</v>
      </c>
      <c r="J56" s="109" t="s">
        <v>442</v>
      </c>
      <c r="K56" s="102" t="n">
        <v>3.3</v>
      </c>
      <c r="L56" s="106" t="s">
        <v>487</v>
      </c>
      <c r="M56" s="110" t="s">
        <v>1055</v>
      </c>
    </row>
    <row r="57" customFormat="false" ht="88.5" hidden="false" customHeight="true" outlineLevel="0" collapsed="false">
      <c r="A57" s="99" t="s">
        <v>730</v>
      </c>
      <c r="B57" s="100" t="s">
        <v>454</v>
      </c>
      <c r="C57" s="100" t="s">
        <v>454</v>
      </c>
      <c r="D57" s="100" t="s">
        <v>424</v>
      </c>
      <c r="E57" s="101" t="s">
        <v>332</v>
      </c>
      <c r="F57" s="147" t="s">
        <v>487</v>
      </c>
      <c r="G57" s="19" t="s">
        <v>609</v>
      </c>
      <c r="H57" s="19" t="s">
        <v>662</v>
      </c>
      <c r="I57" s="110" t="s">
        <v>656</v>
      </c>
      <c r="J57" s="109" t="s">
        <v>442</v>
      </c>
      <c r="K57" s="102" t="n">
        <v>3.3</v>
      </c>
      <c r="L57" s="106" t="s">
        <v>487</v>
      </c>
      <c r="M57" s="110" t="s">
        <v>1056</v>
      </c>
    </row>
    <row r="58" customFormat="false" ht="25.5" hidden="false" customHeight="true" outlineLevel="0" collapsed="false">
      <c r="A58" s="99" t="s">
        <v>916</v>
      </c>
      <c r="B58" s="100" t="s">
        <v>454</v>
      </c>
      <c r="C58" s="100" t="s">
        <v>454</v>
      </c>
      <c r="D58" s="100" t="s">
        <v>424</v>
      </c>
      <c r="E58" s="101" t="s">
        <v>917</v>
      </c>
      <c r="F58" s="147" t="s">
        <v>487</v>
      </c>
      <c r="G58" s="19" t="s">
        <v>609</v>
      </c>
      <c r="H58" s="19" t="s">
        <v>662</v>
      </c>
      <c r="I58" s="110" t="s">
        <v>639</v>
      </c>
      <c r="J58" s="109" t="s">
        <v>442</v>
      </c>
      <c r="K58" s="102" t="n">
        <v>3.3</v>
      </c>
      <c r="L58" s="106" t="s">
        <v>487</v>
      </c>
      <c r="M58" s="110" t="s">
        <v>1057</v>
      </c>
    </row>
    <row r="59" customFormat="false" ht="37.5" hidden="false" customHeight="true" outlineLevel="0" collapsed="false">
      <c r="A59" s="99" t="s">
        <v>734</v>
      </c>
      <c r="B59" s="100" t="s">
        <v>454</v>
      </c>
      <c r="C59" s="100" t="s">
        <v>454</v>
      </c>
      <c r="D59" s="100" t="s">
        <v>424</v>
      </c>
      <c r="E59" s="101" t="s">
        <v>337</v>
      </c>
      <c r="F59" s="147" t="s">
        <v>487</v>
      </c>
      <c r="G59" s="19" t="s">
        <v>609</v>
      </c>
      <c r="H59" s="19" t="s">
        <v>673</v>
      </c>
      <c r="I59" s="106" t="s">
        <v>674</v>
      </c>
      <c r="J59" s="99" t="s">
        <v>428</v>
      </c>
      <c r="K59" s="102" t="n">
        <v>10</v>
      </c>
      <c r="L59" s="100" t="s">
        <v>487</v>
      </c>
      <c r="M59" s="110" t="s">
        <v>454</v>
      </c>
    </row>
    <row r="60" customFormat="false" ht="78" hidden="false" customHeight="true" outlineLevel="0" collapsed="false">
      <c r="A60" s="99" t="s">
        <v>918</v>
      </c>
      <c r="B60" s="100" t="s">
        <v>454</v>
      </c>
      <c r="C60" s="100" t="s">
        <v>454</v>
      </c>
      <c r="D60" s="100" t="s">
        <v>424</v>
      </c>
      <c r="E60" s="101" t="s">
        <v>919</v>
      </c>
      <c r="F60" s="147" t="s">
        <v>487</v>
      </c>
      <c r="G60" s="19" t="s">
        <v>609</v>
      </c>
      <c r="H60" s="19" t="s">
        <v>673</v>
      </c>
      <c r="I60" s="110" t="s">
        <v>676</v>
      </c>
      <c r="J60" s="109" t="s">
        <v>442</v>
      </c>
      <c r="K60" s="102" t="n">
        <v>3.3</v>
      </c>
      <c r="L60" s="106" t="s">
        <v>487</v>
      </c>
      <c r="M60" s="110" t="s">
        <v>1058</v>
      </c>
    </row>
    <row r="61" customFormat="false" ht="93" hidden="false" customHeight="true" outlineLevel="0" collapsed="false">
      <c r="A61" s="99" t="s">
        <v>921</v>
      </c>
      <c r="B61" s="100" t="s">
        <v>454</v>
      </c>
      <c r="C61" s="100" t="s">
        <v>454</v>
      </c>
      <c r="D61" s="100" t="s">
        <v>424</v>
      </c>
      <c r="E61" s="101" t="s">
        <v>922</v>
      </c>
      <c r="F61" s="147" t="s">
        <v>487</v>
      </c>
      <c r="G61" s="19" t="s">
        <v>609</v>
      </c>
      <c r="H61" s="19" t="s">
        <v>673</v>
      </c>
      <c r="I61" s="110" t="s">
        <v>656</v>
      </c>
      <c r="J61" s="109" t="s">
        <v>442</v>
      </c>
      <c r="K61" s="102" t="n">
        <v>3.3</v>
      </c>
      <c r="L61" s="106" t="s">
        <v>487</v>
      </c>
      <c r="M61" s="110" t="s">
        <v>1059</v>
      </c>
    </row>
    <row r="62" customFormat="false" ht="25.5" hidden="false" customHeight="true" outlineLevel="0" collapsed="false">
      <c r="A62" s="99" t="s">
        <v>923</v>
      </c>
      <c r="B62" s="100" t="s">
        <v>454</v>
      </c>
      <c r="C62" s="100" t="s">
        <v>454</v>
      </c>
      <c r="D62" s="100" t="s">
        <v>424</v>
      </c>
      <c r="E62" s="101" t="s">
        <v>924</v>
      </c>
      <c r="F62" s="147" t="s">
        <v>487</v>
      </c>
      <c r="G62" s="19" t="s">
        <v>609</v>
      </c>
      <c r="H62" s="19" t="s">
        <v>673</v>
      </c>
      <c r="I62" s="110" t="s">
        <v>639</v>
      </c>
      <c r="J62" s="109" t="s">
        <v>442</v>
      </c>
      <c r="K62" s="102" t="n">
        <v>3.3</v>
      </c>
      <c r="L62" s="106" t="s">
        <v>487</v>
      </c>
      <c r="M62" s="110" t="s">
        <v>914</v>
      </c>
    </row>
    <row r="63" customFormat="false" ht="47.25" hidden="false" customHeight="true" outlineLevel="0" collapsed="false">
      <c r="A63" s="136" t="s">
        <v>660</v>
      </c>
      <c r="B63" s="155" t="s">
        <v>454</v>
      </c>
      <c r="C63" s="155" t="s">
        <v>454</v>
      </c>
      <c r="D63" s="155" t="s">
        <v>424</v>
      </c>
      <c r="E63" s="101" t="s">
        <v>661</v>
      </c>
      <c r="F63" s="101" t="s">
        <v>487</v>
      </c>
      <c r="G63" s="19" t="s">
        <v>683</v>
      </c>
      <c r="H63" s="19" t="s">
        <v>683</v>
      </c>
      <c r="I63" s="106" t="s">
        <v>694</v>
      </c>
      <c r="J63" s="136" t="s">
        <v>428</v>
      </c>
      <c r="K63" s="138" t="n">
        <v>10</v>
      </c>
      <c r="L63" s="155" t="s">
        <v>487</v>
      </c>
      <c r="M63" s="110" t="s">
        <v>695</v>
      </c>
    </row>
    <row r="64" customFormat="false" ht="130.5" hidden="false" customHeight="true" outlineLevel="0" collapsed="false">
      <c r="A64" s="136" t="s">
        <v>664</v>
      </c>
      <c r="B64" s="155" t="s">
        <v>454</v>
      </c>
      <c r="C64" s="155" t="s">
        <v>454</v>
      </c>
      <c r="D64" s="155" t="s">
        <v>424</v>
      </c>
      <c r="E64" s="101" t="s">
        <v>249</v>
      </c>
      <c r="F64" s="101" t="s">
        <v>487</v>
      </c>
      <c r="G64" s="19" t="s">
        <v>683</v>
      </c>
      <c r="H64" s="19" t="s">
        <v>697</v>
      </c>
      <c r="I64" s="230" t="s">
        <v>698</v>
      </c>
      <c r="J64" s="136" t="s">
        <v>442</v>
      </c>
      <c r="K64" s="138" t="n">
        <v>2.5</v>
      </c>
      <c r="L64" s="155" t="s">
        <v>487</v>
      </c>
      <c r="M64" s="110" t="s">
        <v>1060</v>
      </c>
    </row>
    <row r="65" customFormat="false" ht="130.5" hidden="false" customHeight="true" outlineLevel="0" collapsed="false">
      <c r="A65" s="136" t="s">
        <v>667</v>
      </c>
      <c r="B65" s="155" t="s">
        <v>454</v>
      </c>
      <c r="C65" s="155" t="s">
        <v>454</v>
      </c>
      <c r="D65" s="155" t="s">
        <v>424</v>
      </c>
      <c r="E65" s="101" t="s">
        <v>252</v>
      </c>
      <c r="F65" s="101" t="s">
        <v>487</v>
      </c>
      <c r="G65" s="19" t="s">
        <v>701</v>
      </c>
      <c r="H65" s="19" t="s">
        <v>702</v>
      </c>
      <c r="I65" s="230" t="s">
        <v>703</v>
      </c>
      <c r="J65" s="136" t="s">
        <v>442</v>
      </c>
      <c r="K65" s="138" t="n">
        <v>2.5</v>
      </c>
      <c r="L65" s="155" t="s">
        <v>487</v>
      </c>
      <c r="M65" s="110" t="s">
        <v>1060</v>
      </c>
    </row>
    <row r="66" customFormat="false" ht="124.5" hidden="false" customHeight="true" outlineLevel="0" collapsed="false">
      <c r="A66" s="136" t="s">
        <v>669</v>
      </c>
      <c r="B66" s="155" t="s">
        <v>454</v>
      </c>
      <c r="C66" s="155" t="s">
        <v>454</v>
      </c>
      <c r="D66" s="155" t="s">
        <v>424</v>
      </c>
      <c r="E66" s="101" t="s">
        <v>255</v>
      </c>
      <c r="F66" s="101" t="s">
        <v>487</v>
      </c>
      <c r="G66" s="19" t="s">
        <v>701</v>
      </c>
      <c r="H66" s="19" t="s">
        <v>706</v>
      </c>
      <c r="I66" s="230" t="s">
        <v>927</v>
      </c>
      <c r="J66" s="136" t="s">
        <v>442</v>
      </c>
      <c r="K66" s="138" t="n">
        <v>2.5</v>
      </c>
      <c r="L66" s="155" t="s">
        <v>487</v>
      </c>
      <c r="M66" s="110" t="s">
        <v>1060</v>
      </c>
    </row>
    <row r="67" customFormat="false" ht="126" hidden="false" customHeight="true" outlineLevel="0" collapsed="false">
      <c r="A67" s="136" t="s">
        <v>929</v>
      </c>
      <c r="B67" s="155" t="s">
        <v>454</v>
      </c>
      <c r="C67" s="155" t="s">
        <v>454</v>
      </c>
      <c r="D67" s="155" t="s">
        <v>424</v>
      </c>
      <c r="E67" s="101" t="s">
        <v>930</v>
      </c>
      <c r="F67" s="101" t="s">
        <v>487</v>
      </c>
      <c r="G67" s="19" t="s">
        <v>701</v>
      </c>
      <c r="H67" s="19" t="s">
        <v>710</v>
      </c>
      <c r="I67" s="230" t="s">
        <v>1061</v>
      </c>
      <c r="J67" s="136" t="s">
        <v>442</v>
      </c>
      <c r="K67" s="138" t="n">
        <v>2.5</v>
      </c>
      <c r="L67" s="155" t="s">
        <v>487</v>
      </c>
      <c r="M67" s="110" t="s">
        <v>1060</v>
      </c>
    </row>
    <row r="68" customFormat="false" ht="57.75" hidden="false" customHeight="true" outlineLevel="0" collapsed="false">
      <c r="A68" s="99" t="s">
        <v>781</v>
      </c>
      <c r="B68" s="100" t="s">
        <v>608</v>
      </c>
      <c r="C68" s="100" t="s">
        <v>113</v>
      </c>
      <c r="D68" s="100" t="s">
        <v>424</v>
      </c>
      <c r="E68" s="101" t="s">
        <v>390</v>
      </c>
      <c r="F68" s="147" t="s">
        <v>487</v>
      </c>
      <c r="G68" s="123"/>
      <c r="H68" s="19" t="s">
        <v>715</v>
      </c>
      <c r="I68" s="106" t="s">
        <v>716</v>
      </c>
      <c r="J68" s="99" t="s">
        <v>428</v>
      </c>
      <c r="K68" s="102" t="n">
        <v>10</v>
      </c>
      <c r="L68" s="100" t="s">
        <v>429</v>
      </c>
      <c r="M68" s="133" t="s">
        <v>1062</v>
      </c>
    </row>
    <row r="69" customFormat="false" ht="14.25" hidden="false" customHeight="true" outlineLevel="0" collapsed="false">
      <c r="A69" s="136"/>
      <c r="B69" s="100"/>
      <c r="C69" s="100"/>
      <c r="D69" s="100"/>
      <c r="E69" s="101"/>
      <c r="F69" s="147" t="s">
        <v>487</v>
      </c>
      <c r="G69" s="101"/>
      <c r="H69" s="147"/>
      <c r="I69" s="106"/>
      <c r="J69" s="106"/>
      <c r="K69" s="106"/>
      <c r="L69" s="106"/>
      <c r="M69" s="133" t="s">
        <v>1063</v>
      </c>
    </row>
    <row r="70" customFormat="false" ht="14.25" hidden="false" customHeight="true" outlineLevel="0" collapsed="false">
      <c r="A70" s="136"/>
      <c r="B70" s="100"/>
      <c r="C70" s="100"/>
      <c r="D70" s="100"/>
      <c r="E70" s="101"/>
      <c r="F70" s="147" t="s">
        <v>487</v>
      </c>
      <c r="G70" s="101"/>
      <c r="H70" s="147"/>
      <c r="I70" s="106"/>
      <c r="J70" s="106"/>
      <c r="K70" s="106"/>
      <c r="L70" s="106"/>
      <c r="M70" s="133" t="s">
        <v>1064</v>
      </c>
    </row>
    <row r="71" customFormat="false" ht="14.25" hidden="false" customHeight="true" outlineLevel="0" collapsed="false">
      <c r="A71" s="136"/>
      <c r="B71" s="100"/>
      <c r="C71" s="100"/>
      <c r="D71" s="100"/>
      <c r="E71" s="101"/>
      <c r="F71" s="147" t="s">
        <v>487</v>
      </c>
      <c r="G71" s="101"/>
      <c r="H71" s="147"/>
      <c r="I71" s="106"/>
      <c r="J71" s="106"/>
      <c r="K71" s="106"/>
      <c r="L71" s="106"/>
      <c r="M71" s="133" t="s">
        <v>1065</v>
      </c>
    </row>
    <row r="72" customFormat="false" ht="14.25" hidden="false" customHeight="true" outlineLevel="0" collapsed="false">
      <c r="A72" s="136"/>
      <c r="B72" s="100"/>
      <c r="C72" s="100"/>
      <c r="D72" s="100"/>
      <c r="E72" s="101"/>
      <c r="F72" s="147" t="s">
        <v>487</v>
      </c>
      <c r="G72" s="101"/>
      <c r="H72" s="147"/>
      <c r="I72" s="106"/>
      <c r="J72" s="106"/>
      <c r="K72" s="106"/>
      <c r="L72" s="106"/>
      <c r="M72" s="133" t="s">
        <v>1066</v>
      </c>
    </row>
    <row r="73" customFormat="false" ht="14.25" hidden="false" customHeight="true" outlineLevel="0" collapsed="false">
      <c r="A73" s="136"/>
      <c r="B73" s="100"/>
      <c r="C73" s="100"/>
      <c r="D73" s="100"/>
      <c r="E73" s="101"/>
      <c r="F73" s="147" t="s">
        <v>487</v>
      </c>
      <c r="G73" s="101"/>
      <c r="H73" s="147"/>
      <c r="I73" s="106"/>
      <c r="J73" s="106"/>
      <c r="K73" s="106"/>
      <c r="L73" s="106"/>
      <c r="M73" s="133" t="s">
        <v>1067</v>
      </c>
    </row>
    <row r="74" customFormat="false" ht="99" hidden="false" customHeight="true" outlineLevel="0" collapsed="false">
      <c r="A74" s="99" t="s">
        <v>932</v>
      </c>
      <c r="B74" s="100" t="s">
        <v>454</v>
      </c>
      <c r="C74" s="100" t="s">
        <v>454</v>
      </c>
      <c r="D74" s="100" t="s">
        <v>424</v>
      </c>
      <c r="E74" s="101" t="s">
        <v>933</v>
      </c>
      <c r="F74" s="147" t="s">
        <v>487</v>
      </c>
      <c r="G74" s="19" t="s">
        <v>714</v>
      </c>
      <c r="H74" s="19" t="s">
        <v>715</v>
      </c>
      <c r="I74" s="110" t="s">
        <v>718</v>
      </c>
      <c r="J74" s="99" t="s">
        <v>442</v>
      </c>
      <c r="K74" s="102" t="n">
        <v>5</v>
      </c>
      <c r="L74" s="106" t="s">
        <v>429</v>
      </c>
      <c r="M74" s="110" t="s">
        <v>1068</v>
      </c>
    </row>
    <row r="75" customFormat="false" ht="94.5" hidden="false" customHeight="true" outlineLevel="0" collapsed="false">
      <c r="A75" s="99" t="s">
        <v>934</v>
      </c>
      <c r="B75" s="100" t="s">
        <v>454</v>
      </c>
      <c r="C75" s="100" t="s">
        <v>454</v>
      </c>
      <c r="D75" s="100" t="s">
        <v>424</v>
      </c>
      <c r="E75" s="101" t="s">
        <v>935</v>
      </c>
      <c r="F75" s="147" t="s">
        <v>487</v>
      </c>
      <c r="G75" s="19" t="s">
        <v>714</v>
      </c>
      <c r="H75" s="19" t="s">
        <v>715</v>
      </c>
      <c r="I75" s="110" t="s">
        <v>721</v>
      </c>
      <c r="J75" s="99" t="s">
        <v>442</v>
      </c>
      <c r="K75" s="102" t="n">
        <v>5</v>
      </c>
      <c r="L75" s="106" t="s">
        <v>487</v>
      </c>
      <c r="M75" s="110" t="s">
        <v>1069</v>
      </c>
    </row>
    <row r="76" customFormat="false" ht="37.5" hidden="false" customHeight="true" outlineLevel="0" collapsed="false">
      <c r="A76" s="99" t="s">
        <v>785</v>
      </c>
      <c r="B76" s="100" t="s">
        <v>454</v>
      </c>
      <c r="C76" s="100" t="s">
        <v>454</v>
      </c>
      <c r="D76" s="100" t="s">
        <v>424</v>
      </c>
      <c r="E76" s="101" t="s">
        <v>786</v>
      </c>
      <c r="F76" s="147" t="s">
        <v>487</v>
      </c>
      <c r="G76" s="19" t="s">
        <v>714</v>
      </c>
      <c r="H76" s="19" t="s">
        <v>725</v>
      </c>
      <c r="I76" s="100" t="s">
        <v>726</v>
      </c>
      <c r="J76" s="99" t="s">
        <v>428</v>
      </c>
      <c r="K76" s="102" t="n">
        <v>10</v>
      </c>
      <c r="L76" s="100" t="s">
        <v>487</v>
      </c>
      <c r="M76" s="110" t="s">
        <v>1070</v>
      </c>
    </row>
    <row r="77" customFormat="false" ht="37.5" hidden="false" customHeight="true" outlineLevel="0" collapsed="false">
      <c r="A77" s="99" t="s">
        <v>789</v>
      </c>
      <c r="B77" s="100" t="s">
        <v>454</v>
      </c>
      <c r="C77" s="100" t="s">
        <v>454</v>
      </c>
      <c r="D77" s="100" t="s">
        <v>424</v>
      </c>
      <c r="E77" s="101" t="s">
        <v>396</v>
      </c>
      <c r="F77" s="147" t="s">
        <v>487</v>
      </c>
      <c r="G77" s="19" t="s">
        <v>714</v>
      </c>
      <c r="H77" s="19" t="s">
        <v>725</v>
      </c>
      <c r="I77" s="100" t="s">
        <v>1071</v>
      </c>
      <c r="J77" s="99" t="s">
        <v>442</v>
      </c>
      <c r="K77" s="102" t="n">
        <v>5</v>
      </c>
      <c r="L77" s="106" t="s">
        <v>429</v>
      </c>
      <c r="M77" s="110" t="s">
        <v>1072</v>
      </c>
    </row>
    <row r="78" customFormat="false" ht="75.75" hidden="false" customHeight="true" outlineLevel="0" collapsed="false">
      <c r="A78" s="99" t="s">
        <v>792</v>
      </c>
      <c r="B78" s="100" t="s">
        <v>454</v>
      </c>
      <c r="C78" s="100" t="s">
        <v>454</v>
      </c>
      <c r="D78" s="100" t="s">
        <v>424</v>
      </c>
      <c r="E78" s="101" t="s">
        <v>401</v>
      </c>
      <c r="F78" s="147" t="s">
        <v>487</v>
      </c>
      <c r="G78" s="19" t="s">
        <v>714</v>
      </c>
      <c r="H78" s="19" t="s">
        <v>725</v>
      </c>
      <c r="I78" s="100" t="s">
        <v>731</v>
      </c>
      <c r="J78" s="99" t="s">
        <v>442</v>
      </c>
      <c r="K78" s="102" t="n">
        <v>5</v>
      </c>
      <c r="L78" s="106" t="s">
        <v>487</v>
      </c>
      <c r="M78" s="110" t="s">
        <v>1073</v>
      </c>
    </row>
    <row r="79" customFormat="false" ht="25.5" hidden="false" customHeight="true" outlineLevel="0" collapsed="false">
      <c r="A79" s="136" t="s">
        <v>558</v>
      </c>
      <c r="B79" s="142" t="s">
        <v>454</v>
      </c>
      <c r="C79" s="142" t="s">
        <v>454</v>
      </c>
      <c r="D79" s="142" t="s">
        <v>424</v>
      </c>
      <c r="E79" s="101" t="s">
        <v>473</v>
      </c>
      <c r="F79" s="213" t="s">
        <v>425</v>
      </c>
      <c r="G79" s="19" t="s">
        <v>735</v>
      </c>
      <c r="H79" s="19" t="s">
        <v>736</v>
      </c>
      <c r="I79" s="100" t="s">
        <v>1074</v>
      </c>
      <c r="J79" s="136" t="s">
        <v>428</v>
      </c>
      <c r="K79" s="138" t="n">
        <v>10</v>
      </c>
      <c r="L79" s="155" t="s">
        <v>737</v>
      </c>
      <c r="M79" s="100" t="s">
        <v>1075</v>
      </c>
    </row>
    <row r="80" customFormat="false" ht="88.5" hidden="false" customHeight="true" outlineLevel="0" collapsed="false">
      <c r="A80" s="141" t="s">
        <v>562</v>
      </c>
      <c r="B80" s="231"/>
      <c r="C80" s="231"/>
      <c r="D80" s="110" t="s">
        <v>424</v>
      </c>
      <c r="E80" s="232" t="s">
        <v>165</v>
      </c>
      <c r="F80" s="213" t="s">
        <v>425</v>
      </c>
      <c r="G80" s="19" t="s">
        <v>735</v>
      </c>
      <c r="H80" s="19" t="s">
        <v>736</v>
      </c>
      <c r="I80" s="110" t="s">
        <v>1076</v>
      </c>
      <c r="J80" s="141" t="s">
        <v>442</v>
      </c>
      <c r="K80" s="233" t="n">
        <v>5</v>
      </c>
      <c r="L80" s="110" t="s">
        <v>429</v>
      </c>
      <c r="M80" s="110" t="s">
        <v>1077</v>
      </c>
    </row>
    <row r="81" customFormat="false" ht="75.75" hidden="false" customHeight="true" outlineLevel="0" collapsed="false">
      <c r="A81" s="141" t="s">
        <v>565</v>
      </c>
      <c r="B81" s="231"/>
      <c r="C81" s="231"/>
      <c r="D81" s="231" t="s">
        <v>424</v>
      </c>
      <c r="E81" s="232" t="s">
        <v>169</v>
      </c>
      <c r="F81" s="213" t="s">
        <v>425</v>
      </c>
      <c r="G81" s="19" t="s">
        <v>735</v>
      </c>
      <c r="H81" s="19" t="s">
        <v>736</v>
      </c>
      <c r="I81" s="110" t="s">
        <v>1078</v>
      </c>
      <c r="J81" s="141" t="s">
        <v>442</v>
      </c>
      <c r="K81" s="233" t="n">
        <v>5</v>
      </c>
      <c r="L81" s="110" t="s">
        <v>487</v>
      </c>
      <c r="M81" s="110" t="s">
        <v>1079</v>
      </c>
    </row>
    <row r="82" customFormat="false" ht="201.75" hidden="false" customHeight="true" outlineLevel="0" collapsed="false">
      <c r="A82" s="141" t="s">
        <v>568</v>
      </c>
      <c r="B82" s="142"/>
      <c r="C82" s="142"/>
      <c r="D82" s="142" t="s">
        <v>424</v>
      </c>
      <c r="E82" s="92" t="s">
        <v>172</v>
      </c>
      <c r="F82" s="213" t="s">
        <v>425</v>
      </c>
      <c r="G82" s="19" t="s">
        <v>735</v>
      </c>
      <c r="H82" s="19" t="s">
        <v>741</v>
      </c>
      <c r="I82" s="143" t="s">
        <v>1080</v>
      </c>
      <c r="J82" s="136" t="s">
        <v>428</v>
      </c>
      <c r="K82" s="138" t="n">
        <v>10</v>
      </c>
      <c r="L82" s="100" t="s">
        <v>429</v>
      </c>
      <c r="M82" s="143" t="s">
        <v>1081</v>
      </c>
    </row>
    <row r="83" customFormat="false" ht="88.5" hidden="false" customHeight="true" outlineLevel="0" collapsed="false">
      <c r="A83" s="99" t="s">
        <v>777</v>
      </c>
      <c r="B83" s="100" t="s">
        <v>172</v>
      </c>
      <c r="C83" s="100" t="s">
        <v>98</v>
      </c>
      <c r="D83" s="100" t="s">
        <v>424</v>
      </c>
      <c r="E83" s="101" t="s">
        <v>387</v>
      </c>
      <c r="F83" s="147" t="s">
        <v>487</v>
      </c>
      <c r="G83" s="19" t="s">
        <v>735</v>
      </c>
      <c r="H83" s="19" t="s">
        <v>762</v>
      </c>
      <c r="I83" s="100" t="s">
        <v>769</v>
      </c>
      <c r="J83" s="99" t="s">
        <v>428</v>
      </c>
      <c r="K83" s="102" t="n">
        <v>10</v>
      </c>
      <c r="L83" s="100" t="s">
        <v>487</v>
      </c>
      <c r="M83" s="110" t="s">
        <v>1082</v>
      </c>
    </row>
    <row r="84" customFormat="false" ht="66" hidden="false" customHeight="true" outlineLevel="0" collapsed="false">
      <c r="A84" s="136" t="s">
        <v>511</v>
      </c>
      <c r="B84" s="100" t="s">
        <v>648</v>
      </c>
      <c r="C84" s="100" t="s">
        <v>515</v>
      </c>
      <c r="D84" s="100" t="s">
        <v>424</v>
      </c>
      <c r="E84" s="101" t="s">
        <v>113</v>
      </c>
      <c r="F84" s="213" t="s">
        <v>425</v>
      </c>
      <c r="G84" s="19" t="s">
        <v>735</v>
      </c>
      <c r="H84" s="19" t="s">
        <v>772</v>
      </c>
      <c r="I84" s="100" t="s">
        <v>377</v>
      </c>
      <c r="J84" s="136" t="s">
        <v>428</v>
      </c>
      <c r="K84" s="138" t="n">
        <v>10</v>
      </c>
      <c r="L84" s="100" t="s">
        <v>429</v>
      </c>
      <c r="M84" s="110" t="s">
        <v>1083</v>
      </c>
    </row>
    <row r="85" customFormat="false" ht="75.75" hidden="false" customHeight="true" outlineLevel="0" collapsed="false">
      <c r="A85" s="136" t="s">
        <v>514</v>
      </c>
      <c r="B85" s="100" t="s">
        <v>661</v>
      </c>
      <c r="C85" s="100" t="s">
        <v>540</v>
      </c>
      <c r="D85" s="100" t="s">
        <v>424</v>
      </c>
      <c r="E85" s="101" t="s">
        <v>515</v>
      </c>
      <c r="F85" s="213" t="s">
        <v>425</v>
      </c>
      <c r="G85" s="19" t="s">
        <v>735</v>
      </c>
      <c r="H85" s="19" t="s">
        <v>772</v>
      </c>
      <c r="I85" s="100" t="s">
        <v>383</v>
      </c>
      <c r="J85" s="136" t="s">
        <v>428</v>
      </c>
      <c r="K85" s="138" t="n">
        <v>10</v>
      </c>
      <c r="L85" s="100" t="s">
        <v>429</v>
      </c>
      <c r="M85" s="110" t="s">
        <v>1084</v>
      </c>
    </row>
    <row r="86" customFormat="false" ht="50.25" hidden="false" customHeight="true" outlineLevel="0" collapsed="false">
      <c r="A86" s="136" t="s">
        <v>795</v>
      </c>
      <c r="B86" s="100" t="s">
        <v>672</v>
      </c>
      <c r="C86" s="100" t="s">
        <v>454</v>
      </c>
      <c r="D86" s="100" t="s">
        <v>424</v>
      </c>
      <c r="E86" s="101" t="s">
        <v>404</v>
      </c>
      <c r="F86" s="212" t="s">
        <v>487</v>
      </c>
      <c r="G86" s="19" t="s">
        <v>778</v>
      </c>
      <c r="H86" s="19" t="s">
        <v>779</v>
      </c>
      <c r="I86" s="100" t="s">
        <v>941</v>
      </c>
      <c r="J86" s="136" t="s">
        <v>428</v>
      </c>
      <c r="K86" s="138" t="n">
        <v>10</v>
      </c>
      <c r="L86" s="100" t="s">
        <v>487</v>
      </c>
      <c r="M86" s="110" t="s">
        <v>1085</v>
      </c>
    </row>
    <row r="87" customFormat="false" ht="126" hidden="false" customHeight="true" outlineLevel="0" collapsed="false">
      <c r="A87" s="136" t="s">
        <v>942</v>
      </c>
      <c r="B87" s="100" t="s">
        <v>724</v>
      </c>
      <c r="C87" s="100" t="s">
        <v>161</v>
      </c>
      <c r="D87" s="100" t="s">
        <v>424</v>
      </c>
      <c r="E87" s="101" t="s">
        <v>943</v>
      </c>
      <c r="F87" s="101" t="s">
        <v>782</v>
      </c>
      <c r="G87" s="19" t="s">
        <v>778</v>
      </c>
      <c r="H87" s="19" t="s">
        <v>779</v>
      </c>
      <c r="I87" s="100" t="s">
        <v>944</v>
      </c>
      <c r="J87" s="136" t="s">
        <v>428</v>
      </c>
      <c r="K87" s="138" t="n">
        <v>10</v>
      </c>
      <c r="L87" s="100" t="s">
        <v>487</v>
      </c>
      <c r="M87" s="110" t="s">
        <v>1086</v>
      </c>
    </row>
    <row r="88" customFormat="false" ht="113.25" hidden="false" customHeight="true" outlineLevel="0" collapsed="false">
      <c r="A88" s="136" t="s">
        <v>946</v>
      </c>
      <c r="B88" s="100" t="s">
        <v>337</v>
      </c>
      <c r="C88" s="100" t="s">
        <v>473</v>
      </c>
      <c r="D88" s="100" t="s">
        <v>424</v>
      </c>
      <c r="E88" s="101" t="s">
        <v>947</v>
      </c>
      <c r="F88" s="101" t="s">
        <v>782</v>
      </c>
      <c r="G88" s="19" t="s">
        <v>778</v>
      </c>
      <c r="H88" s="19" t="s">
        <v>787</v>
      </c>
      <c r="I88" s="100" t="s">
        <v>1087</v>
      </c>
      <c r="J88" s="136" t="s">
        <v>428</v>
      </c>
      <c r="K88" s="138" t="n">
        <v>10</v>
      </c>
      <c r="L88" s="100" t="s">
        <v>487</v>
      </c>
      <c r="M88" s="110" t="s">
        <v>1088</v>
      </c>
    </row>
    <row r="89" customFormat="false" ht="409.5" hidden="false" customHeight="true" outlineLevel="0" collapsed="false">
      <c r="A89" s="136" t="s">
        <v>948</v>
      </c>
      <c r="B89" s="100" t="s">
        <v>740</v>
      </c>
      <c r="C89" s="100" t="s">
        <v>172</v>
      </c>
      <c r="D89" s="100" t="s">
        <v>424</v>
      </c>
      <c r="E89" s="101" t="s">
        <v>949</v>
      </c>
      <c r="F89" s="101" t="s">
        <v>782</v>
      </c>
      <c r="G89" s="19" t="s">
        <v>778</v>
      </c>
      <c r="H89" s="19" t="s">
        <v>950</v>
      </c>
      <c r="I89" s="100" t="s">
        <v>405</v>
      </c>
      <c r="J89" s="136" t="s">
        <v>428</v>
      </c>
      <c r="K89" s="138" t="n">
        <v>10</v>
      </c>
      <c r="L89" s="100" t="s">
        <v>429</v>
      </c>
      <c r="M89" s="110" t="s">
        <v>1089</v>
      </c>
    </row>
    <row r="90" s="90" customFormat="true" ht="55.5" hidden="false" customHeight="true" outlineLevel="0" collapsed="false">
      <c r="H90" s="3"/>
      <c r="K90" s="89"/>
    </row>
    <row r="91" s="90" customFormat="true" ht="14.25" hidden="false" customHeight="false" outlineLevel="0" collapsed="false">
      <c r="H91" s="3"/>
      <c r="K91" s="89"/>
    </row>
    <row r="92" s="90" customFormat="true" ht="14.25" hidden="false" customHeight="false" outlineLevel="0" collapsed="false">
      <c r="H92" s="3"/>
      <c r="K92" s="89"/>
    </row>
    <row r="93" s="90" customFormat="true" ht="14.25" hidden="false" customHeight="false" outlineLevel="0" collapsed="false">
      <c r="H93" s="3"/>
      <c r="K93" s="89"/>
    </row>
    <row r="94" s="90" customFormat="true" ht="14.25" hidden="false" customHeight="false" outlineLevel="0" collapsed="false">
      <c r="H94" s="3"/>
      <c r="K94" s="89"/>
    </row>
    <row r="95" customFormat="false" ht="14.25" hidden="false" customHeight="true" outlineLevel="0" collapsed="false">
      <c r="A95" s="198"/>
      <c r="B95" s="199"/>
      <c r="C95" s="199"/>
      <c r="D95" s="199"/>
      <c r="G95" s="91"/>
      <c r="H95" s="200"/>
      <c r="I95" s="199"/>
      <c r="J95" s="198"/>
      <c r="K95" s="198"/>
      <c r="L95" s="199"/>
      <c r="M95" s="201"/>
    </row>
    <row r="96" customFormat="false" ht="14.25" hidden="false" customHeight="true" outlineLevel="0" collapsed="false">
      <c r="A96" s="198"/>
      <c r="B96" s="199"/>
      <c r="C96" s="199"/>
      <c r="D96" s="199"/>
      <c r="G96" s="91"/>
      <c r="H96" s="200"/>
      <c r="I96" s="199"/>
      <c r="J96" s="198"/>
      <c r="K96" s="198"/>
      <c r="L96" s="199"/>
      <c r="M96" s="201"/>
    </row>
    <row r="97" customFormat="false" ht="14.25" hidden="false" customHeight="true" outlineLevel="0" collapsed="false">
      <c r="A97" s="198"/>
      <c r="B97" s="199"/>
      <c r="C97" s="199"/>
      <c r="D97" s="199"/>
      <c r="G97" s="91"/>
      <c r="H97" s="200"/>
      <c r="I97" s="199"/>
      <c r="J97" s="198"/>
      <c r="K97" s="198"/>
      <c r="L97" s="199"/>
      <c r="M97" s="201"/>
    </row>
    <row r="98" customFormat="false" ht="14.25" hidden="false" customHeight="true" outlineLevel="0" collapsed="false">
      <c r="A98" s="198"/>
      <c r="B98" s="199"/>
      <c r="C98" s="199"/>
      <c r="D98" s="199"/>
      <c r="G98" s="91"/>
      <c r="H98" s="200"/>
      <c r="I98" s="199"/>
      <c r="J98" s="198"/>
      <c r="K98" s="198"/>
      <c r="L98" s="199"/>
      <c r="M98" s="201"/>
    </row>
    <row r="99" customFormat="false" ht="14.25" hidden="false" customHeight="true" outlineLevel="0" collapsed="false">
      <c r="A99" s="198"/>
      <c r="B99" s="199"/>
      <c r="C99" s="199"/>
      <c r="D99" s="199"/>
      <c r="G99" s="91"/>
      <c r="H99" s="200"/>
      <c r="I99" s="199"/>
      <c r="J99" s="198"/>
      <c r="K99" s="198"/>
      <c r="L99" s="199"/>
      <c r="M99" s="201"/>
    </row>
    <row r="100" customFormat="false" ht="14.25" hidden="false" customHeight="true" outlineLevel="0" collapsed="false">
      <c r="A100" s="198"/>
      <c r="B100" s="199"/>
      <c r="C100" s="199"/>
      <c r="D100" s="199"/>
      <c r="G100" s="91"/>
      <c r="H100" s="200"/>
      <c r="I100" s="199"/>
      <c r="J100" s="198"/>
      <c r="K100" s="198"/>
      <c r="L100" s="199"/>
      <c r="M100" s="201"/>
    </row>
    <row r="101" customFormat="false" ht="14.25" hidden="false" customHeight="true" outlineLevel="0" collapsed="false">
      <c r="A101" s="198"/>
      <c r="B101" s="199"/>
      <c r="C101" s="199"/>
      <c r="D101" s="199"/>
      <c r="G101" s="91"/>
      <c r="H101" s="200"/>
      <c r="I101" s="199"/>
      <c r="J101" s="198"/>
      <c r="K101" s="198"/>
      <c r="L101" s="199"/>
      <c r="M101" s="201"/>
    </row>
    <row r="102" customFormat="false" ht="14.25" hidden="false" customHeight="true" outlineLevel="0" collapsed="false">
      <c r="A102" s="198"/>
      <c r="B102" s="199"/>
      <c r="C102" s="199"/>
      <c r="D102" s="199"/>
      <c r="G102" s="91"/>
      <c r="H102" s="200"/>
      <c r="I102" s="199"/>
      <c r="J102" s="198"/>
      <c r="K102" s="198"/>
      <c r="L102" s="199"/>
      <c r="M102" s="201"/>
    </row>
    <row r="103" customFormat="false" ht="14.25" hidden="false" customHeight="true" outlineLevel="0" collapsed="false">
      <c r="A103" s="198"/>
      <c r="B103" s="199"/>
      <c r="C103" s="199"/>
      <c r="D103" s="199"/>
      <c r="G103" s="91"/>
      <c r="H103" s="200"/>
      <c r="I103" s="199"/>
      <c r="J103" s="198"/>
      <c r="K103" s="198"/>
      <c r="L103" s="199"/>
      <c r="M103" s="201"/>
    </row>
    <row r="104" customFormat="false" ht="14.25" hidden="false" customHeight="true" outlineLevel="0" collapsed="false">
      <c r="A104" s="198"/>
      <c r="B104" s="199"/>
      <c r="C104" s="199"/>
      <c r="D104" s="199"/>
      <c r="G104" s="91"/>
      <c r="H104" s="200"/>
      <c r="I104" s="199"/>
      <c r="J104" s="198"/>
      <c r="K104" s="198"/>
      <c r="L104" s="199"/>
      <c r="M104" s="201"/>
    </row>
    <row r="105" customFormat="false" ht="14.25" hidden="false" customHeight="true" outlineLevel="0" collapsed="false">
      <c r="A105" s="198"/>
      <c r="B105" s="199"/>
      <c r="C105" s="199"/>
      <c r="D105" s="199"/>
      <c r="G105" s="91"/>
      <c r="H105" s="200"/>
      <c r="I105" s="199"/>
      <c r="J105" s="198"/>
      <c r="K105" s="198"/>
      <c r="L105" s="199"/>
      <c r="M105" s="201"/>
    </row>
    <row r="106" customFormat="false" ht="14.25" hidden="false" customHeight="true" outlineLevel="0" collapsed="false">
      <c r="A106" s="198"/>
      <c r="B106" s="199"/>
      <c r="C106" s="199"/>
      <c r="D106" s="199"/>
      <c r="G106" s="91"/>
      <c r="H106" s="200"/>
      <c r="I106" s="199"/>
      <c r="J106" s="198"/>
      <c r="K106" s="198"/>
      <c r="L106" s="199"/>
      <c r="M106" s="201"/>
    </row>
    <row r="107" customFormat="false" ht="14.25" hidden="false" customHeight="true" outlineLevel="0" collapsed="false">
      <c r="A107" s="198"/>
      <c r="B107" s="199"/>
      <c r="C107" s="199"/>
      <c r="D107" s="199"/>
      <c r="G107" s="91"/>
      <c r="H107" s="200"/>
      <c r="I107" s="199"/>
      <c r="J107" s="198"/>
      <c r="K107" s="198"/>
      <c r="L107" s="199"/>
      <c r="M107" s="201"/>
    </row>
    <row r="108" customFormat="false" ht="14.25" hidden="false" customHeight="true" outlineLevel="0" collapsed="false">
      <c r="A108" s="198"/>
      <c r="B108" s="199"/>
      <c r="C108" s="199"/>
      <c r="D108" s="199"/>
      <c r="G108" s="91"/>
      <c r="H108" s="200"/>
      <c r="I108" s="199"/>
      <c r="J108" s="198"/>
      <c r="K108" s="198"/>
      <c r="L108" s="199"/>
      <c r="M108" s="201"/>
    </row>
    <row r="109" customFormat="false" ht="14.25" hidden="false" customHeight="true" outlineLevel="0" collapsed="false">
      <c r="A109" s="198"/>
      <c r="B109" s="199"/>
      <c r="C109" s="199"/>
      <c r="D109" s="199"/>
      <c r="G109" s="91"/>
      <c r="H109" s="200"/>
      <c r="I109" s="199"/>
      <c r="J109" s="198"/>
      <c r="K109" s="198"/>
      <c r="L109" s="199"/>
      <c r="M109" s="201"/>
    </row>
    <row r="110" customFormat="false" ht="14.25" hidden="false" customHeight="true" outlineLevel="0" collapsed="false">
      <c r="A110" s="198"/>
      <c r="B110" s="199"/>
      <c r="C110" s="199"/>
      <c r="D110" s="199"/>
      <c r="G110" s="91"/>
      <c r="H110" s="200"/>
      <c r="I110" s="199"/>
      <c r="J110" s="198"/>
      <c r="K110" s="198"/>
      <c r="L110" s="199"/>
      <c r="M110" s="201"/>
    </row>
    <row r="111" customFormat="false" ht="14.25" hidden="false" customHeight="true" outlineLevel="0" collapsed="false">
      <c r="A111" s="198"/>
      <c r="B111" s="199"/>
      <c r="C111" s="199"/>
      <c r="D111" s="199"/>
      <c r="G111" s="91"/>
      <c r="H111" s="200"/>
      <c r="I111" s="199"/>
      <c r="J111" s="198"/>
      <c r="K111" s="198"/>
      <c r="L111" s="199"/>
      <c r="M111" s="201"/>
    </row>
    <row r="112" customFormat="false" ht="14.25" hidden="false" customHeight="true" outlineLevel="0" collapsed="false">
      <c r="A112" s="198"/>
      <c r="B112" s="199"/>
      <c r="C112" s="199"/>
      <c r="D112" s="199"/>
      <c r="G112" s="91"/>
      <c r="H112" s="200"/>
      <c r="I112" s="199"/>
      <c r="J112" s="198"/>
      <c r="K112" s="198"/>
      <c r="L112" s="199"/>
      <c r="M112" s="201"/>
    </row>
    <row r="113" customFormat="false" ht="14.25" hidden="false" customHeight="true" outlineLevel="0" collapsed="false">
      <c r="A113" s="198"/>
      <c r="B113" s="199"/>
      <c r="C113" s="199"/>
      <c r="D113" s="199"/>
      <c r="G113" s="91"/>
      <c r="H113" s="200"/>
      <c r="I113" s="199"/>
      <c r="J113" s="198"/>
      <c r="K113" s="198"/>
      <c r="L113" s="199"/>
      <c r="M113" s="201"/>
    </row>
    <row r="114" customFormat="false" ht="14.25" hidden="false" customHeight="true" outlineLevel="0" collapsed="false">
      <c r="A114" s="198"/>
      <c r="B114" s="199"/>
      <c r="C114" s="199"/>
      <c r="D114" s="199"/>
      <c r="G114" s="91"/>
      <c r="H114" s="200"/>
      <c r="I114" s="199"/>
      <c r="J114" s="198"/>
      <c r="K114" s="198"/>
      <c r="L114" s="199"/>
      <c r="M114" s="201"/>
    </row>
    <row r="115" customFormat="false" ht="14.25" hidden="false" customHeight="true" outlineLevel="0" collapsed="false">
      <c r="A115" s="198"/>
      <c r="B115" s="199"/>
      <c r="C115" s="199"/>
      <c r="D115" s="199"/>
      <c r="G115" s="91"/>
      <c r="H115" s="200"/>
      <c r="I115" s="199"/>
      <c r="J115" s="198"/>
      <c r="K115" s="198"/>
      <c r="L115" s="199"/>
      <c r="M115" s="201"/>
    </row>
    <row r="116" customFormat="false" ht="14.25" hidden="false" customHeight="true" outlineLevel="0" collapsed="false">
      <c r="A116" s="198"/>
      <c r="B116" s="199"/>
      <c r="C116" s="199"/>
      <c r="D116" s="199"/>
      <c r="G116" s="91"/>
      <c r="H116" s="200"/>
      <c r="I116" s="199"/>
      <c r="J116" s="198"/>
      <c r="K116" s="198"/>
      <c r="L116" s="199"/>
      <c r="M116" s="201"/>
    </row>
    <row r="117" customFormat="false" ht="14.25" hidden="false" customHeight="true" outlineLevel="0" collapsed="false">
      <c r="A117" s="198"/>
      <c r="B117" s="199"/>
      <c r="C117" s="199"/>
      <c r="D117" s="199"/>
      <c r="G117" s="91"/>
      <c r="H117" s="200"/>
      <c r="I117" s="199"/>
      <c r="J117" s="198"/>
      <c r="K117" s="198"/>
      <c r="L117" s="199"/>
      <c r="M117" s="201"/>
    </row>
    <row r="118" customFormat="false" ht="14.25" hidden="false" customHeight="true" outlineLevel="0" collapsed="false">
      <c r="A118" s="198"/>
      <c r="B118" s="199"/>
      <c r="C118" s="199"/>
      <c r="D118" s="199"/>
      <c r="G118" s="91"/>
      <c r="H118" s="200"/>
      <c r="I118" s="199"/>
      <c r="J118" s="198"/>
      <c r="K118" s="198"/>
      <c r="L118" s="199"/>
      <c r="M118" s="201"/>
    </row>
    <row r="119" customFormat="false" ht="15.75" hidden="false" customHeight="true" outlineLevel="0" collapsed="false">
      <c r="A119" s="198"/>
      <c r="B119" s="199"/>
      <c r="C119" s="199"/>
      <c r="D119" s="199"/>
      <c r="G119" s="91"/>
      <c r="H119" s="200"/>
      <c r="I119" s="199"/>
      <c r="J119" s="198"/>
      <c r="K119" s="198"/>
      <c r="L119" s="199"/>
      <c r="M119" s="201" t="s">
        <v>799</v>
      </c>
    </row>
    <row r="120" customFormat="false" ht="14.25" hidden="false" customHeight="true" outlineLevel="0" collapsed="false">
      <c r="A120" s="198"/>
      <c r="B120" s="199"/>
      <c r="C120" s="199"/>
      <c r="D120" s="199"/>
      <c r="G120" s="91"/>
      <c r="H120" s="200"/>
      <c r="I120" s="199"/>
      <c r="J120" s="198"/>
      <c r="K120" s="198"/>
      <c r="L120" s="199"/>
      <c r="M120" s="201"/>
    </row>
    <row r="121" customFormat="false" ht="14.25" hidden="false" customHeight="true" outlineLevel="0" collapsed="false">
      <c r="A121" s="198"/>
      <c r="B121" s="199"/>
      <c r="C121" s="199"/>
      <c r="D121" s="199"/>
      <c r="G121" s="91"/>
      <c r="H121" s="200"/>
      <c r="I121" s="199"/>
      <c r="J121" s="198"/>
      <c r="K121" s="198"/>
      <c r="L121" s="199"/>
      <c r="M121" s="201"/>
    </row>
    <row r="122" customFormat="false" ht="14.25" hidden="false" customHeight="true" outlineLevel="0" collapsed="false">
      <c r="A122" s="198"/>
      <c r="B122" s="199"/>
      <c r="C122" s="199"/>
      <c r="D122" s="199"/>
      <c r="G122" s="91"/>
      <c r="H122" s="200"/>
      <c r="I122" s="199"/>
      <c r="J122" s="198"/>
      <c r="K122" s="198"/>
      <c r="L122" s="199"/>
      <c r="M122" s="201"/>
    </row>
    <row r="123" customFormat="false" ht="14.25" hidden="false" customHeight="true" outlineLevel="0" collapsed="false">
      <c r="A123" s="198"/>
      <c r="B123" s="199"/>
      <c r="C123" s="199"/>
      <c r="D123" s="199"/>
      <c r="G123" s="91"/>
      <c r="H123" s="200"/>
      <c r="I123" s="199"/>
      <c r="J123" s="198"/>
      <c r="K123" s="198"/>
      <c r="L123" s="199"/>
      <c r="M123" s="201"/>
    </row>
    <row r="124" customFormat="false" ht="14.25" hidden="false" customHeight="true" outlineLevel="0" collapsed="false">
      <c r="A124" s="198"/>
      <c r="B124" s="199"/>
      <c r="C124" s="199"/>
      <c r="D124" s="199"/>
      <c r="G124" s="91"/>
      <c r="H124" s="200"/>
      <c r="I124" s="199"/>
      <c r="J124" s="198"/>
      <c r="K124" s="198"/>
      <c r="L124" s="199"/>
      <c r="M124" s="201"/>
    </row>
    <row r="125" customFormat="false" ht="14.25" hidden="false" customHeight="true" outlineLevel="0" collapsed="false">
      <c r="A125" s="198"/>
      <c r="B125" s="199"/>
      <c r="C125" s="199"/>
      <c r="D125" s="199"/>
      <c r="G125" s="91"/>
      <c r="H125" s="200"/>
      <c r="I125" s="199"/>
      <c r="J125" s="198"/>
      <c r="K125" s="198"/>
      <c r="L125" s="199"/>
      <c r="M125" s="201"/>
    </row>
    <row r="126" customFormat="false" ht="15.75" hidden="false" customHeight="true" outlineLevel="0" collapsed="false">
      <c r="A126" s="198"/>
      <c r="B126" s="199"/>
      <c r="C126" s="199"/>
      <c r="D126" s="199"/>
      <c r="G126" s="91"/>
      <c r="H126" s="200"/>
      <c r="I126" s="199"/>
      <c r="J126" s="198"/>
      <c r="K126" s="198"/>
      <c r="L126" s="199"/>
      <c r="M126" s="201" t="s">
        <v>799</v>
      </c>
    </row>
    <row r="127" customFormat="false" ht="14.25" hidden="false" customHeight="true" outlineLevel="0" collapsed="false">
      <c r="A127" s="198"/>
      <c r="B127" s="199"/>
      <c r="C127" s="199"/>
      <c r="D127" s="199"/>
      <c r="G127" s="91"/>
      <c r="H127" s="200"/>
      <c r="I127" s="199"/>
      <c r="J127" s="198"/>
      <c r="K127" s="198"/>
      <c r="L127" s="199"/>
      <c r="M127" s="201"/>
    </row>
    <row r="128" customFormat="false" ht="14.25" hidden="false" customHeight="true" outlineLevel="0" collapsed="false">
      <c r="A128" s="198"/>
      <c r="B128" s="199"/>
      <c r="C128" s="199"/>
      <c r="D128" s="199"/>
      <c r="G128" s="91"/>
      <c r="H128" s="200"/>
      <c r="I128" s="199"/>
      <c r="J128" s="198"/>
      <c r="K128" s="198"/>
      <c r="L128" s="199"/>
      <c r="M128" s="201"/>
    </row>
    <row r="129" customFormat="false" ht="14.25" hidden="false" customHeight="true" outlineLevel="0" collapsed="false">
      <c r="A129" s="198"/>
      <c r="B129" s="199"/>
      <c r="C129" s="199"/>
      <c r="D129" s="199"/>
      <c r="G129" s="91"/>
      <c r="H129" s="200"/>
      <c r="I129" s="199"/>
      <c r="J129" s="198"/>
      <c r="K129" s="198"/>
      <c r="L129" s="199"/>
      <c r="M129" s="201"/>
    </row>
    <row r="130" customFormat="false" ht="14.25" hidden="false" customHeight="true" outlineLevel="0" collapsed="false">
      <c r="A130" s="198"/>
      <c r="B130" s="199"/>
      <c r="C130" s="199"/>
      <c r="D130" s="199"/>
      <c r="G130" s="91"/>
      <c r="H130" s="200"/>
      <c r="I130" s="199"/>
      <c r="J130" s="198"/>
      <c r="K130" s="198"/>
      <c r="L130" s="199"/>
      <c r="M130" s="201"/>
    </row>
    <row r="131" customFormat="false" ht="14.25" hidden="false" customHeight="true" outlineLevel="0" collapsed="false">
      <c r="A131" s="198"/>
      <c r="B131" s="199"/>
      <c r="C131" s="199"/>
      <c r="D131" s="199"/>
      <c r="G131" s="91"/>
      <c r="H131" s="200"/>
      <c r="I131" s="199"/>
      <c r="J131" s="198"/>
      <c r="K131" s="198"/>
      <c r="L131" s="199"/>
      <c r="M131" s="201"/>
    </row>
    <row r="132" customFormat="false" ht="15.75" hidden="false" customHeight="true" outlineLevel="0" collapsed="false">
      <c r="A132" s="198"/>
      <c r="B132" s="199"/>
      <c r="C132" s="199"/>
      <c r="D132" s="199"/>
      <c r="G132" s="91"/>
      <c r="H132" s="200"/>
      <c r="I132" s="199"/>
      <c r="J132" s="198"/>
      <c r="K132" s="198"/>
      <c r="L132" s="199"/>
      <c r="M132" s="201" t="s">
        <v>799</v>
      </c>
    </row>
    <row r="133" customFormat="false" ht="14.25" hidden="false" customHeight="true" outlineLevel="0" collapsed="false">
      <c r="A133" s="198"/>
      <c r="B133" s="199"/>
      <c r="C133" s="199"/>
      <c r="D133" s="199"/>
      <c r="G133" s="91"/>
      <c r="H133" s="200"/>
      <c r="I133" s="199"/>
      <c r="J133" s="198"/>
      <c r="K133" s="198"/>
      <c r="L133" s="199"/>
      <c r="M133" s="201"/>
    </row>
    <row r="134" customFormat="false" ht="14.25" hidden="false" customHeight="true" outlineLevel="0" collapsed="false">
      <c r="A134" s="198"/>
      <c r="B134" s="199"/>
      <c r="C134" s="199"/>
      <c r="D134" s="199"/>
      <c r="G134" s="91"/>
      <c r="H134" s="200"/>
      <c r="I134" s="199"/>
      <c r="J134" s="198"/>
      <c r="K134" s="198"/>
      <c r="L134" s="199"/>
      <c r="M134" s="201"/>
    </row>
    <row r="135" customFormat="false" ht="14.25" hidden="false" customHeight="true" outlineLevel="0" collapsed="false">
      <c r="A135" s="198"/>
      <c r="B135" s="199"/>
      <c r="C135" s="199"/>
      <c r="D135" s="199"/>
      <c r="G135" s="91"/>
      <c r="H135" s="200"/>
      <c r="I135" s="199"/>
      <c r="J135" s="198"/>
      <c r="K135" s="198"/>
      <c r="L135" s="199"/>
      <c r="M135" s="201"/>
    </row>
    <row r="136" customFormat="false" ht="14.25" hidden="false" customHeight="true" outlineLevel="0" collapsed="false">
      <c r="A136" s="198"/>
      <c r="B136" s="199"/>
      <c r="C136" s="199"/>
      <c r="D136" s="199"/>
      <c r="G136" s="91"/>
      <c r="H136" s="200"/>
      <c r="I136" s="199"/>
      <c r="J136" s="198"/>
      <c r="K136" s="198"/>
      <c r="L136" s="199"/>
      <c r="M136" s="201"/>
    </row>
    <row r="137" customFormat="false" ht="14.25" hidden="false" customHeight="true" outlineLevel="0" collapsed="false">
      <c r="A137" s="198"/>
      <c r="B137" s="199"/>
      <c r="C137" s="199"/>
      <c r="D137" s="199"/>
      <c r="G137" s="91"/>
      <c r="H137" s="200"/>
      <c r="I137" s="199"/>
      <c r="J137" s="198"/>
      <c r="K137" s="198"/>
      <c r="L137" s="199"/>
      <c r="M137" s="201"/>
    </row>
    <row r="138" customFormat="false" ht="14.25" hidden="false" customHeight="true" outlineLevel="0" collapsed="false">
      <c r="A138" s="198"/>
      <c r="B138" s="199"/>
      <c r="C138" s="199"/>
      <c r="D138" s="199"/>
      <c r="G138" s="91"/>
      <c r="H138" s="200"/>
      <c r="I138" s="199"/>
      <c r="J138" s="198"/>
      <c r="K138" s="198"/>
      <c r="L138" s="199"/>
      <c r="M138" s="201"/>
    </row>
    <row r="139" customFormat="false" ht="14.25" hidden="false" customHeight="true" outlineLevel="0" collapsed="false">
      <c r="A139" s="198"/>
      <c r="B139" s="199"/>
      <c r="C139" s="199"/>
      <c r="D139" s="199"/>
      <c r="G139" s="91"/>
      <c r="H139" s="200"/>
      <c r="I139" s="199"/>
      <c r="J139" s="198"/>
      <c r="K139" s="198"/>
      <c r="L139" s="199"/>
      <c r="M139" s="201"/>
    </row>
    <row r="140" customFormat="false" ht="14.25" hidden="false" customHeight="true" outlineLevel="0" collapsed="false">
      <c r="A140" s="198"/>
      <c r="B140" s="199"/>
      <c r="C140" s="199"/>
      <c r="D140" s="199"/>
      <c r="G140" s="91"/>
      <c r="H140" s="200"/>
      <c r="I140" s="199"/>
      <c r="J140" s="198"/>
      <c r="K140" s="198"/>
      <c r="L140" s="199"/>
      <c r="M140" s="201"/>
    </row>
    <row r="141" customFormat="false" ht="14.25" hidden="false" customHeight="true" outlineLevel="0" collapsed="false">
      <c r="A141" s="198"/>
      <c r="B141" s="199"/>
      <c r="C141" s="199"/>
      <c r="D141" s="199"/>
      <c r="G141" s="91"/>
      <c r="H141" s="200"/>
      <c r="I141" s="199"/>
      <c r="J141" s="198"/>
      <c r="K141" s="198"/>
      <c r="L141" s="199"/>
      <c r="M141" s="201"/>
    </row>
    <row r="142" customFormat="false" ht="14.25" hidden="false" customHeight="true" outlineLevel="0" collapsed="false">
      <c r="A142" s="198"/>
      <c r="B142" s="199"/>
      <c r="C142" s="199"/>
      <c r="D142" s="199"/>
      <c r="G142" s="91"/>
      <c r="H142" s="200"/>
      <c r="I142" s="199"/>
      <c r="J142" s="198"/>
      <c r="K142" s="198"/>
      <c r="L142" s="199"/>
      <c r="M142" s="201"/>
    </row>
    <row r="143" customFormat="false" ht="14.25" hidden="false" customHeight="true" outlineLevel="0" collapsed="false">
      <c r="A143" s="198"/>
      <c r="B143" s="199"/>
      <c r="C143" s="199"/>
      <c r="D143" s="199"/>
      <c r="G143" s="91"/>
      <c r="H143" s="200"/>
      <c r="I143" s="199"/>
      <c r="J143" s="198"/>
      <c r="K143" s="198"/>
      <c r="L143" s="199"/>
      <c r="M143" s="201"/>
    </row>
    <row r="144" customFormat="false" ht="14.25" hidden="false" customHeight="true" outlineLevel="0" collapsed="false">
      <c r="A144" s="198"/>
      <c r="B144" s="199"/>
      <c r="C144" s="199"/>
      <c r="D144" s="199"/>
      <c r="G144" s="91"/>
      <c r="H144" s="200"/>
      <c r="I144" s="199"/>
      <c r="J144" s="198"/>
      <c r="K144" s="198"/>
      <c r="L144" s="199"/>
      <c r="M144" s="201"/>
    </row>
    <row r="145" customFormat="false" ht="14.25" hidden="false" customHeight="true" outlineLevel="0" collapsed="false">
      <c r="A145" s="198"/>
      <c r="B145" s="199"/>
      <c r="C145" s="199"/>
      <c r="D145" s="199"/>
      <c r="G145" s="91"/>
      <c r="H145" s="200"/>
      <c r="I145" s="199"/>
      <c r="J145" s="198"/>
      <c r="K145" s="198"/>
      <c r="L145" s="199"/>
      <c r="M145" s="201"/>
    </row>
    <row r="146" customFormat="false" ht="14.25" hidden="false" customHeight="true" outlineLevel="0" collapsed="false">
      <c r="A146" s="198"/>
      <c r="B146" s="199"/>
      <c r="C146" s="199"/>
      <c r="D146" s="199"/>
      <c r="G146" s="91"/>
      <c r="H146" s="200"/>
      <c r="I146" s="199"/>
      <c r="J146" s="198"/>
      <c r="K146" s="198"/>
      <c r="L146" s="199"/>
      <c r="M146" s="201"/>
    </row>
    <row r="147" customFormat="false" ht="14.25" hidden="false" customHeight="true" outlineLevel="0" collapsed="false">
      <c r="A147" s="198"/>
      <c r="B147" s="199"/>
      <c r="C147" s="199"/>
      <c r="D147" s="199"/>
      <c r="G147" s="91"/>
      <c r="H147" s="200"/>
      <c r="I147" s="199"/>
      <c r="J147" s="198"/>
      <c r="K147" s="198"/>
      <c r="L147" s="199"/>
      <c r="M147" s="201"/>
    </row>
    <row r="148" customFormat="false" ht="14.25" hidden="false" customHeight="true" outlineLevel="0" collapsed="false">
      <c r="A148" s="198"/>
      <c r="B148" s="199"/>
      <c r="C148" s="199"/>
      <c r="D148" s="199"/>
      <c r="G148" s="91"/>
      <c r="H148" s="200"/>
      <c r="I148" s="199"/>
      <c r="J148" s="198"/>
      <c r="K148" s="198"/>
      <c r="L148" s="199"/>
      <c r="M148" s="201"/>
    </row>
    <row r="149" customFormat="false" ht="14.25" hidden="false" customHeight="true" outlineLevel="0" collapsed="false">
      <c r="A149" s="198"/>
      <c r="B149" s="199"/>
      <c r="C149" s="199"/>
      <c r="D149" s="199"/>
      <c r="G149" s="91"/>
      <c r="H149" s="200"/>
      <c r="I149" s="199"/>
      <c r="J149" s="198"/>
      <c r="K149" s="198"/>
      <c r="L149" s="199"/>
      <c r="M149" s="201"/>
    </row>
    <row r="150" customFormat="false" ht="14.25" hidden="false" customHeight="true" outlineLevel="0" collapsed="false">
      <c r="A150" s="198"/>
      <c r="B150" s="199"/>
      <c r="C150" s="199"/>
      <c r="D150" s="199"/>
      <c r="G150" s="91"/>
      <c r="H150" s="200"/>
      <c r="I150" s="199"/>
      <c r="J150" s="198"/>
      <c r="K150" s="198"/>
      <c r="L150" s="199"/>
      <c r="M150" s="201"/>
    </row>
    <row r="151" customFormat="false" ht="14.25" hidden="false" customHeight="true" outlineLevel="0" collapsed="false">
      <c r="A151" s="198"/>
      <c r="B151" s="199"/>
      <c r="C151" s="199"/>
      <c r="D151" s="199"/>
      <c r="G151" s="91"/>
      <c r="H151" s="200"/>
      <c r="I151" s="199"/>
      <c r="J151" s="198"/>
      <c r="K151" s="198"/>
      <c r="L151" s="199"/>
      <c r="M151" s="201"/>
    </row>
    <row r="152" customFormat="false" ht="14.25" hidden="false" customHeight="true" outlineLevel="0" collapsed="false">
      <c r="A152" s="198"/>
      <c r="B152" s="199"/>
      <c r="C152" s="199"/>
      <c r="D152" s="199"/>
      <c r="G152" s="91"/>
      <c r="H152" s="200"/>
      <c r="I152" s="199"/>
      <c r="J152" s="198"/>
      <c r="K152" s="198"/>
      <c r="L152" s="199"/>
      <c r="M152" s="201"/>
    </row>
    <row r="153" customFormat="false" ht="14.25" hidden="false" customHeight="true" outlineLevel="0" collapsed="false">
      <c r="A153" s="198"/>
      <c r="B153" s="199"/>
      <c r="C153" s="199"/>
      <c r="D153" s="199"/>
      <c r="G153" s="91"/>
      <c r="H153" s="200"/>
      <c r="I153" s="199"/>
      <c r="J153" s="198"/>
      <c r="K153" s="198"/>
      <c r="L153" s="199"/>
      <c r="M153" s="201"/>
    </row>
    <row r="154" customFormat="false" ht="15" hidden="false" customHeight="true" outlineLevel="0" collapsed="false">
      <c r="A154" s="198"/>
      <c r="B154" s="199"/>
      <c r="C154" s="199"/>
      <c r="D154" s="199"/>
      <c r="G154" s="91"/>
      <c r="H154" s="200"/>
      <c r="I154" s="199"/>
      <c r="J154" s="198"/>
      <c r="K154" s="198"/>
      <c r="L154" s="199"/>
      <c r="M154" s="201" t="s">
        <v>799</v>
      </c>
    </row>
    <row r="155" customFormat="false" ht="14.25" hidden="false" customHeight="true" outlineLevel="0" collapsed="false">
      <c r="A155" s="198"/>
      <c r="B155" s="199"/>
      <c r="C155" s="199"/>
      <c r="D155" s="199"/>
      <c r="G155" s="91"/>
      <c r="H155" s="200"/>
      <c r="I155" s="199"/>
      <c r="J155" s="198"/>
      <c r="K155" s="198"/>
      <c r="L155" s="199"/>
      <c r="M155" s="201"/>
    </row>
    <row r="156" customFormat="false" ht="14.25" hidden="false" customHeight="true" outlineLevel="0" collapsed="false">
      <c r="A156" s="198"/>
      <c r="B156" s="199"/>
      <c r="C156" s="199"/>
      <c r="D156" s="199"/>
      <c r="G156" s="91"/>
      <c r="H156" s="200"/>
      <c r="I156" s="199"/>
      <c r="J156" s="198"/>
      <c r="K156" s="198"/>
      <c r="L156" s="199"/>
      <c r="M156" s="201"/>
    </row>
    <row r="157" customFormat="false" ht="15" hidden="false" customHeight="true" outlineLevel="0" collapsed="false">
      <c r="A157" s="198"/>
      <c r="B157" s="199"/>
      <c r="C157" s="199"/>
      <c r="D157" s="199"/>
      <c r="G157" s="91"/>
      <c r="H157" s="200"/>
      <c r="I157" s="199"/>
      <c r="J157" s="198"/>
      <c r="K157" s="198"/>
      <c r="L157" s="199"/>
      <c r="M157" s="201" t="s">
        <v>799</v>
      </c>
    </row>
    <row r="158" customFormat="false" ht="14.25" hidden="false" customHeight="true" outlineLevel="0" collapsed="false">
      <c r="A158" s="198"/>
      <c r="B158" s="199"/>
      <c r="C158" s="199"/>
      <c r="D158" s="199"/>
      <c r="G158" s="91"/>
      <c r="H158" s="200"/>
      <c r="I158" s="199"/>
      <c r="J158" s="198"/>
      <c r="K158" s="198"/>
      <c r="L158" s="199"/>
      <c r="M158" s="201"/>
    </row>
    <row r="159" customFormat="false" ht="14.25" hidden="false" customHeight="true" outlineLevel="0" collapsed="false">
      <c r="A159" s="198"/>
      <c r="B159" s="199"/>
      <c r="C159" s="199"/>
      <c r="D159" s="199"/>
      <c r="G159" s="91"/>
      <c r="H159" s="200"/>
      <c r="I159" s="199"/>
      <c r="J159" s="198"/>
      <c r="K159" s="198"/>
      <c r="L159" s="199"/>
      <c r="M159" s="201"/>
    </row>
    <row r="160" customFormat="false" ht="14.25" hidden="false" customHeight="false" outlineLevel="0" collapsed="false">
      <c r="G160" s="91"/>
      <c r="H160" s="200"/>
    </row>
    <row r="161" customFormat="false" ht="14.25" hidden="false" customHeight="false" outlineLevel="0" collapsed="false">
      <c r="G161" s="91"/>
      <c r="H161" s="200"/>
    </row>
    <row r="162" customFormat="false" ht="14.25" hidden="false" customHeight="false" outlineLevel="0" collapsed="false">
      <c r="G162" s="91"/>
      <c r="H162" s="200"/>
    </row>
    <row r="163" customFormat="false" ht="14.25" hidden="false" customHeight="false" outlineLevel="0" collapsed="false">
      <c r="G163" s="91"/>
      <c r="H163" s="200"/>
    </row>
    <row r="164" customFormat="false" ht="14.25" hidden="false" customHeight="false" outlineLevel="0" collapsed="false">
      <c r="G164" s="91"/>
      <c r="H164" s="200"/>
    </row>
    <row r="165" customFormat="false" ht="14.25" hidden="false" customHeight="false" outlineLevel="0" collapsed="false">
      <c r="G165" s="91"/>
      <c r="H165" s="200"/>
    </row>
    <row r="166" customFormat="false" ht="14.25" hidden="false" customHeight="false" outlineLevel="0" collapsed="false">
      <c r="G166" s="91"/>
      <c r="H166" s="200"/>
    </row>
    <row r="167" customFormat="false" ht="14.25" hidden="false" customHeight="false" outlineLevel="0" collapsed="false">
      <c r="G167" s="91"/>
      <c r="H167" s="200"/>
    </row>
    <row r="168" customFormat="false" ht="14.25" hidden="false" customHeight="false" outlineLevel="0" collapsed="false">
      <c r="G168" s="91"/>
      <c r="H168" s="200"/>
    </row>
    <row r="169" customFormat="false" ht="14.25" hidden="false" customHeight="false" outlineLevel="0" collapsed="false">
      <c r="G169" s="91"/>
      <c r="H169" s="200"/>
    </row>
    <row r="170" customFormat="false" ht="14.25" hidden="false" customHeight="false" outlineLevel="0" collapsed="false">
      <c r="G170" s="91"/>
      <c r="H170" s="200"/>
    </row>
    <row r="171" customFormat="false" ht="14.25" hidden="false" customHeight="false" outlineLevel="0" collapsed="false">
      <c r="G171" s="91"/>
      <c r="H171" s="200"/>
    </row>
    <row r="172" customFormat="false" ht="14.25" hidden="false" customHeight="false" outlineLevel="0" collapsed="false">
      <c r="G172" s="91"/>
      <c r="H172" s="200"/>
    </row>
    <row r="173" customFormat="false" ht="14.25" hidden="false" customHeight="false" outlineLevel="0" collapsed="false">
      <c r="G173" s="91"/>
      <c r="H173" s="200"/>
    </row>
    <row r="174" customFormat="false" ht="14.25" hidden="false" customHeight="false" outlineLevel="0" collapsed="false">
      <c r="G174" s="91"/>
      <c r="H174" s="200"/>
    </row>
    <row r="175" customFormat="false" ht="14.25" hidden="false" customHeight="false" outlineLevel="0" collapsed="false">
      <c r="G175" s="91"/>
      <c r="H175" s="200"/>
    </row>
    <row r="176" customFormat="false" ht="14.25" hidden="false" customHeight="false" outlineLevel="0" collapsed="false">
      <c r="G176" s="91"/>
      <c r="H176" s="200"/>
    </row>
    <row r="177" customFormat="false" ht="14.25" hidden="false" customHeight="false" outlineLevel="0" collapsed="false">
      <c r="G177" s="91"/>
      <c r="H177" s="200"/>
    </row>
    <row r="178" customFormat="false" ht="14.25" hidden="false" customHeight="false" outlineLevel="0" collapsed="false">
      <c r="G178" s="91"/>
      <c r="H178" s="200"/>
    </row>
    <row r="179" customFormat="false" ht="14.25" hidden="false" customHeight="false" outlineLevel="0" collapsed="false">
      <c r="G179" s="91"/>
      <c r="H179" s="200"/>
    </row>
    <row r="180" customFormat="false" ht="14.25" hidden="false" customHeight="false" outlineLevel="0" collapsed="false">
      <c r="G180" s="91"/>
      <c r="H180" s="200"/>
    </row>
    <row r="181" customFormat="false" ht="14.25" hidden="false" customHeight="false" outlineLevel="0" collapsed="false">
      <c r="G181" s="91"/>
      <c r="H181" s="200"/>
    </row>
    <row r="182" customFormat="false" ht="14.25" hidden="false" customHeight="false" outlineLevel="0" collapsed="false">
      <c r="G182" s="91"/>
      <c r="H182" s="200"/>
    </row>
    <row r="183" customFormat="false" ht="14.25" hidden="false" customHeight="false" outlineLevel="0" collapsed="false">
      <c r="G183" s="91"/>
      <c r="H183" s="200"/>
    </row>
    <row r="184" customFormat="false" ht="14.25" hidden="false" customHeight="false" outlineLevel="0" collapsed="false">
      <c r="G184" s="91"/>
      <c r="H184" s="200"/>
    </row>
    <row r="185" customFormat="false" ht="14.25" hidden="false" customHeight="false" outlineLevel="0" collapsed="false">
      <c r="G185" s="91"/>
      <c r="H185" s="200"/>
    </row>
    <row r="186" customFormat="false" ht="14.25" hidden="false" customHeight="false" outlineLevel="0" collapsed="false">
      <c r="G186" s="91"/>
      <c r="H186" s="200"/>
    </row>
    <row r="187" customFormat="false" ht="14.25" hidden="false" customHeight="false" outlineLevel="0" collapsed="false">
      <c r="G187" s="91"/>
      <c r="H187" s="200"/>
    </row>
    <row r="188" customFormat="false" ht="14.25" hidden="false" customHeight="false" outlineLevel="0" collapsed="false">
      <c r="G188" s="91"/>
      <c r="H188" s="200"/>
    </row>
    <row r="189" customFormat="false" ht="14.25" hidden="false" customHeight="false" outlineLevel="0" collapsed="false">
      <c r="G189" s="91"/>
      <c r="H189" s="200"/>
    </row>
    <row r="190" customFormat="false" ht="14.25" hidden="false" customHeight="false" outlineLevel="0" collapsed="false">
      <c r="G190" s="91"/>
      <c r="H190" s="200"/>
    </row>
    <row r="191" customFormat="false" ht="14.25" hidden="false" customHeight="false" outlineLevel="0" collapsed="false">
      <c r="G191" s="91"/>
      <c r="H191" s="200"/>
    </row>
    <row r="192" customFormat="false" ht="14.25" hidden="false" customHeight="false" outlineLevel="0" collapsed="false">
      <c r="G192" s="91"/>
      <c r="H192" s="200"/>
    </row>
    <row r="193" customFormat="false" ht="14.25" hidden="false" customHeight="false" outlineLevel="0" collapsed="false">
      <c r="G193" s="91"/>
      <c r="H193" s="200"/>
    </row>
    <row r="194" customFormat="false" ht="14.25" hidden="false" customHeight="false" outlineLevel="0" collapsed="false">
      <c r="G194" s="91"/>
      <c r="H194" s="200"/>
    </row>
    <row r="195" customFormat="false" ht="14.25" hidden="false" customHeight="false" outlineLevel="0" collapsed="false">
      <c r="G195" s="91"/>
      <c r="H195" s="200"/>
    </row>
    <row r="196" customFormat="false" ht="14.25" hidden="false" customHeight="false" outlineLevel="0" collapsed="false">
      <c r="G196" s="91"/>
      <c r="H196" s="200"/>
    </row>
    <row r="197" customFormat="false" ht="14.25" hidden="false" customHeight="false" outlineLevel="0" collapsed="false">
      <c r="G197" s="91"/>
      <c r="H197" s="200"/>
    </row>
    <row r="198" customFormat="false" ht="14.25" hidden="false" customHeight="false" outlineLevel="0" collapsed="false">
      <c r="G198" s="91"/>
      <c r="H198" s="200"/>
    </row>
    <row r="199" customFormat="false" ht="14.25" hidden="false" customHeight="false" outlineLevel="0" collapsed="false">
      <c r="G199" s="91"/>
      <c r="H199" s="200"/>
    </row>
    <row r="200" customFormat="false" ht="14.25" hidden="false" customHeight="false" outlineLevel="0" collapsed="false">
      <c r="G200" s="91"/>
      <c r="H200" s="200"/>
    </row>
    <row r="201" customFormat="false" ht="14.25" hidden="false" customHeight="false" outlineLevel="0" collapsed="false">
      <c r="G201" s="91"/>
      <c r="H201" s="200"/>
    </row>
    <row r="202" customFormat="false" ht="14.25" hidden="false" customHeight="false" outlineLevel="0" collapsed="false">
      <c r="G202" s="91"/>
      <c r="H202" s="200"/>
    </row>
    <row r="203" customFormat="false" ht="14.25" hidden="false" customHeight="false" outlineLevel="0" collapsed="false">
      <c r="G203" s="91"/>
      <c r="H203" s="200"/>
    </row>
    <row r="204" customFormat="false" ht="14.25" hidden="false" customHeight="false" outlineLevel="0" collapsed="false">
      <c r="G204" s="91"/>
      <c r="H204" s="200"/>
    </row>
    <row r="205" customFormat="false" ht="14.25" hidden="false" customHeight="false" outlineLevel="0" collapsed="false">
      <c r="G205" s="91"/>
      <c r="H205" s="200"/>
    </row>
    <row r="206" customFormat="false" ht="14.25" hidden="false" customHeight="false" outlineLevel="0" collapsed="false">
      <c r="G206" s="91"/>
      <c r="H206" s="200"/>
    </row>
    <row r="207" customFormat="false" ht="14.25" hidden="false" customHeight="false" outlineLevel="0" collapsed="false">
      <c r="G207" s="91"/>
      <c r="H207" s="200"/>
    </row>
    <row r="208" customFormat="false" ht="14.25" hidden="false" customHeight="false" outlineLevel="0" collapsed="false">
      <c r="G208" s="91"/>
      <c r="H208" s="200"/>
    </row>
    <row r="209" customFormat="false" ht="14.25" hidden="false" customHeight="false" outlineLevel="0" collapsed="false">
      <c r="G209" s="91"/>
      <c r="H209" s="200"/>
    </row>
    <row r="210" customFormat="false" ht="14.25" hidden="false" customHeight="false" outlineLevel="0" collapsed="false">
      <c r="G210" s="91"/>
      <c r="H210" s="200"/>
    </row>
    <row r="211" customFormat="false" ht="14.25" hidden="false" customHeight="false" outlineLevel="0" collapsed="false">
      <c r="G211" s="91"/>
      <c r="H211" s="200"/>
    </row>
    <row r="212" customFormat="false" ht="14.25" hidden="false" customHeight="false" outlineLevel="0" collapsed="false">
      <c r="G212" s="91"/>
      <c r="H212" s="200"/>
    </row>
    <row r="213" customFormat="false" ht="14.25" hidden="false" customHeight="false" outlineLevel="0" collapsed="false">
      <c r="G213" s="91"/>
      <c r="H213" s="200"/>
    </row>
    <row r="214" customFormat="false" ht="14.25" hidden="false" customHeight="false" outlineLevel="0" collapsed="false">
      <c r="G214" s="91"/>
      <c r="H214" s="200"/>
    </row>
    <row r="215" customFormat="false" ht="14.25" hidden="false" customHeight="false" outlineLevel="0" collapsed="false">
      <c r="G215" s="91"/>
      <c r="H215" s="200"/>
    </row>
    <row r="216" customFormat="false" ht="14.25" hidden="false" customHeight="false" outlineLevel="0" collapsed="false">
      <c r="G216" s="91"/>
      <c r="H216" s="200"/>
    </row>
    <row r="217" customFormat="false" ht="14.25" hidden="false" customHeight="false" outlineLevel="0" collapsed="false">
      <c r="G217" s="91"/>
      <c r="H217" s="200"/>
    </row>
    <row r="218" customFormat="false" ht="14.25" hidden="false" customHeight="false" outlineLevel="0" collapsed="false">
      <c r="G218" s="91"/>
      <c r="H218" s="200"/>
    </row>
    <row r="219" customFormat="false" ht="14.25" hidden="false" customHeight="false" outlineLevel="0" collapsed="false">
      <c r="G219" s="91"/>
      <c r="H219" s="200"/>
    </row>
    <row r="220" customFormat="false" ht="14.25" hidden="false" customHeight="false" outlineLevel="0" collapsed="false">
      <c r="G220" s="91"/>
      <c r="H220" s="200"/>
    </row>
    <row r="221" customFormat="false" ht="14.25" hidden="false" customHeight="false" outlineLevel="0" collapsed="false">
      <c r="G221" s="91"/>
      <c r="H221" s="200"/>
    </row>
    <row r="222" customFormat="false" ht="14.25" hidden="false" customHeight="false" outlineLevel="0" collapsed="false">
      <c r="G222" s="202"/>
      <c r="H222" s="203"/>
    </row>
  </sheetData>
  <mergeCells count="7">
    <mergeCell ref="B68:B73"/>
    <mergeCell ref="C68:C73"/>
    <mergeCell ref="D68:D73"/>
    <mergeCell ref="I68:I73"/>
    <mergeCell ref="J68:J73"/>
    <mergeCell ref="K68:K73"/>
    <mergeCell ref="L68:L7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a State Spatial Planning Board which is mandated with planning policies and reforms for the state?</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5.Part B - If Part A is scored as 'Yes', check whether the body has an explicit mandate to advise on or formulate state-level spatial planning policies and reforms. if yes, score 5.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note that the name of the body need not be identical, provided its statutory functions correspond to the intent of the question.</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A: State planning board provided / constituted ("&amp;TEXT($C$7/2,"0.00")&amp;")"</f>
        <v>Part A: State planning board provided / constituted (5.00)</v>
      </c>
      <c r="I12" s="241" t="str">
        <f aca="false">"Part B: Mandate on state spatial planning policies &amp; reforms (counts only if Part A = YES) ("&amp;TEXT($C$7/2,"0.00")&amp;")"</f>
        <v>Part B: Mandate on state spatial planning policies &amp; reforms (counts only if Part A = YES) (5.00)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4.25" hidden="false" customHeight="false" outlineLevel="0" collapsed="false">
      <c r="A14" s="242" t="s">
        <v>801</v>
      </c>
      <c r="B14" s="243"/>
      <c r="C14" s="243"/>
      <c r="D14" s="243"/>
      <c r="E14" s="243"/>
      <c r="F14" s="243"/>
      <c r="G14" s="243"/>
      <c r="H14" s="244"/>
      <c r="I14" s="244"/>
      <c r="J14" s="245" t="str">
        <f aca="false">IF(H14="","",IF(H14="NO",0,IF(I14="","",IF(I14="YES",$C$7,$C$7/2))))</f>
        <v/>
      </c>
      <c r="K14" s="243"/>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14.25" hidden="false" customHeight="false" outlineLevel="0" collapsed="false">
      <c r="A33" s="242" t="s">
        <v>17</v>
      </c>
      <c r="B33" s="243"/>
      <c r="C33" s="243"/>
      <c r="D33" s="243"/>
      <c r="E33" s="243"/>
      <c r="F33" s="243"/>
      <c r="G33" s="243"/>
      <c r="H33" s="244"/>
      <c r="I33" s="244"/>
      <c r="J33" s="245" t="str">
        <f aca="false">IF(H33="","",IF(H33="NO",0,IF(I33="","",IF(I33="YES",$C$7,$C$7/2))))</f>
        <v/>
      </c>
      <c r="K33" s="243" t="s">
        <v>1105</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the establishment of Planning Authorities for notified new towns or special developments?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has provisions for establishing a planning authority for new areas/towns notified. The state can also be considered, if the provision mandates the existing planning authority to develop a plan for the notified new area.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91.75" hidden="false" customHeight="false" outlineLevel="0" collapsed="false">
      <c r="A33" s="242" t="s">
        <v>17</v>
      </c>
      <c r="B33" s="243" t="s">
        <v>28</v>
      </c>
      <c r="C33" s="243" t="s">
        <v>1107</v>
      </c>
      <c r="D33" s="243" t="s">
        <v>1108</v>
      </c>
      <c r="E33" s="243" t="s">
        <v>1109</v>
      </c>
      <c r="F33" s="243" t="s">
        <v>1110</v>
      </c>
      <c r="G33" s="243" t="s">
        <v>29</v>
      </c>
      <c r="H33" s="244" t="s">
        <v>1111</v>
      </c>
      <c r="I33" s="245" t="n">
        <f aca="false">IF(H33="YES",$C$7,IF(H33="NO",0,""))</f>
        <v>10</v>
      </c>
      <c r="J33" s="246" t="s">
        <v>1112</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B9" activeCellId="0" sqref="B9"/>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Metropolitan/ Regional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80.55" hidden="false" customHeight="false" outlineLevel="0" collapsed="false">
      <c r="A33" s="242" t="s">
        <v>17</v>
      </c>
      <c r="B33" s="243" t="s">
        <v>36</v>
      </c>
      <c r="C33" s="243" t="s">
        <v>1113</v>
      </c>
      <c r="D33" s="243" t="s">
        <v>1114</v>
      </c>
      <c r="E33" s="243" t="s">
        <v>1115</v>
      </c>
      <c r="F33" s="243" t="s">
        <v>1116</v>
      </c>
      <c r="G33" s="243" t="s">
        <v>37</v>
      </c>
      <c r="H33" s="244"/>
      <c r="I33" s="245" t="str">
        <f aca="false">IF(H33="YES",$C$7,IF(H33="NO",0,""))</f>
        <v/>
      </c>
      <c r="J33" s="246" t="s">
        <v>1117</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B6" activeCellId="0" sqref="B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41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Municipal/city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municipal/city plan. Relevant urban areas development authority act can also be considered for evidence.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3.85" hidden="false" customHeight="false" outlineLevel="0" collapsed="false">
      <c r="A33" s="242" t="s">
        <v>17</v>
      </c>
      <c r="B33" s="243" t="s">
        <v>44</v>
      </c>
      <c r="C33" s="243" t="s">
        <v>1118</v>
      </c>
      <c r="D33" s="243" t="s">
        <v>1119</v>
      </c>
      <c r="E33" s="243" t="s">
        <v>1120</v>
      </c>
      <c r="F33" s="243" t="s">
        <v>19</v>
      </c>
      <c r="G33" s="243" t="s">
        <v>45</v>
      </c>
      <c r="H33" s="244" t="s">
        <v>1111</v>
      </c>
      <c r="I33" s="245" t="n">
        <f aca="false">IF(H33="YES",$C$7,IF(H33="NO",0,""))</f>
        <v>3.33</v>
      </c>
      <c r="J33" s="246" t="s">
        <v>1121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H16" activeCellId="0" sqref="H1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48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Ward(s)/local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101.2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third tier of plan at the zone/ward level. Town planning schemes that are developed within the framework of the municipal/city plan shall not be considered. </v>
      </c>
    </row>
    <row r="10" customFormat="false" ht="43.5"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in the comments if the mandate is for a zonal/ward/local area plan, mention the type.</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c r="K12" s="241" t="s">
        <v>1122</v>
      </c>
    </row>
    <row r="13" customFormat="false" ht="14.25" hidden="false" customHeight="false" outlineLevel="0" collapsed="false">
      <c r="A13" s="242" t="s">
        <v>800</v>
      </c>
      <c r="B13" s="243"/>
      <c r="C13" s="243"/>
      <c r="D13" s="243"/>
      <c r="E13" s="243"/>
      <c r="F13" s="243"/>
      <c r="G13" s="243"/>
      <c r="H13" s="244"/>
      <c r="I13" s="245" t="str">
        <f aca="false">IF(H13="YES",$C$7,IF(H13="NO",0,""))</f>
        <v/>
      </c>
      <c r="J13" s="243"/>
      <c r="K13" s="243"/>
    </row>
    <row r="14" customFormat="false" ht="14.25" hidden="false" customHeight="false" outlineLevel="0" collapsed="false">
      <c r="A14" s="242" t="s">
        <v>801</v>
      </c>
      <c r="B14" s="243"/>
      <c r="C14" s="243"/>
      <c r="D14" s="243"/>
      <c r="E14" s="243"/>
      <c r="F14" s="243"/>
      <c r="G14" s="243"/>
      <c r="H14" s="244"/>
      <c r="I14" s="245" t="str">
        <f aca="false">IF(H14="YES",$C$7,IF(H14="NO",0,""))</f>
        <v/>
      </c>
      <c r="J14" s="243"/>
      <c r="K14" s="243"/>
    </row>
    <row r="15" customFormat="false" ht="14.25" hidden="false" customHeight="false" outlineLevel="0" collapsed="false">
      <c r="A15" s="242" t="s">
        <v>802</v>
      </c>
      <c r="B15" s="243"/>
      <c r="C15" s="243"/>
      <c r="D15" s="243"/>
      <c r="E15" s="243"/>
      <c r="F15" s="243"/>
      <c r="G15" s="243"/>
      <c r="H15" s="244"/>
      <c r="I15" s="245" t="str">
        <f aca="false">IF(H15="YES",$C$7,IF(H15="NO",0,""))</f>
        <v/>
      </c>
      <c r="J15" s="243"/>
      <c r="K15" s="243"/>
    </row>
    <row r="16" customFormat="false" ht="14.25" hidden="false" customHeight="false" outlineLevel="0" collapsed="false">
      <c r="A16" s="242" t="s">
        <v>803</v>
      </c>
      <c r="B16" s="243"/>
      <c r="C16" s="243"/>
      <c r="D16" s="243"/>
      <c r="E16" s="243"/>
      <c r="F16" s="243"/>
      <c r="G16" s="243"/>
      <c r="H16" s="244"/>
      <c r="I16" s="245" t="str">
        <f aca="false">IF(H16="YES",$C$7,IF(H16="NO",0,""))</f>
        <v/>
      </c>
      <c r="J16" s="243"/>
      <c r="K16" s="243"/>
    </row>
    <row r="17" customFormat="false" ht="14.25" hidden="false" customHeight="false" outlineLevel="0" collapsed="false">
      <c r="A17" s="242" t="s">
        <v>804</v>
      </c>
      <c r="B17" s="243"/>
      <c r="C17" s="243"/>
      <c r="D17" s="243"/>
      <c r="E17" s="243"/>
      <c r="F17" s="243"/>
      <c r="G17" s="243"/>
      <c r="H17" s="244"/>
      <c r="I17" s="245" t="str">
        <f aca="false">IF(H17="YES",$C$7,IF(H17="NO",0,""))</f>
        <v/>
      </c>
      <c r="J17" s="243"/>
      <c r="K17" s="243"/>
    </row>
    <row r="18" customFormat="false" ht="14.25" hidden="false" customHeight="false" outlineLevel="0" collapsed="false">
      <c r="A18" s="242" t="s">
        <v>805</v>
      </c>
      <c r="B18" s="243"/>
      <c r="C18" s="243"/>
      <c r="D18" s="243"/>
      <c r="E18" s="243"/>
      <c r="F18" s="243"/>
      <c r="G18" s="243"/>
      <c r="H18" s="244"/>
      <c r="I18" s="245" t="str">
        <f aca="false">IF(H18="YES",$C$7,IF(H18="NO",0,""))</f>
        <v/>
      </c>
      <c r="J18" s="243"/>
      <c r="K18" s="243"/>
    </row>
    <row r="19" customFormat="false" ht="14.25" hidden="false" customHeight="false" outlineLevel="0" collapsed="false">
      <c r="A19" s="242" t="s">
        <v>806</v>
      </c>
      <c r="B19" s="243"/>
      <c r="C19" s="243"/>
      <c r="D19" s="243"/>
      <c r="E19" s="243"/>
      <c r="F19" s="243"/>
      <c r="G19" s="243"/>
      <c r="H19" s="244"/>
      <c r="I19" s="245" t="str">
        <f aca="false">IF(H19="YES",$C$7,IF(H19="NO",0,""))</f>
        <v/>
      </c>
      <c r="J19" s="243"/>
      <c r="K19" s="243"/>
    </row>
    <row r="20" customFormat="false" ht="14.25" hidden="false" customHeight="false" outlineLevel="0" collapsed="false">
      <c r="A20" s="242" t="s">
        <v>807</v>
      </c>
      <c r="B20" s="243"/>
      <c r="C20" s="243"/>
      <c r="D20" s="243"/>
      <c r="E20" s="243"/>
      <c r="F20" s="243"/>
      <c r="G20" s="243"/>
      <c r="H20" s="244"/>
      <c r="I20" s="245" t="str">
        <f aca="false">IF(H20="YES",$C$7,IF(H20="NO",0,""))</f>
        <v/>
      </c>
      <c r="J20" s="243"/>
      <c r="K20" s="243"/>
    </row>
    <row r="21" customFormat="false" ht="14.25" hidden="false" customHeight="false" outlineLevel="0" collapsed="false">
      <c r="A21" s="242" t="s">
        <v>808</v>
      </c>
      <c r="B21" s="243"/>
      <c r="C21" s="243"/>
      <c r="D21" s="243"/>
      <c r="E21" s="243"/>
      <c r="F21" s="243"/>
      <c r="G21" s="243"/>
      <c r="H21" s="244"/>
      <c r="I21" s="245" t="str">
        <f aca="false">IF(H21="YES",$C$7,IF(H21="NO",0,""))</f>
        <v/>
      </c>
      <c r="J21" s="243"/>
      <c r="K21" s="243"/>
    </row>
    <row r="22" customFormat="false" ht="14.25" hidden="false" customHeight="false" outlineLevel="0" collapsed="false">
      <c r="A22" s="242" t="s">
        <v>809</v>
      </c>
      <c r="B22" s="243"/>
      <c r="C22" s="243"/>
      <c r="D22" s="243"/>
      <c r="E22" s="243"/>
      <c r="F22" s="243"/>
      <c r="G22" s="243"/>
      <c r="H22" s="244"/>
      <c r="I22" s="245" t="str">
        <f aca="false">IF(H22="YES",$C$7,IF(H22="NO",0,""))</f>
        <v/>
      </c>
      <c r="J22" s="243"/>
      <c r="K22" s="243"/>
    </row>
    <row r="23" customFormat="false" ht="14.25" hidden="false" customHeight="false" outlineLevel="0" collapsed="false">
      <c r="A23" s="242" t="s">
        <v>810</v>
      </c>
      <c r="B23" s="243"/>
      <c r="C23" s="243"/>
      <c r="D23" s="243"/>
      <c r="E23" s="243"/>
      <c r="F23" s="243"/>
      <c r="G23" s="243"/>
      <c r="H23" s="244"/>
      <c r="I23" s="245" t="str">
        <f aca="false">IF(H23="YES",$C$7,IF(H23="NO",0,""))</f>
        <v/>
      </c>
      <c r="J23" s="243"/>
      <c r="K23" s="243"/>
    </row>
    <row r="24" customFormat="false" ht="14.25" hidden="false" customHeight="false" outlineLevel="0" collapsed="false">
      <c r="A24" s="242" t="s">
        <v>811</v>
      </c>
      <c r="B24" s="243"/>
      <c r="C24" s="243"/>
      <c r="D24" s="243"/>
      <c r="E24" s="243"/>
      <c r="F24" s="243"/>
      <c r="G24" s="243"/>
      <c r="H24" s="244"/>
      <c r="I24" s="245" t="str">
        <f aca="false">IF(H24="YES",$C$7,IF(H24="NO",0,""))</f>
        <v/>
      </c>
      <c r="J24" s="243"/>
      <c r="K24" s="243"/>
    </row>
    <row r="25" customFormat="false" ht="14.25" hidden="false" customHeight="false" outlineLevel="0" collapsed="false">
      <c r="A25" s="242" t="s">
        <v>812</v>
      </c>
      <c r="B25" s="243"/>
      <c r="C25" s="243"/>
      <c r="D25" s="243"/>
      <c r="E25" s="243"/>
      <c r="F25" s="243"/>
      <c r="G25" s="243"/>
      <c r="H25" s="244"/>
      <c r="I25" s="245" t="str">
        <f aca="false">IF(H25="YES",$C$7,IF(H25="NO",0,""))</f>
        <v/>
      </c>
      <c r="J25" s="243"/>
      <c r="K25" s="243"/>
    </row>
    <row r="26" customFormat="false" ht="14.25" hidden="false" customHeight="false" outlineLevel="0" collapsed="false">
      <c r="A26" s="242" t="s">
        <v>813</v>
      </c>
      <c r="B26" s="243"/>
      <c r="C26" s="243"/>
      <c r="D26" s="243"/>
      <c r="E26" s="243"/>
      <c r="F26" s="243"/>
      <c r="G26" s="243"/>
      <c r="H26" s="244"/>
      <c r="I26" s="245" t="str">
        <f aca="false">IF(H26="YES",$C$7,IF(H26="NO",0,""))</f>
        <v/>
      </c>
      <c r="J26" s="243"/>
      <c r="K26" s="243"/>
    </row>
    <row r="27" customFormat="false" ht="14.25" hidden="false" customHeight="false" outlineLevel="0" collapsed="false">
      <c r="A27" s="242" t="s">
        <v>814</v>
      </c>
      <c r="B27" s="243"/>
      <c r="C27" s="243"/>
      <c r="D27" s="243"/>
      <c r="E27" s="243"/>
      <c r="F27" s="243"/>
      <c r="G27" s="243"/>
      <c r="H27" s="244"/>
      <c r="I27" s="245" t="str">
        <f aca="false">IF(H27="YES",$C$7,IF(H27="NO",0,""))</f>
        <v/>
      </c>
      <c r="J27" s="243"/>
      <c r="K27" s="243"/>
    </row>
    <row r="28" customFormat="false" ht="14.25" hidden="false" customHeight="false" outlineLevel="0" collapsed="false">
      <c r="A28" s="242" t="s">
        <v>815</v>
      </c>
      <c r="B28" s="243"/>
      <c r="C28" s="243"/>
      <c r="D28" s="243"/>
      <c r="E28" s="243"/>
      <c r="F28" s="243"/>
      <c r="G28" s="243"/>
      <c r="H28" s="244"/>
      <c r="I28" s="245" t="str">
        <f aca="false">IF(H28="YES",$C$7,IF(H28="NO",0,""))</f>
        <v/>
      </c>
      <c r="J28" s="243"/>
      <c r="K28" s="243"/>
    </row>
    <row r="29" customFormat="false" ht="14.25" hidden="false" customHeight="false" outlineLevel="0" collapsed="false">
      <c r="A29" s="242" t="s">
        <v>816</v>
      </c>
      <c r="B29" s="243"/>
      <c r="C29" s="243"/>
      <c r="D29" s="243"/>
      <c r="E29" s="243"/>
      <c r="F29" s="243"/>
      <c r="G29" s="243"/>
      <c r="H29" s="244"/>
      <c r="I29" s="245" t="str">
        <f aca="false">IF(H29="YES",$C$7,IF(H29="NO",0,""))</f>
        <v/>
      </c>
      <c r="J29" s="243"/>
      <c r="K29" s="243"/>
    </row>
    <row r="30" customFormat="false" ht="14.25" hidden="false" customHeight="false" outlineLevel="0" collapsed="false">
      <c r="A30" s="242" t="s">
        <v>817</v>
      </c>
      <c r="B30" s="243"/>
      <c r="C30" s="243"/>
      <c r="D30" s="243"/>
      <c r="E30" s="243"/>
      <c r="F30" s="243"/>
      <c r="G30" s="243"/>
      <c r="H30" s="244"/>
      <c r="I30" s="245" t="str">
        <f aca="false">IF(H30="YES",$C$7,IF(H30="NO",0,""))</f>
        <v/>
      </c>
      <c r="J30" s="243"/>
      <c r="K30" s="243"/>
    </row>
    <row r="31" customFormat="false" ht="14.25" hidden="false" customHeight="false" outlineLevel="0" collapsed="false">
      <c r="A31" s="242" t="s">
        <v>818</v>
      </c>
      <c r="B31" s="243"/>
      <c r="C31" s="243"/>
      <c r="D31" s="243"/>
      <c r="E31" s="243"/>
      <c r="F31" s="243"/>
      <c r="G31" s="243"/>
      <c r="H31" s="244"/>
      <c r="I31" s="245" t="str">
        <f aca="false">IF(H31="YES",$C$7,IF(H31="NO",0,""))</f>
        <v/>
      </c>
      <c r="J31" s="243"/>
      <c r="K31" s="243"/>
    </row>
    <row r="32" customFormat="false" ht="14.25" hidden="false" customHeight="false" outlineLevel="0" collapsed="false">
      <c r="A32" s="242" t="s">
        <v>819</v>
      </c>
      <c r="B32" s="243"/>
      <c r="C32" s="243"/>
      <c r="D32" s="243"/>
      <c r="E32" s="243"/>
      <c r="F32" s="243"/>
      <c r="G32" s="243"/>
      <c r="H32" s="244"/>
      <c r="I32" s="245" t="str">
        <f aca="false">IF(H32="YES",$C$7,IF(H32="NO",0,""))</f>
        <v/>
      </c>
      <c r="J32" s="243"/>
      <c r="K32" s="243"/>
    </row>
    <row r="33" customFormat="false" ht="348.5" hidden="false" customHeight="false" outlineLevel="0" collapsed="false">
      <c r="A33" s="242" t="s">
        <v>17</v>
      </c>
      <c r="B33" s="243" t="s">
        <v>36</v>
      </c>
      <c r="C33" s="243" t="s">
        <v>1123</v>
      </c>
      <c r="D33" s="243" t="s">
        <v>1124</v>
      </c>
      <c r="E33" s="243" t="s">
        <v>1125</v>
      </c>
      <c r="F33" s="243" t="s">
        <v>1126</v>
      </c>
      <c r="G33" s="243" t="s">
        <v>37</v>
      </c>
      <c r="H33" s="244"/>
      <c r="I33" s="245" t="str">
        <f aca="false">IF(H33="YES",$C$7,IF(H33="NO",0,""))</f>
        <v/>
      </c>
      <c r="J33" s="246" t="s">
        <v>1127</v>
      </c>
      <c r="K33" s="243"/>
    </row>
    <row r="34" customFormat="false" ht="14.25" hidden="false" customHeight="false" outlineLevel="0" collapsed="false">
      <c r="A34" s="242" t="s">
        <v>820</v>
      </c>
      <c r="B34" s="243"/>
      <c r="C34" s="243"/>
      <c r="D34" s="243"/>
      <c r="E34" s="243"/>
      <c r="F34" s="243"/>
      <c r="G34" s="243"/>
      <c r="H34" s="244"/>
      <c r="I34" s="245" t="str">
        <f aca="false">IF(H34="YES",$C$7,IF(H34="NO",0,""))</f>
        <v/>
      </c>
      <c r="J34" s="243"/>
      <c r="K34" s="243"/>
    </row>
    <row r="35" customFormat="false" ht="14.25" hidden="false" customHeight="false" outlineLevel="0" collapsed="false">
      <c r="A35" s="242" t="s">
        <v>821</v>
      </c>
      <c r="B35" s="243"/>
      <c r="C35" s="243"/>
      <c r="D35" s="243"/>
      <c r="E35" s="243"/>
      <c r="F35" s="243"/>
      <c r="G35" s="243"/>
      <c r="H35" s="244"/>
      <c r="I35" s="245" t="str">
        <f aca="false">IF(H35="YES",$C$7,IF(H35="NO",0,""))</f>
        <v/>
      </c>
      <c r="J35" s="243"/>
      <c r="K35" s="243"/>
    </row>
    <row r="36" customFormat="false" ht="14.25" hidden="false" customHeight="false" outlineLevel="0" collapsed="false">
      <c r="A36" s="242" t="s">
        <v>822</v>
      </c>
      <c r="B36" s="243"/>
      <c r="C36" s="243"/>
      <c r="D36" s="243"/>
      <c r="E36" s="243"/>
      <c r="F36" s="243"/>
      <c r="G36" s="243"/>
      <c r="H36" s="244"/>
      <c r="I36" s="245" t="str">
        <f aca="false">IF(H36="YES",$C$7,IF(H36="NO",0,""))</f>
        <v/>
      </c>
      <c r="J36" s="243"/>
      <c r="K36" s="243"/>
    </row>
    <row r="37" customFormat="false" ht="14.25" hidden="false" customHeight="false" outlineLevel="0" collapsed="false">
      <c r="A37" s="242" t="s">
        <v>823</v>
      </c>
      <c r="B37" s="243"/>
      <c r="C37" s="243"/>
      <c r="D37" s="243"/>
      <c r="E37" s="243"/>
      <c r="F37" s="243"/>
      <c r="G37" s="243"/>
      <c r="H37" s="244"/>
      <c r="I37" s="245" t="str">
        <f aca="false">IF(H37="YES",$C$7,IF(H37="NO",0,""))</f>
        <v/>
      </c>
      <c r="J37" s="243"/>
      <c r="K37" s="243"/>
    </row>
    <row r="38" customFormat="false" ht="14.25" hidden="false" customHeight="false" outlineLevel="0" collapsed="false">
      <c r="A38" s="242" t="s">
        <v>824</v>
      </c>
      <c r="B38" s="243"/>
      <c r="C38" s="243"/>
      <c r="D38" s="243"/>
      <c r="E38" s="243"/>
      <c r="F38" s="243"/>
      <c r="G38" s="243"/>
      <c r="H38" s="244"/>
      <c r="I38" s="245" t="str">
        <f aca="false">IF(H38="YES",$C$7,IF(H38="NO",0,""))</f>
        <v/>
      </c>
      <c r="J38" s="243"/>
      <c r="K38" s="243"/>
    </row>
    <row r="39" customFormat="false" ht="14.25" hidden="false" customHeight="false" outlineLevel="0" collapsed="false">
      <c r="A39" s="242" t="s">
        <v>825</v>
      </c>
      <c r="B39" s="243"/>
      <c r="C39" s="243"/>
      <c r="D39" s="243"/>
      <c r="E39" s="243"/>
      <c r="F39" s="243"/>
      <c r="G39" s="243"/>
      <c r="H39" s="244"/>
      <c r="I39" s="245" t="str">
        <f aca="false">IF(H39="YES",$C$7,IF(H39="NO",0,""))</f>
        <v/>
      </c>
      <c r="J39" s="243"/>
      <c r="K39" s="243"/>
    </row>
    <row r="40" customFormat="false" ht="14.25" hidden="false" customHeight="false" outlineLevel="0" collapsed="false">
      <c r="A40" s="242" t="s">
        <v>826</v>
      </c>
      <c r="B40" s="243"/>
      <c r="C40" s="243"/>
      <c r="D40" s="243"/>
      <c r="E40" s="243"/>
      <c r="F40" s="243"/>
      <c r="G40" s="243"/>
      <c r="H40" s="244"/>
      <c r="I40" s="245" t="str">
        <f aca="false">IF(H40="YES",$C$7,IF(H40="NO",0,""))</f>
        <v/>
      </c>
      <c r="J40" s="243"/>
      <c r="K40" s="243"/>
    </row>
    <row r="41" customFormat="false" ht="14.25" hidden="false" customHeight="false" outlineLevel="0" collapsed="false">
      <c r="A41" s="242" t="s">
        <v>827</v>
      </c>
      <c r="B41" s="243"/>
      <c r="C41" s="243"/>
      <c r="D41" s="243"/>
      <c r="E41" s="243"/>
      <c r="F41" s="243"/>
      <c r="G41" s="243"/>
      <c r="H41" s="244"/>
      <c r="I41" s="245" t="str">
        <f aca="false">IF(H41="YES",$C$7,IF(H41="NO",0,""))</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53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 planning boundary of the municipal/city plan aligned with political and administrative boundaries?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boundary.For example:Entire ULG only = Score 10Entire ULG + 10 complete Gram Panchayats = Score 10Entire ULG + 15 complete revenue villages = Score 10Entire ULG + 2 complete taluks = Score 10ULG + only part of a Gram Panchayat/revenue village = Score 0Planning boundary itself divides the ULG, leaving part of the ULG outside the plan = Score 0 Use the notification/text defining the planning area as the primary source.Refer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6" t="s">
        <v>1128</v>
      </c>
      <c r="H14" s="244" t="s">
        <v>1111</v>
      </c>
      <c r="I14" s="245" t="n">
        <f aca="false">IF(H14="YES",$C$7,IF(H14="NO",0,""))</f>
        <v>10</v>
      </c>
      <c r="J14" s="243" t="s">
        <v>1129</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3.85" hidden="false" customHeight="false" outlineLevel="0" collapsed="false">
      <c r="A33" s="242" t="s">
        <v>17</v>
      </c>
      <c r="B33" s="243" t="s">
        <v>28</v>
      </c>
      <c r="C33" s="243" t="s">
        <v>1130</v>
      </c>
      <c r="D33" s="243" t="s">
        <v>1131</v>
      </c>
      <c r="E33" s="243" t="s">
        <v>1132</v>
      </c>
      <c r="F33" s="243" t="s">
        <v>1133</v>
      </c>
      <c r="G33" s="243" t="s">
        <v>29</v>
      </c>
      <c r="H33" s="244" t="s">
        <v>1134</v>
      </c>
      <c r="I33" s="245" t="n">
        <f aca="false">IF(H33="YES",$C$7,IF(H33="NO",0,""))</f>
        <v>0</v>
      </c>
      <c r="J33" s="246" t="s">
        <v>1135</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58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metropolitan/regional plan be approved by the state government?</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Act/metropolitan planning act mandates the metropolitan/regional plan to be approved by the state government.</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80.55" hidden="false" customHeight="false" outlineLevel="0" collapsed="false">
      <c r="A33" s="242" t="s">
        <v>17</v>
      </c>
      <c r="B33" s="243" t="s">
        <v>36</v>
      </c>
      <c r="C33" s="243" t="s">
        <v>1136</v>
      </c>
      <c r="D33" s="243" t="s">
        <v>1137</v>
      </c>
      <c r="E33" s="243" t="s">
        <v>1138</v>
      </c>
      <c r="F33" s="243" t="s">
        <v>1116</v>
      </c>
      <c r="G33" s="243" t="s">
        <v>37</v>
      </c>
      <c r="H33" s="244" t="s">
        <v>1111</v>
      </c>
      <c r="I33" s="245" t="n">
        <f aca="false">IF(H33="YES",$C$7,IF(H33="NO",0,""))</f>
        <v>3.33</v>
      </c>
      <c r="J33" s="246" t="s">
        <v>1139</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64</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municipal/city plan be approved by the MPC (Metropolitan Planning Committee)  for metropolitan cities or by DPC (District Planning Committee) for non-metropolitan cities?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58.95" hidden="false" customHeight="false" outlineLevel="0" collapsed="false">
      <c r="A33" s="242" t="s">
        <v>17</v>
      </c>
      <c r="B33" s="243" t="s">
        <v>67</v>
      </c>
      <c r="C33" s="243" t="s">
        <v>1140</v>
      </c>
      <c r="D33" s="243" t="s">
        <v>1141</v>
      </c>
      <c r="E33" s="243" t="s">
        <v>1142</v>
      </c>
      <c r="F33" s="243" t="s">
        <v>453</v>
      </c>
      <c r="G33" s="243" t="s">
        <v>68</v>
      </c>
      <c r="H33" s="244"/>
      <c r="I33" s="245" t="str">
        <f aca="false">IF(H33="YES",$C$7,IF(H33="NO",0,""))</f>
        <v/>
      </c>
      <c r="J33" s="246" t="s">
        <v>1143</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71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ward(s)/local plan be approved by the ULG?</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zonal/ward plans to be approved by the ULG.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47.75" hidden="false" customHeight="false" outlineLevel="0" collapsed="false">
      <c r="A33" s="242" t="s">
        <v>17</v>
      </c>
      <c r="B33" s="243" t="s">
        <v>36</v>
      </c>
      <c r="C33" s="243" t="s">
        <v>1144</v>
      </c>
      <c r="D33" s="243" t="s">
        <v>1145</v>
      </c>
      <c r="E33" s="243" t="s">
        <v>1146</v>
      </c>
      <c r="F33" s="243" t="s">
        <v>1126</v>
      </c>
      <c r="G33" s="243" t="s">
        <v>37</v>
      </c>
      <c r="H33" s="244"/>
      <c r="I33" s="245" t="str">
        <f aca="false">IF(H33="YES",$C$7,IF(H33="NO",0,""))</f>
        <v/>
      </c>
      <c r="J33" s="246" t="s">
        <v>1147</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76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each level of Municipal/City Plans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clearly define the objectives/contents of each level of spatial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detail the objectives and contents of each level of spatial plan. The Act should broadly mention what each level of spatial plan should cover. Score 3.33 each for the objectives and contents of - 1. Metropolitan/regional plan2. Municipal/city plan3. Ward(s)/local plan If the T&amp;CP Act provides for all three, score 10. </v>
      </c>
    </row>
    <row r="10" customFormat="false" ht="51.75"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1148</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"Objectives/contents: Metropolitan/regional plan ("&amp;TEXT($C$7/3,"0.00")&amp;")"</f>
        <v>Objectives/contents: Metropolitan/regional plan (3.33)</v>
      </c>
      <c r="I12" s="241" t="str">
        <f aca="false">"Objectives/contents: Municipal/city plan ("&amp;TEXT($C$7/3,"0.00")&amp;")"</f>
        <v>Objectives/contents: Municipal/city plan (3.33)</v>
      </c>
      <c r="J12" s="241" t="str">
        <f aca="false">"Objectives/contents: Ward/local plan ("&amp;TEXT($C$7/3,"0.00")&amp;")"</f>
        <v>Objectives/contents: Ward/local plan (3.33)</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IF(OR(H13="",I13="",J13=""),"",COUNTIF(H13:J13,"YES")/3*$C$7)</f>
        <v/>
      </c>
      <c r="L13" s="243"/>
    </row>
    <row r="14" customFormat="false" ht="14.25" hidden="false" customHeight="false" outlineLevel="0" collapsed="false">
      <c r="A14" s="242" t="s">
        <v>801</v>
      </c>
      <c r="B14" s="243"/>
      <c r="C14" s="243"/>
      <c r="D14" s="243"/>
      <c r="E14" s="243"/>
      <c r="F14" s="243"/>
      <c r="G14" s="243"/>
      <c r="H14" s="244"/>
      <c r="I14" s="244"/>
      <c r="J14" s="244"/>
      <c r="K14" s="245" t="str">
        <f aca="false">IF(OR(H14="",I14="",J14=""),"",COUNTIF(H14:J14,"YES")/3*$C$7)</f>
        <v/>
      </c>
      <c r="L14" s="243"/>
    </row>
    <row r="15" customFormat="false" ht="14.25" hidden="false" customHeight="false" outlineLevel="0" collapsed="false">
      <c r="A15" s="242" t="s">
        <v>802</v>
      </c>
      <c r="B15" s="243"/>
      <c r="C15" s="243"/>
      <c r="D15" s="243"/>
      <c r="E15" s="243"/>
      <c r="F15" s="243"/>
      <c r="G15" s="243"/>
      <c r="H15" s="244"/>
      <c r="I15" s="244"/>
      <c r="J15" s="244"/>
      <c r="K15" s="245" t="str">
        <f aca="false">IF(OR(H15="",I15="",J15=""),"",COUNTIF(H15:J15,"YES")/3*$C$7)</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IF(OR(H16="",I16="",J16=""),"",COUNTIF(H16:J16,"YES")/3*$C$7)</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IF(OR(H17="",I17="",J17=""),"",COUNTIF(H17:J17,"YES")/3*$C$7)</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IF(OR(H18="",I18="",J18=""),"",COUNTIF(H18:J18,"YES")/3*$C$7)</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IF(OR(H19="",I19="",J19=""),"",COUNTIF(H19:J19,"YES")/3*$C$7)</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IF(OR(H20="",I20="",J20=""),"",COUNTIF(H20:J20,"YES")/3*$C$7)</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IF(OR(H21="",I21="",J21=""),"",COUNTIF(H21:J21,"YES")/3*$C$7)</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IF(OR(H22="",I22="",J22=""),"",COUNTIF(H22:J22,"YES")/3*$C$7)</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IF(OR(H23="",I23="",J23=""),"",COUNTIF(H23:J23,"YES")/3*$C$7)</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IF(OR(H24="",I24="",J24=""),"",COUNTIF(H24:J24,"YES")/3*$C$7)</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IF(OR(H25="",I25="",J25=""),"",COUNTIF(H25:J25,"YES")/3*$C$7)</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IF(OR(H26="",I26="",J26=""),"",COUNTIF(H26:J26,"YES")/3*$C$7)</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IF(OR(H27="",I27="",J27=""),"",COUNTIF(H27:J27,"YES")/3*$C$7)</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IF(OR(H28="",I28="",J28=""),"",COUNTIF(H28:J28,"YES")/3*$C$7)</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IF(OR(H29="",I29="",J29=""),"",COUNTIF(H29:J29,"YES")/3*$C$7)</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IF(OR(H30="",I30="",J30=""),"",COUNTIF(H30:J30,"YES")/3*$C$7)</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IF(OR(H31="",I31="",J31=""),"",COUNTIF(H31:J31,"YES")/3*$C$7)</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IF(OR(H32="",I32="",J32=""),"",COUNTIF(H32:J32,"YES")/3*$C$7)</f>
        <v/>
      </c>
      <c r="L32" s="243"/>
    </row>
    <row r="33" customFormat="false" ht="14.25" hidden="false" customHeight="false" outlineLevel="0" collapsed="false">
      <c r="A33" s="242" t="s">
        <v>17</v>
      </c>
      <c r="B33" s="243"/>
      <c r="C33" s="243"/>
      <c r="D33" s="243"/>
      <c r="E33" s="243"/>
      <c r="F33" s="243"/>
      <c r="G33" s="243"/>
      <c r="H33" s="244"/>
      <c r="I33" s="244"/>
      <c r="J33" s="244"/>
      <c r="K33" s="245" t="str">
        <f aca="false">IF(OR(H33="",I33="",J33=""),"",COUNTIF(H33:J33,"YES")/3*$C$7)</f>
        <v/>
      </c>
      <c r="L33" s="243" t="s">
        <v>1149</v>
      </c>
    </row>
    <row r="34" customFormat="false" ht="14.25" hidden="false" customHeight="false" outlineLevel="0" collapsed="false">
      <c r="A34" s="242" t="s">
        <v>820</v>
      </c>
      <c r="B34" s="243"/>
      <c r="C34" s="243"/>
      <c r="D34" s="243"/>
      <c r="E34" s="243"/>
      <c r="F34" s="243"/>
      <c r="G34" s="243"/>
      <c r="H34" s="244"/>
      <c r="I34" s="244"/>
      <c r="J34" s="244"/>
      <c r="K34" s="245" t="str">
        <f aca="false">IF(OR(H34="",I34="",J34=""),"",COUNTIF(H34:J34,"YES")/3*$C$7)</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IF(OR(H35="",I35="",J35=""),"",COUNTIF(H35:J35,"YES")/3*$C$7)</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IF(OR(H36="",I36="",J36=""),"",COUNTIF(H36:J36,"YES")/3*$C$7)</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IF(OR(H37="",I37="",J37=""),"",COUNTIF(H37:J37,"YES")/3*$C$7)</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IF(OR(H38="",I38="",J38=""),"",COUNTIF(H38:J38,"YES")/3*$C$7)</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IF(OR(H39="",I39="",J39=""),"",COUNTIF(H39:J39,"YES")/3*$C$7)</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IF(OR(H40="",I40="",J40=""),"",COUNTIF(H40:J40,"YES")/3*$C$7)</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IF(OR(H41="",I41="",J41=""),"",COUNTIF(H41:J41,"YES")/3*$C$7)</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C10" activeCellId="0" sqref="C10"/>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79</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Does the law provide for the constitution of an MPC/DPC?</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Part A:  Check whether there is a mandate in the Municipal or T&amp;CP Act for the constitution of MPC/DPC. If yes, score 2.5                                                                                                                                                                   Part B: Check whether the State has notified the rules for the MPC/DPC applicable to the city. If yes, score 2.5.MPC applies to metropolitan cities (46 cities); DPC applies for non-metropolitan cities</v>
      </c>
    </row>
    <row r="10" customFormat="false" ht="54"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A: Mandate in Municipal / T&amp;CP Act ("&amp;TEXT($C$7/2,"0.00")&amp;")"</f>
        <v>Part A: Mandate in Municipal / T&amp;CP Act (2.50)</v>
      </c>
      <c r="I12" s="241" t="str">
        <f aca="false">"Part B: MPC/DPC rules notified ("&amp;TEXT($C$7/2,"0.00")&amp;")"</f>
        <v>Part B: MPC/DPC rules notified (2.50)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IF(OR(H13="",I13=""),"",COUNTIF(H13:I13,"YES")/2*$C$7)</f>
        <v/>
      </c>
      <c r="K13" s="243"/>
    </row>
    <row r="14" customFormat="false" ht="14.25" hidden="false" customHeight="false" outlineLevel="0" collapsed="false">
      <c r="A14" s="242" t="s">
        <v>801</v>
      </c>
      <c r="B14" s="243"/>
      <c r="C14" s="243"/>
      <c r="D14" s="243"/>
      <c r="E14" s="243"/>
      <c r="F14" s="243"/>
      <c r="G14" s="243"/>
      <c r="H14" s="244"/>
      <c r="I14" s="244"/>
      <c r="J14" s="245" t="str">
        <f aca="false">IF(OR(H14="",I14=""),"",COUNTIF(H14:I14,"YES")/2*$C$7)</f>
        <v/>
      </c>
      <c r="K14" s="243"/>
    </row>
    <row r="15" customFormat="false" ht="14.25" hidden="false" customHeight="false" outlineLevel="0" collapsed="false">
      <c r="A15" s="242" t="s">
        <v>802</v>
      </c>
      <c r="B15" s="243"/>
      <c r="C15" s="243"/>
      <c r="D15" s="243"/>
      <c r="E15" s="243"/>
      <c r="F15" s="243"/>
      <c r="G15" s="243"/>
      <c r="H15" s="244"/>
      <c r="I15" s="244"/>
      <c r="J15" s="245" t="str">
        <f aca="false">IF(OR(H15="",I15=""),"",COUNTIF(H15:I15,"YES")/2*$C$7)</f>
        <v/>
      </c>
      <c r="K15" s="243"/>
    </row>
    <row r="16" customFormat="false" ht="14.25" hidden="false" customHeight="false" outlineLevel="0" collapsed="false">
      <c r="A16" s="242" t="s">
        <v>803</v>
      </c>
      <c r="B16" s="243"/>
      <c r="C16" s="243"/>
      <c r="D16" s="243"/>
      <c r="E16" s="243"/>
      <c r="F16" s="243"/>
      <c r="G16" s="243"/>
      <c r="H16" s="244"/>
      <c r="I16" s="244"/>
      <c r="J16" s="245" t="str">
        <f aca="false">IF(OR(H16="",I16=""),"",COUNTIF(H16:I16,"YES")/2*$C$7)</f>
        <v/>
      </c>
      <c r="K16" s="243"/>
    </row>
    <row r="17" customFormat="false" ht="14.25" hidden="false" customHeight="false" outlineLevel="0" collapsed="false">
      <c r="A17" s="242" t="s">
        <v>804</v>
      </c>
      <c r="B17" s="243"/>
      <c r="C17" s="243"/>
      <c r="D17" s="243"/>
      <c r="E17" s="243"/>
      <c r="F17" s="243"/>
      <c r="G17" s="243"/>
      <c r="H17" s="244"/>
      <c r="I17" s="244"/>
      <c r="J17" s="245" t="str">
        <f aca="false">IF(OR(H17="",I17=""),"",COUNTIF(H17:I17,"YES")/2*$C$7)</f>
        <v/>
      </c>
      <c r="K17" s="243"/>
    </row>
    <row r="18" customFormat="false" ht="14.25" hidden="false" customHeight="false" outlineLevel="0" collapsed="false">
      <c r="A18" s="242" t="s">
        <v>805</v>
      </c>
      <c r="B18" s="243"/>
      <c r="C18" s="243"/>
      <c r="D18" s="243"/>
      <c r="E18" s="243"/>
      <c r="F18" s="243"/>
      <c r="G18" s="243"/>
      <c r="H18" s="244"/>
      <c r="I18" s="244"/>
      <c r="J18" s="245" t="str">
        <f aca="false">IF(OR(H18="",I18=""),"",COUNTIF(H18:I18,"YES")/2*$C$7)</f>
        <v/>
      </c>
      <c r="K18" s="243"/>
    </row>
    <row r="19" customFormat="false" ht="14.25" hidden="false" customHeight="false" outlineLevel="0" collapsed="false">
      <c r="A19" s="242" t="s">
        <v>806</v>
      </c>
      <c r="B19" s="243"/>
      <c r="C19" s="243"/>
      <c r="D19" s="243"/>
      <c r="E19" s="243"/>
      <c r="F19" s="243"/>
      <c r="G19" s="243"/>
      <c r="H19" s="244"/>
      <c r="I19" s="244"/>
      <c r="J19" s="245" t="str">
        <f aca="false">IF(OR(H19="",I19=""),"",COUNTIF(H19:I19,"YES")/2*$C$7)</f>
        <v/>
      </c>
      <c r="K19" s="243"/>
    </row>
    <row r="20" customFormat="false" ht="14.25" hidden="false" customHeight="false" outlineLevel="0" collapsed="false">
      <c r="A20" s="242" t="s">
        <v>807</v>
      </c>
      <c r="B20" s="243"/>
      <c r="C20" s="243"/>
      <c r="D20" s="243"/>
      <c r="E20" s="243"/>
      <c r="F20" s="243"/>
      <c r="G20" s="243"/>
      <c r="H20" s="244"/>
      <c r="I20" s="244"/>
      <c r="J20" s="245" t="str">
        <f aca="false">IF(OR(H20="",I20=""),"",COUNTIF(H20:I20,"YES")/2*$C$7)</f>
        <v/>
      </c>
      <c r="K20" s="243"/>
    </row>
    <row r="21" customFormat="false" ht="14.25" hidden="false" customHeight="false" outlineLevel="0" collapsed="false">
      <c r="A21" s="242" t="s">
        <v>808</v>
      </c>
      <c r="B21" s="243"/>
      <c r="C21" s="243"/>
      <c r="D21" s="243"/>
      <c r="E21" s="243"/>
      <c r="F21" s="243"/>
      <c r="G21" s="243"/>
      <c r="H21" s="244"/>
      <c r="I21" s="244"/>
      <c r="J21" s="245" t="str">
        <f aca="false">IF(OR(H21="",I21=""),"",COUNTIF(H21:I21,"YES")/2*$C$7)</f>
        <v/>
      </c>
      <c r="K21" s="243"/>
    </row>
    <row r="22" customFormat="false" ht="14.25" hidden="false" customHeight="false" outlineLevel="0" collapsed="false">
      <c r="A22" s="242" t="s">
        <v>809</v>
      </c>
      <c r="B22" s="243"/>
      <c r="C22" s="243"/>
      <c r="D22" s="243"/>
      <c r="E22" s="243"/>
      <c r="F22" s="243"/>
      <c r="G22" s="243"/>
      <c r="H22" s="244"/>
      <c r="I22" s="244"/>
      <c r="J22" s="245" t="str">
        <f aca="false">IF(OR(H22="",I22=""),"",COUNTIF(H22:I22,"YES")/2*$C$7)</f>
        <v/>
      </c>
      <c r="K22" s="243"/>
    </row>
    <row r="23" customFormat="false" ht="14.25" hidden="false" customHeight="false" outlineLevel="0" collapsed="false">
      <c r="A23" s="242" t="s">
        <v>810</v>
      </c>
      <c r="B23" s="243"/>
      <c r="C23" s="243"/>
      <c r="D23" s="243"/>
      <c r="E23" s="243"/>
      <c r="F23" s="243"/>
      <c r="G23" s="243"/>
      <c r="H23" s="244"/>
      <c r="I23" s="244"/>
      <c r="J23" s="245" t="str">
        <f aca="false">IF(OR(H23="",I23=""),"",COUNTIF(H23:I23,"YES")/2*$C$7)</f>
        <v/>
      </c>
      <c r="K23" s="243"/>
    </row>
    <row r="24" customFormat="false" ht="14.25" hidden="false" customHeight="false" outlineLevel="0" collapsed="false">
      <c r="A24" s="242" t="s">
        <v>811</v>
      </c>
      <c r="B24" s="243"/>
      <c r="C24" s="243"/>
      <c r="D24" s="243"/>
      <c r="E24" s="243"/>
      <c r="F24" s="243"/>
      <c r="G24" s="243"/>
      <c r="H24" s="244"/>
      <c r="I24" s="244"/>
      <c r="J24" s="245" t="str">
        <f aca="false">IF(OR(H24="",I24=""),"",COUNTIF(H24:I24,"YES")/2*$C$7)</f>
        <v/>
      </c>
      <c r="K24" s="243"/>
    </row>
    <row r="25" customFormat="false" ht="14.25" hidden="false" customHeight="false" outlineLevel="0" collapsed="false">
      <c r="A25" s="242" t="s">
        <v>812</v>
      </c>
      <c r="B25" s="243"/>
      <c r="C25" s="243"/>
      <c r="D25" s="243"/>
      <c r="E25" s="243"/>
      <c r="F25" s="243"/>
      <c r="G25" s="243"/>
      <c r="H25" s="244"/>
      <c r="I25" s="244"/>
      <c r="J25" s="245" t="str">
        <f aca="false">IF(OR(H25="",I25=""),"",COUNTIF(H25:I25,"YES")/2*$C$7)</f>
        <v/>
      </c>
      <c r="K25" s="243"/>
    </row>
    <row r="26" customFormat="false" ht="14.25" hidden="false" customHeight="false" outlineLevel="0" collapsed="false">
      <c r="A26" s="242" t="s">
        <v>813</v>
      </c>
      <c r="B26" s="243"/>
      <c r="C26" s="243"/>
      <c r="D26" s="243"/>
      <c r="E26" s="243"/>
      <c r="F26" s="243"/>
      <c r="G26" s="243"/>
      <c r="H26" s="244"/>
      <c r="I26" s="244"/>
      <c r="J26" s="245" t="str">
        <f aca="false">IF(OR(H26="",I26=""),"",COUNTIF(H26:I26,"YES")/2*$C$7)</f>
        <v/>
      </c>
      <c r="K26" s="243"/>
    </row>
    <row r="27" customFormat="false" ht="14.25" hidden="false" customHeight="false" outlineLevel="0" collapsed="false">
      <c r="A27" s="242" t="s">
        <v>814</v>
      </c>
      <c r="B27" s="243"/>
      <c r="C27" s="243"/>
      <c r="D27" s="243"/>
      <c r="E27" s="243"/>
      <c r="F27" s="243"/>
      <c r="G27" s="243"/>
      <c r="H27" s="244"/>
      <c r="I27" s="244"/>
      <c r="J27" s="245" t="str">
        <f aca="false">IF(OR(H27="",I27=""),"",COUNTIF(H27:I27,"YES")/2*$C$7)</f>
        <v/>
      </c>
      <c r="K27" s="243"/>
    </row>
    <row r="28" customFormat="false" ht="14.25" hidden="false" customHeight="false" outlineLevel="0" collapsed="false">
      <c r="A28" s="242" t="s">
        <v>815</v>
      </c>
      <c r="B28" s="243"/>
      <c r="C28" s="243"/>
      <c r="D28" s="243"/>
      <c r="E28" s="243"/>
      <c r="F28" s="243"/>
      <c r="G28" s="243"/>
      <c r="H28" s="244"/>
      <c r="I28" s="244"/>
      <c r="J28" s="245" t="str">
        <f aca="false">IF(OR(H28="",I28=""),"",COUNTIF(H28:I28,"YES")/2*$C$7)</f>
        <v/>
      </c>
      <c r="K28" s="243"/>
    </row>
    <row r="29" customFormat="false" ht="14.25" hidden="false" customHeight="false" outlineLevel="0" collapsed="false">
      <c r="A29" s="242" t="s">
        <v>816</v>
      </c>
      <c r="B29" s="243"/>
      <c r="C29" s="243"/>
      <c r="D29" s="243"/>
      <c r="E29" s="243"/>
      <c r="F29" s="243"/>
      <c r="G29" s="243"/>
      <c r="H29" s="244"/>
      <c r="I29" s="244"/>
      <c r="J29" s="245" t="str">
        <f aca="false">IF(OR(H29="",I29=""),"",COUNTIF(H29:I29,"YES")/2*$C$7)</f>
        <v/>
      </c>
      <c r="K29" s="243"/>
    </row>
    <row r="30" customFormat="false" ht="14.25" hidden="false" customHeight="false" outlineLevel="0" collapsed="false">
      <c r="A30" s="242" t="s">
        <v>817</v>
      </c>
      <c r="B30" s="243"/>
      <c r="C30" s="243"/>
      <c r="D30" s="243"/>
      <c r="E30" s="243"/>
      <c r="F30" s="243"/>
      <c r="G30" s="243"/>
      <c r="H30" s="244"/>
      <c r="I30" s="244"/>
      <c r="J30" s="245" t="str">
        <f aca="false">IF(OR(H30="",I30=""),"",COUNTIF(H30:I30,"YES")/2*$C$7)</f>
        <v/>
      </c>
      <c r="K30" s="243"/>
    </row>
    <row r="31" customFormat="false" ht="14.25" hidden="false" customHeight="false" outlineLevel="0" collapsed="false">
      <c r="A31" s="242" t="s">
        <v>818</v>
      </c>
      <c r="B31" s="243"/>
      <c r="C31" s="243"/>
      <c r="D31" s="243"/>
      <c r="E31" s="243"/>
      <c r="F31" s="243"/>
      <c r="G31" s="243"/>
      <c r="H31" s="244"/>
      <c r="I31" s="244"/>
      <c r="J31" s="245" t="str">
        <f aca="false">IF(OR(H31="",I31=""),"",COUNTIF(H31:I31,"YES")/2*$C$7)</f>
        <v/>
      </c>
      <c r="K31" s="243"/>
    </row>
    <row r="32" customFormat="false" ht="14.25" hidden="false" customHeight="false" outlineLevel="0" collapsed="false">
      <c r="A32" s="242" t="s">
        <v>819</v>
      </c>
      <c r="B32" s="243"/>
      <c r="C32" s="243"/>
      <c r="D32" s="243"/>
      <c r="E32" s="243"/>
      <c r="F32" s="243"/>
      <c r="G32" s="243"/>
      <c r="H32" s="244"/>
      <c r="I32" s="244"/>
      <c r="J32" s="245" t="str">
        <f aca="false">IF(OR(H32="",I32=""),"",COUNTIF(H32:I32,"YES")/2*$C$7)</f>
        <v/>
      </c>
      <c r="K32" s="243"/>
    </row>
    <row r="33" customFormat="false" ht="14.25" hidden="false" customHeight="false" outlineLevel="0" collapsed="false">
      <c r="A33" s="242" t="s">
        <v>17</v>
      </c>
      <c r="B33" s="243"/>
      <c r="C33" s="243"/>
      <c r="D33" s="243"/>
      <c r="E33" s="243"/>
      <c r="F33" s="243"/>
      <c r="G33" s="243"/>
      <c r="H33" s="244"/>
      <c r="I33" s="244"/>
      <c r="J33" s="245" t="str">
        <f aca="false">IF(OR(H33="",I33=""),"",COUNTIF(H33:I33,"YES")/2*$C$7)</f>
        <v/>
      </c>
      <c r="K33" s="243" t="s">
        <v>1150</v>
      </c>
    </row>
    <row r="34" customFormat="false" ht="14.25" hidden="false" customHeight="false" outlineLevel="0" collapsed="false">
      <c r="A34" s="242" t="s">
        <v>820</v>
      </c>
      <c r="B34" s="243"/>
      <c r="C34" s="243"/>
      <c r="D34" s="243"/>
      <c r="E34" s="243"/>
      <c r="F34" s="243"/>
      <c r="G34" s="243"/>
      <c r="H34" s="244"/>
      <c r="I34" s="244"/>
      <c r="J34" s="245" t="str">
        <f aca="false">IF(OR(H34="",I34=""),"",COUNTIF(H34:I34,"YES")/2*$C$7)</f>
        <v/>
      </c>
      <c r="K34" s="243"/>
    </row>
    <row r="35" customFormat="false" ht="14.25" hidden="false" customHeight="false" outlineLevel="0" collapsed="false">
      <c r="A35" s="242" t="s">
        <v>821</v>
      </c>
      <c r="B35" s="243"/>
      <c r="C35" s="243"/>
      <c r="D35" s="243"/>
      <c r="E35" s="243"/>
      <c r="F35" s="243"/>
      <c r="G35" s="243"/>
      <c r="H35" s="244"/>
      <c r="I35" s="244"/>
      <c r="J35" s="245" t="str">
        <f aca="false">IF(OR(H35="",I35=""),"",COUNTIF(H35:I35,"YES")/2*$C$7)</f>
        <v/>
      </c>
      <c r="K35" s="243"/>
    </row>
    <row r="36" customFormat="false" ht="14.25" hidden="false" customHeight="false" outlineLevel="0" collapsed="false">
      <c r="A36" s="242" t="s">
        <v>822</v>
      </c>
      <c r="B36" s="243"/>
      <c r="C36" s="243"/>
      <c r="D36" s="243"/>
      <c r="E36" s="243"/>
      <c r="F36" s="243"/>
      <c r="G36" s="243"/>
      <c r="H36" s="244"/>
      <c r="I36" s="244"/>
      <c r="J36" s="245" t="str">
        <f aca="false">IF(OR(H36="",I36=""),"",COUNTIF(H36:I36,"YES")/2*$C$7)</f>
        <v/>
      </c>
      <c r="K36" s="243"/>
    </row>
    <row r="37" customFormat="false" ht="14.25" hidden="false" customHeight="false" outlineLevel="0" collapsed="false">
      <c r="A37" s="242" t="s">
        <v>823</v>
      </c>
      <c r="B37" s="243"/>
      <c r="C37" s="243"/>
      <c r="D37" s="243"/>
      <c r="E37" s="243"/>
      <c r="F37" s="243"/>
      <c r="G37" s="243"/>
      <c r="H37" s="244"/>
      <c r="I37" s="244"/>
      <c r="J37" s="245" t="str">
        <f aca="false">IF(OR(H37="",I37=""),"",COUNTIF(H37:I37,"YES")/2*$C$7)</f>
        <v/>
      </c>
      <c r="K37" s="243"/>
    </row>
    <row r="38" customFormat="false" ht="14.25" hidden="false" customHeight="false" outlineLevel="0" collapsed="false">
      <c r="A38" s="242" t="s">
        <v>824</v>
      </c>
      <c r="B38" s="243"/>
      <c r="C38" s="243"/>
      <c r="D38" s="243"/>
      <c r="E38" s="243"/>
      <c r="F38" s="243"/>
      <c r="G38" s="243"/>
      <c r="H38" s="244"/>
      <c r="I38" s="244"/>
      <c r="J38" s="245" t="str">
        <f aca="false">IF(OR(H38="",I38=""),"",COUNTIF(H38:I38,"YES")/2*$C$7)</f>
        <v/>
      </c>
      <c r="K38" s="243"/>
    </row>
    <row r="39" customFormat="false" ht="14.25" hidden="false" customHeight="false" outlineLevel="0" collapsed="false">
      <c r="A39" s="242" t="s">
        <v>825</v>
      </c>
      <c r="B39" s="243"/>
      <c r="C39" s="243"/>
      <c r="D39" s="243"/>
      <c r="E39" s="243"/>
      <c r="F39" s="243"/>
      <c r="G39" s="243"/>
      <c r="H39" s="244"/>
      <c r="I39" s="244"/>
      <c r="J39" s="245" t="str">
        <f aca="false">IF(OR(H39="",I39=""),"",COUNTIF(H39:I39,"YES")/2*$C$7)</f>
        <v/>
      </c>
      <c r="K39" s="243"/>
    </row>
    <row r="40" customFormat="false" ht="14.25" hidden="false" customHeight="false" outlineLevel="0" collapsed="false">
      <c r="A40" s="242" t="s">
        <v>826</v>
      </c>
      <c r="B40" s="243"/>
      <c r="C40" s="243"/>
      <c r="D40" s="243"/>
      <c r="E40" s="243"/>
      <c r="F40" s="243"/>
      <c r="G40" s="243"/>
      <c r="H40" s="244"/>
      <c r="I40" s="244"/>
      <c r="J40" s="245" t="str">
        <f aca="false">IF(OR(H40="",I40=""),"",COUNTIF(H40:I40,"YES")/2*$C$7)</f>
        <v/>
      </c>
      <c r="K40" s="243"/>
    </row>
    <row r="41" customFormat="false" ht="14.25" hidden="false" customHeight="false" outlineLevel="0" collapsed="false">
      <c r="A41" s="242" t="s">
        <v>827</v>
      </c>
      <c r="B41" s="243"/>
      <c r="C41" s="243"/>
      <c r="D41" s="243"/>
      <c r="E41" s="243"/>
      <c r="F41" s="243"/>
      <c r="G41" s="243"/>
      <c r="H41" s="244"/>
      <c r="I41" s="244"/>
      <c r="J41" s="245" t="str">
        <f aca="false">IF(OR(H41="",I41=""),"",COUNTIF(H41:I41,"YES")/2*$C$7)</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85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43.5" hidden="false" customHeight="tru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Have they met at least once in the past two years?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whether the MPC/DPC has met at least once in the past two years. Score 5 where there is evidence of meeting in the last two years.Evidence: State UD/Municipal Administration department notifications/constitution orders/website; MPC/DPC meeting minutes, agendas or resolutions; MPC/DPC and metropolitan planning authority/development authority websites and RTIs.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1151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88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8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(million-plus) have a Metropolitan Authority?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1152</v>
      </c>
    </row>
    <row r="11" customFormat="false" ht="28.5" hidden="false" customHeight="true" outlineLevel="0" collapsed="false">
      <c r="H11" s="238" t="s">
        <v>1153</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IF(H13="NA","NA",IF(H13="YES",$C$7,IF(H13="NO",0,"")))</f>
        <v/>
      </c>
      <c r="J13" s="243"/>
    </row>
    <row r="14" customFormat="false" ht="14.25" hidden="false" customHeight="false" outlineLevel="0" collapsed="false">
      <c r="A14" s="242" t="s">
        <v>801</v>
      </c>
      <c r="B14" s="243"/>
      <c r="C14" s="243"/>
      <c r="D14" s="243"/>
      <c r="E14" s="243"/>
      <c r="F14" s="243"/>
      <c r="G14" s="243"/>
      <c r="H14" s="244"/>
      <c r="I14" s="245" t="str">
        <f aca="false">IF(H14="NA","NA",IF(H14="YES",$C$7,IF(H14="NO",0,"")))</f>
        <v/>
      </c>
      <c r="J14" s="243"/>
    </row>
    <row r="15" customFormat="false" ht="14.25" hidden="false" customHeight="false" outlineLevel="0" collapsed="false">
      <c r="A15" s="242" t="s">
        <v>802</v>
      </c>
      <c r="B15" s="243"/>
      <c r="C15" s="243"/>
      <c r="D15" s="243"/>
      <c r="E15" s="243"/>
      <c r="F15" s="243"/>
      <c r="G15" s="243"/>
      <c r="H15" s="244"/>
      <c r="I15" s="245" t="str">
        <f aca="false">IF(H15="NA","NA",IF(H15="YES",$C$7,IF(H15="NO",0,"")))</f>
        <v/>
      </c>
      <c r="J15" s="243"/>
    </row>
    <row r="16" customFormat="false" ht="14.25" hidden="false" customHeight="false" outlineLevel="0" collapsed="false">
      <c r="A16" s="242" t="s">
        <v>803</v>
      </c>
      <c r="B16" s="243"/>
      <c r="C16" s="243"/>
      <c r="D16" s="243"/>
      <c r="E16" s="243"/>
      <c r="F16" s="243"/>
      <c r="G16" s="243"/>
      <c r="H16" s="244"/>
      <c r="I16" s="245" t="str">
        <f aca="false">IF(H16="NA","NA",IF(H16="YES",$C$7,IF(H16="NO",0,"")))</f>
        <v/>
      </c>
      <c r="J16" s="243"/>
    </row>
    <row r="17" customFormat="false" ht="14.25" hidden="false" customHeight="false" outlineLevel="0" collapsed="false">
      <c r="A17" s="242" t="s">
        <v>804</v>
      </c>
      <c r="B17" s="243"/>
      <c r="C17" s="243"/>
      <c r="D17" s="243"/>
      <c r="E17" s="243"/>
      <c r="F17" s="243"/>
      <c r="G17" s="243"/>
      <c r="H17" s="244"/>
      <c r="I17" s="245" t="str">
        <f aca="false">IF(H17="NA","NA",IF(H17="YES",$C$7,IF(H17="NO",0,"")))</f>
        <v/>
      </c>
      <c r="J17" s="243"/>
    </row>
    <row r="18" customFormat="false" ht="14.25" hidden="false" customHeight="false" outlineLevel="0" collapsed="false">
      <c r="A18" s="242" t="s">
        <v>805</v>
      </c>
      <c r="B18" s="243"/>
      <c r="C18" s="243"/>
      <c r="D18" s="243"/>
      <c r="E18" s="243"/>
      <c r="F18" s="243"/>
      <c r="G18" s="243"/>
      <c r="H18" s="244"/>
      <c r="I18" s="245" t="str">
        <f aca="false">IF(H18="NA","NA",IF(H18="YES",$C$7,IF(H18="NO",0,"")))</f>
        <v/>
      </c>
      <c r="J18" s="243"/>
    </row>
    <row r="19" customFormat="false" ht="14.25" hidden="false" customHeight="false" outlineLevel="0" collapsed="false">
      <c r="A19" s="242" t="s">
        <v>806</v>
      </c>
      <c r="B19" s="243"/>
      <c r="C19" s="243"/>
      <c r="D19" s="243"/>
      <c r="E19" s="243"/>
      <c r="F19" s="243"/>
      <c r="G19" s="243"/>
      <c r="H19" s="244"/>
      <c r="I19" s="245" t="str">
        <f aca="false">IF(H19="NA","NA",IF(H19="YES",$C$7,IF(H19="NO",0,"")))</f>
        <v/>
      </c>
      <c r="J19" s="243"/>
    </row>
    <row r="20" customFormat="false" ht="14.25" hidden="false" customHeight="false" outlineLevel="0" collapsed="false">
      <c r="A20" s="242" t="s">
        <v>807</v>
      </c>
      <c r="B20" s="243"/>
      <c r="C20" s="243"/>
      <c r="D20" s="243"/>
      <c r="E20" s="243"/>
      <c r="F20" s="243"/>
      <c r="G20" s="243"/>
      <c r="H20" s="244"/>
      <c r="I20" s="245" t="str">
        <f aca="false">IF(H20="NA","NA",IF(H20="YES",$C$7,IF(H20="NO",0,"")))</f>
        <v/>
      </c>
      <c r="J20" s="243"/>
    </row>
    <row r="21" customFormat="false" ht="14.25" hidden="false" customHeight="false" outlineLevel="0" collapsed="false">
      <c r="A21" s="242" t="s">
        <v>808</v>
      </c>
      <c r="B21" s="243"/>
      <c r="C21" s="243"/>
      <c r="D21" s="243"/>
      <c r="E21" s="243"/>
      <c r="F21" s="243"/>
      <c r="G21" s="243"/>
      <c r="H21" s="244"/>
      <c r="I21" s="245" t="str">
        <f aca="false">IF(H21="NA","NA",IF(H21="YES",$C$7,IF(H21="NO",0,"")))</f>
        <v/>
      </c>
      <c r="J21" s="243"/>
    </row>
    <row r="22" customFormat="false" ht="14.25" hidden="false" customHeight="false" outlineLevel="0" collapsed="false">
      <c r="A22" s="242" t="s">
        <v>809</v>
      </c>
      <c r="B22" s="243"/>
      <c r="C22" s="243"/>
      <c r="D22" s="243"/>
      <c r="E22" s="243"/>
      <c r="F22" s="243"/>
      <c r="G22" s="243"/>
      <c r="H22" s="244"/>
      <c r="I22" s="245" t="str">
        <f aca="false">IF(H22="NA","NA",IF(H22="YES",$C$7,IF(H22="NO",0,"")))</f>
        <v/>
      </c>
      <c r="J22" s="243"/>
    </row>
    <row r="23" customFormat="false" ht="14.25" hidden="false" customHeight="false" outlineLevel="0" collapsed="false">
      <c r="A23" s="242" t="s">
        <v>810</v>
      </c>
      <c r="B23" s="243"/>
      <c r="C23" s="243"/>
      <c r="D23" s="243"/>
      <c r="E23" s="243"/>
      <c r="F23" s="243"/>
      <c r="G23" s="243"/>
      <c r="H23" s="244"/>
      <c r="I23" s="245" t="str">
        <f aca="false">IF(H23="NA","NA",IF(H23="YES",$C$7,IF(H23="NO",0,"")))</f>
        <v/>
      </c>
      <c r="J23" s="243"/>
    </row>
    <row r="24" customFormat="false" ht="14.25" hidden="false" customHeight="false" outlineLevel="0" collapsed="false">
      <c r="A24" s="242" t="s">
        <v>811</v>
      </c>
      <c r="B24" s="243"/>
      <c r="C24" s="243"/>
      <c r="D24" s="243"/>
      <c r="E24" s="243"/>
      <c r="F24" s="243"/>
      <c r="G24" s="243"/>
      <c r="H24" s="244"/>
      <c r="I24" s="245" t="str">
        <f aca="false">IF(H24="NA","NA",IF(H24="YES",$C$7,IF(H24="NO",0,"")))</f>
        <v/>
      </c>
      <c r="J24" s="243"/>
    </row>
    <row r="25" customFormat="false" ht="14.25" hidden="false" customHeight="false" outlineLevel="0" collapsed="false">
      <c r="A25" s="242" t="s">
        <v>812</v>
      </c>
      <c r="B25" s="243"/>
      <c r="C25" s="243"/>
      <c r="D25" s="243"/>
      <c r="E25" s="243"/>
      <c r="F25" s="243"/>
      <c r="G25" s="243"/>
      <c r="H25" s="244"/>
      <c r="I25" s="245" t="str">
        <f aca="false">IF(H25="NA","NA",IF(H25="YES",$C$7,IF(H25="NO",0,"")))</f>
        <v/>
      </c>
      <c r="J25" s="243"/>
    </row>
    <row r="26" customFormat="false" ht="14.25" hidden="false" customHeight="false" outlineLevel="0" collapsed="false">
      <c r="A26" s="242" t="s">
        <v>813</v>
      </c>
      <c r="B26" s="243"/>
      <c r="C26" s="243"/>
      <c r="D26" s="243"/>
      <c r="E26" s="243"/>
      <c r="F26" s="243"/>
      <c r="G26" s="243"/>
      <c r="H26" s="244"/>
      <c r="I26" s="245" t="str">
        <f aca="false">IF(H26="NA","NA",IF(H26="YES",$C$7,IF(H26="NO",0,"")))</f>
        <v/>
      </c>
      <c r="J26" s="243"/>
    </row>
    <row r="27" customFormat="false" ht="14.25" hidden="false" customHeight="false" outlineLevel="0" collapsed="false">
      <c r="A27" s="242" t="s">
        <v>814</v>
      </c>
      <c r="B27" s="243"/>
      <c r="C27" s="243"/>
      <c r="D27" s="243"/>
      <c r="E27" s="243"/>
      <c r="F27" s="243"/>
      <c r="G27" s="243"/>
      <c r="H27" s="244"/>
      <c r="I27" s="245" t="str">
        <f aca="false">IF(H27="NA","NA",IF(H27="YES",$C$7,IF(H27="NO",0,"")))</f>
        <v/>
      </c>
      <c r="J27" s="243"/>
    </row>
    <row r="28" customFormat="false" ht="14.25" hidden="false" customHeight="false" outlineLevel="0" collapsed="false">
      <c r="A28" s="242" t="s">
        <v>815</v>
      </c>
      <c r="B28" s="243"/>
      <c r="C28" s="243"/>
      <c r="D28" s="243"/>
      <c r="E28" s="243"/>
      <c r="F28" s="243"/>
      <c r="G28" s="243"/>
      <c r="H28" s="244"/>
      <c r="I28" s="245" t="str">
        <f aca="false">IF(H28="NA","NA",IF(H28="YES",$C$7,IF(H28="NO",0,"")))</f>
        <v/>
      </c>
      <c r="J28" s="243"/>
    </row>
    <row r="29" customFormat="false" ht="14.25" hidden="false" customHeight="false" outlineLevel="0" collapsed="false">
      <c r="A29" s="242" t="s">
        <v>816</v>
      </c>
      <c r="B29" s="243"/>
      <c r="C29" s="243"/>
      <c r="D29" s="243"/>
      <c r="E29" s="243"/>
      <c r="F29" s="243"/>
      <c r="G29" s="243"/>
      <c r="H29" s="244"/>
      <c r="I29" s="245" t="str">
        <f aca="false">IF(H29="NA","NA",IF(H29="YES",$C$7,IF(H29="NO",0,"")))</f>
        <v/>
      </c>
      <c r="J29" s="243"/>
    </row>
    <row r="30" customFormat="false" ht="14.25" hidden="false" customHeight="false" outlineLevel="0" collapsed="false">
      <c r="A30" s="242" t="s">
        <v>817</v>
      </c>
      <c r="B30" s="243"/>
      <c r="C30" s="243"/>
      <c r="D30" s="243"/>
      <c r="E30" s="243"/>
      <c r="F30" s="243"/>
      <c r="G30" s="243"/>
      <c r="H30" s="244"/>
      <c r="I30" s="245" t="str">
        <f aca="false">IF(H30="NA","NA",IF(H30="YES",$C$7,IF(H30="NO",0,"")))</f>
        <v/>
      </c>
      <c r="J30" s="243"/>
    </row>
    <row r="31" customFormat="false" ht="14.25" hidden="false" customHeight="false" outlineLevel="0" collapsed="false">
      <c r="A31" s="242" t="s">
        <v>818</v>
      </c>
      <c r="B31" s="243"/>
      <c r="C31" s="243"/>
      <c r="D31" s="243"/>
      <c r="E31" s="243"/>
      <c r="F31" s="243"/>
      <c r="G31" s="243"/>
      <c r="H31" s="244"/>
      <c r="I31" s="245" t="str">
        <f aca="false">IF(H31="NA","NA",IF(H31="YES",$C$7,IF(H31="NO",0,"")))</f>
        <v/>
      </c>
      <c r="J31" s="243"/>
    </row>
    <row r="32" customFormat="false" ht="14.25" hidden="false" customHeight="false" outlineLevel="0" collapsed="false">
      <c r="A32" s="242" t="s">
        <v>819</v>
      </c>
      <c r="B32" s="243"/>
      <c r="C32" s="243"/>
      <c r="D32" s="243"/>
      <c r="E32" s="243"/>
      <c r="F32" s="243"/>
      <c r="G32" s="243"/>
      <c r="H32" s="244"/>
      <c r="I32" s="245" t="str">
        <f aca="false">IF(H32="NA","NA",IF(H32="YES",$C$7,IF(H32="NO",0,"")))</f>
        <v/>
      </c>
      <c r="J32" s="243"/>
    </row>
    <row r="33" customFormat="false" ht="236.55" hidden="false" customHeight="false" outlineLevel="0" collapsed="false">
      <c r="A33" s="242" t="s">
        <v>17</v>
      </c>
      <c r="B33" s="243" t="s">
        <v>28</v>
      </c>
      <c r="C33" s="243" t="s">
        <v>1154</v>
      </c>
      <c r="D33" s="243" t="s">
        <v>1155</v>
      </c>
      <c r="E33" s="243"/>
      <c r="F33" s="243" t="s">
        <v>576</v>
      </c>
      <c r="G33" s="243" t="s">
        <v>29</v>
      </c>
      <c r="H33" s="244"/>
      <c r="I33" s="245" t="str">
        <f aca="false">IF(H33="NA","NA",IF(H33="YES",$C$7,IF(H33="NO",0,"")))</f>
        <v/>
      </c>
      <c r="J33" s="246" t="s">
        <v>1156</v>
      </c>
    </row>
    <row r="34" customFormat="false" ht="14.25" hidden="false" customHeight="false" outlineLevel="0" collapsed="false">
      <c r="A34" s="242" t="s">
        <v>820</v>
      </c>
      <c r="B34" s="243"/>
      <c r="C34" s="243"/>
      <c r="D34" s="243"/>
      <c r="E34" s="243"/>
      <c r="F34" s="243"/>
      <c r="G34" s="243"/>
      <c r="H34" s="244"/>
      <c r="I34" s="245" t="str">
        <f aca="false">IF(H34="NA","NA",IF(H34="YES",$C$7,IF(H34="NO",0,"")))</f>
        <v/>
      </c>
      <c r="J34" s="243"/>
    </row>
    <row r="35" customFormat="false" ht="14.25" hidden="false" customHeight="false" outlineLevel="0" collapsed="false">
      <c r="A35" s="242" t="s">
        <v>821</v>
      </c>
      <c r="B35" s="243"/>
      <c r="C35" s="243"/>
      <c r="D35" s="243"/>
      <c r="E35" s="243"/>
      <c r="F35" s="243"/>
      <c r="G35" s="243"/>
      <c r="H35" s="244"/>
      <c r="I35" s="245" t="str">
        <f aca="false">IF(H35="NA","NA",IF(H35="YES",$C$7,IF(H35="NO",0,"")))</f>
        <v/>
      </c>
      <c r="J35" s="243"/>
    </row>
    <row r="36" customFormat="false" ht="14.25" hidden="false" customHeight="false" outlineLevel="0" collapsed="false">
      <c r="A36" s="242" t="s">
        <v>822</v>
      </c>
      <c r="B36" s="243"/>
      <c r="C36" s="243"/>
      <c r="D36" s="243"/>
      <c r="E36" s="243"/>
      <c r="F36" s="243"/>
      <c r="G36" s="243"/>
      <c r="H36" s="244"/>
      <c r="I36" s="245" t="str">
        <f aca="false">IF(H36="NA","NA",IF(H36="YES",$C$7,IF(H36="NO",0,"")))</f>
        <v/>
      </c>
      <c r="J36" s="243"/>
    </row>
    <row r="37" customFormat="false" ht="14.25" hidden="false" customHeight="false" outlineLevel="0" collapsed="false">
      <c r="A37" s="242" t="s">
        <v>823</v>
      </c>
      <c r="B37" s="243"/>
      <c r="C37" s="243"/>
      <c r="D37" s="243"/>
      <c r="E37" s="243"/>
      <c r="F37" s="243"/>
      <c r="G37" s="243"/>
      <c r="H37" s="244"/>
      <c r="I37" s="245" t="str">
        <f aca="false">IF(H37="NA","NA",IF(H37="YES",$C$7,IF(H37="NO",0,"")))</f>
        <v/>
      </c>
      <c r="J37" s="243"/>
    </row>
    <row r="38" customFormat="false" ht="14.25" hidden="false" customHeight="false" outlineLevel="0" collapsed="false">
      <c r="A38" s="242" t="s">
        <v>824</v>
      </c>
      <c r="B38" s="243"/>
      <c r="C38" s="243"/>
      <c r="D38" s="243"/>
      <c r="E38" s="243"/>
      <c r="F38" s="243"/>
      <c r="G38" s="243"/>
      <c r="H38" s="244"/>
      <c r="I38" s="245" t="str">
        <f aca="false">IF(H38="NA","NA",IF(H38="YES",$C$7,IF(H38="NO",0,"")))</f>
        <v/>
      </c>
      <c r="J38" s="243"/>
    </row>
    <row r="39" customFormat="false" ht="14.25" hidden="false" customHeight="false" outlineLevel="0" collapsed="false">
      <c r="A39" s="242" t="s">
        <v>825</v>
      </c>
      <c r="B39" s="243"/>
      <c r="C39" s="243"/>
      <c r="D39" s="243"/>
      <c r="E39" s="243"/>
      <c r="F39" s="243"/>
      <c r="G39" s="243"/>
      <c r="H39" s="244"/>
      <c r="I39" s="245" t="str">
        <f aca="false">IF(H39="NA","NA",IF(H39="YES",$C$7,IF(H39="NO",0,"")))</f>
        <v/>
      </c>
      <c r="J39" s="243"/>
    </row>
    <row r="40" customFormat="false" ht="14.25" hidden="false" customHeight="false" outlineLevel="0" collapsed="false">
      <c r="A40" s="242" t="s">
        <v>826</v>
      </c>
      <c r="B40" s="243"/>
      <c r="C40" s="243"/>
      <c r="D40" s="243"/>
      <c r="E40" s="243"/>
      <c r="F40" s="243"/>
      <c r="G40" s="243"/>
      <c r="H40" s="244"/>
      <c r="I40" s="245" t="str">
        <f aca="false">IF(H40="NA","NA",IF(H40="YES",$C$7,IF(H40="NO",0,"")))</f>
        <v/>
      </c>
      <c r="J40" s="243"/>
    </row>
    <row r="41" customFormat="false" ht="14.25" hidden="false" customHeight="false" outlineLevel="0" collapsed="false">
      <c r="A41" s="242" t="s">
        <v>827</v>
      </c>
      <c r="B41" s="243"/>
      <c r="C41" s="243"/>
      <c r="D41" s="243"/>
      <c r="E41" s="243"/>
      <c r="F41" s="243"/>
      <c r="G41" s="243"/>
      <c r="H41" s="244"/>
      <c r="I41" s="245" t="str">
        <f aca="false">IF(H41="NA","NA",IF(H41="YES",$C$7,IF(H41="NO",0,"")))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93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participation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participation of all parastatals/ agencies /ULGs in creation of Spatial plans (metro/municipal/ward)?</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35.05" hidden="false" customHeight="false" outlineLevel="0" collapsed="false">
      <c r="A33" s="242" t="s">
        <v>17</v>
      </c>
      <c r="B33" s="243" t="s">
        <v>36</v>
      </c>
      <c r="C33" s="243" t="s">
        <v>1157</v>
      </c>
      <c r="D33" s="243" t="s">
        <v>1158</v>
      </c>
      <c r="E33" s="243" t="s">
        <v>1159</v>
      </c>
      <c r="F33" s="243" t="s">
        <v>1116</v>
      </c>
      <c r="G33" s="243" t="s">
        <v>37</v>
      </c>
      <c r="H33" s="244"/>
      <c r="I33" s="245" t="str">
        <f aca="false">IF(H33="YES",$C$7,IF(H33="NO",0,""))</f>
        <v/>
      </c>
      <c r="J33" s="246" t="s">
        <v>1160</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98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public participation in preparation of the municipal plan through Area Sabhas / Ward Sabhas and other means?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mandates public participation in preparation of municipal/city plan through:Part A: Formal platforms such as ward committees and area sabhas. If yes, score 5.Part B: Other means* for municipal/city plan. If yes, score 5.*Even if the provision alludes to 'public participation/consultation or consolidation of suggestions and objections without specifying the mode for the same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1148</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A: Formal platforms (ward committees / area sabhas) ("&amp;TEXT($C$7/2,"0.00")&amp;")"</f>
        <v>Part A: Formal platforms (ward committees / area sabhas) (5.00)</v>
      </c>
      <c r="I12" s="241" t="str">
        <f aca="false">"Part B: Other means ("&amp;TEXT($C$7/2,"0.00")&amp;")"</f>
        <v>Part B: Other means (5.00)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IF(OR(H13="",I13=""),"",COUNTIF(H13:I13,"YES")/2*$C$7)</f>
        <v/>
      </c>
      <c r="K13" s="243"/>
    </row>
    <row r="14" customFormat="false" ht="14.25" hidden="false" customHeight="false" outlineLevel="0" collapsed="false">
      <c r="A14" s="242" t="s">
        <v>801</v>
      </c>
      <c r="B14" s="243"/>
      <c r="C14" s="243"/>
      <c r="D14" s="243"/>
      <c r="E14" s="243"/>
      <c r="F14" s="243"/>
      <c r="G14" s="243"/>
      <c r="H14" s="244"/>
      <c r="I14" s="244"/>
      <c r="J14" s="245" t="str">
        <f aca="false">IF(OR(H14="",I14=""),"",COUNTIF(H14:I14,"YES")/2*$C$7)</f>
        <v/>
      </c>
      <c r="K14" s="243"/>
    </row>
    <row r="15" customFormat="false" ht="14.25" hidden="false" customHeight="false" outlineLevel="0" collapsed="false">
      <c r="A15" s="242" t="s">
        <v>802</v>
      </c>
      <c r="B15" s="243"/>
      <c r="C15" s="243"/>
      <c r="D15" s="243"/>
      <c r="E15" s="243"/>
      <c r="F15" s="243"/>
      <c r="G15" s="243"/>
      <c r="H15" s="244"/>
      <c r="I15" s="244"/>
      <c r="J15" s="245" t="str">
        <f aca="false">IF(OR(H15="",I15=""),"",COUNTIF(H15:I15,"YES")/2*$C$7)</f>
        <v/>
      </c>
      <c r="K15" s="243"/>
    </row>
    <row r="16" customFormat="false" ht="14.25" hidden="false" customHeight="false" outlineLevel="0" collapsed="false">
      <c r="A16" s="242" t="s">
        <v>803</v>
      </c>
      <c r="B16" s="243"/>
      <c r="C16" s="243"/>
      <c r="D16" s="243"/>
      <c r="E16" s="243"/>
      <c r="F16" s="243"/>
      <c r="G16" s="243"/>
      <c r="H16" s="244"/>
      <c r="I16" s="244"/>
      <c r="J16" s="245" t="str">
        <f aca="false">IF(OR(H16="",I16=""),"",COUNTIF(H16:I16,"YES")/2*$C$7)</f>
        <v/>
      </c>
      <c r="K16" s="243"/>
    </row>
    <row r="17" customFormat="false" ht="14.25" hidden="false" customHeight="false" outlineLevel="0" collapsed="false">
      <c r="A17" s="242" t="s">
        <v>804</v>
      </c>
      <c r="B17" s="243"/>
      <c r="C17" s="243"/>
      <c r="D17" s="243"/>
      <c r="E17" s="243"/>
      <c r="F17" s="243"/>
      <c r="G17" s="243"/>
      <c r="H17" s="244"/>
      <c r="I17" s="244"/>
      <c r="J17" s="245" t="str">
        <f aca="false">IF(OR(H17="",I17=""),"",COUNTIF(H17:I17,"YES")/2*$C$7)</f>
        <v/>
      </c>
      <c r="K17" s="243"/>
    </row>
    <row r="18" customFormat="false" ht="14.25" hidden="false" customHeight="false" outlineLevel="0" collapsed="false">
      <c r="A18" s="242" t="s">
        <v>805</v>
      </c>
      <c r="B18" s="243"/>
      <c r="C18" s="243"/>
      <c r="D18" s="243"/>
      <c r="E18" s="243"/>
      <c r="F18" s="243"/>
      <c r="G18" s="243"/>
      <c r="H18" s="244"/>
      <c r="I18" s="244"/>
      <c r="J18" s="245" t="str">
        <f aca="false">IF(OR(H18="",I18=""),"",COUNTIF(H18:I18,"YES")/2*$C$7)</f>
        <v/>
      </c>
      <c r="K18" s="243"/>
    </row>
    <row r="19" customFormat="false" ht="14.25" hidden="false" customHeight="false" outlineLevel="0" collapsed="false">
      <c r="A19" s="242" t="s">
        <v>806</v>
      </c>
      <c r="B19" s="243"/>
      <c r="C19" s="243"/>
      <c r="D19" s="243"/>
      <c r="E19" s="243"/>
      <c r="F19" s="243"/>
      <c r="G19" s="243"/>
      <c r="H19" s="244"/>
      <c r="I19" s="244"/>
      <c r="J19" s="245" t="str">
        <f aca="false">IF(OR(H19="",I19=""),"",COUNTIF(H19:I19,"YES")/2*$C$7)</f>
        <v/>
      </c>
      <c r="K19" s="243"/>
    </row>
    <row r="20" customFormat="false" ht="14.25" hidden="false" customHeight="false" outlineLevel="0" collapsed="false">
      <c r="A20" s="242" t="s">
        <v>807</v>
      </c>
      <c r="B20" s="243"/>
      <c r="C20" s="243"/>
      <c r="D20" s="243"/>
      <c r="E20" s="243"/>
      <c r="F20" s="243"/>
      <c r="G20" s="243"/>
      <c r="H20" s="244"/>
      <c r="I20" s="244"/>
      <c r="J20" s="245" t="str">
        <f aca="false">IF(OR(H20="",I20=""),"",COUNTIF(H20:I20,"YES")/2*$C$7)</f>
        <v/>
      </c>
      <c r="K20" s="243"/>
    </row>
    <row r="21" customFormat="false" ht="14.25" hidden="false" customHeight="false" outlineLevel="0" collapsed="false">
      <c r="A21" s="242" t="s">
        <v>808</v>
      </c>
      <c r="B21" s="243"/>
      <c r="C21" s="243"/>
      <c r="D21" s="243"/>
      <c r="E21" s="243"/>
      <c r="F21" s="243"/>
      <c r="G21" s="243"/>
      <c r="H21" s="244"/>
      <c r="I21" s="244"/>
      <c r="J21" s="245" t="str">
        <f aca="false">IF(OR(H21="",I21=""),"",COUNTIF(H21:I21,"YES")/2*$C$7)</f>
        <v/>
      </c>
      <c r="K21" s="243"/>
    </row>
    <row r="22" customFormat="false" ht="14.25" hidden="false" customHeight="false" outlineLevel="0" collapsed="false">
      <c r="A22" s="242" t="s">
        <v>809</v>
      </c>
      <c r="B22" s="243"/>
      <c r="C22" s="243"/>
      <c r="D22" s="243"/>
      <c r="E22" s="243"/>
      <c r="F22" s="243"/>
      <c r="G22" s="243"/>
      <c r="H22" s="244"/>
      <c r="I22" s="244"/>
      <c r="J22" s="245" t="str">
        <f aca="false">IF(OR(H22="",I22=""),"",COUNTIF(H22:I22,"YES")/2*$C$7)</f>
        <v/>
      </c>
      <c r="K22" s="243"/>
    </row>
    <row r="23" customFormat="false" ht="14.25" hidden="false" customHeight="false" outlineLevel="0" collapsed="false">
      <c r="A23" s="242" t="s">
        <v>810</v>
      </c>
      <c r="B23" s="243"/>
      <c r="C23" s="243"/>
      <c r="D23" s="243"/>
      <c r="E23" s="243"/>
      <c r="F23" s="243"/>
      <c r="G23" s="243"/>
      <c r="H23" s="244"/>
      <c r="I23" s="244"/>
      <c r="J23" s="245" t="str">
        <f aca="false">IF(OR(H23="",I23=""),"",COUNTIF(H23:I23,"YES")/2*$C$7)</f>
        <v/>
      </c>
      <c r="K23" s="243"/>
    </row>
    <row r="24" customFormat="false" ht="14.25" hidden="false" customHeight="false" outlineLevel="0" collapsed="false">
      <c r="A24" s="242" t="s">
        <v>811</v>
      </c>
      <c r="B24" s="243"/>
      <c r="C24" s="243"/>
      <c r="D24" s="243"/>
      <c r="E24" s="243"/>
      <c r="F24" s="243"/>
      <c r="G24" s="243"/>
      <c r="H24" s="244"/>
      <c r="I24" s="244"/>
      <c r="J24" s="245" t="str">
        <f aca="false">IF(OR(H24="",I24=""),"",COUNTIF(H24:I24,"YES")/2*$C$7)</f>
        <v/>
      </c>
      <c r="K24" s="243"/>
    </row>
    <row r="25" customFormat="false" ht="14.25" hidden="false" customHeight="false" outlineLevel="0" collapsed="false">
      <c r="A25" s="242" t="s">
        <v>812</v>
      </c>
      <c r="B25" s="243"/>
      <c r="C25" s="243"/>
      <c r="D25" s="243"/>
      <c r="E25" s="243"/>
      <c r="F25" s="243"/>
      <c r="G25" s="243"/>
      <c r="H25" s="244"/>
      <c r="I25" s="244"/>
      <c r="J25" s="245" t="str">
        <f aca="false">IF(OR(H25="",I25=""),"",COUNTIF(H25:I25,"YES")/2*$C$7)</f>
        <v/>
      </c>
      <c r="K25" s="243"/>
    </row>
    <row r="26" customFormat="false" ht="14.25" hidden="false" customHeight="false" outlineLevel="0" collapsed="false">
      <c r="A26" s="242" t="s">
        <v>813</v>
      </c>
      <c r="B26" s="243"/>
      <c r="C26" s="243"/>
      <c r="D26" s="243"/>
      <c r="E26" s="243"/>
      <c r="F26" s="243"/>
      <c r="G26" s="243"/>
      <c r="H26" s="244"/>
      <c r="I26" s="244"/>
      <c r="J26" s="245" t="str">
        <f aca="false">IF(OR(H26="",I26=""),"",COUNTIF(H26:I26,"YES")/2*$C$7)</f>
        <v/>
      </c>
      <c r="K26" s="243"/>
    </row>
    <row r="27" customFormat="false" ht="14.25" hidden="false" customHeight="false" outlineLevel="0" collapsed="false">
      <c r="A27" s="242" t="s">
        <v>814</v>
      </c>
      <c r="B27" s="243"/>
      <c r="C27" s="243"/>
      <c r="D27" s="243"/>
      <c r="E27" s="243"/>
      <c r="F27" s="243"/>
      <c r="G27" s="243"/>
      <c r="H27" s="244"/>
      <c r="I27" s="244"/>
      <c r="J27" s="245" t="str">
        <f aca="false">IF(OR(H27="",I27=""),"",COUNTIF(H27:I27,"YES")/2*$C$7)</f>
        <v/>
      </c>
      <c r="K27" s="243"/>
    </row>
    <row r="28" customFormat="false" ht="14.25" hidden="false" customHeight="false" outlineLevel="0" collapsed="false">
      <c r="A28" s="242" t="s">
        <v>815</v>
      </c>
      <c r="B28" s="243"/>
      <c r="C28" s="243"/>
      <c r="D28" s="243"/>
      <c r="E28" s="243"/>
      <c r="F28" s="243"/>
      <c r="G28" s="243"/>
      <c r="H28" s="244"/>
      <c r="I28" s="244"/>
      <c r="J28" s="245" t="str">
        <f aca="false">IF(OR(H28="",I28=""),"",COUNTIF(H28:I28,"YES")/2*$C$7)</f>
        <v/>
      </c>
      <c r="K28" s="243"/>
    </row>
    <row r="29" customFormat="false" ht="14.25" hidden="false" customHeight="false" outlineLevel="0" collapsed="false">
      <c r="A29" s="242" t="s">
        <v>816</v>
      </c>
      <c r="B29" s="243"/>
      <c r="C29" s="243"/>
      <c r="D29" s="243"/>
      <c r="E29" s="243"/>
      <c r="F29" s="243"/>
      <c r="G29" s="243"/>
      <c r="H29" s="244"/>
      <c r="I29" s="244"/>
      <c r="J29" s="245" t="str">
        <f aca="false">IF(OR(H29="",I29=""),"",COUNTIF(H29:I29,"YES")/2*$C$7)</f>
        <v/>
      </c>
      <c r="K29" s="243"/>
    </row>
    <row r="30" customFormat="false" ht="14.25" hidden="false" customHeight="false" outlineLevel="0" collapsed="false">
      <c r="A30" s="242" t="s">
        <v>817</v>
      </c>
      <c r="B30" s="243"/>
      <c r="C30" s="243"/>
      <c r="D30" s="243"/>
      <c r="E30" s="243"/>
      <c r="F30" s="243"/>
      <c r="G30" s="243"/>
      <c r="H30" s="244"/>
      <c r="I30" s="244"/>
      <c r="J30" s="245" t="str">
        <f aca="false">IF(OR(H30="",I30=""),"",COUNTIF(H30:I30,"YES")/2*$C$7)</f>
        <v/>
      </c>
      <c r="K30" s="243"/>
    </row>
    <row r="31" customFormat="false" ht="14.25" hidden="false" customHeight="false" outlineLevel="0" collapsed="false">
      <c r="A31" s="242" t="s">
        <v>818</v>
      </c>
      <c r="B31" s="243"/>
      <c r="C31" s="243"/>
      <c r="D31" s="243"/>
      <c r="E31" s="243"/>
      <c r="F31" s="243"/>
      <c r="G31" s="243"/>
      <c r="H31" s="244"/>
      <c r="I31" s="244"/>
      <c r="J31" s="245" t="str">
        <f aca="false">IF(OR(H31="",I31=""),"",COUNTIF(H31:I31,"YES")/2*$C$7)</f>
        <v/>
      </c>
      <c r="K31" s="243"/>
    </row>
    <row r="32" customFormat="false" ht="14.25" hidden="false" customHeight="false" outlineLevel="0" collapsed="false">
      <c r="A32" s="242" t="s">
        <v>819</v>
      </c>
      <c r="B32" s="243"/>
      <c r="C32" s="243"/>
      <c r="D32" s="243"/>
      <c r="E32" s="243"/>
      <c r="F32" s="243"/>
      <c r="G32" s="243"/>
      <c r="H32" s="244"/>
      <c r="I32" s="244"/>
      <c r="J32" s="245" t="str">
        <f aca="false">IF(OR(H32="",I32=""),"",COUNTIF(H32:I32,"YES")/2*$C$7)</f>
        <v/>
      </c>
      <c r="K32" s="243"/>
    </row>
    <row r="33" customFormat="false" ht="14.25" hidden="false" customHeight="false" outlineLevel="0" collapsed="false">
      <c r="A33" s="242" t="s">
        <v>17</v>
      </c>
      <c r="B33" s="243" t="s">
        <v>67</v>
      </c>
      <c r="C33" s="243" t="s">
        <v>1161</v>
      </c>
      <c r="D33" s="243" t="s">
        <v>1162</v>
      </c>
      <c r="E33" s="243" t="s">
        <v>1163</v>
      </c>
      <c r="F33" s="243" t="s">
        <v>434</v>
      </c>
      <c r="G33" s="243" t="s">
        <v>68</v>
      </c>
      <c r="H33" s="244"/>
      <c r="I33" s="244" t="s">
        <v>1111</v>
      </c>
      <c r="J33" s="245" t="str">
        <f aca="false">IF(OR(H33="",I33=""),"",COUNTIF(H33:I33,"YES")/2*$C$7)</f>
        <v/>
      </c>
      <c r="K33" s="243" t="s">
        <v>1164</v>
      </c>
    </row>
    <row r="34" customFormat="false" ht="14.25" hidden="false" customHeight="false" outlineLevel="0" collapsed="false">
      <c r="A34" s="242" t="s">
        <v>820</v>
      </c>
      <c r="B34" s="243"/>
      <c r="C34" s="243"/>
      <c r="D34" s="243"/>
      <c r="E34" s="243"/>
      <c r="F34" s="243"/>
      <c r="G34" s="243"/>
      <c r="H34" s="244"/>
      <c r="I34" s="244"/>
      <c r="J34" s="245" t="str">
        <f aca="false">IF(OR(H34="",I34=""),"",COUNTIF(H34:I34,"YES")/2*$C$7)</f>
        <v/>
      </c>
      <c r="K34" s="243"/>
    </row>
    <row r="35" customFormat="false" ht="14.25" hidden="false" customHeight="false" outlineLevel="0" collapsed="false">
      <c r="A35" s="242" t="s">
        <v>821</v>
      </c>
      <c r="B35" s="243"/>
      <c r="C35" s="243"/>
      <c r="D35" s="243"/>
      <c r="E35" s="243"/>
      <c r="F35" s="243"/>
      <c r="G35" s="243"/>
      <c r="H35" s="244"/>
      <c r="I35" s="244"/>
      <c r="J35" s="245" t="str">
        <f aca="false">IF(OR(H35="",I35=""),"",COUNTIF(H35:I35,"YES")/2*$C$7)</f>
        <v/>
      </c>
      <c r="K35" s="243"/>
    </row>
    <row r="36" customFormat="false" ht="14.25" hidden="false" customHeight="false" outlineLevel="0" collapsed="false">
      <c r="A36" s="242" t="s">
        <v>822</v>
      </c>
      <c r="B36" s="243"/>
      <c r="C36" s="243"/>
      <c r="D36" s="243"/>
      <c r="E36" s="243"/>
      <c r="F36" s="243"/>
      <c r="G36" s="243"/>
      <c r="H36" s="244"/>
      <c r="I36" s="244"/>
      <c r="J36" s="245" t="str">
        <f aca="false">IF(OR(H36="",I36=""),"",COUNTIF(H36:I36,"YES")/2*$C$7)</f>
        <v/>
      </c>
      <c r="K36" s="243"/>
    </row>
    <row r="37" customFormat="false" ht="14.25" hidden="false" customHeight="false" outlineLevel="0" collapsed="false">
      <c r="A37" s="242" t="s">
        <v>823</v>
      </c>
      <c r="B37" s="243"/>
      <c r="C37" s="243"/>
      <c r="D37" s="243"/>
      <c r="E37" s="243"/>
      <c r="F37" s="243"/>
      <c r="G37" s="243"/>
      <c r="H37" s="244"/>
      <c r="I37" s="244"/>
      <c r="J37" s="245" t="str">
        <f aca="false">IF(OR(H37="",I37=""),"",COUNTIF(H37:I37,"YES")/2*$C$7)</f>
        <v/>
      </c>
      <c r="K37" s="243"/>
    </row>
    <row r="38" customFormat="false" ht="14.25" hidden="false" customHeight="false" outlineLevel="0" collapsed="false">
      <c r="A38" s="242" t="s">
        <v>824</v>
      </c>
      <c r="B38" s="243"/>
      <c r="C38" s="243"/>
      <c r="D38" s="243"/>
      <c r="E38" s="243"/>
      <c r="F38" s="243"/>
      <c r="G38" s="243"/>
      <c r="H38" s="244"/>
      <c r="I38" s="244"/>
      <c r="J38" s="245" t="str">
        <f aca="false">IF(OR(H38="",I38=""),"",COUNTIF(H38:I38,"YES")/2*$C$7)</f>
        <v/>
      </c>
      <c r="K38" s="243"/>
    </row>
    <row r="39" customFormat="false" ht="14.25" hidden="false" customHeight="false" outlineLevel="0" collapsed="false">
      <c r="A39" s="242" t="s">
        <v>825</v>
      </c>
      <c r="B39" s="243"/>
      <c r="C39" s="243"/>
      <c r="D39" s="243"/>
      <c r="E39" s="243"/>
      <c r="F39" s="243"/>
      <c r="G39" s="243"/>
      <c r="H39" s="244"/>
      <c r="I39" s="244"/>
      <c r="J39" s="245" t="str">
        <f aca="false">IF(OR(H39="",I39=""),"",COUNTIF(H39:I39,"YES")/2*$C$7)</f>
        <v/>
      </c>
      <c r="K39" s="243"/>
    </row>
    <row r="40" customFormat="false" ht="14.25" hidden="false" customHeight="false" outlineLevel="0" collapsed="false">
      <c r="A40" s="242" t="s">
        <v>826</v>
      </c>
      <c r="B40" s="243"/>
      <c r="C40" s="243"/>
      <c r="D40" s="243"/>
      <c r="E40" s="243"/>
      <c r="F40" s="243"/>
      <c r="G40" s="243"/>
      <c r="H40" s="244"/>
      <c r="I40" s="244"/>
      <c r="J40" s="245" t="str">
        <f aca="false">IF(OR(H40="",I40=""),"",COUNTIF(H40:I40,"YES")/2*$C$7)</f>
        <v/>
      </c>
      <c r="K40" s="243"/>
    </row>
    <row r="41" customFormat="false" ht="14.25" hidden="false" customHeight="false" outlineLevel="0" collapsed="false">
      <c r="A41" s="242" t="s">
        <v>827</v>
      </c>
      <c r="B41" s="243"/>
      <c r="C41" s="243"/>
      <c r="D41" s="243"/>
      <c r="E41" s="243"/>
      <c r="F41" s="243"/>
      <c r="G41" s="243"/>
      <c r="H41" s="244"/>
      <c r="I41" s="244"/>
      <c r="J41" s="245" t="str">
        <f aca="false">IF(OR(H41="",I41=""),"",COUNTIF(H41:I41,"YES")/2*$C$7)</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104</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Does the law mandate public scrutiny for (including objections and responses) municipal/city plan through Area Sabhas / Ward Sabhas and other means?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if the T&amp;CP Act mandates public scrutiny (including objections and responses) through:Part A: Formal platforms such as ward committees and area sabhas. If yes, score 2.50.Part B: Other means* for municipal/city plan. If yes, score 2.50*Even if the provision alludes to 'public scrutiny/consultation or consolidation of suggestions and objections without specifying the mode for the same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A: Formal platforms (ward committees / area sabhas) ("&amp;TEXT($C$7/2,"0.00")&amp;")"</f>
        <v>Part A: Formal platforms (ward committees / area sabhas) (2.50)</v>
      </c>
      <c r="I12" s="241" t="str">
        <f aca="false">"Part B: Other means ("&amp;TEXT($C$7/2,"0.00")&amp;")"</f>
        <v>Part B: Other means (2.50)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IF(OR(H13="",I13=""),"",COUNTIF(H13:I13,"YES")/2*$C$7)</f>
        <v/>
      </c>
      <c r="K13" s="243"/>
    </row>
    <row r="14" customFormat="false" ht="14.25" hidden="false" customHeight="false" outlineLevel="0" collapsed="false">
      <c r="A14" s="242" t="s">
        <v>801</v>
      </c>
      <c r="B14" s="243"/>
      <c r="C14" s="243"/>
      <c r="D14" s="243"/>
      <c r="E14" s="243"/>
      <c r="F14" s="243"/>
      <c r="G14" s="243"/>
      <c r="H14" s="244"/>
      <c r="I14" s="244"/>
      <c r="J14" s="245" t="str">
        <f aca="false">IF(OR(H14="",I14=""),"",COUNTIF(H14:I14,"YES")/2*$C$7)</f>
        <v/>
      </c>
      <c r="K14" s="243"/>
    </row>
    <row r="15" customFormat="false" ht="14.25" hidden="false" customHeight="false" outlineLevel="0" collapsed="false">
      <c r="A15" s="242" t="s">
        <v>802</v>
      </c>
      <c r="B15" s="243"/>
      <c r="C15" s="243"/>
      <c r="D15" s="243"/>
      <c r="E15" s="243"/>
      <c r="F15" s="243"/>
      <c r="G15" s="243"/>
      <c r="H15" s="244"/>
      <c r="I15" s="244"/>
      <c r="J15" s="245" t="str">
        <f aca="false">IF(OR(H15="",I15=""),"",COUNTIF(H15:I15,"YES")/2*$C$7)</f>
        <v/>
      </c>
      <c r="K15" s="243"/>
    </row>
    <row r="16" customFormat="false" ht="14.25" hidden="false" customHeight="false" outlineLevel="0" collapsed="false">
      <c r="A16" s="242" t="s">
        <v>803</v>
      </c>
      <c r="B16" s="243"/>
      <c r="C16" s="243"/>
      <c r="D16" s="243"/>
      <c r="E16" s="243"/>
      <c r="F16" s="243"/>
      <c r="G16" s="243"/>
      <c r="H16" s="244"/>
      <c r="I16" s="244"/>
      <c r="J16" s="245" t="str">
        <f aca="false">IF(OR(H16="",I16=""),"",COUNTIF(H16:I16,"YES")/2*$C$7)</f>
        <v/>
      </c>
      <c r="K16" s="243"/>
    </row>
    <row r="17" customFormat="false" ht="14.25" hidden="false" customHeight="false" outlineLevel="0" collapsed="false">
      <c r="A17" s="242" t="s">
        <v>804</v>
      </c>
      <c r="B17" s="243"/>
      <c r="C17" s="243"/>
      <c r="D17" s="243"/>
      <c r="E17" s="243"/>
      <c r="F17" s="243"/>
      <c r="G17" s="243"/>
      <c r="H17" s="244"/>
      <c r="I17" s="244"/>
      <c r="J17" s="245" t="str">
        <f aca="false">IF(OR(H17="",I17=""),"",COUNTIF(H17:I17,"YES")/2*$C$7)</f>
        <v/>
      </c>
      <c r="K17" s="243"/>
    </row>
    <row r="18" customFormat="false" ht="14.25" hidden="false" customHeight="false" outlineLevel="0" collapsed="false">
      <c r="A18" s="242" t="s">
        <v>805</v>
      </c>
      <c r="B18" s="243"/>
      <c r="C18" s="243"/>
      <c r="D18" s="243"/>
      <c r="E18" s="243"/>
      <c r="F18" s="243"/>
      <c r="G18" s="243"/>
      <c r="H18" s="244"/>
      <c r="I18" s="244"/>
      <c r="J18" s="245" t="str">
        <f aca="false">IF(OR(H18="",I18=""),"",COUNTIF(H18:I18,"YES")/2*$C$7)</f>
        <v/>
      </c>
      <c r="K18" s="243"/>
    </row>
    <row r="19" customFormat="false" ht="14.25" hidden="false" customHeight="false" outlineLevel="0" collapsed="false">
      <c r="A19" s="242" t="s">
        <v>806</v>
      </c>
      <c r="B19" s="243"/>
      <c r="C19" s="243"/>
      <c r="D19" s="243"/>
      <c r="E19" s="243"/>
      <c r="F19" s="243"/>
      <c r="G19" s="243"/>
      <c r="H19" s="244"/>
      <c r="I19" s="244"/>
      <c r="J19" s="245" t="str">
        <f aca="false">IF(OR(H19="",I19=""),"",COUNTIF(H19:I19,"YES")/2*$C$7)</f>
        <v/>
      </c>
      <c r="K19" s="243"/>
    </row>
    <row r="20" customFormat="false" ht="14.25" hidden="false" customHeight="false" outlineLevel="0" collapsed="false">
      <c r="A20" s="242" t="s">
        <v>807</v>
      </c>
      <c r="B20" s="243"/>
      <c r="C20" s="243"/>
      <c r="D20" s="243"/>
      <c r="E20" s="243"/>
      <c r="F20" s="243"/>
      <c r="G20" s="243"/>
      <c r="H20" s="244"/>
      <c r="I20" s="244"/>
      <c r="J20" s="245" t="str">
        <f aca="false">IF(OR(H20="",I20=""),"",COUNTIF(H20:I20,"YES")/2*$C$7)</f>
        <v/>
      </c>
      <c r="K20" s="243"/>
    </row>
    <row r="21" customFormat="false" ht="14.25" hidden="false" customHeight="false" outlineLevel="0" collapsed="false">
      <c r="A21" s="242" t="s">
        <v>808</v>
      </c>
      <c r="B21" s="243"/>
      <c r="C21" s="243"/>
      <c r="D21" s="243"/>
      <c r="E21" s="243"/>
      <c r="F21" s="243"/>
      <c r="G21" s="243"/>
      <c r="H21" s="244"/>
      <c r="I21" s="244"/>
      <c r="J21" s="245" t="str">
        <f aca="false">IF(OR(H21="",I21=""),"",COUNTIF(H21:I21,"YES")/2*$C$7)</f>
        <v/>
      </c>
      <c r="K21" s="243"/>
    </row>
    <row r="22" customFormat="false" ht="14.25" hidden="false" customHeight="false" outlineLevel="0" collapsed="false">
      <c r="A22" s="242" t="s">
        <v>809</v>
      </c>
      <c r="B22" s="243"/>
      <c r="C22" s="243"/>
      <c r="D22" s="243"/>
      <c r="E22" s="243"/>
      <c r="F22" s="243"/>
      <c r="G22" s="243"/>
      <c r="H22" s="244"/>
      <c r="I22" s="244"/>
      <c r="J22" s="245" t="str">
        <f aca="false">IF(OR(H22="",I22=""),"",COUNTIF(H22:I22,"YES")/2*$C$7)</f>
        <v/>
      </c>
      <c r="K22" s="243"/>
    </row>
    <row r="23" customFormat="false" ht="14.25" hidden="false" customHeight="false" outlineLevel="0" collapsed="false">
      <c r="A23" s="242" t="s">
        <v>810</v>
      </c>
      <c r="B23" s="243"/>
      <c r="C23" s="243"/>
      <c r="D23" s="243"/>
      <c r="E23" s="243"/>
      <c r="F23" s="243"/>
      <c r="G23" s="243"/>
      <c r="H23" s="244"/>
      <c r="I23" s="244"/>
      <c r="J23" s="245" t="str">
        <f aca="false">IF(OR(H23="",I23=""),"",COUNTIF(H23:I23,"YES")/2*$C$7)</f>
        <v/>
      </c>
      <c r="K23" s="243"/>
    </row>
    <row r="24" customFormat="false" ht="14.25" hidden="false" customHeight="false" outlineLevel="0" collapsed="false">
      <c r="A24" s="242" t="s">
        <v>811</v>
      </c>
      <c r="B24" s="243"/>
      <c r="C24" s="243"/>
      <c r="D24" s="243"/>
      <c r="E24" s="243"/>
      <c r="F24" s="243"/>
      <c r="G24" s="243"/>
      <c r="H24" s="244"/>
      <c r="I24" s="244"/>
      <c r="J24" s="245" t="str">
        <f aca="false">IF(OR(H24="",I24=""),"",COUNTIF(H24:I24,"YES")/2*$C$7)</f>
        <v/>
      </c>
      <c r="K24" s="243"/>
    </row>
    <row r="25" customFormat="false" ht="14.25" hidden="false" customHeight="false" outlineLevel="0" collapsed="false">
      <c r="A25" s="242" t="s">
        <v>812</v>
      </c>
      <c r="B25" s="243"/>
      <c r="C25" s="243"/>
      <c r="D25" s="243"/>
      <c r="E25" s="243"/>
      <c r="F25" s="243"/>
      <c r="G25" s="243"/>
      <c r="H25" s="244"/>
      <c r="I25" s="244"/>
      <c r="J25" s="245" t="str">
        <f aca="false">IF(OR(H25="",I25=""),"",COUNTIF(H25:I25,"YES")/2*$C$7)</f>
        <v/>
      </c>
      <c r="K25" s="243"/>
    </row>
    <row r="26" customFormat="false" ht="14.25" hidden="false" customHeight="false" outlineLevel="0" collapsed="false">
      <c r="A26" s="242" t="s">
        <v>813</v>
      </c>
      <c r="B26" s="243"/>
      <c r="C26" s="243"/>
      <c r="D26" s="243"/>
      <c r="E26" s="243"/>
      <c r="F26" s="243"/>
      <c r="G26" s="243"/>
      <c r="H26" s="244"/>
      <c r="I26" s="244"/>
      <c r="J26" s="245" t="str">
        <f aca="false">IF(OR(H26="",I26=""),"",COUNTIF(H26:I26,"YES")/2*$C$7)</f>
        <v/>
      </c>
      <c r="K26" s="243"/>
    </row>
    <row r="27" customFormat="false" ht="14.25" hidden="false" customHeight="false" outlineLevel="0" collapsed="false">
      <c r="A27" s="242" t="s">
        <v>814</v>
      </c>
      <c r="B27" s="243"/>
      <c r="C27" s="243"/>
      <c r="D27" s="243"/>
      <c r="E27" s="243"/>
      <c r="F27" s="243"/>
      <c r="G27" s="243"/>
      <c r="H27" s="244"/>
      <c r="I27" s="244"/>
      <c r="J27" s="245" t="str">
        <f aca="false">IF(OR(H27="",I27=""),"",COUNTIF(H27:I27,"YES")/2*$C$7)</f>
        <v/>
      </c>
      <c r="K27" s="243"/>
    </row>
    <row r="28" customFormat="false" ht="14.25" hidden="false" customHeight="false" outlineLevel="0" collapsed="false">
      <c r="A28" s="242" t="s">
        <v>815</v>
      </c>
      <c r="B28" s="243"/>
      <c r="C28" s="243"/>
      <c r="D28" s="243"/>
      <c r="E28" s="243"/>
      <c r="F28" s="243"/>
      <c r="G28" s="243"/>
      <c r="H28" s="244"/>
      <c r="I28" s="244"/>
      <c r="J28" s="245" t="str">
        <f aca="false">IF(OR(H28="",I28=""),"",COUNTIF(H28:I28,"YES")/2*$C$7)</f>
        <v/>
      </c>
      <c r="K28" s="243"/>
    </row>
    <row r="29" customFormat="false" ht="14.25" hidden="false" customHeight="false" outlineLevel="0" collapsed="false">
      <c r="A29" s="242" t="s">
        <v>816</v>
      </c>
      <c r="B29" s="243"/>
      <c r="C29" s="243"/>
      <c r="D29" s="243"/>
      <c r="E29" s="243"/>
      <c r="F29" s="243"/>
      <c r="G29" s="243"/>
      <c r="H29" s="244"/>
      <c r="I29" s="244"/>
      <c r="J29" s="245" t="str">
        <f aca="false">IF(OR(H29="",I29=""),"",COUNTIF(H29:I29,"YES")/2*$C$7)</f>
        <v/>
      </c>
      <c r="K29" s="243"/>
    </row>
    <row r="30" customFormat="false" ht="14.25" hidden="false" customHeight="false" outlineLevel="0" collapsed="false">
      <c r="A30" s="242" t="s">
        <v>817</v>
      </c>
      <c r="B30" s="243"/>
      <c r="C30" s="243"/>
      <c r="D30" s="243"/>
      <c r="E30" s="243"/>
      <c r="F30" s="243"/>
      <c r="G30" s="243"/>
      <c r="H30" s="244"/>
      <c r="I30" s="244"/>
      <c r="J30" s="245" t="str">
        <f aca="false">IF(OR(H30="",I30=""),"",COUNTIF(H30:I30,"YES")/2*$C$7)</f>
        <v/>
      </c>
      <c r="K30" s="243"/>
    </row>
    <row r="31" customFormat="false" ht="14.25" hidden="false" customHeight="false" outlineLevel="0" collapsed="false">
      <c r="A31" s="242" t="s">
        <v>818</v>
      </c>
      <c r="B31" s="243"/>
      <c r="C31" s="243"/>
      <c r="D31" s="243"/>
      <c r="E31" s="243"/>
      <c r="F31" s="243"/>
      <c r="G31" s="243"/>
      <c r="H31" s="244"/>
      <c r="I31" s="244"/>
      <c r="J31" s="245" t="str">
        <f aca="false">IF(OR(H31="",I31=""),"",COUNTIF(H31:I31,"YES")/2*$C$7)</f>
        <v/>
      </c>
      <c r="K31" s="243"/>
    </row>
    <row r="32" customFormat="false" ht="14.25" hidden="false" customHeight="false" outlineLevel="0" collapsed="false">
      <c r="A32" s="242" t="s">
        <v>819</v>
      </c>
      <c r="B32" s="243"/>
      <c r="C32" s="243"/>
      <c r="D32" s="243"/>
      <c r="E32" s="243"/>
      <c r="F32" s="243"/>
      <c r="G32" s="243"/>
      <c r="H32" s="244"/>
      <c r="I32" s="244"/>
      <c r="J32" s="245" t="str">
        <f aca="false">IF(OR(H32="",I32=""),"",COUNTIF(H32:I32,"YES")/2*$C$7)</f>
        <v/>
      </c>
      <c r="K32" s="243"/>
    </row>
    <row r="33" customFormat="false" ht="79.85" hidden="false" customHeight="false" outlineLevel="0" collapsed="false">
      <c r="A33" s="242" t="s">
        <v>17</v>
      </c>
      <c r="B33" s="243" t="s">
        <v>67</v>
      </c>
      <c r="C33" s="243" t="s">
        <v>1161</v>
      </c>
      <c r="D33" s="243" t="s">
        <v>1165</v>
      </c>
      <c r="E33" s="243" t="s">
        <v>1166</v>
      </c>
      <c r="F33" s="243" t="s">
        <v>434</v>
      </c>
      <c r="G33" s="243" t="s">
        <v>68</v>
      </c>
      <c r="H33" s="244"/>
      <c r="I33" s="244" t="s">
        <v>1111</v>
      </c>
      <c r="J33" s="245" t="str">
        <f aca="false">IF(OR(H33="",I33=""),"",COUNTIF(H33:I33,"YES")/2*$C$7)</f>
        <v/>
      </c>
      <c r="K33" s="246" t="s">
        <v>1167</v>
      </c>
    </row>
    <row r="34" customFormat="false" ht="14.25" hidden="false" customHeight="false" outlineLevel="0" collapsed="false">
      <c r="A34" s="242" t="s">
        <v>820</v>
      </c>
      <c r="B34" s="243"/>
      <c r="C34" s="243"/>
      <c r="D34" s="243"/>
      <c r="E34" s="243"/>
      <c r="F34" s="243"/>
      <c r="G34" s="243"/>
      <c r="H34" s="244"/>
      <c r="I34" s="244"/>
      <c r="J34" s="245" t="str">
        <f aca="false">IF(OR(H34="",I34=""),"",COUNTIF(H34:I34,"YES")/2*$C$7)</f>
        <v/>
      </c>
      <c r="K34" s="243"/>
    </row>
    <row r="35" customFormat="false" ht="14.25" hidden="false" customHeight="false" outlineLevel="0" collapsed="false">
      <c r="A35" s="242" t="s">
        <v>821</v>
      </c>
      <c r="B35" s="243"/>
      <c r="C35" s="243"/>
      <c r="D35" s="243"/>
      <c r="E35" s="243"/>
      <c r="F35" s="243"/>
      <c r="G35" s="243"/>
      <c r="H35" s="244"/>
      <c r="I35" s="244"/>
      <c r="J35" s="245" t="str">
        <f aca="false">IF(OR(H35="",I35=""),"",COUNTIF(H35:I35,"YES")/2*$C$7)</f>
        <v/>
      </c>
      <c r="K35" s="243"/>
    </row>
    <row r="36" customFormat="false" ht="14.25" hidden="false" customHeight="false" outlineLevel="0" collapsed="false">
      <c r="A36" s="242" t="s">
        <v>822</v>
      </c>
      <c r="B36" s="243"/>
      <c r="C36" s="243"/>
      <c r="D36" s="243"/>
      <c r="E36" s="243"/>
      <c r="F36" s="243"/>
      <c r="G36" s="243"/>
      <c r="H36" s="244"/>
      <c r="I36" s="244"/>
      <c r="J36" s="245" t="str">
        <f aca="false">IF(OR(H36="",I36=""),"",COUNTIF(H36:I36,"YES")/2*$C$7)</f>
        <v/>
      </c>
      <c r="K36" s="243"/>
    </row>
    <row r="37" customFormat="false" ht="14.25" hidden="false" customHeight="false" outlineLevel="0" collapsed="false">
      <c r="A37" s="242" t="s">
        <v>823</v>
      </c>
      <c r="B37" s="243"/>
      <c r="C37" s="243"/>
      <c r="D37" s="243"/>
      <c r="E37" s="243"/>
      <c r="F37" s="243"/>
      <c r="G37" s="243"/>
      <c r="H37" s="244"/>
      <c r="I37" s="244"/>
      <c r="J37" s="245" t="str">
        <f aca="false">IF(OR(H37="",I37=""),"",COUNTIF(H37:I37,"YES")/2*$C$7)</f>
        <v/>
      </c>
      <c r="K37" s="243"/>
    </row>
    <row r="38" customFormat="false" ht="14.25" hidden="false" customHeight="false" outlineLevel="0" collapsed="false">
      <c r="A38" s="242" t="s">
        <v>824</v>
      </c>
      <c r="B38" s="243"/>
      <c r="C38" s="243"/>
      <c r="D38" s="243"/>
      <c r="E38" s="243"/>
      <c r="F38" s="243"/>
      <c r="G38" s="243"/>
      <c r="H38" s="244"/>
      <c r="I38" s="244"/>
      <c r="J38" s="245" t="str">
        <f aca="false">IF(OR(H38="",I38=""),"",COUNTIF(H38:I38,"YES")/2*$C$7)</f>
        <v/>
      </c>
      <c r="K38" s="243"/>
    </row>
    <row r="39" customFormat="false" ht="14.25" hidden="false" customHeight="false" outlineLevel="0" collapsed="false">
      <c r="A39" s="242" t="s">
        <v>825</v>
      </c>
      <c r="B39" s="243"/>
      <c r="C39" s="243"/>
      <c r="D39" s="243"/>
      <c r="E39" s="243"/>
      <c r="F39" s="243"/>
      <c r="G39" s="243"/>
      <c r="H39" s="244"/>
      <c r="I39" s="244"/>
      <c r="J39" s="245" t="str">
        <f aca="false">IF(OR(H39="",I39=""),"",COUNTIF(H39:I39,"YES")/2*$C$7)</f>
        <v/>
      </c>
      <c r="K39" s="243"/>
    </row>
    <row r="40" customFormat="false" ht="14.25" hidden="false" customHeight="false" outlineLevel="0" collapsed="false">
      <c r="A40" s="242" t="s">
        <v>826</v>
      </c>
      <c r="B40" s="243"/>
      <c r="C40" s="243"/>
      <c r="D40" s="243"/>
      <c r="E40" s="243"/>
      <c r="F40" s="243"/>
      <c r="G40" s="243"/>
      <c r="H40" s="244"/>
      <c r="I40" s="244"/>
      <c r="J40" s="245" t="str">
        <f aca="false">IF(OR(H40="",I40=""),"",COUNTIF(H40:I40,"YES")/2*$C$7)</f>
        <v/>
      </c>
      <c r="K40" s="243"/>
    </row>
    <row r="41" customFormat="false" ht="14.25" hidden="false" customHeight="false" outlineLevel="0" collapsed="false">
      <c r="A41" s="242" t="s">
        <v>827</v>
      </c>
      <c r="B41" s="243"/>
      <c r="C41" s="243"/>
      <c r="D41" s="243"/>
      <c r="E41" s="243"/>
      <c r="F41" s="243"/>
      <c r="G41" s="243"/>
      <c r="H41" s="244"/>
      <c r="I41" s="244"/>
      <c r="J41" s="245" t="str">
        <f aca="false">IF(OR(H41="",I41=""),"",COUNTIF(H41:I41,"YES")/2*$C$7)</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108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Was the public scrutiny undertaken for (including objections and responses) municipal/city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Development Authority/ULG websites (as applicable) for consultation minutes/details/notifcations for inviting suggestions; newspaper reports; and the municipal/city plan for evidence of public scrutiny. If such evidence is found, score 5.</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t="s">
        <v>28</v>
      </c>
      <c r="C33" s="243" t="s">
        <v>1168</v>
      </c>
      <c r="D33" s="243" t="s">
        <v>1169</v>
      </c>
      <c r="E33" s="243" t="s">
        <v>1170</v>
      </c>
      <c r="F33" s="243" t="s">
        <v>1110</v>
      </c>
      <c r="G33" s="243" t="s">
        <v>29</v>
      </c>
      <c r="H33" s="244" t="s">
        <v>1111</v>
      </c>
      <c r="I33" s="245" t="n">
        <f aca="false">IF(H33="YES",$C$7,IF(H33="NO",0,""))</f>
        <v>5</v>
      </c>
      <c r="J33" s="243" t="s">
        <v>1171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1"/>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1" min="8" style="0" width="22"/>
    <col collapsed="false" customWidth="true" hidden="false" outlineLevel="0" max="12" min="12" style="0" width="14"/>
    <col collapsed="false" customWidth="true" hidden="false" outlineLevel="0" max="13" min="13" style="0" width="45"/>
  </cols>
  <sheetData>
    <row r="1" customFormat="false" ht="14.25" hidden="false" customHeight="false" outlineLevel="0" collapsed="false">
      <c r="A1" s="234" t="s">
        <v>1090</v>
      </c>
      <c r="B1" s="234" t="s">
        <v>113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Plan modification and implementation review</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periodic review and revision of the notified municipal/city plan, including corresponding revisions to the Development Control Regulations (DCRs)?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State Town Planning Act.Score 10: The law mandates periodic review and revision of the municipal/city plan, specifies a review/revision timeline and responsible authority, and requires corresponding review and revision of the DCRs, where necessary, following municipal/city plan revision.Score 2.5 for each component and enter the sum if there are multiple components - 1. The law mandates periodic review and revision of the municipal/city plan ((alluding to the revision or creation of a new plan say after ten years) to the municipal/city plans shall not be considered).2. Specifies a review/revision timeline 3. Specifies for responsible authority4. Requires corresponding review and revision of the DCRs following municipal/city plan revision</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1148</v>
      </c>
    </row>
    <row r="11" customFormat="false" ht="28.5" hidden="false" customHeight="true" outlineLevel="0" collapsed="false">
      <c r="H11" s="238" t="s">
        <v>1095</v>
      </c>
      <c r="I11" s="238" t="s">
        <v>1095</v>
      </c>
      <c r="J11" s="238" t="s">
        <v>1095</v>
      </c>
      <c r="K11" s="238" t="s">
        <v>1095</v>
      </c>
      <c r="L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"Periodic review &amp; revision mandated ("&amp;TEXT($C$7/4,"0.00")&amp;")"</f>
        <v>Periodic review &amp; revision mandated (2.50)</v>
      </c>
      <c r="I12" s="241" t="str">
        <f aca="false">"Review/revision timeline specified ("&amp;TEXT($C$7/4,"0.00")&amp;")"</f>
        <v>Review/revision timeline specified (2.50)</v>
      </c>
      <c r="J12" s="241" t="str">
        <f aca="false">"Responsible authority specified ("&amp;TEXT($C$7/4,"0.00")&amp;")"</f>
        <v>Responsible authority specified (2.50)</v>
      </c>
      <c r="K12" s="241" t="str">
        <f aca="false">"Corresponding DCR revision required ("&amp;TEXT($C$7/4,"0.00")&amp;")"</f>
        <v>Corresponding DCR revision required (2.50)</v>
      </c>
      <c r="L12" s="239" t="s">
        <v>1103</v>
      </c>
      <c r="M12" s="241" t="s">
        <v>1104</v>
      </c>
    </row>
    <row r="13" customFormat="false" ht="14.25" hidden="false" customHeight="false" outlineLevel="0" collapsed="false">
      <c r="A13" s="242" t="s">
        <v>800</v>
      </c>
      <c r="B13" s="243"/>
      <c r="C13" s="243"/>
      <c r="D13" s="243"/>
      <c r="E13" s="243"/>
      <c r="F13" s="243"/>
      <c r="G13" s="243"/>
      <c r="H13" s="244"/>
      <c r="I13" s="244"/>
      <c r="J13" s="244"/>
      <c r="K13" s="244"/>
      <c r="L13" s="245" t="str">
        <f aca="false">IF(OR(H13="",I13="",J13="",K13=""),"",COUNTIF(H13:K13,"YES")/4*$C$7)</f>
        <v/>
      </c>
      <c r="M13" s="243"/>
    </row>
    <row r="14" customFormat="false" ht="14.25" hidden="false" customHeight="false" outlineLevel="0" collapsed="false">
      <c r="A14" s="242" t="s">
        <v>801</v>
      </c>
      <c r="B14" s="243"/>
      <c r="C14" s="243"/>
      <c r="D14" s="243"/>
      <c r="E14" s="243"/>
      <c r="F14" s="243"/>
      <c r="G14" s="243"/>
      <c r="H14" s="244"/>
      <c r="I14" s="244"/>
      <c r="J14" s="244"/>
      <c r="K14" s="244"/>
      <c r="L14" s="245" t="str">
        <f aca="false">IF(OR(H14="",I14="",J14="",K14=""),"",COUNTIF(H14:K14,"YES")/4*$C$7)</f>
        <v/>
      </c>
      <c r="M14" s="243"/>
    </row>
    <row r="15" customFormat="false" ht="14.25" hidden="false" customHeight="false" outlineLevel="0" collapsed="false">
      <c r="A15" s="242" t="s">
        <v>802</v>
      </c>
      <c r="B15" s="243"/>
      <c r="C15" s="243"/>
      <c r="D15" s="243"/>
      <c r="E15" s="243"/>
      <c r="F15" s="243"/>
      <c r="G15" s="243"/>
      <c r="H15" s="244"/>
      <c r="I15" s="244"/>
      <c r="J15" s="244"/>
      <c r="K15" s="244"/>
      <c r="L15" s="245" t="str">
        <f aca="false">IF(OR(H15="",I15="",J15="",K15=""),"",COUNTIF(H15:K15,"YES")/4*$C$7)</f>
        <v/>
      </c>
      <c r="M15" s="243"/>
    </row>
    <row r="16" customFormat="false" ht="14.25" hidden="false" customHeight="false" outlineLevel="0" collapsed="false">
      <c r="A16" s="242" t="s">
        <v>803</v>
      </c>
      <c r="B16" s="243"/>
      <c r="C16" s="243"/>
      <c r="D16" s="243"/>
      <c r="E16" s="243"/>
      <c r="F16" s="243"/>
      <c r="G16" s="243"/>
      <c r="H16" s="244"/>
      <c r="I16" s="244"/>
      <c r="J16" s="244"/>
      <c r="K16" s="244"/>
      <c r="L16" s="245" t="str">
        <f aca="false">IF(OR(H16="",I16="",J16="",K16=""),"",COUNTIF(H16:K16,"YES")/4*$C$7)</f>
        <v/>
      </c>
      <c r="M16" s="243"/>
    </row>
    <row r="17" customFormat="false" ht="14.25" hidden="false" customHeight="false" outlineLevel="0" collapsed="false">
      <c r="A17" s="242" t="s">
        <v>804</v>
      </c>
      <c r="B17" s="243"/>
      <c r="C17" s="243"/>
      <c r="D17" s="243"/>
      <c r="E17" s="243"/>
      <c r="F17" s="243"/>
      <c r="G17" s="243"/>
      <c r="H17" s="244"/>
      <c r="I17" s="244"/>
      <c r="J17" s="244"/>
      <c r="K17" s="244"/>
      <c r="L17" s="245" t="str">
        <f aca="false">IF(OR(H17="",I17="",J17="",K17=""),"",COUNTIF(H17:K17,"YES")/4*$C$7)</f>
        <v/>
      </c>
      <c r="M17" s="243"/>
    </row>
    <row r="18" customFormat="false" ht="14.25" hidden="false" customHeight="false" outlineLevel="0" collapsed="false">
      <c r="A18" s="242" t="s">
        <v>805</v>
      </c>
      <c r="B18" s="243"/>
      <c r="C18" s="243"/>
      <c r="D18" s="243"/>
      <c r="E18" s="243"/>
      <c r="F18" s="243"/>
      <c r="G18" s="243"/>
      <c r="H18" s="244"/>
      <c r="I18" s="244"/>
      <c r="J18" s="244"/>
      <c r="K18" s="244"/>
      <c r="L18" s="245" t="str">
        <f aca="false">IF(OR(H18="",I18="",J18="",K18=""),"",COUNTIF(H18:K18,"YES")/4*$C$7)</f>
        <v/>
      </c>
      <c r="M18" s="243"/>
    </row>
    <row r="19" customFormat="false" ht="14.25" hidden="false" customHeight="false" outlineLevel="0" collapsed="false">
      <c r="A19" s="242" t="s">
        <v>806</v>
      </c>
      <c r="B19" s="243"/>
      <c r="C19" s="243"/>
      <c r="D19" s="243"/>
      <c r="E19" s="243"/>
      <c r="F19" s="243"/>
      <c r="G19" s="243"/>
      <c r="H19" s="244"/>
      <c r="I19" s="244"/>
      <c r="J19" s="244"/>
      <c r="K19" s="244"/>
      <c r="L19" s="245" t="str">
        <f aca="false">IF(OR(H19="",I19="",J19="",K19=""),"",COUNTIF(H19:K19,"YES")/4*$C$7)</f>
        <v/>
      </c>
      <c r="M19" s="243"/>
    </row>
    <row r="20" customFormat="false" ht="14.25" hidden="false" customHeight="false" outlineLevel="0" collapsed="false">
      <c r="A20" s="242" t="s">
        <v>807</v>
      </c>
      <c r="B20" s="243"/>
      <c r="C20" s="243"/>
      <c r="D20" s="243"/>
      <c r="E20" s="243"/>
      <c r="F20" s="243"/>
      <c r="G20" s="243"/>
      <c r="H20" s="244"/>
      <c r="I20" s="244"/>
      <c r="J20" s="244"/>
      <c r="K20" s="244"/>
      <c r="L20" s="245" t="str">
        <f aca="false">IF(OR(H20="",I20="",J20="",K20=""),"",COUNTIF(H20:K20,"YES")/4*$C$7)</f>
        <v/>
      </c>
      <c r="M20" s="243"/>
    </row>
    <row r="21" customFormat="false" ht="14.25" hidden="false" customHeight="false" outlineLevel="0" collapsed="false">
      <c r="A21" s="242" t="s">
        <v>808</v>
      </c>
      <c r="B21" s="243"/>
      <c r="C21" s="243"/>
      <c r="D21" s="243"/>
      <c r="E21" s="243"/>
      <c r="F21" s="243"/>
      <c r="G21" s="243"/>
      <c r="H21" s="244"/>
      <c r="I21" s="244"/>
      <c r="J21" s="244"/>
      <c r="K21" s="244"/>
      <c r="L21" s="245" t="str">
        <f aca="false">IF(OR(H21="",I21="",J21="",K21=""),"",COUNTIF(H21:K21,"YES")/4*$C$7)</f>
        <v/>
      </c>
      <c r="M21" s="243"/>
    </row>
    <row r="22" customFormat="false" ht="14.25" hidden="false" customHeight="false" outlineLevel="0" collapsed="false">
      <c r="A22" s="242" t="s">
        <v>809</v>
      </c>
      <c r="B22" s="243"/>
      <c r="C22" s="243"/>
      <c r="D22" s="243"/>
      <c r="E22" s="243"/>
      <c r="F22" s="243"/>
      <c r="G22" s="243"/>
      <c r="H22" s="244"/>
      <c r="I22" s="244"/>
      <c r="J22" s="244"/>
      <c r="K22" s="244"/>
      <c r="L22" s="245" t="str">
        <f aca="false">IF(OR(H22="",I22="",J22="",K22=""),"",COUNTIF(H22:K22,"YES")/4*$C$7)</f>
        <v/>
      </c>
      <c r="M22" s="243"/>
    </row>
    <row r="23" customFormat="false" ht="14.25" hidden="false" customHeight="false" outlineLevel="0" collapsed="false">
      <c r="A23" s="242" t="s">
        <v>810</v>
      </c>
      <c r="B23" s="243"/>
      <c r="C23" s="243"/>
      <c r="D23" s="243"/>
      <c r="E23" s="243"/>
      <c r="F23" s="243"/>
      <c r="G23" s="243"/>
      <c r="H23" s="244"/>
      <c r="I23" s="244"/>
      <c r="J23" s="244"/>
      <c r="K23" s="244"/>
      <c r="L23" s="245" t="str">
        <f aca="false">IF(OR(H23="",I23="",J23="",K23=""),"",COUNTIF(H23:K23,"YES")/4*$C$7)</f>
        <v/>
      </c>
      <c r="M23" s="243"/>
    </row>
    <row r="24" customFormat="false" ht="14.25" hidden="false" customHeight="false" outlineLevel="0" collapsed="false">
      <c r="A24" s="242" t="s">
        <v>811</v>
      </c>
      <c r="B24" s="243"/>
      <c r="C24" s="243"/>
      <c r="D24" s="243"/>
      <c r="E24" s="243"/>
      <c r="F24" s="243"/>
      <c r="G24" s="243"/>
      <c r="H24" s="244"/>
      <c r="I24" s="244"/>
      <c r="J24" s="244"/>
      <c r="K24" s="244"/>
      <c r="L24" s="245" t="str">
        <f aca="false">IF(OR(H24="",I24="",J24="",K24=""),"",COUNTIF(H24:K24,"YES")/4*$C$7)</f>
        <v/>
      </c>
      <c r="M24" s="243"/>
    </row>
    <row r="25" customFormat="false" ht="14.25" hidden="false" customHeight="false" outlineLevel="0" collapsed="false">
      <c r="A25" s="242" t="s">
        <v>812</v>
      </c>
      <c r="B25" s="243"/>
      <c r="C25" s="243"/>
      <c r="D25" s="243"/>
      <c r="E25" s="243"/>
      <c r="F25" s="243"/>
      <c r="G25" s="243"/>
      <c r="H25" s="244"/>
      <c r="I25" s="244"/>
      <c r="J25" s="244"/>
      <c r="K25" s="244"/>
      <c r="L25" s="245" t="str">
        <f aca="false">IF(OR(H25="",I25="",J25="",K25=""),"",COUNTIF(H25:K25,"YES")/4*$C$7)</f>
        <v/>
      </c>
      <c r="M25" s="243"/>
    </row>
    <row r="26" customFormat="false" ht="14.25" hidden="false" customHeight="false" outlineLevel="0" collapsed="false">
      <c r="A26" s="242" t="s">
        <v>813</v>
      </c>
      <c r="B26" s="243"/>
      <c r="C26" s="243"/>
      <c r="D26" s="243"/>
      <c r="E26" s="243"/>
      <c r="F26" s="243"/>
      <c r="G26" s="243"/>
      <c r="H26" s="244"/>
      <c r="I26" s="244"/>
      <c r="J26" s="244"/>
      <c r="K26" s="244"/>
      <c r="L26" s="245" t="str">
        <f aca="false">IF(OR(H26="",I26="",J26="",K26=""),"",COUNTIF(H26:K26,"YES")/4*$C$7)</f>
        <v/>
      </c>
      <c r="M26" s="243"/>
    </row>
    <row r="27" customFormat="false" ht="14.25" hidden="false" customHeight="false" outlineLevel="0" collapsed="false">
      <c r="A27" s="242" t="s">
        <v>814</v>
      </c>
      <c r="B27" s="243"/>
      <c r="C27" s="243"/>
      <c r="D27" s="243"/>
      <c r="E27" s="243"/>
      <c r="F27" s="243"/>
      <c r="G27" s="243"/>
      <c r="H27" s="244"/>
      <c r="I27" s="244"/>
      <c r="J27" s="244"/>
      <c r="K27" s="244"/>
      <c r="L27" s="245" t="str">
        <f aca="false">IF(OR(H27="",I27="",J27="",K27=""),"",COUNTIF(H27:K27,"YES")/4*$C$7)</f>
        <v/>
      </c>
      <c r="M27" s="243"/>
    </row>
    <row r="28" customFormat="false" ht="14.25" hidden="false" customHeight="false" outlineLevel="0" collapsed="false">
      <c r="A28" s="242" t="s">
        <v>815</v>
      </c>
      <c r="B28" s="243"/>
      <c r="C28" s="243"/>
      <c r="D28" s="243"/>
      <c r="E28" s="243"/>
      <c r="F28" s="243"/>
      <c r="G28" s="243"/>
      <c r="H28" s="244"/>
      <c r="I28" s="244"/>
      <c r="J28" s="244"/>
      <c r="K28" s="244"/>
      <c r="L28" s="245" t="str">
        <f aca="false">IF(OR(H28="",I28="",J28="",K28=""),"",COUNTIF(H28:K28,"YES")/4*$C$7)</f>
        <v/>
      </c>
      <c r="M28" s="243"/>
    </row>
    <row r="29" customFormat="false" ht="14.25" hidden="false" customHeight="false" outlineLevel="0" collapsed="false">
      <c r="A29" s="242" t="s">
        <v>816</v>
      </c>
      <c r="B29" s="243"/>
      <c r="C29" s="243"/>
      <c r="D29" s="243"/>
      <c r="E29" s="243"/>
      <c r="F29" s="243"/>
      <c r="G29" s="243"/>
      <c r="H29" s="244"/>
      <c r="I29" s="244"/>
      <c r="J29" s="244"/>
      <c r="K29" s="244"/>
      <c r="L29" s="245" t="str">
        <f aca="false">IF(OR(H29="",I29="",J29="",K29=""),"",COUNTIF(H29:K29,"YES")/4*$C$7)</f>
        <v/>
      </c>
      <c r="M29" s="243"/>
    </row>
    <row r="30" customFormat="false" ht="14.25" hidden="false" customHeight="false" outlineLevel="0" collapsed="false">
      <c r="A30" s="242" t="s">
        <v>817</v>
      </c>
      <c r="B30" s="243"/>
      <c r="C30" s="243"/>
      <c r="D30" s="243"/>
      <c r="E30" s="243"/>
      <c r="F30" s="243"/>
      <c r="G30" s="243"/>
      <c r="H30" s="244"/>
      <c r="I30" s="244"/>
      <c r="J30" s="244"/>
      <c r="K30" s="244"/>
      <c r="L30" s="245" t="str">
        <f aca="false">IF(OR(H30="",I30="",J30="",K30=""),"",COUNTIF(H30:K30,"YES")/4*$C$7)</f>
        <v/>
      </c>
      <c r="M30" s="243"/>
    </row>
    <row r="31" customFormat="false" ht="14.25" hidden="false" customHeight="false" outlineLevel="0" collapsed="false">
      <c r="A31" s="242" t="s">
        <v>818</v>
      </c>
      <c r="B31" s="243"/>
      <c r="C31" s="243"/>
      <c r="D31" s="243"/>
      <c r="E31" s="243"/>
      <c r="F31" s="243"/>
      <c r="G31" s="243"/>
      <c r="H31" s="244"/>
      <c r="I31" s="244"/>
      <c r="J31" s="244"/>
      <c r="K31" s="244"/>
      <c r="L31" s="245" t="str">
        <f aca="false">IF(OR(H31="",I31="",J31="",K31=""),"",COUNTIF(H31:K31,"YES")/4*$C$7)</f>
        <v/>
      </c>
      <c r="M31" s="243"/>
    </row>
    <row r="32" customFormat="false" ht="14.25" hidden="false" customHeight="false" outlineLevel="0" collapsed="false">
      <c r="A32" s="242" t="s">
        <v>819</v>
      </c>
      <c r="B32" s="243"/>
      <c r="C32" s="243"/>
      <c r="D32" s="243"/>
      <c r="E32" s="243"/>
      <c r="F32" s="243"/>
      <c r="G32" s="243"/>
      <c r="H32" s="244"/>
      <c r="I32" s="244"/>
      <c r="J32" s="244"/>
      <c r="K32" s="244"/>
      <c r="L32" s="245" t="str">
        <f aca="false">IF(OR(H32="",I32="",J32="",K32=""),"",COUNTIF(H32:K32,"YES")/4*$C$7)</f>
        <v/>
      </c>
      <c r="M32" s="243"/>
    </row>
    <row r="33" customFormat="false" ht="147" hidden="false" customHeight="false" outlineLevel="0" collapsed="false">
      <c r="A33" s="242" t="s">
        <v>17</v>
      </c>
      <c r="B33" s="243" t="s">
        <v>44</v>
      </c>
      <c r="C33" s="243" t="s">
        <v>1172</v>
      </c>
      <c r="D33" s="243" t="s">
        <v>1173</v>
      </c>
      <c r="E33" s="243" t="s">
        <v>1174</v>
      </c>
      <c r="F33" s="243" t="s">
        <v>19</v>
      </c>
      <c r="G33" s="243" t="s">
        <v>45</v>
      </c>
      <c r="H33" s="244" t="s">
        <v>1111</v>
      </c>
      <c r="I33" s="244" t="s">
        <v>1111</v>
      </c>
      <c r="J33" s="244" t="s">
        <v>1111</v>
      </c>
      <c r="K33" s="244"/>
      <c r="L33" s="245" t="str">
        <f aca="false">IF(OR(H33="",I33="",J33="",K33=""),"",COUNTIF(H33:K33,"YES")/4*$C$7)</f>
        <v/>
      </c>
      <c r="M33" s="246" t="s">
        <v>1175</v>
      </c>
    </row>
    <row r="34" customFormat="false" ht="14.25" hidden="false" customHeight="false" outlineLevel="0" collapsed="false">
      <c r="A34" s="242" t="s">
        <v>820</v>
      </c>
      <c r="B34" s="243"/>
      <c r="C34" s="243"/>
      <c r="D34" s="243"/>
      <c r="E34" s="243"/>
      <c r="F34" s="243"/>
      <c r="G34" s="243"/>
      <c r="H34" s="244"/>
      <c r="I34" s="244"/>
      <c r="J34" s="244"/>
      <c r="K34" s="244"/>
      <c r="L34" s="245" t="str">
        <f aca="false">IF(OR(H34="",I34="",J34="",K34=""),"",COUNTIF(H34:K34,"YES")/4*$C$7)</f>
        <v/>
      </c>
      <c r="M34" s="243"/>
    </row>
    <row r="35" customFormat="false" ht="14.25" hidden="false" customHeight="false" outlineLevel="0" collapsed="false">
      <c r="A35" s="242" t="s">
        <v>821</v>
      </c>
      <c r="B35" s="243"/>
      <c r="C35" s="243"/>
      <c r="D35" s="243"/>
      <c r="E35" s="243"/>
      <c r="F35" s="243"/>
      <c r="G35" s="243"/>
      <c r="H35" s="244"/>
      <c r="I35" s="244"/>
      <c r="J35" s="244"/>
      <c r="K35" s="244"/>
      <c r="L35" s="245" t="str">
        <f aca="false">IF(OR(H35="",I35="",J35="",K35=""),"",COUNTIF(H35:K35,"YES")/4*$C$7)</f>
        <v/>
      </c>
      <c r="M35" s="243"/>
    </row>
    <row r="36" customFormat="false" ht="14.25" hidden="false" customHeight="false" outlineLevel="0" collapsed="false">
      <c r="A36" s="242" t="s">
        <v>822</v>
      </c>
      <c r="B36" s="243"/>
      <c r="C36" s="243"/>
      <c r="D36" s="243"/>
      <c r="E36" s="243"/>
      <c r="F36" s="243"/>
      <c r="G36" s="243"/>
      <c r="H36" s="244"/>
      <c r="I36" s="244"/>
      <c r="J36" s="244"/>
      <c r="K36" s="244"/>
      <c r="L36" s="245" t="str">
        <f aca="false">IF(OR(H36="",I36="",J36="",K36=""),"",COUNTIF(H36:K36,"YES")/4*$C$7)</f>
        <v/>
      </c>
      <c r="M36" s="243"/>
    </row>
    <row r="37" customFormat="false" ht="14.25" hidden="false" customHeight="false" outlineLevel="0" collapsed="false">
      <c r="A37" s="242" t="s">
        <v>823</v>
      </c>
      <c r="B37" s="243"/>
      <c r="C37" s="243"/>
      <c r="D37" s="243"/>
      <c r="E37" s="243"/>
      <c r="F37" s="243"/>
      <c r="G37" s="243"/>
      <c r="H37" s="244"/>
      <c r="I37" s="244"/>
      <c r="J37" s="244"/>
      <c r="K37" s="244"/>
      <c r="L37" s="245" t="str">
        <f aca="false">IF(OR(H37="",I37="",J37="",K37=""),"",COUNTIF(H37:K37,"YES")/4*$C$7)</f>
        <v/>
      </c>
      <c r="M37" s="243"/>
    </row>
    <row r="38" customFormat="false" ht="14.25" hidden="false" customHeight="false" outlineLevel="0" collapsed="false">
      <c r="A38" s="242" t="s">
        <v>824</v>
      </c>
      <c r="B38" s="243"/>
      <c r="C38" s="243"/>
      <c r="D38" s="243"/>
      <c r="E38" s="243"/>
      <c r="F38" s="243"/>
      <c r="G38" s="243"/>
      <c r="H38" s="244"/>
      <c r="I38" s="244"/>
      <c r="J38" s="244"/>
      <c r="K38" s="244"/>
      <c r="L38" s="245" t="str">
        <f aca="false">IF(OR(H38="",I38="",J38="",K38=""),"",COUNTIF(H38:K38,"YES")/4*$C$7)</f>
        <v/>
      </c>
      <c r="M38" s="243"/>
    </row>
    <row r="39" customFormat="false" ht="14.25" hidden="false" customHeight="false" outlineLevel="0" collapsed="false">
      <c r="A39" s="242" t="s">
        <v>825</v>
      </c>
      <c r="B39" s="243"/>
      <c r="C39" s="243"/>
      <c r="D39" s="243"/>
      <c r="E39" s="243"/>
      <c r="F39" s="243"/>
      <c r="G39" s="243"/>
      <c r="H39" s="244"/>
      <c r="I39" s="244"/>
      <c r="J39" s="244"/>
      <c r="K39" s="244"/>
      <c r="L39" s="245" t="str">
        <f aca="false">IF(OR(H39="",I39="",J39="",K39=""),"",COUNTIF(H39:K39,"YES")/4*$C$7)</f>
        <v/>
      </c>
      <c r="M39" s="243"/>
    </row>
    <row r="40" customFormat="false" ht="14.25" hidden="false" customHeight="false" outlineLevel="0" collapsed="false">
      <c r="A40" s="242" t="s">
        <v>826</v>
      </c>
      <c r="B40" s="243"/>
      <c r="C40" s="243"/>
      <c r="D40" s="243"/>
      <c r="E40" s="243"/>
      <c r="F40" s="243"/>
      <c r="G40" s="243"/>
      <c r="H40" s="244"/>
      <c r="I40" s="244"/>
      <c r="J40" s="244"/>
      <c r="K40" s="244"/>
      <c r="L40" s="245" t="str">
        <f aca="false">IF(OR(H40="",I40="",J40="",K40=""),"",COUNTIF(H40:K40,"YES")/4*$C$7)</f>
        <v/>
      </c>
      <c r="M40" s="243"/>
    </row>
    <row r="41" customFormat="false" ht="14.25" hidden="false" customHeight="false" outlineLevel="0" collapsed="false">
      <c r="A41" s="242" t="s">
        <v>827</v>
      </c>
      <c r="B41" s="243"/>
      <c r="C41" s="243"/>
      <c r="D41" s="243"/>
      <c r="E41" s="243"/>
      <c r="F41" s="243"/>
      <c r="G41" s="243"/>
      <c r="H41" s="244"/>
      <c r="I41" s="244"/>
      <c r="J41" s="244"/>
      <c r="K41" s="244"/>
      <c r="L41" s="245" t="str">
        <f aca="false">IF(OR(H41="",I41="",J41="",K41=""),"",COUNTIF(H41:K41,"YES")/4*$C$7)</f>
        <v/>
      </c>
      <c r="M41" s="243"/>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118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a) Water Supply/ Sewerage, Sanitation and Solid Waste Management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36" t="n">
        <f aca="false">VLOOKUP($B$1,'UPD Questions_290926 '!$E$1:$N$300,MATCH($A$7,'UPD Questions_290926 '!$E$1:$N$1,0),0)</f>
        <v>1.67</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0.55Provisions that make such a plan optional with 'may' provision shall not be considered.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"Water supply / sewerage ("&amp;TEXT($C$7/3,"0.00")&amp;")"</f>
        <v>Water supply / sewerage (0.56)</v>
      </c>
      <c r="I12" s="241" t="str">
        <f aca="false">"City sanitation ("&amp;TEXT($C$7/3,"0.00")&amp;")"</f>
        <v>City sanitation (0.56)</v>
      </c>
      <c r="J12" s="241" t="str">
        <f aca="false">"Solid waste management ("&amp;TEXT($C$7/3,"0.00")&amp;")"</f>
        <v>Solid waste management (0.56)</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IF(OR(H13="",I13="",J13=""),"",COUNTIF(H13:J13,"YES")/3*$C$7)</f>
        <v/>
      </c>
      <c r="L13" s="243"/>
    </row>
    <row r="14" customFormat="false" ht="14.25" hidden="false" customHeight="false" outlineLevel="0" collapsed="false">
      <c r="A14" s="242" t="s">
        <v>801</v>
      </c>
      <c r="B14" s="243"/>
      <c r="C14" s="243"/>
      <c r="D14" s="243"/>
      <c r="E14" s="243"/>
      <c r="F14" s="243"/>
      <c r="G14" s="243"/>
      <c r="H14" s="244"/>
      <c r="I14" s="244"/>
      <c r="J14" s="244"/>
      <c r="K14" s="245" t="str">
        <f aca="false">IF(OR(H14="",I14="",J14=""),"",COUNTIF(H14:J14,"YES")/3*$C$7)</f>
        <v/>
      </c>
      <c r="L14" s="243"/>
    </row>
    <row r="15" customFormat="false" ht="14.25" hidden="false" customHeight="false" outlineLevel="0" collapsed="false">
      <c r="A15" s="242" t="s">
        <v>802</v>
      </c>
      <c r="B15" s="243"/>
      <c r="C15" s="243"/>
      <c r="D15" s="243"/>
      <c r="E15" s="243"/>
      <c r="F15" s="243"/>
      <c r="G15" s="243"/>
      <c r="H15" s="244"/>
      <c r="I15" s="244"/>
      <c r="J15" s="244"/>
      <c r="K15" s="245" t="str">
        <f aca="false">IF(OR(H15="",I15="",J15=""),"",COUNTIF(H15:J15,"YES")/3*$C$7)</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IF(OR(H16="",I16="",J16=""),"",COUNTIF(H16:J16,"YES")/3*$C$7)</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IF(OR(H17="",I17="",J17=""),"",COUNTIF(H17:J17,"YES")/3*$C$7)</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IF(OR(H18="",I18="",J18=""),"",COUNTIF(H18:J18,"YES")/3*$C$7)</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IF(OR(H19="",I19="",J19=""),"",COUNTIF(H19:J19,"YES")/3*$C$7)</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IF(OR(H20="",I20="",J20=""),"",COUNTIF(H20:J20,"YES")/3*$C$7)</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IF(OR(H21="",I21="",J21=""),"",COUNTIF(H21:J21,"YES")/3*$C$7)</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IF(OR(H22="",I22="",J22=""),"",COUNTIF(H22:J22,"YES")/3*$C$7)</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IF(OR(H23="",I23="",J23=""),"",COUNTIF(H23:J23,"YES")/3*$C$7)</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IF(OR(H24="",I24="",J24=""),"",COUNTIF(H24:J24,"YES")/3*$C$7)</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IF(OR(H25="",I25="",J25=""),"",COUNTIF(H25:J25,"YES")/3*$C$7)</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IF(OR(H26="",I26="",J26=""),"",COUNTIF(H26:J26,"YES")/3*$C$7)</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IF(OR(H27="",I27="",J27=""),"",COUNTIF(H27:J27,"YES")/3*$C$7)</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IF(OR(H28="",I28="",J28=""),"",COUNTIF(H28:J28,"YES")/3*$C$7)</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IF(OR(H29="",I29="",J29=""),"",COUNTIF(H29:J29,"YES")/3*$C$7)</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IF(OR(H30="",I30="",J30=""),"",COUNTIF(H30:J30,"YES")/3*$C$7)</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IF(OR(H31="",I31="",J31=""),"",COUNTIF(H31:J31,"YES")/3*$C$7)</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IF(OR(H32="",I32="",J32=""),"",COUNTIF(H32:J32,"YES")/3*$C$7)</f>
        <v/>
      </c>
      <c r="L32" s="243"/>
    </row>
    <row r="33" customFormat="false" ht="281.3" hidden="false" customHeight="false" outlineLevel="0" collapsed="false">
      <c r="A33" s="242" t="s">
        <v>17</v>
      </c>
      <c r="B33" s="243" t="s">
        <v>28</v>
      </c>
      <c r="C33" s="243" t="s">
        <v>1176</v>
      </c>
      <c r="D33" s="243" t="s">
        <v>1177</v>
      </c>
      <c r="E33" s="243" t="s">
        <v>1178</v>
      </c>
      <c r="F33" s="243" t="s">
        <v>1179</v>
      </c>
      <c r="G33" s="243" t="s">
        <v>29</v>
      </c>
      <c r="H33" s="244"/>
      <c r="I33" s="244"/>
      <c r="J33" s="244"/>
      <c r="K33" s="245" t="str">
        <f aca="false">IF(OR(H33="",I33="",J33=""),"",COUNTIF(H33:J33,"YES")/3*$C$7)</f>
        <v/>
      </c>
      <c r="L33" s="246" t="s">
        <v>1180</v>
      </c>
    </row>
    <row r="34" customFormat="false" ht="14.25" hidden="false" customHeight="false" outlineLevel="0" collapsed="false">
      <c r="A34" s="242" t="s">
        <v>820</v>
      </c>
      <c r="B34" s="243"/>
      <c r="C34" s="243"/>
      <c r="D34" s="243"/>
      <c r="E34" s="243"/>
      <c r="F34" s="243"/>
      <c r="G34" s="243"/>
      <c r="H34" s="244"/>
      <c r="I34" s="244"/>
      <c r="J34" s="244"/>
      <c r="K34" s="245" t="str">
        <f aca="false">IF(OR(H34="",I34="",J34=""),"",COUNTIF(H34:J34,"YES")/3*$C$7)</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IF(OR(H35="",I35="",J35=""),"",COUNTIF(H35:J35,"YES")/3*$C$7)</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IF(OR(H36="",I36="",J36=""),"",COUNTIF(H36:J36,"YES")/3*$C$7)</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IF(OR(H37="",I37="",J37=""),"",COUNTIF(H37:J37,"YES")/3*$C$7)</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IF(OR(H38="",I38="",J38=""),"",COUNTIF(H38:J38,"YES")/3*$C$7)</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IF(OR(H39="",I39="",J39=""),"",COUNTIF(H39:J39,"YES")/3*$C$7)</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IF(OR(H40="",I40="",J40=""),"",COUNTIF(H40:J40,"YES")/3*$C$7)</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IF(OR(H41="",I41="",J41=""),"",COUNTIF(H41:J41,"YES")/3*$C$7)</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125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b) Disaster Resilience</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36" t="n">
        <f aca="false">VLOOKUP($B$1,'UPD Questions_290926 '!$E$1:$N$300,MATCH($A$7,'UPD Questions_290926 '!$E$1:$N$1,0),0)</f>
        <v>1.67</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1181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128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c) Comprehensive mobility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36" t="n">
        <f aca="false">VLOOKUP($B$1,'UPD Questions_290926 '!$E$1:$N$300,MATCH($A$7,'UPD Questions_290926 '!$E$1:$N$1,0),0)</f>
        <v>1.67</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91.75" hidden="false" customHeight="false" outlineLevel="0" collapsed="false">
      <c r="A33" s="242" t="s">
        <v>17</v>
      </c>
      <c r="B33" s="243" t="s">
        <v>28</v>
      </c>
      <c r="C33" s="243" t="s">
        <v>1182</v>
      </c>
      <c r="D33" s="243" t="s">
        <v>1183</v>
      </c>
      <c r="E33" s="243" t="s">
        <v>1184</v>
      </c>
      <c r="F33" s="243" t="s">
        <v>1179</v>
      </c>
      <c r="G33" s="243" t="s">
        <v>29</v>
      </c>
      <c r="H33" s="244"/>
      <c r="I33" s="245" t="str">
        <f aca="false">IF(H33="YES",$C$7,IF(H33="NO",0,""))</f>
        <v/>
      </c>
      <c r="J33" s="246" t="s">
        <v>1185</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132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d) Sustainability/Climate/Environmental conservation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36" t="n">
        <f aca="false">VLOOKUP($B$1,'UPD Questions_290926 '!$E$1:$N$300,MATCH($A$7,'UPD Questions_290926 '!$E$1:$N$1,0),0)</f>
        <v>1.67</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35.05" hidden="false" customHeight="false" outlineLevel="0" collapsed="false">
      <c r="A33" s="242" t="s">
        <v>17</v>
      </c>
      <c r="B33" s="243" t="s">
        <v>28</v>
      </c>
      <c r="C33" s="243" t="s">
        <v>1186</v>
      </c>
      <c r="D33" s="243" t="s">
        <v>1187</v>
      </c>
      <c r="E33" s="243" t="s">
        <v>1188</v>
      </c>
      <c r="F33" s="243" t="s">
        <v>1179</v>
      </c>
      <c r="G33" s="243" t="s">
        <v>29</v>
      </c>
      <c r="H33" s="244"/>
      <c r="I33" s="245" t="str">
        <f aca="false">IF(H33="YES",$C$7,IF(H33="NO",0,""))</f>
        <v/>
      </c>
      <c r="J33" s="246" t="s">
        <v>1189</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136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e) Heritage conservation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36" t="n">
        <f aca="false">VLOOKUP($B$1,'UPD Questions_290926 '!$E$1:$N$300,MATCH($A$7,'UPD Questions_290926 '!$E$1:$N$1,0),0)</f>
        <v>1.67</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1190</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139</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f) Social Development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36" t="n">
        <f aca="false">VLOOKUP($B$1,'UPD Questions_290926 '!$E$1:$N$300,MATCH($A$7,'UPD Questions_290926 '!$E$1:$N$1,0),0)</f>
        <v>1.67</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manner:1.Public health. Score: 0.55                                                                                                             2. Education. Score: 0.55                                                                                                                                                                                                                                                            3. Affordable housing Score: 0.55</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"Public health ("&amp;TEXT($C$7/3,"0.00")&amp;")"</f>
        <v>Public health (0.56)</v>
      </c>
      <c r="I12" s="241" t="str">
        <f aca="false">"Education ("&amp;TEXT($C$7/3,"0.00")&amp;")"</f>
        <v>Education (0.56)</v>
      </c>
      <c r="J12" s="241" t="str">
        <f aca="false">"Affordable housing ("&amp;TEXT($C$7/3,"0.00")&amp;")"</f>
        <v>Affordable housing (0.56)</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IF(OR(H13="",I13="",J13=""),"",COUNTIF(H13:J13,"YES")/3*$C$7)</f>
        <v/>
      </c>
      <c r="L13" s="243"/>
    </row>
    <row r="14" customFormat="false" ht="14.25" hidden="false" customHeight="false" outlineLevel="0" collapsed="false">
      <c r="A14" s="242" t="s">
        <v>801</v>
      </c>
      <c r="B14" s="243"/>
      <c r="C14" s="243"/>
      <c r="D14" s="243"/>
      <c r="E14" s="243"/>
      <c r="F14" s="243"/>
      <c r="G14" s="243"/>
      <c r="H14" s="244"/>
      <c r="I14" s="244"/>
      <c r="J14" s="244"/>
      <c r="K14" s="245" t="str">
        <f aca="false">IF(OR(H14="",I14="",J14=""),"",COUNTIF(H14:J14,"YES")/3*$C$7)</f>
        <v/>
      </c>
      <c r="L14" s="243"/>
    </row>
    <row r="15" customFormat="false" ht="14.25" hidden="false" customHeight="false" outlineLevel="0" collapsed="false">
      <c r="A15" s="242" t="s">
        <v>802</v>
      </c>
      <c r="B15" s="243"/>
      <c r="C15" s="243"/>
      <c r="D15" s="243"/>
      <c r="E15" s="243"/>
      <c r="F15" s="243"/>
      <c r="G15" s="243"/>
      <c r="H15" s="244"/>
      <c r="I15" s="244"/>
      <c r="J15" s="244"/>
      <c r="K15" s="245" t="str">
        <f aca="false">IF(OR(H15="",I15="",J15=""),"",COUNTIF(H15:J15,"YES")/3*$C$7)</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IF(OR(H16="",I16="",J16=""),"",COUNTIF(H16:J16,"YES")/3*$C$7)</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IF(OR(H17="",I17="",J17=""),"",COUNTIF(H17:J17,"YES")/3*$C$7)</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IF(OR(H18="",I18="",J18=""),"",COUNTIF(H18:J18,"YES")/3*$C$7)</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IF(OR(H19="",I19="",J19=""),"",COUNTIF(H19:J19,"YES")/3*$C$7)</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IF(OR(H20="",I20="",J20=""),"",COUNTIF(H20:J20,"YES")/3*$C$7)</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IF(OR(H21="",I21="",J21=""),"",COUNTIF(H21:J21,"YES")/3*$C$7)</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IF(OR(H22="",I22="",J22=""),"",COUNTIF(H22:J22,"YES")/3*$C$7)</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IF(OR(H23="",I23="",J23=""),"",COUNTIF(H23:J23,"YES")/3*$C$7)</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IF(OR(H24="",I24="",J24=""),"",COUNTIF(H24:J24,"YES")/3*$C$7)</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IF(OR(H25="",I25="",J25=""),"",COUNTIF(H25:J25,"YES")/3*$C$7)</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IF(OR(H26="",I26="",J26=""),"",COUNTIF(H26:J26,"YES")/3*$C$7)</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IF(OR(H27="",I27="",J27=""),"",COUNTIF(H27:J27,"YES")/3*$C$7)</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IF(OR(H28="",I28="",J28=""),"",COUNTIF(H28:J28,"YES")/3*$C$7)</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IF(OR(H29="",I29="",J29=""),"",COUNTIF(H29:J29,"YES")/3*$C$7)</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IF(OR(H30="",I30="",J30=""),"",COUNTIF(H30:J30,"YES")/3*$C$7)</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IF(OR(H31="",I31="",J31=""),"",COUNTIF(H31:J31,"YES")/3*$C$7)</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IF(OR(H32="",I32="",J32=""),"",COUNTIF(H32:J32,"YES")/3*$C$7)</f>
        <v/>
      </c>
      <c r="L32" s="243"/>
    </row>
    <row r="33" customFormat="false" ht="14.25" hidden="false" customHeight="false" outlineLevel="0" collapsed="false">
      <c r="A33" s="242" t="s">
        <v>17</v>
      </c>
      <c r="B33" s="243" t="s">
        <v>28</v>
      </c>
      <c r="C33" s="243" t="s">
        <v>1191</v>
      </c>
      <c r="D33" s="243" t="s">
        <v>1192</v>
      </c>
      <c r="E33" s="243" t="s">
        <v>1193</v>
      </c>
      <c r="F33" s="243" t="s">
        <v>1179</v>
      </c>
      <c r="G33" s="243" t="s">
        <v>29</v>
      </c>
      <c r="H33" s="244"/>
      <c r="I33" s="244"/>
      <c r="J33" s="244"/>
      <c r="K33" s="245" t="str">
        <f aca="false">IF(OR(H33="",I33="",J33=""),"",COUNTIF(H33:J33,"YES")/3*$C$7)</f>
        <v/>
      </c>
      <c r="L33" s="243" t="s">
        <v>1194</v>
      </c>
    </row>
    <row r="34" customFormat="false" ht="14.25" hidden="false" customHeight="false" outlineLevel="0" collapsed="false">
      <c r="A34" s="242" t="s">
        <v>820</v>
      </c>
      <c r="B34" s="243"/>
      <c r="C34" s="243"/>
      <c r="D34" s="243"/>
      <c r="E34" s="243"/>
      <c r="F34" s="243"/>
      <c r="G34" s="243"/>
      <c r="H34" s="244"/>
      <c r="I34" s="244"/>
      <c r="J34" s="244"/>
      <c r="K34" s="245" t="str">
        <f aca="false">IF(OR(H34="",I34="",J34=""),"",COUNTIF(H34:J34,"YES")/3*$C$7)</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IF(OR(H35="",I35="",J35=""),"",COUNTIF(H35:J35,"YES")/3*$C$7)</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IF(OR(H36="",I36="",J36=""),"",COUNTIF(H36:J36,"YES")/3*$C$7)</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IF(OR(H37="",I37="",J37=""),"",COUNTIF(H37:J37,"YES")/3*$C$7)</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IF(OR(H38="",I38="",J38=""),"",COUNTIF(H38:J38,"YES")/3*$C$7)</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IF(OR(H39="",I39="",J39=""),"",COUNTIF(H39:J39,"YES")/3*$C$7)</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IF(OR(H40="",I40="",J40=""),"",COUNTIF(H40:J40,"YES")/3*$C$7)</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IF(OR(H41="",I41="",J41=""),"",COUNTIF(H41:J41,"YES")/3*$C$7)</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144</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Metropolitan/Regional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35.05" hidden="false" customHeight="false" outlineLevel="0" collapsed="false">
      <c r="A33" s="242" t="s">
        <v>17</v>
      </c>
      <c r="B33" s="243" t="s">
        <v>28</v>
      </c>
      <c r="C33" s="243" t="s">
        <v>1195</v>
      </c>
      <c r="D33" s="243" t="s">
        <v>1196</v>
      </c>
      <c r="E33" s="243"/>
      <c r="F33" s="243" t="s">
        <v>576</v>
      </c>
      <c r="G33" s="243" t="s">
        <v>29</v>
      </c>
      <c r="H33" s="244"/>
      <c r="I33" s="245" t="str">
        <f aca="false">IF(H33="YES",$C$7,IF(H33="NO",0,""))</f>
        <v/>
      </c>
      <c r="J33" s="246" t="s">
        <v>1197</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149</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Municipal/City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municipal/development/city plan or municipal/city plan. Check the website of the urban development authority or ULG website or T&amp;CP Dept. Score 3.33 if any of these apply, else, 0.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3.85" hidden="false" customHeight="false" outlineLevel="0" collapsed="false">
      <c r="A33" s="242" t="s">
        <v>17</v>
      </c>
      <c r="B33" s="243" t="s">
        <v>28</v>
      </c>
      <c r="C33" s="243" t="s">
        <v>1198</v>
      </c>
      <c r="D33" s="243" t="s">
        <v>1199</v>
      </c>
      <c r="E33" s="243" t="s">
        <v>1200</v>
      </c>
      <c r="F33" s="243" t="s">
        <v>1110</v>
      </c>
      <c r="G33" s="243" t="s">
        <v>29</v>
      </c>
      <c r="H33" s="244" t="s">
        <v>1111</v>
      </c>
      <c r="I33" s="245" t="n">
        <f aca="false">IF(H33="YES",$C$7,IF(H33="NO",0,""))</f>
        <v>3.33</v>
      </c>
      <c r="J33" s="246" t="s">
        <v>1201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154</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Ward(s) /Local area/ neighbourhood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ward development plan/zonal plan/local area plan. This can exist as a standalone document or spatial plans or map.  Score 3.33 if any of these apply, else, 0.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91.75" hidden="false" customHeight="false" outlineLevel="0" collapsed="false">
      <c r="A33" s="242" t="s">
        <v>17</v>
      </c>
      <c r="B33" s="243" t="s">
        <v>157</v>
      </c>
      <c r="C33" s="243"/>
      <c r="D33" s="243" t="s">
        <v>1202</v>
      </c>
      <c r="E33" s="243" t="s">
        <v>1203</v>
      </c>
      <c r="F33" s="243" t="s">
        <v>423</v>
      </c>
      <c r="G33" s="243" t="s">
        <v>158</v>
      </c>
      <c r="H33" s="244"/>
      <c r="I33" s="245" t="str">
        <f aca="false">IF(H33="YES",$C$7,IF(H33="NO",0,""))</f>
        <v/>
      </c>
      <c r="J33" s="246" t="s">
        <v>1204</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161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Validity of Municipal/City Plans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municipal/city plan that is currently in force and within its prescribed validity period?</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 city plan to identify the valid period, and the gazette notification date of the current and immediately preceding municipal/city plan Score 10 — notified within the statutory periodScore 0 — municipal/city plans that have lapsed and have not been replaced by a new municipal/city plan should be  treated as ‘no municipal/city plans/inactive municipal/city plans.The scorer to capture in the scoring sheet the amount of time (in months) that has been passed since the end of the validity period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c r="K12" s="241" t="s">
        <v>1205</v>
      </c>
    </row>
    <row r="13" customFormat="false" ht="14.25" hidden="false" customHeight="false" outlineLevel="0" collapsed="false">
      <c r="A13" s="242" t="s">
        <v>800</v>
      </c>
      <c r="B13" s="243"/>
      <c r="C13" s="243"/>
      <c r="D13" s="243"/>
      <c r="E13" s="243"/>
      <c r="F13" s="243"/>
      <c r="G13" s="243"/>
      <c r="H13" s="244"/>
      <c r="I13" s="245" t="str">
        <f aca="false">IF(H13="YES",$C$7,IF(H13="NO",0,""))</f>
        <v/>
      </c>
      <c r="J13" s="243"/>
      <c r="K13" s="243"/>
    </row>
    <row r="14" customFormat="false" ht="14.25" hidden="false" customHeight="false" outlineLevel="0" collapsed="false">
      <c r="A14" s="242" t="s">
        <v>801</v>
      </c>
      <c r="B14" s="243"/>
      <c r="C14" s="243"/>
      <c r="D14" s="243"/>
      <c r="E14" s="243"/>
      <c r="F14" s="243"/>
      <c r="G14" s="243"/>
      <c r="H14" s="244"/>
      <c r="I14" s="245" t="str">
        <f aca="false">IF(H14="YES",$C$7,IF(H14="NO",0,""))</f>
        <v/>
      </c>
      <c r="J14" s="243"/>
      <c r="K14" s="243"/>
    </row>
    <row r="15" customFormat="false" ht="14.25" hidden="false" customHeight="false" outlineLevel="0" collapsed="false">
      <c r="A15" s="242" t="s">
        <v>802</v>
      </c>
      <c r="B15" s="243"/>
      <c r="C15" s="243"/>
      <c r="D15" s="243"/>
      <c r="E15" s="243"/>
      <c r="F15" s="243"/>
      <c r="G15" s="243"/>
      <c r="H15" s="244"/>
      <c r="I15" s="245" t="str">
        <f aca="false">IF(H15="YES",$C$7,IF(H15="NO",0,""))</f>
        <v/>
      </c>
      <c r="J15" s="243"/>
      <c r="K15" s="243"/>
    </row>
    <row r="16" customFormat="false" ht="14.25" hidden="false" customHeight="false" outlineLevel="0" collapsed="false">
      <c r="A16" s="242" t="s">
        <v>803</v>
      </c>
      <c r="B16" s="243"/>
      <c r="C16" s="243"/>
      <c r="D16" s="243"/>
      <c r="E16" s="243"/>
      <c r="F16" s="243"/>
      <c r="G16" s="243"/>
      <c r="H16" s="244"/>
      <c r="I16" s="245" t="str">
        <f aca="false">IF(H16="YES",$C$7,IF(H16="NO",0,""))</f>
        <v/>
      </c>
      <c r="J16" s="243"/>
      <c r="K16" s="243"/>
    </row>
    <row r="17" customFormat="false" ht="14.25" hidden="false" customHeight="false" outlineLevel="0" collapsed="false">
      <c r="A17" s="242" t="s">
        <v>804</v>
      </c>
      <c r="B17" s="243"/>
      <c r="C17" s="243"/>
      <c r="D17" s="243"/>
      <c r="E17" s="243"/>
      <c r="F17" s="243"/>
      <c r="G17" s="243"/>
      <c r="H17" s="244"/>
      <c r="I17" s="245" t="str">
        <f aca="false">IF(H17="YES",$C$7,IF(H17="NO",0,""))</f>
        <v/>
      </c>
      <c r="J17" s="243"/>
      <c r="K17" s="243"/>
    </row>
    <row r="18" customFormat="false" ht="14.25" hidden="false" customHeight="false" outlineLevel="0" collapsed="false">
      <c r="A18" s="242" t="s">
        <v>805</v>
      </c>
      <c r="B18" s="243"/>
      <c r="C18" s="243"/>
      <c r="D18" s="243"/>
      <c r="E18" s="243"/>
      <c r="F18" s="243"/>
      <c r="G18" s="243"/>
      <c r="H18" s="244"/>
      <c r="I18" s="245" t="str">
        <f aca="false">IF(H18="YES",$C$7,IF(H18="NO",0,""))</f>
        <v/>
      </c>
      <c r="J18" s="243"/>
      <c r="K18" s="243"/>
    </row>
    <row r="19" customFormat="false" ht="14.25" hidden="false" customHeight="false" outlineLevel="0" collapsed="false">
      <c r="A19" s="242" t="s">
        <v>806</v>
      </c>
      <c r="B19" s="243"/>
      <c r="C19" s="243"/>
      <c r="D19" s="243"/>
      <c r="E19" s="243"/>
      <c r="F19" s="243"/>
      <c r="G19" s="243"/>
      <c r="H19" s="244"/>
      <c r="I19" s="245" t="str">
        <f aca="false">IF(H19="YES",$C$7,IF(H19="NO",0,""))</f>
        <v/>
      </c>
      <c r="J19" s="243"/>
      <c r="K19" s="243"/>
    </row>
    <row r="20" customFormat="false" ht="14.25" hidden="false" customHeight="false" outlineLevel="0" collapsed="false">
      <c r="A20" s="242" t="s">
        <v>807</v>
      </c>
      <c r="B20" s="243"/>
      <c r="C20" s="243"/>
      <c r="D20" s="243"/>
      <c r="E20" s="243"/>
      <c r="F20" s="243"/>
      <c r="G20" s="243"/>
      <c r="H20" s="244"/>
      <c r="I20" s="245" t="str">
        <f aca="false">IF(H20="YES",$C$7,IF(H20="NO",0,""))</f>
        <v/>
      </c>
      <c r="J20" s="243"/>
      <c r="K20" s="243"/>
    </row>
    <row r="21" customFormat="false" ht="14.25" hidden="false" customHeight="false" outlineLevel="0" collapsed="false">
      <c r="A21" s="242" t="s">
        <v>808</v>
      </c>
      <c r="B21" s="243"/>
      <c r="C21" s="243"/>
      <c r="D21" s="243"/>
      <c r="E21" s="243"/>
      <c r="F21" s="243"/>
      <c r="G21" s="243"/>
      <c r="H21" s="244"/>
      <c r="I21" s="245" t="str">
        <f aca="false">IF(H21="YES",$C$7,IF(H21="NO",0,""))</f>
        <v/>
      </c>
      <c r="J21" s="243"/>
      <c r="K21" s="243"/>
    </row>
    <row r="22" customFormat="false" ht="14.25" hidden="false" customHeight="false" outlineLevel="0" collapsed="false">
      <c r="A22" s="242" t="s">
        <v>809</v>
      </c>
      <c r="B22" s="243"/>
      <c r="C22" s="243"/>
      <c r="D22" s="243"/>
      <c r="E22" s="243"/>
      <c r="F22" s="243"/>
      <c r="G22" s="243"/>
      <c r="H22" s="244"/>
      <c r="I22" s="245" t="str">
        <f aca="false">IF(H22="YES",$C$7,IF(H22="NO",0,""))</f>
        <v/>
      </c>
      <c r="J22" s="243"/>
      <c r="K22" s="243"/>
    </row>
    <row r="23" customFormat="false" ht="14.25" hidden="false" customHeight="false" outlineLevel="0" collapsed="false">
      <c r="A23" s="242" t="s">
        <v>810</v>
      </c>
      <c r="B23" s="243"/>
      <c r="C23" s="243"/>
      <c r="D23" s="243"/>
      <c r="E23" s="243"/>
      <c r="F23" s="243"/>
      <c r="G23" s="243"/>
      <c r="H23" s="244"/>
      <c r="I23" s="245" t="str">
        <f aca="false">IF(H23="YES",$C$7,IF(H23="NO",0,""))</f>
        <v/>
      </c>
      <c r="J23" s="243"/>
      <c r="K23" s="243"/>
    </row>
    <row r="24" customFormat="false" ht="14.25" hidden="false" customHeight="false" outlineLevel="0" collapsed="false">
      <c r="A24" s="242" t="s">
        <v>811</v>
      </c>
      <c r="B24" s="243"/>
      <c r="C24" s="243"/>
      <c r="D24" s="243"/>
      <c r="E24" s="243"/>
      <c r="F24" s="243"/>
      <c r="G24" s="243"/>
      <c r="H24" s="244"/>
      <c r="I24" s="245" t="str">
        <f aca="false">IF(H24="YES",$C$7,IF(H24="NO",0,""))</f>
        <v/>
      </c>
      <c r="J24" s="243"/>
      <c r="K24" s="243"/>
    </row>
    <row r="25" customFormat="false" ht="14.25" hidden="false" customHeight="false" outlineLevel="0" collapsed="false">
      <c r="A25" s="242" t="s">
        <v>812</v>
      </c>
      <c r="B25" s="243"/>
      <c r="C25" s="243"/>
      <c r="D25" s="243"/>
      <c r="E25" s="243"/>
      <c r="F25" s="243"/>
      <c r="G25" s="243"/>
      <c r="H25" s="244"/>
      <c r="I25" s="245" t="str">
        <f aca="false">IF(H25="YES",$C$7,IF(H25="NO",0,""))</f>
        <v/>
      </c>
      <c r="J25" s="243"/>
      <c r="K25" s="243"/>
    </row>
    <row r="26" customFormat="false" ht="14.25" hidden="false" customHeight="false" outlineLevel="0" collapsed="false">
      <c r="A26" s="242" t="s">
        <v>813</v>
      </c>
      <c r="B26" s="243"/>
      <c r="C26" s="243"/>
      <c r="D26" s="243"/>
      <c r="E26" s="243"/>
      <c r="F26" s="243"/>
      <c r="G26" s="243"/>
      <c r="H26" s="244"/>
      <c r="I26" s="245" t="str">
        <f aca="false">IF(H26="YES",$C$7,IF(H26="NO",0,""))</f>
        <v/>
      </c>
      <c r="J26" s="243"/>
      <c r="K26" s="243"/>
    </row>
    <row r="27" customFormat="false" ht="14.25" hidden="false" customHeight="false" outlineLevel="0" collapsed="false">
      <c r="A27" s="242" t="s">
        <v>814</v>
      </c>
      <c r="B27" s="243"/>
      <c r="C27" s="243"/>
      <c r="D27" s="243"/>
      <c r="E27" s="243"/>
      <c r="F27" s="243"/>
      <c r="G27" s="243"/>
      <c r="H27" s="244"/>
      <c r="I27" s="245" t="str">
        <f aca="false">IF(H27="YES",$C$7,IF(H27="NO",0,""))</f>
        <v/>
      </c>
      <c r="J27" s="243"/>
      <c r="K27" s="243"/>
    </row>
    <row r="28" customFormat="false" ht="14.25" hidden="false" customHeight="false" outlineLevel="0" collapsed="false">
      <c r="A28" s="242" t="s">
        <v>815</v>
      </c>
      <c r="B28" s="243"/>
      <c r="C28" s="243"/>
      <c r="D28" s="243"/>
      <c r="E28" s="243"/>
      <c r="F28" s="243"/>
      <c r="G28" s="243"/>
      <c r="H28" s="244"/>
      <c r="I28" s="245" t="str">
        <f aca="false">IF(H28="YES",$C$7,IF(H28="NO",0,""))</f>
        <v/>
      </c>
      <c r="J28" s="243"/>
      <c r="K28" s="243"/>
    </row>
    <row r="29" customFormat="false" ht="14.25" hidden="false" customHeight="false" outlineLevel="0" collapsed="false">
      <c r="A29" s="242" t="s">
        <v>816</v>
      </c>
      <c r="B29" s="243"/>
      <c r="C29" s="243"/>
      <c r="D29" s="243"/>
      <c r="E29" s="243"/>
      <c r="F29" s="243"/>
      <c r="G29" s="243"/>
      <c r="H29" s="244"/>
      <c r="I29" s="245" t="str">
        <f aca="false">IF(H29="YES",$C$7,IF(H29="NO",0,""))</f>
        <v/>
      </c>
      <c r="J29" s="243"/>
      <c r="K29" s="243"/>
    </row>
    <row r="30" customFormat="false" ht="14.25" hidden="false" customHeight="false" outlineLevel="0" collapsed="false">
      <c r="A30" s="242" t="s">
        <v>817</v>
      </c>
      <c r="B30" s="243"/>
      <c r="C30" s="243"/>
      <c r="D30" s="243"/>
      <c r="E30" s="243"/>
      <c r="F30" s="243"/>
      <c r="G30" s="243"/>
      <c r="H30" s="244"/>
      <c r="I30" s="245" t="str">
        <f aca="false">IF(H30="YES",$C$7,IF(H30="NO",0,""))</f>
        <v/>
      </c>
      <c r="J30" s="243"/>
      <c r="K30" s="243"/>
    </row>
    <row r="31" customFormat="false" ht="14.25" hidden="false" customHeight="false" outlineLevel="0" collapsed="false">
      <c r="A31" s="242" t="s">
        <v>818</v>
      </c>
      <c r="B31" s="243"/>
      <c r="C31" s="243"/>
      <c r="D31" s="243"/>
      <c r="E31" s="243"/>
      <c r="F31" s="243"/>
      <c r="G31" s="243"/>
      <c r="H31" s="244"/>
      <c r="I31" s="245" t="str">
        <f aca="false">IF(H31="YES",$C$7,IF(H31="NO",0,""))</f>
        <v/>
      </c>
      <c r="J31" s="243"/>
      <c r="K31" s="243"/>
    </row>
    <row r="32" customFormat="false" ht="14.25" hidden="false" customHeight="false" outlineLevel="0" collapsed="false">
      <c r="A32" s="242" t="s">
        <v>819</v>
      </c>
      <c r="B32" s="243"/>
      <c r="C32" s="243"/>
      <c r="D32" s="243"/>
      <c r="E32" s="243"/>
      <c r="F32" s="243"/>
      <c r="G32" s="243"/>
      <c r="H32" s="244"/>
      <c r="I32" s="245" t="str">
        <f aca="false">IF(H32="YES",$C$7,IF(H32="NO",0,""))</f>
        <v/>
      </c>
      <c r="J32" s="243"/>
      <c r="K32" s="243"/>
    </row>
    <row r="33" customFormat="false" ht="14.25" hidden="false" customHeight="false" outlineLevel="0" collapsed="false">
      <c r="A33" s="242" t="s">
        <v>17</v>
      </c>
      <c r="B33" s="243" t="s">
        <v>28</v>
      </c>
      <c r="C33" s="243" t="s">
        <v>1206</v>
      </c>
      <c r="D33" s="243" t="s">
        <v>1207</v>
      </c>
      <c r="E33" s="243" t="s">
        <v>1208</v>
      </c>
      <c r="F33" s="243" t="s">
        <v>1110</v>
      </c>
      <c r="G33" s="243" t="s">
        <v>29</v>
      </c>
      <c r="H33" s="244"/>
      <c r="I33" s="245" t="str">
        <f aca="false">IF(H33="YES",$C$7,IF(H33="NO",0,""))</f>
        <v/>
      </c>
      <c r="J33" s="243" t="s">
        <v>1209</v>
      </c>
      <c r="K33" s="243"/>
    </row>
    <row r="34" customFormat="false" ht="14.25" hidden="false" customHeight="false" outlineLevel="0" collapsed="false">
      <c r="A34" s="242" t="s">
        <v>820</v>
      </c>
      <c r="B34" s="243"/>
      <c r="C34" s="243"/>
      <c r="D34" s="243"/>
      <c r="E34" s="243"/>
      <c r="F34" s="243"/>
      <c r="G34" s="243"/>
      <c r="H34" s="244"/>
      <c r="I34" s="245" t="str">
        <f aca="false">IF(H34="YES",$C$7,IF(H34="NO",0,""))</f>
        <v/>
      </c>
      <c r="J34" s="243"/>
      <c r="K34" s="243"/>
    </row>
    <row r="35" customFormat="false" ht="14.25" hidden="false" customHeight="false" outlineLevel="0" collapsed="false">
      <c r="A35" s="242" t="s">
        <v>821</v>
      </c>
      <c r="B35" s="243"/>
      <c r="C35" s="243"/>
      <c r="D35" s="243"/>
      <c r="E35" s="243"/>
      <c r="F35" s="243"/>
      <c r="G35" s="243"/>
      <c r="H35" s="244"/>
      <c r="I35" s="245" t="str">
        <f aca="false">IF(H35="YES",$C$7,IF(H35="NO",0,""))</f>
        <v/>
      </c>
      <c r="J35" s="243"/>
      <c r="K35" s="243"/>
    </row>
    <row r="36" customFormat="false" ht="14.25" hidden="false" customHeight="false" outlineLevel="0" collapsed="false">
      <c r="A36" s="242" t="s">
        <v>822</v>
      </c>
      <c r="B36" s="243"/>
      <c r="C36" s="243"/>
      <c r="D36" s="243"/>
      <c r="E36" s="243"/>
      <c r="F36" s="243"/>
      <c r="G36" s="243"/>
      <c r="H36" s="244"/>
      <c r="I36" s="245" t="str">
        <f aca="false">IF(H36="YES",$C$7,IF(H36="NO",0,""))</f>
        <v/>
      </c>
      <c r="J36" s="243"/>
      <c r="K36" s="243"/>
    </row>
    <row r="37" customFormat="false" ht="14.25" hidden="false" customHeight="false" outlineLevel="0" collapsed="false">
      <c r="A37" s="242" t="s">
        <v>823</v>
      </c>
      <c r="B37" s="243"/>
      <c r="C37" s="243"/>
      <c r="D37" s="243"/>
      <c r="E37" s="243"/>
      <c r="F37" s="243"/>
      <c r="G37" s="243"/>
      <c r="H37" s="244"/>
      <c r="I37" s="245" t="str">
        <f aca="false">IF(H37="YES",$C$7,IF(H37="NO",0,""))</f>
        <v/>
      </c>
      <c r="J37" s="243"/>
      <c r="K37" s="243"/>
    </row>
    <row r="38" customFormat="false" ht="14.25" hidden="false" customHeight="false" outlineLevel="0" collapsed="false">
      <c r="A38" s="242" t="s">
        <v>824</v>
      </c>
      <c r="B38" s="243"/>
      <c r="C38" s="243"/>
      <c r="D38" s="243"/>
      <c r="E38" s="243"/>
      <c r="F38" s="243"/>
      <c r="G38" s="243"/>
      <c r="H38" s="244"/>
      <c r="I38" s="245" t="str">
        <f aca="false">IF(H38="YES",$C$7,IF(H38="NO",0,""))</f>
        <v/>
      </c>
      <c r="J38" s="243"/>
      <c r="K38" s="243"/>
    </row>
    <row r="39" customFormat="false" ht="14.25" hidden="false" customHeight="false" outlineLevel="0" collapsed="false">
      <c r="A39" s="242" t="s">
        <v>825</v>
      </c>
      <c r="B39" s="243"/>
      <c r="C39" s="243"/>
      <c r="D39" s="243"/>
      <c r="E39" s="243"/>
      <c r="F39" s="243"/>
      <c r="G39" s="243"/>
      <c r="H39" s="244"/>
      <c r="I39" s="245" t="str">
        <f aca="false">IF(H39="YES",$C$7,IF(H39="NO",0,""))</f>
        <v/>
      </c>
      <c r="J39" s="243"/>
      <c r="K39" s="243"/>
    </row>
    <row r="40" customFormat="false" ht="14.25" hidden="false" customHeight="false" outlineLevel="0" collapsed="false">
      <c r="A40" s="242" t="s">
        <v>826</v>
      </c>
      <c r="B40" s="243"/>
      <c r="C40" s="243"/>
      <c r="D40" s="243"/>
      <c r="E40" s="243"/>
      <c r="F40" s="243"/>
      <c r="G40" s="243"/>
      <c r="H40" s="244"/>
      <c r="I40" s="245" t="str">
        <f aca="false">IF(H40="YES",$C$7,IF(H40="NO",0,""))</f>
        <v/>
      </c>
      <c r="J40" s="243"/>
      <c r="K40" s="243"/>
    </row>
    <row r="41" customFormat="false" ht="14.25" hidden="false" customHeight="false" outlineLevel="0" collapsed="false">
      <c r="A41" s="242" t="s">
        <v>827</v>
      </c>
      <c r="B41" s="243"/>
      <c r="C41" s="243"/>
      <c r="D41" s="243"/>
      <c r="E41" s="243"/>
      <c r="F41" s="243"/>
      <c r="G41" s="243"/>
      <c r="H41" s="244"/>
      <c r="I41" s="245" t="str">
        <f aca="false">IF(H41="YES",$C$7,IF(H41="NO",0,""))</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165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Metropolitan/Regional plan in a concurrent or nested timeline of validity with municipal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47.75" hidden="false" customHeight="false" outlineLevel="0" collapsed="false">
      <c r="A33" s="242" t="s">
        <v>17</v>
      </c>
      <c r="B33" s="243" t="s">
        <v>28</v>
      </c>
      <c r="C33" s="243" t="s">
        <v>1210</v>
      </c>
      <c r="D33" s="243" t="s">
        <v>1211</v>
      </c>
      <c r="E33" s="243"/>
      <c r="F33" s="243" t="s">
        <v>576</v>
      </c>
      <c r="G33" s="243" t="s">
        <v>29</v>
      </c>
      <c r="H33" s="244"/>
      <c r="I33" s="245" t="str">
        <f aca="false">IF(H33="YES",$C$7,IF(H33="NO",0,""))</f>
        <v/>
      </c>
      <c r="J33" s="246" t="s">
        <v>1212</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169</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Municipal municipal/city plan in a concurrent or nested timeline of validity with Ward municipal/city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1213</v>
      </c>
    </row>
    <row r="11" customFormat="false" ht="28.5" hidden="false" customHeight="true" outlineLevel="0" collapsed="false">
      <c r="H11" s="238" t="s">
        <v>1153</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IF(H13="NA","NA",IF(H13="YES",$C$7,IF(H13="NO",0,"")))</f>
        <v/>
      </c>
      <c r="J13" s="243"/>
    </row>
    <row r="14" customFormat="false" ht="14.25" hidden="false" customHeight="false" outlineLevel="0" collapsed="false">
      <c r="A14" s="242" t="s">
        <v>801</v>
      </c>
      <c r="B14" s="243"/>
      <c r="C14" s="243"/>
      <c r="D14" s="243"/>
      <c r="E14" s="243"/>
      <c r="F14" s="243"/>
      <c r="G14" s="243"/>
      <c r="H14" s="244"/>
      <c r="I14" s="245" t="str">
        <f aca="false">IF(H14="NA","NA",IF(H14="YES",$C$7,IF(H14="NO",0,"")))</f>
        <v/>
      </c>
      <c r="J14" s="243"/>
    </row>
    <row r="15" customFormat="false" ht="14.25" hidden="false" customHeight="false" outlineLevel="0" collapsed="false">
      <c r="A15" s="242" t="s">
        <v>802</v>
      </c>
      <c r="B15" s="243"/>
      <c r="C15" s="243"/>
      <c r="D15" s="243"/>
      <c r="E15" s="243"/>
      <c r="F15" s="243"/>
      <c r="G15" s="243"/>
      <c r="H15" s="244"/>
      <c r="I15" s="245" t="str">
        <f aca="false">IF(H15="NA","NA",IF(H15="YES",$C$7,IF(H15="NO",0,"")))</f>
        <v/>
      </c>
      <c r="J15" s="243"/>
    </row>
    <row r="16" customFormat="false" ht="14.25" hidden="false" customHeight="false" outlineLevel="0" collapsed="false">
      <c r="A16" s="242" t="s">
        <v>803</v>
      </c>
      <c r="B16" s="243"/>
      <c r="C16" s="243"/>
      <c r="D16" s="243"/>
      <c r="E16" s="243"/>
      <c r="F16" s="243"/>
      <c r="G16" s="243"/>
      <c r="H16" s="244"/>
      <c r="I16" s="245" t="str">
        <f aca="false">IF(H16="NA","NA",IF(H16="YES",$C$7,IF(H16="NO",0,"")))</f>
        <v/>
      </c>
      <c r="J16" s="243"/>
    </row>
    <row r="17" customFormat="false" ht="14.25" hidden="false" customHeight="false" outlineLevel="0" collapsed="false">
      <c r="A17" s="242" t="s">
        <v>804</v>
      </c>
      <c r="B17" s="243"/>
      <c r="C17" s="243"/>
      <c r="D17" s="243"/>
      <c r="E17" s="243"/>
      <c r="F17" s="243"/>
      <c r="G17" s="243"/>
      <c r="H17" s="244"/>
      <c r="I17" s="245" t="str">
        <f aca="false">IF(H17="NA","NA",IF(H17="YES",$C$7,IF(H17="NO",0,"")))</f>
        <v/>
      </c>
      <c r="J17" s="243"/>
    </row>
    <row r="18" customFormat="false" ht="14.25" hidden="false" customHeight="false" outlineLevel="0" collapsed="false">
      <c r="A18" s="242" t="s">
        <v>805</v>
      </c>
      <c r="B18" s="243"/>
      <c r="C18" s="243"/>
      <c r="D18" s="243"/>
      <c r="E18" s="243"/>
      <c r="F18" s="243"/>
      <c r="G18" s="243"/>
      <c r="H18" s="244"/>
      <c r="I18" s="245" t="str">
        <f aca="false">IF(H18="NA","NA",IF(H18="YES",$C$7,IF(H18="NO",0,"")))</f>
        <v/>
      </c>
      <c r="J18" s="243"/>
    </row>
    <row r="19" customFormat="false" ht="14.25" hidden="false" customHeight="false" outlineLevel="0" collapsed="false">
      <c r="A19" s="242" t="s">
        <v>806</v>
      </c>
      <c r="B19" s="243"/>
      <c r="C19" s="243"/>
      <c r="D19" s="243"/>
      <c r="E19" s="243"/>
      <c r="F19" s="243"/>
      <c r="G19" s="243"/>
      <c r="H19" s="244"/>
      <c r="I19" s="245" t="str">
        <f aca="false">IF(H19="NA","NA",IF(H19="YES",$C$7,IF(H19="NO",0,"")))</f>
        <v/>
      </c>
      <c r="J19" s="243"/>
    </row>
    <row r="20" customFormat="false" ht="14.25" hidden="false" customHeight="false" outlineLevel="0" collapsed="false">
      <c r="A20" s="242" t="s">
        <v>807</v>
      </c>
      <c r="B20" s="243"/>
      <c r="C20" s="243"/>
      <c r="D20" s="243"/>
      <c r="E20" s="243"/>
      <c r="F20" s="243"/>
      <c r="G20" s="243"/>
      <c r="H20" s="244"/>
      <c r="I20" s="245" t="str">
        <f aca="false">IF(H20="NA","NA",IF(H20="YES",$C$7,IF(H20="NO",0,"")))</f>
        <v/>
      </c>
      <c r="J20" s="243"/>
    </row>
    <row r="21" customFormat="false" ht="14.25" hidden="false" customHeight="false" outlineLevel="0" collapsed="false">
      <c r="A21" s="242" t="s">
        <v>808</v>
      </c>
      <c r="B21" s="243"/>
      <c r="C21" s="243"/>
      <c r="D21" s="243"/>
      <c r="E21" s="243"/>
      <c r="F21" s="243"/>
      <c r="G21" s="243"/>
      <c r="H21" s="244"/>
      <c r="I21" s="245" t="str">
        <f aca="false">IF(H21="NA","NA",IF(H21="YES",$C$7,IF(H21="NO",0,"")))</f>
        <v/>
      </c>
      <c r="J21" s="243"/>
    </row>
    <row r="22" customFormat="false" ht="14.25" hidden="false" customHeight="false" outlineLevel="0" collapsed="false">
      <c r="A22" s="242" t="s">
        <v>809</v>
      </c>
      <c r="B22" s="243"/>
      <c r="C22" s="243"/>
      <c r="D22" s="243"/>
      <c r="E22" s="243"/>
      <c r="F22" s="243"/>
      <c r="G22" s="243"/>
      <c r="H22" s="244"/>
      <c r="I22" s="245" t="str">
        <f aca="false">IF(H22="NA","NA",IF(H22="YES",$C$7,IF(H22="NO",0,"")))</f>
        <v/>
      </c>
      <c r="J22" s="243"/>
    </row>
    <row r="23" customFormat="false" ht="14.25" hidden="false" customHeight="false" outlineLevel="0" collapsed="false">
      <c r="A23" s="242" t="s">
        <v>810</v>
      </c>
      <c r="B23" s="243"/>
      <c r="C23" s="243"/>
      <c r="D23" s="243"/>
      <c r="E23" s="243"/>
      <c r="F23" s="243"/>
      <c r="G23" s="243"/>
      <c r="H23" s="244"/>
      <c r="I23" s="245" t="str">
        <f aca="false">IF(H23="NA","NA",IF(H23="YES",$C$7,IF(H23="NO",0,"")))</f>
        <v/>
      </c>
      <c r="J23" s="243"/>
    </row>
    <row r="24" customFormat="false" ht="14.25" hidden="false" customHeight="false" outlineLevel="0" collapsed="false">
      <c r="A24" s="242" t="s">
        <v>811</v>
      </c>
      <c r="B24" s="243"/>
      <c r="C24" s="243"/>
      <c r="D24" s="243"/>
      <c r="E24" s="243"/>
      <c r="F24" s="243"/>
      <c r="G24" s="243"/>
      <c r="H24" s="244"/>
      <c r="I24" s="245" t="str">
        <f aca="false">IF(H24="NA","NA",IF(H24="YES",$C$7,IF(H24="NO",0,"")))</f>
        <v/>
      </c>
      <c r="J24" s="243"/>
    </row>
    <row r="25" customFormat="false" ht="14.25" hidden="false" customHeight="false" outlineLevel="0" collapsed="false">
      <c r="A25" s="242" t="s">
        <v>812</v>
      </c>
      <c r="B25" s="243"/>
      <c r="C25" s="243"/>
      <c r="D25" s="243"/>
      <c r="E25" s="243"/>
      <c r="F25" s="243"/>
      <c r="G25" s="243"/>
      <c r="H25" s="244"/>
      <c r="I25" s="245" t="str">
        <f aca="false">IF(H25="NA","NA",IF(H25="YES",$C$7,IF(H25="NO",0,"")))</f>
        <v/>
      </c>
      <c r="J25" s="243"/>
    </row>
    <row r="26" customFormat="false" ht="14.25" hidden="false" customHeight="false" outlineLevel="0" collapsed="false">
      <c r="A26" s="242" t="s">
        <v>813</v>
      </c>
      <c r="B26" s="243"/>
      <c r="C26" s="243"/>
      <c r="D26" s="243"/>
      <c r="E26" s="243"/>
      <c r="F26" s="243"/>
      <c r="G26" s="243"/>
      <c r="H26" s="244"/>
      <c r="I26" s="245" t="str">
        <f aca="false">IF(H26="NA","NA",IF(H26="YES",$C$7,IF(H26="NO",0,"")))</f>
        <v/>
      </c>
      <c r="J26" s="243"/>
    </row>
    <row r="27" customFormat="false" ht="14.25" hidden="false" customHeight="false" outlineLevel="0" collapsed="false">
      <c r="A27" s="242" t="s">
        <v>814</v>
      </c>
      <c r="B27" s="243"/>
      <c r="C27" s="243"/>
      <c r="D27" s="243"/>
      <c r="E27" s="243"/>
      <c r="F27" s="243"/>
      <c r="G27" s="243"/>
      <c r="H27" s="244"/>
      <c r="I27" s="245" t="str">
        <f aca="false">IF(H27="NA","NA",IF(H27="YES",$C$7,IF(H27="NO",0,"")))</f>
        <v/>
      </c>
      <c r="J27" s="243"/>
    </row>
    <row r="28" customFormat="false" ht="14.25" hidden="false" customHeight="false" outlineLevel="0" collapsed="false">
      <c r="A28" s="242" t="s">
        <v>815</v>
      </c>
      <c r="B28" s="243"/>
      <c r="C28" s="243"/>
      <c r="D28" s="243"/>
      <c r="E28" s="243"/>
      <c r="F28" s="243"/>
      <c r="G28" s="243"/>
      <c r="H28" s="244"/>
      <c r="I28" s="245" t="str">
        <f aca="false">IF(H28="NA","NA",IF(H28="YES",$C$7,IF(H28="NO",0,"")))</f>
        <v/>
      </c>
      <c r="J28" s="243"/>
    </row>
    <row r="29" customFormat="false" ht="14.25" hidden="false" customHeight="false" outlineLevel="0" collapsed="false">
      <c r="A29" s="242" t="s">
        <v>816</v>
      </c>
      <c r="B29" s="243"/>
      <c r="C29" s="243"/>
      <c r="D29" s="243"/>
      <c r="E29" s="243"/>
      <c r="F29" s="243"/>
      <c r="G29" s="243"/>
      <c r="H29" s="244"/>
      <c r="I29" s="245" t="str">
        <f aca="false">IF(H29="NA","NA",IF(H29="YES",$C$7,IF(H29="NO",0,"")))</f>
        <v/>
      </c>
      <c r="J29" s="243"/>
    </row>
    <row r="30" customFormat="false" ht="14.25" hidden="false" customHeight="false" outlineLevel="0" collapsed="false">
      <c r="A30" s="242" t="s">
        <v>817</v>
      </c>
      <c r="B30" s="243"/>
      <c r="C30" s="243"/>
      <c r="D30" s="243"/>
      <c r="E30" s="243"/>
      <c r="F30" s="243"/>
      <c r="G30" s="243"/>
      <c r="H30" s="244"/>
      <c r="I30" s="245" t="str">
        <f aca="false">IF(H30="NA","NA",IF(H30="YES",$C$7,IF(H30="NO",0,"")))</f>
        <v/>
      </c>
      <c r="J30" s="243"/>
    </row>
    <row r="31" customFormat="false" ht="14.25" hidden="false" customHeight="false" outlineLevel="0" collapsed="false">
      <c r="A31" s="242" t="s">
        <v>818</v>
      </c>
      <c r="B31" s="243"/>
      <c r="C31" s="243"/>
      <c r="D31" s="243"/>
      <c r="E31" s="243"/>
      <c r="F31" s="243"/>
      <c r="G31" s="243"/>
      <c r="H31" s="244"/>
      <c r="I31" s="245" t="str">
        <f aca="false">IF(H31="NA","NA",IF(H31="YES",$C$7,IF(H31="NO",0,"")))</f>
        <v/>
      </c>
      <c r="J31" s="243"/>
    </row>
    <row r="32" customFormat="false" ht="14.25" hidden="false" customHeight="false" outlineLevel="0" collapsed="false">
      <c r="A32" s="242" t="s">
        <v>819</v>
      </c>
      <c r="B32" s="243"/>
      <c r="C32" s="243"/>
      <c r="D32" s="243"/>
      <c r="E32" s="243"/>
      <c r="F32" s="243"/>
      <c r="G32" s="243"/>
      <c r="H32" s="244"/>
      <c r="I32" s="245" t="str">
        <f aca="false">IF(H32="NA","NA",IF(H32="YES",$C$7,IF(H32="NO",0,"")))</f>
        <v/>
      </c>
      <c r="J32" s="243"/>
    </row>
    <row r="33" customFormat="false" ht="14.25" hidden="false" customHeight="false" outlineLevel="0" collapsed="false">
      <c r="A33" s="242" t="s">
        <v>17</v>
      </c>
      <c r="B33" s="243"/>
      <c r="C33" s="243"/>
      <c r="D33" s="243"/>
      <c r="E33" s="243"/>
      <c r="F33" s="243"/>
      <c r="G33" s="243"/>
      <c r="H33" s="244"/>
      <c r="I33" s="245" t="str">
        <f aca="false">IF(H33="NA","NA",IF(H33="YES",$C$7,IF(H33="NO",0,"")))</f>
        <v/>
      </c>
      <c r="J33" s="243" t="s">
        <v>1214</v>
      </c>
    </row>
    <row r="34" customFormat="false" ht="14.25" hidden="false" customHeight="false" outlineLevel="0" collapsed="false">
      <c r="A34" s="242" t="s">
        <v>820</v>
      </c>
      <c r="B34" s="243"/>
      <c r="C34" s="243"/>
      <c r="D34" s="243"/>
      <c r="E34" s="243"/>
      <c r="F34" s="243"/>
      <c r="G34" s="243"/>
      <c r="H34" s="244"/>
      <c r="I34" s="245" t="str">
        <f aca="false">IF(H34="NA","NA",IF(H34="YES",$C$7,IF(H34="NO",0,"")))</f>
        <v/>
      </c>
      <c r="J34" s="243"/>
    </row>
    <row r="35" customFormat="false" ht="14.25" hidden="false" customHeight="false" outlineLevel="0" collapsed="false">
      <c r="A35" s="242" t="s">
        <v>821</v>
      </c>
      <c r="B35" s="243"/>
      <c r="C35" s="243"/>
      <c r="D35" s="243"/>
      <c r="E35" s="243"/>
      <c r="F35" s="243"/>
      <c r="G35" s="243"/>
      <c r="H35" s="244"/>
      <c r="I35" s="245" t="str">
        <f aca="false">IF(H35="NA","NA",IF(H35="YES",$C$7,IF(H35="NO",0,"")))</f>
        <v/>
      </c>
      <c r="J35" s="243"/>
    </row>
    <row r="36" customFormat="false" ht="14.25" hidden="false" customHeight="false" outlineLevel="0" collapsed="false">
      <c r="A36" s="242" t="s">
        <v>822</v>
      </c>
      <c r="B36" s="243"/>
      <c r="C36" s="243"/>
      <c r="D36" s="243"/>
      <c r="E36" s="243"/>
      <c r="F36" s="243"/>
      <c r="G36" s="243"/>
      <c r="H36" s="244"/>
      <c r="I36" s="245" t="str">
        <f aca="false">IF(H36="NA","NA",IF(H36="YES",$C$7,IF(H36="NO",0,"")))</f>
        <v/>
      </c>
      <c r="J36" s="243"/>
    </row>
    <row r="37" customFormat="false" ht="14.25" hidden="false" customHeight="false" outlineLevel="0" collapsed="false">
      <c r="A37" s="242" t="s">
        <v>823</v>
      </c>
      <c r="B37" s="243"/>
      <c r="C37" s="243"/>
      <c r="D37" s="243"/>
      <c r="E37" s="243"/>
      <c r="F37" s="243"/>
      <c r="G37" s="243"/>
      <c r="H37" s="244"/>
      <c r="I37" s="245" t="str">
        <f aca="false">IF(H37="NA","NA",IF(H37="YES",$C$7,IF(H37="NO",0,"")))</f>
        <v/>
      </c>
      <c r="J37" s="243"/>
    </row>
    <row r="38" customFormat="false" ht="14.25" hidden="false" customHeight="false" outlineLevel="0" collapsed="false">
      <c r="A38" s="242" t="s">
        <v>824</v>
      </c>
      <c r="B38" s="243"/>
      <c r="C38" s="243"/>
      <c r="D38" s="243"/>
      <c r="E38" s="243"/>
      <c r="F38" s="243"/>
      <c r="G38" s="243"/>
      <c r="H38" s="244"/>
      <c r="I38" s="245" t="str">
        <f aca="false">IF(H38="NA","NA",IF(H38="YES",$C$7,IF(H38="NO",0,"")))</f>
        <v/>
      </c>
      <c r="J38" s="243"/>
    </row>
    <row r="39" customFormat="false" ht="14.25" hidden="false" customHeight="false" outlineLevel="0" collapsed="false">
      <c r="A39" s="242" t="s">
        <v>825</v>
      </c>
      <c r="B39" s="243"/>
      <c r="C39" s="243"/>
      <c r="D39" s="243"/>
      <c r="E39" s="243"/>
      <c r="F39" s="243"/>
      <c r="G39" s="243"/>
      <c r="H39" s="244"/>
      <c r="I39" s="245" t="str">
        <f aca="false">IF(H39="NA","NA",IF(H39="YES",$C$7,IF(H39="NO",0,"")))</f>
        <v/>
      </c>
      <c r="J39" s="243"/>
    </row>
    <row r="40" customFormat="false" ht="14.25" hidden="false" customHeight="false" outlineLevel="0" collapsed="false">
      <c r="A40" s="242" t="s">
        <v>826</v>
      </c>
      <c r="B40" s="243"/>
      <c r="C40" s="243"/>
      <c r="D40" s="243"/>
      <c r="E40" s="243"/>
      <c r="F40" s="243"/>
      <c r="G40" s="243"/>
      <c r="H40" s="244"/>
      <c r="I40" s="245" t="str">
        <f aca="false">IF(H40="NA","NA",IF(H40="YES",$C$7,IF(H40="NO",0,"")))</f>
        <v/>
      </c>
      <c r="J40" s="243"/>
    </row>
    <row r="41" customFormat="false" ht="14.25" hidden="false" customHeight="false" outlineLevel="0" collapsed="false">
      <c r="A41" s="242" t="s">
        <v>827</v>
      </c>
      <c r="B41" s="243"/>
      <c r="C41" s="243"/>
      <c r="D41" s="243"/>
      <c r="E41" s="243"/>
      <c r="F41" s="243"/>
      <c r="G41" s="243"/>
      <c r="H41" s="244"/>
      <c r="I41" s="245" t="str">
        <f aca="false">IF(H41="NA","NA",IF(H41="YES",$C$7,IF(H41="NO",0,"")))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172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coordination and integration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 the municipal/city plans at each level, integrate the plans and priorities of various sectoral public departments and agencies?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6" t="s">
        <v>1215</v>
      </c>
      <c r="H14" s="244" t="s">
        <v>1134</v>
      </c>
      <c r="I14" s="245" t="n">
        <f aca="false">IF(H14="YES",$C$7,IF(H14="NO",0,""))</f>
        <v>0</v>
      </c>
      <c r="J14" s="243" t="s">
        <v>1216</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303.7" hidden="false" customHeight="false" outlineLevel="0" collapsed="false">
      <c r="A33" s="242" t="s">
        <v>17</v>
      </c>
      <c r="B33" s="243" t="s">
        <v>28</v>
      </c>
      <c r="C33" s="243" t="s">
        <v>1217</v>
      </c>
      <c r="D33" s="243" t="s">
        <v>1218</v>
      </c>
      <c r="E33" s="243" t="s">
        <v>1219</v>
      </c>
      <c r="F33" s="243" t="s">
        <v>1220</v>
      </c>
      <c r="G33" s="243" t="s">
        <v>29</v>
      </c>
      <c r="H33" s="244"/>
      <c r="I33" s="245" t="str">
        <f aca="false">IF(H33="YES",$C$7,IF(H33="NO",0,""))</f>
        <v/>
      </c>
      <c r="J33" s="246" t="s">
        <v>1221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177</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jobs and economy?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key economic development priorities and provides measurable targets/outcomes for them. These may include:Increase in workforce participation.Number of jobs to be generated across economic sectors.Land identified/allocated for economic activities.Number/area of enterprises, industries or commercial activities to be facilitated.Provision of designated spaces/facilities for street vendors and other informal livelihoods. Score based on whether the municipal/city plan contains both:1.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(5.00)</v>
      </c>
      <c r="I12" s="241" t="str">
        <f aca="false">"Measurable targets / outcome indicators (counts only if priorities = YES) ("&amp;TEXT($C$7/2,"0.00")&amp;")"</f>
        <v>Measurable targets / outcome indicators (counts only if priorities = YES) (5.00)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1223</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14.25" hidden="false" customHeight="false" outlineLevel="0" collapsed="false">
      <c r="A33" s="242" t="s">
        <v>17</v>
      </c>
      <c r="B33" s="243" t="s">
        <v>28</v>
      </c>
      <c r="C33" s="243" t="s">
        <v>1224</v>
      </c>
      <c r="D33" s="243" t="s">
        <v>1225</v>
      </c>
      <c r="E33" s="243" t="s">
        <v>1226</v>
      </c>
      <c r="F33" s="243" t="s">
        <v>1227</v>
      </c>
      <c r="G33" s="243" t="s">
        <v>29</v>
      </c>
      <c r="H33" s="244" t="s">
        <v>1111</v>
      </c>
      <c r="I33" s="244" t="s">
        <v>1111</v>
      </c>
      <c r="J33" s="245" t="n">
        <f aca="false">IF(H33="","",IF(H33="NO",0,IF(I33="","",IF(I33="YES",$C$7,$C$7/2))))</f>
        <v>10</v>
      </c>
      <c r="K33" s="243" t="s">
        <v>1228</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K9" activeCellId="0" sqref="K9"/>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182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a) Environmental Conservation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components:Natural Environment and Climate ResilienceThese may include:Protection, enhancement or increase of recreational and non-recreational green spaces, urban forests and natural habitats.Conservation, restoration or revival of lakes, wetlands and other water bodies.Protection of environmentally sensitive areas and natural assets through appropriate zoning, buffers or other development controls.Increase in green cover, afforestation or reforestation.Protection/restoration of biodiversity and ecologically significant areas.Reduction in air, water and soil pollution.Climate-change mitigation and adaptation, including reduction in greenhouse gas emissions.Promotion of renewable energy and clean technologies.Disaster-risk reduction and resilience of natural systems.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(2.50)</v>
      </c>
      <c r="I12" s="241" t="str">
        <f aca="false">"Measurable targets / outcome indicators (counts only if priorities = YES) ("&amp;TEXT($C$7/2,"0.00")&amp;")"</f>
        <v>Measurable targets / outcome indicators (counts only if priorities = YES) (2.50)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1229</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23.85" hidden="false" customHeight="false" outlineLevel="0" collapsed="false">
      <c r="A33" s="242" t="s">
        <v>17</v>
      </c>
      <c r="B33" s="243" t="s">
        <v>28</v>
      </c>
      <c r="C33" s="243" t="s">
        <v>1230</v>
      </c>
      <c r="D33" s="243" t="s">
        <v>1231</v>
      </c>
      <c r="E33" s="243" t="s">
        <v>1232</v>
      </c>
      <c r="F33" s="243" t="s">
        <v>1233</v>
      </c>
      <c r="G33" s="243" t="s">
        <v>29</v>
      </c>
      <c r="H33" s="244" t="s">
        <v>1111</v>
      </c>
      <c r="I33" s="244" t="s">
        <v>1111</v>
      </c>
      <c r="J33" s="245" t="n">
        <f aca="false">IF(H33="","",IF(H33="NO",0,IF(I33="","",IF(I33="YES",$C$7,$C$7/2))))</f>
        <v>5</v>
      </c>
      <c r="K33" s="246" t="s">
        <v>1234</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187</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b) Heritage Conservation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                                                                       Heritage ConservationThese may include:Identification and protection of heritage buildings, precincts, sites and other heritage assets.Identification and protection of natural heritage and culturally significant landscapes.Conservation, restoration or adaptive reuse of heritage buildings/sites.Designation of heritage zones/precincts and appropriate development controls or buffer areas.Protection of the character and built form of heritage areas.Integration of heritage conservation with redevelopment and other development proposals.Measurable targets for conservation, restoration or protection of identified heritage assets/precincts.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(2.50)</v>
      </c>
      <c r="I12" s="241" t="str">
        <f aca="false">"Measurable targets / outcome indicators (counts only if priorities = YES) ("&amp;TEXT($C$7/2,"0.00")&amp;")"</f>
        <v>Measurable targets / outcome indicators (counts only if priorities = YES) (2.50)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1235</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46.25" hidden="false" customHeight="false" outlineLevel="0" collapsed="false">
      <c r="A33" s="242" t="s">
        <v>17</v>
      </c>
      <c r="B33" s="243" t="s">
        <v>28</v>
      </c>
      <c r="C33" s="243" t="s">
        <v>1236</v>
      </c>
      <c r="D33" s="243" t="s">
        <v>1237</v>
      </c>
      <c r="E33" s="243" t="s">
        <v>1238</v>
      </c>
      <c r="F33" s="243" t="s">
        <v>1239</v>
      </c>
      <c r="G33" s="243" t="s">
        <v>29</v>
      </c>
      <c r="H33" s="244"/>
      <c r="I33" s="244"/>
      <c r="J33" s="245" t="str">
        <f aca="false">IF(H33="","",IF(H33="NO",0,IF(I33="","",IF(I33="YES",$C$7,$C$7/2))))</f>
        <v/>
      </c>
      <c r="K33" s="246" t="s">
        <v>1240</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193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a) Education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EducationThese may include:Coverage/accessibility of anganwadis and pre-primary facilities.Availability of schools relative to population/service standards.Accessibility of educational facilities, including for persons with disabilities.Other measurable education-related service or accessibility outcomes.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(1.67)</v>
      </c>
      <c r="I12" s="241" t="str">
        <f aca="false">"Measurable targets / outcome indicators (counts only if priorities = YES) ("&amp;TEXT($C$7/2,"0.00")&amp;")"</f>
        <v>Measurable targets / outcome indicators (counts only if priorities = YES) (1.67)</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1241</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46.25" hidden="false" customHeight="false" outlineLevel="0" collapsed="false">
      <c r="A33" s="242" t="s">
        <v>17</v>
      </c>
      <c r="B33" s="243" t="s">
        <v>28</v>
      </c>
      <c r="C33" s="243" t="s">
        <v>1242</v>
      </c>
      <c r="D33" s="243" t="s">
        <v>1243</v>
      </c>
      <c r="E33" s="243" t="s">
        <v>1244</v>
      </c>
      <c r="F33" s="243" t="s">
        <v>1245</v>
      </c>
      <c r="G33" s="243" t="s">
        <v>29</v>
      </c>
      <c r="H33" s="244"/>
      <c r="I33" s="244"/>
      <c r="J33" s="245" t="str">
        <f aca="false">IF(H33="","",IF(H33="NO",0,IF(I33="","",IF(I33="YES",$C$7,$C$7/2))))</f>
        <v/>
      </c>
      <c r="K33" s="246" t="s">
        <v>1246</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198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b) Healthcare</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HealthcareThese may include:Coverage/accessibility of dispensaries and primary healthcare facilities.Coverage/accessibility of hospitals, maternity/child welfare centres, rehabilitation or diagnostic facilities.Improvements in access to healthcare.Public-health outcomes, including reduction in vector-borne diseases or other locally relevant health risks.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(1.67)</v>
      </c>
      <c r="I12" s="241" t="str">
        <f aca="false">"Measurable targets / outcome indicators (counts only if priorities = YES) ("&amp;TEXT($C$7/2,"0.00")&amp;")"</f>
        <v>Measurable targets / outcome indicators (counts only if priorities = YES) (1.67)</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1241</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158.2" hidden="false" customHeight="false" outlineLevel="0" collapsed="false">
      <c r="A33" s="242" t="s">
        <v>17</v>
      </c>
      <c r="B33" s="243" t="s">
        <v>28</v>
      </c>
      <c r="C33" s="243" t="s">
        <v>1247</v>
      </c>
      <c r="D33" s="243" t="s">
        <v>1248</v>
      </c>
      <c r="E33" s="243" t="s">
        <v>1249</v>
      </c>
      <c r="F33" s="243" t="s">
        <v>1250</v>
      </c>
      <c r="G33" s="243" t="s">
        <v>29</v>
      </c>
      <c r="H33" s="244"/>
      <c r="I33" s="244"/>
      <c r="J33" s="245" t="str">
        <f aca="false">IF(H33="","",IF(H33="NO",0,IF(I33="","",IF(I33="YES",$C$7,$C$7/2))))</f>
        <v/>
      </c>
      <c r="K33" s="246" t="s">
        <v>1251</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203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c) Affordable housing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Affordable housingThese may include:Assessment of existing and projected affordable housing requirements.Number/percentage of slums or inadequate settlements proposed for rehabilitation/upgradation.Provision of affordable housing - Identification of land parcels.Increase in affordable housing as a proportion of housing stock.Access to livelihood opportunities, public transport and basic services.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(1.67)</v>
      </c>
      <c r="I12" s="241" t="str">
        <f aca="false">"Measurable targets / outcome indicators (counts only if priorities = YES) ("&amp;TEXT($C$7/2,"0.00")&amp;")"</f>
        <v>Measurable targets / outcome indicators (counts only if priorities = YES) (1.67)</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1241</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14.25" hidden="false" customHeight="false" outlineLevel="0" collapsed="false">
      <c r="A33" s="242" t="s">
        <v>17</v>
      </c>
      <c r="B33" s="243" t="s">
        <v>28</v>
      </c>
      <c r="C33" s="243" t="s">
        <v>1252</v>
      </c>
      <c r="D33" s="243" t="s">
        <v>1253</v>
      </c>
      <c r="E33" s="243" t="s">
        <v>1254</v>
      </c>
      <c r="F33" s="243" t="s">
        <v>1255</v>
      </c>
      <c r="G33" s="243" t="s">
        <v>29</v>
      </c>
      <c r="H33" s="244"/>
      <c r="I33" s="244"/>
      <c r="J33" s="245" t="str">
        <f aca="false">IF(H33="","",IF(H33="NO",0,IF(I33="","",IF(I33="YES",$C$7,$C$7/2))))</f>
        <v/>
      </c>
      <c r="K33" s="243" t="s">
        <v>1256</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208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for women?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relating to women’s inclusion and access to the city.These may include:Economic participation and livelihoods: Measures to support women’s participation in formal and informal employment, including access to employment centres, markets, vending spaces and other livelihood opportunities.Access to infrastructure and basic services: Equitable access to housing, water and sanitation, healthcare, education, childcare and other public services.Mobility and accessibility: Safe and accessible public transport, walking and cycling infrastructure, and improved connectivity to employment and essential services.Safety and public spaces: Measures to improve women’s safety and access to streets, public spaces, parks and other public facilities.Care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indicators.Score 5: The municipal/city identifies  atleast two or more clear priorities relating to women’s inclusion and associated interventions/actions, but does not provide measurable targets/outcome indicators.Score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"Clear priorities &amp; interventions identified ("&amp;TEXT($C$7/2,"0.00")&amp;")"</f>
        <v>Clear priorities &amp; interventions identified (5.00)</v>
      </c>
      <c r="I12" s="241" t="str">
        <f aca="false">"Measurable targets / outcome indicators (counts only if priorities = YES) ("&amp;TEXT($C$7/2,"0.00")&amp;")"</f>
        <v>Measurable targets / outcome indicators (counts only if priorities = YES) (5.00)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5" hidden="false" customHeight="true" outlineLevel="0" collapsed="false">
      <c r="A14" s="242" t="s">
        <v>801</v>
      </c>
      <c r="B14" s="243"/>
      <c r="C14" s="243"/>
      <c r="D14" s="243"/>
      <c r="E14" s="243"/>
      <c r="F14" s="243"/>
      <c r="G14" s="247" t="s">
        <v>1222</v>
      </c>
      <c r="H14" s="244" t="s">
        <v>1134</v>
      </c>
      <c r="I14" s="244" t="s">
        <v>1134</v>
      </c>
      <c r="J14" s="245" t="n">
        <f aca="false">IF(H14="","",IF(H14="NO",0,IF(I14="","",IF(I14="YES",$C$7,$C$7/2))))</f>
        <v>0</v>
      </c>
      <c r="K14" s="243" t="s">
        <v>1241</v>
      </c>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281.3" hidden="false" customHeight="false" outlineLevel="0" collapsed="false">
      <c r="A33" s="242" t="s">
        <v>17</v>
      </c>
      <c r="B33" s="243" t="s">
        <v>28</v>
      </c>
      <c r="C33" s="243" t="s">
        <v>1257</v>
      </c>
      <c r="D33" s="243" t="s">
        <v>1258</v>
      </c>
      <c r="E33" s="243" t="s">
        <v>1259</v>
      </c>
      <c r="F33" s="243" t="s">
        <v>1260</v>
      </c>
      <c r="G33" s="243" t="s">
        <v>29</v>
      </c>
      <c r="H33" s="244"/>
      <c r="I33" s="244"/>
      <c r="J33" s="245" t="str">
        <f aca="false">IF(H33="","",IF(H33="NO",0,IF(I33="","",IF(I33="YES",$C$7,$C$7/2))))</f>
        <v/>
      </c>
      <c r="K33" s="246" t="s">
        <v>1261</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213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Shared spatial information and data coordination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common digital base municipal/city plan Map shared among Planning Authorities, and data updated through GIS with fixed periodicity by the relevent sectoral agencies (transport, network infrastructure, land use changes)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1148</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1: State spatial data centre / shared map ("&amp;TEXT($C$7/2,"0.00")&amp;")"</f>
        <v>Part 1: State spatial data centre / shared map (5.00)</v>
      </c>
      <c r="I12" s="241" t="str">
        <f aca="false">"Part 2: At least 2 spatial data files available ("&amp;TEXT($C$7/2,"0.00")&amp;")"</f>
        <v>Part 2: At least 2 spatial data files available (5.00)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IF(OR(H13="",I13=""),"",COUNTIF(H13:I13,"YES")/2*$C$7)</f>
        <v/>
      </c>
      <c r="K13" s="243"/>
    </row>
    <row r="14" customFormat="false" ht="15" hidden="false" customHeight="true" outlineLevel="0" collapsed="false">
      <c r="A14" s="242" t="s">
        <v>801</v>
      </c>
      <c r="B14" s="243"/>
      <c r="C14" s="243"/>
      <c r="D14" s="243"/>
      <c r="E14" s="243"/>
      <c r="F14" s="243"/>
      <c r="G14" s="247" t="s">
        <v>1262</v>
      </c>
      <c r="H14" s="244" t="s">
        <v>1111</v>
      </c>
      <c r="I14" s="244" t="s">
        <v>1111</v>
      </c>
      <c r="J14" s="245" t="n">
        <f aca="false">IF(OR(H14="",I14=""),"",COUNTIF(H14:I14,"YES")/2*$C$7)</f>
        <v>10</v>
      </c>
      <c r="K14" s="243" t="s">
        <v>1263</v>
      </c>
    </row>
    <row r="15" customFormat="false" ht="14.25" hidden="false" customHeight="false" outlineLevel="0" collapsed="false">
      <c r="A15" s="242" t="s">
        <v>802</v>
      </c>
      <c r="B15" s="243"/>
      <c r="C15" s="243"/>
      <c r="D15" s="243"/>
      <c r="E15" s="243"/>
      <c r="F15" s="243"/>
      <c r="G15" s="243"/>
      <c r="H15" s="244"/>
      <c r="I15" s="244"/>
      <c r="J15" s="245" t="str">
        <f aca="false">IF(OR(H15="",I15=""),"",COUNTIF(H15:I15,"YES")/2*$C$7)</f>
        <v/>
      </c>
      <c r="K15" s="243"/>
    </row>
    <row r="16" customFormat="false" ht="14.25" hidden="false" customHeight="false" outlineLevel="0" collapsed="false">
      <c r="A16" s="242" t="s">
        <v>803</v>
      </c>
      <c r="B16" s="243"/>
      <c r="C16" s="243"/>
      <c r="D16" s="243"/>
      <c r="E16" s="243"/>
      <c r="F16" s="243"/>
      <c r="G16" s="243"/>
      <c r="H16" s="244"/>
      <c r="I16" s="244"/>
      <c r="J16" s="245" t="str">
        <f aca="false">IF(OR(H16="",I16=""),"",COUNTIF(H16:I16,"YES")/2*$C$7)</f>
        <v/>
      </c>
      <c r="K16" s="243"/>
    </row>
    <row r="17" customFormat="false" ht="14.25" hidden="false" customHeight="false" outlineLevel="0" collapsed="false">
      <c r="A17" s="242" t="s">
        <v>804</v>
      </c>
      <c r="B17" s="243"/>
      <c r="C17" s="243"/>
      <c r="D17" s="243"/>
      <c r="E17" s="243"/>
      <c r="F17" s="243"/>
      <c r="G17" s="243"/>
      <c r="H17" s="244"/>
      <c r="I17" s="244"/>
      <c r="J17" s="245" t="str">
        <f aca="false">IF(OR(H17="",I17=""),"",COUNTIF(H17:I17,"YES")/2*$C$7)</f>
        <v/>
      </c>
      <c r="K17" s="243"/>
    </row>
    <row r="18" customFormat="false" ht="14.25" hidden="false" customHeight="false" outlineLevel="0" collapsed="false">
      <c r="A18" s="242" t="s">
        <v>805</v>
      </c>
      <c r="B18" s="243"/>
      <c r="C18" s="243"/>
      <c r="D18" s="243"/>
      <c r="E18" s="243"/>
      <c r="F18" s="243"/>
      <c r="G18" s="243"/>
      <c r="H18" s="244"/>
      <c r="I18" s="244"/>
      <c r="J18" s="245" t="str">
        <f aca="false">IF(OR(H18="",I18=""),"",COUNTIF(H18:I18,"YES")/2*$C$7)</f>
        <v/>
      </c>
      <c r="K18" s="243"/>
    </row>
    <row r="19" customFormat="false" ht="14.25" hidden="false" customHeight="false" outlineLevel="0" collapsed="false">
      <c r="A19" s="242" t="s">
        <v>806</v>
      </c>
      <c r="B19" s="243"/>
      <c r="C19" s="243"/>
      <c r="D19" s="243"/>
      <c r="E19" s="243"/>
      <c r="F19" s="243"/>
      <c r="G19" s="243"/>
      <c r="H19" s="244"/>
      <c r="I19" s="244"/>
      <c r="J19" s="245" t="str">
        <f aca="false">IF(OR(H19="",I19=""),"",COUNTIF(H19:I19,"YES")/2*$C$7)</f>
        <v/>
      </c>
      <c r="K19" s="243"/>
    </row>
    <row r="20" customFormat="false" ht="14.25" hidden="false" customHeight="false" outlineLevel="0" collapsed="false">
      <c r="A20" s="242" t="s">
        <v>807</v>
      </c>
      <c r="B20" s="243"/>
      <c r="C20" s="243"/>
      <c r="D20" s="243"/>
      <c r="E20" s="243"/>
      <c r="F20" s="243"/>
      <c r="G20" s="243"/>
      <c r="H20" s="244"/>
      <c r="I20" s="244"/>
      <c r="J20" s="245" t="str">
        <f aca="false">IF(OR(H20="",I20=""),"",COUNTIF(H20:I20,"YES")/2*$C$7)</f>
        <v/>
      </c>
      <c r="K20" s="243"/>
    </row>
    <row r="21" customFormat="false" ht="14.25" hidden="false" customHeight="false" outlineLevel="0" collapsed="false">
      <c r="A21" s="242" t="s">
        <v>808</v>
      </c>
      <c r="B21" s="243"/>
      <c r="C21" s="243"/>
      <c r="D21" s="243"/>
      <c r="E21" s="243"/>
      <c r="F21" s="243"/>
      <c r="G21" s="243"/>
      <c r="H21" s="244"/>
      <c r="I21" s="244"/>
      <c r="J21" s="245" t="str">
        <f aca="false">IF(OR(H21="",I21=""),"",COUNTIF(H21:I21,"YES")/2*$C$7)</f>
        <v/>
      </c>
      <c r="K21" s="243"/>
    </row>
    <row r="22" customFormat="false" ht="14.25" hidden="false" customHeight="false" outlineLevel="0" collapsed="false">
      <c r="A22" s="242" t="s">
        <v>809</v>
      </c>
      <c r="B22" s="243"/>
      <c r="C22" s="243"/>
      <c r="D22" s="243"/>
      <c r="E22" s="243"/>
      <c r="F22" s="243"/>
      <c r="G22" s="243"/>
      <c r="H22" s="244"/>
      <c r="I22" s="244"/>
      <c r="J22" s="245" t="str">
        <f aca="false">IF(OR(H22="",I22=""),"",COUNTIF(H22:I22,"YES")/2*$C$7)</f>
        <v/>
      </c>
      <c r="K22" s="243"/>
    </row>
    <row r="23" customFormat="false" ht="14.25" hidden="false" customHeight="false" outlineLevel="0" collapsed="false">
      <c r="A23" s="242" t="s">
        <v>810</v>
      </c>
      <c r="B23" s="243"/>
      <c r="C23" s="243"/>
      <c r="D23" s="243"/>
      <c r="E23" s="243"/>
      <c r="F23" s="243"/>
      <c r="G23" s="243"/>
      <c r="H23" s="244"/>
      <c r="I23" s="244"/>
      <c r="J23" s="245" t="str">
        <f aca="false">IF(OR(H23="",I23=""),"",COUNTIF(H23:I23,"YES")/2*$C$7)</f>
        <v/>
      </c>
      <c r="K23" s="243"/>
    </row>
    <row r="24" customFormat="false" ht="14.25" hidden="false" customHeight="false" outlineLevel="0" collapsed="false">
      <c r="A24" s="242" t="s">
        <v>811</v>
      </c>
      <c r="B24" s="243"/>
      <c r="C24" s="243"/>
      <c r="D24" s="243"/>
      <c r="E24" s="243"/>
      <c r="F24" s="243"/>
      <c r="G24" s="243"/>
      <c r="H24" s="244"/>
      <c r="I24" s="244"/>
      <c r="J24" s="245" t="str">
        <f aca="false">IF(OR(H24="",I24=""),"",COUNTIF(H24:I24,"YES")/2*$C$7)</f>
        <v/>
      </c>
      <c r="K24" s="243"/>
    </row>
    <row r="25" customFormat="false" ht="14.25" hidden="false" customHeight="false" outlineLevel="0" collapsed="false">
      <c r="A25" s="242" t="s">
        <v>812</v>
      </c>
      <c r="B25" s="243"/>
      <c r="C25" s="243"/>
      <c r="D25" s="243"/>
      <c r="E25" s="243"/>
      <c r="F25" s="243"/>
      <c r="G25" s="243"/>
      <c r="H25" s="244"/>
      <c r="I25" s="244"/>
      <c r="J25" s="245" t="str">
        <f aca="false">IF(OR(H25="",I25=""),"",COUNTIF(H25:I25,"YES")/2*$C$7)</f>
        <v/>
      </c>
      <c r="K25" s="243"/>
    </row>
    <row r="26" customFormat="false" ht="14.25" hidden="false" customHeight="false" outlineLevel="0" collapsed="false">
      <c r="A26" s="242" t="s">
        <v>813</v>
      </c>
      <c r="B26" s="243"/>
      <c r="C26" s="243"/>
      <c r="D26" s="243"/>
      <c r="E26" s="243"/>
      <c r="F26" s="243"/>
      <c r="G26" s="243"/>
      <c r="H26" s="244"/>
      <c r="I26" s="244"/>
      <c r="J26" s="245" t="str">
        <f aca="false">IF(OR(H26="",I26=""),"",COUNTIF(H26:I26,"YES")/2*$C$7)</f>
        <v/>
      </c>
      <c r="K26" s="243"/>
    </row>
    <row r="27" customFormat="false" ht="14.25" hidden="false" customHeight="false" outlineLevel="0" collapsed="false">
      <c r="A27" s="242" t="s">
        <v>814</v>
      </c>
      <c r="B27" s="243"/>
      <c r="C27" s="243"/>
      <c r="D27" s="243"/>
      <c r="E27" s="243"/>
      <c r="F27" s="243"/>
      <c r="G27" s="243"/>
      <c r="H27" s="244"/>
      <c r="I27" s="244"/>
      <c r="J27" s="245" t="str">
        <f aca="false">IF(OR(H27="",I27=""),"",COUNTIF(H27:I27,"YES")/2*$C$7)</f>
        <v/>
      </c>
      <c r="K27" s="243"/>
    </row>
    <row r="28" customFormat="false" ht="14.25" hidden="false" customHeight="false" outlineLevel="0" collapsed="false">
      <c r="A28" s="242" t="s">
        <v>815</v>
      </c>
      <c r="B28" s="243"/>
      <c r="C28" s="243"/>
      <c r="D28" s="243"/>
      <c r="E28" s="243"/>
      <c r="F28" s="243"/>
      <c r="G28" s="243"/>
      <c r="H28" s="244"/>
      <c r="I28" s="244"/>
      <c r="J28" s="245" t="str">
        <f aca="false">IF(OR(H28="",I28=""),"",COUNTIF(H28:I28,"YES")/2*$C$7)</f>
        <v/>
      </c>
      <c r="K28" s="243"/>
    </row>
    <row r="29" customFormat="false" ht="14.25" hidden="false" customHeight="false" outlineLevel="0" collapsed="false">
      <c r="A29" s="242" t="s">
        <v>816</v>
      </c>
      <c r="B29" s="243"/>
      <c r="C29" s="243"/>
      <c r="D29" s="243"/>
      <c r="E29" s="243"/>
      <c r="F29" s="243"/>
      <c r="G29" s="243"/>
      <c r="H29" s="244"/>
      <c r="I29" s="244"/>
      <c r="J29" s="245" t="str">
        <f aca="false">IF(OR(H29="",I29=""),"",COUNTIF(H29:I29,"YES")/2*$C$7)</f>
        <v/>
      </c>
      <c r="K29" s="243"/>
    </row>
    <row r="30" customFormat="false" ht="14.25" hidden="false" customHeight="false" outlineLevel="0" collapsed="false">
      <c r="A30" s="242" t="s">
        <v>817</v>
      </c>
      <c r="B30" s="243"/>
      <c r="C30" s="243"/>
      <c r="D30" s="243"/>
      <c r="E30" s="243"/>
      <c r="F30" s="243"/>
      <c r="G30" s="243"/>
      <c r="H30" s="244"/>
      <c r="I30" s="244"/>
      <c r="J30" s="245" t="str">
        <f aca="false">IF(OR(H30="",I30=""),"",COUNTIF(H30:I30,"YES")/2*$C$7)</f>
        <v/>
      </c>
      <c r="K30" s="243"/>
    </row>
    <row r="31" customFormat="false" ht="14.25" hidden="false" customHeight="false" outlineLevel="0" collapsed="false">
      <c r="A31" s="242" t="s">
        <v>818</v>
      </c>
      <c r="B31" s="243"/>
      <c r="C31" s="243"/>
      <c r="D31" s="243"/>
      <c r="E31" s="243"/>
      <c r="F31" s="243"/>
      <c r="G31" s="243"/>
      <c r="H31" s="244"/>
      <c r="I31" s="244"/>
      <c r="J31" s="245" t="str">
        <f aca="false">IF(OR(H31="",I31=""),"",COUNTIF(H31:I31,"YES")/2*$C$7)</f>
        <v/>
      </c>
      <c r="K31" s="243"/>
    </row>
    <row r="32" customFormat="false" ht="14.25" hidden="false" customHeight="false" outlineLevel="0" collapsed="false">
      <c r="A32" s="242" t="s">
        <v>819</v>
      </c>
      <c r="B32" s="243"/>
      <c r="C32" s="243"/>
      <c r="D32" s="243"/>
      <c r="E32" s="243"/>
      <c r="F32" s="243"/>
      <c r="G32" s="243"/>
      <c r="H32" s="244"/>
      <c r="I32" s="244"/>
      <c r="J32" s="245" t="str">
        <f aca="false">IF(OR(H32="",I32=""),"",COUNTIF(H32:I32,"YES")/2*$C$7)</f>
        <v/>
      </c>
      <c r="K32" s="243"/>
    </row>
    <row r="33" customFormat="false" ht="14.25" hidden="false" customHeight="false" outlineLevel="0" collapsed="false">
      <c r="A33" s="242" t="s">
        <v>17</v>
      </c>
      <c r="B33" s="243"/>
      <c r="C33" s="243"/>
      <c r="D33" s="243"/>
      <c r="E33" s="243"/>
      <c r="F33" s="243"/>
      <c r="G33" s="243"/>
      <c r="H33" s="244"/>
      <c r="I33" s="244"/>
      <c r="J33" s="245" t="str">
        <f aca="false">IF(OR(H33="",I33=""),"",COUNTIF(H33:I33,"YES")/2*$C$7)</f>
        <v/>
      </c>
      <c r="K33" s="243" t="s">
        <v>1264</v>
      </c>
    </row>
    <row r="34" customFormat="false" ht="14.25" hidden="false" customHeight="false" outlineLevel="0" collapsed="false">
      <c r="A34" s="242" t="s">
        <v>820</v>
      </c>
      <c r="B34" s="243"/>
      <c r="C34" s="243"/>
      <c r="D34" s="243"/>
      <c r="E34" s="243"/>
      <c r="F34" s="243"/>
      <c r="G34" s="243"/>
      <c r="H34" s="244"/>
      <c r="I34" s="244"/>
      <c r="J34" s="245" t="str">
        <f aca="false">IF(OR(H34="",I34=""),"",COUNTIF(H34:I34,"YES")/2*$C$7)</f>
        <v/>
      </c>
      <c r="K34" s="243"/>
    </row>
    <row r="35" customFormat="false" ht="14.25" hidden="false" customHeight="false" outlineLevel="0" collapsed="false">
      <c r="A35" s="242" t="s">
        <v>821</v>
      </c>
      <c r="B35" s="243"/>
      <c r="C35" s="243"/>
      <c r="D35" s="243"/>
      <c r="E35" s="243"/>
      <c r="F35" s="243"/>
      <c r="G35" s="243"/>
      <c r="H35" s="244"/>
      <c r="I35" s="244"/>
      <c r="J35" s="245" t="str">
        <f aca="false">IF(OR(H35="",I35=""),"",COUNTIF(H35:I35,"YES")/2*$C$7)</f>
        <v/>
      </c>
      <c r="K35" s="243"/>
    </row>
    <row r="36" customFormat="false" ht="14.25" hidden="false" customHeight="false" outlineLevel="0" collapsed="false">
      <c r="A36" s="242" t="s">
        <v>822</v>
      </c>
      <c r="B36" s="243"/>
      <c r="C36" s="243"/>
      <c r="D36" s="243"/>
      <c r="E36" s="243"/>
      <c r="F36" s="243"/>
      <c r="G36" s="243"/>
      <c r="H36" s="244"/>
      <c r="I36" s="244"/>
      <c r="J36" s="245" t="str">
        <f aca="false">IF(OR(H36="",I36=""),"",COUNTIF(H36:I36,"YES")/2*$C$7)</f>
        <v/>
      </c>
      <c r="K36" s="243"/>
    </row>
    <row r="37" customFormat="false" ht="14.25" hidden="false" customHeight="false" outlineLevel="0" collapsed="false">
      <c r="A37" s="242" t="s">
        <v>823</v>
      </c>
      <c r="B37" s="243"/>
      <c r="C37" s="243"/>
      <c r="D37" s="243"/>
      <c r="E37" s="243"/>
      <c r="F37" s="243"/>
      <c r="G37" s="243"/>
      <c r="H37" s="244"/>
      <c r="I37" s="244"/>
      <c r="J37" s="245" t="str">
        <f aca="false">IF(OR(H37="",I37=""),"",COUNTIF(H37:I37,"YES")/2*$C$7)</f>
        <v/>
      </c>
      <c r="K37" s="243"/>
    </row>
    <row r="38" customFormat="false" ht="14.25" hidden="false" customHeight="false" outlineLevel="0" collapsed="false">
      <c r="A38" s="242" t="s">
        <v>824</v>
      </c>
      <c r="B38" s="243"/>
      <c r="C38" s="243"/>
      <c r="D38" s="243"/>
      <c r="E38" s="243"/>
      <c r="F38" s="243"/>
      <c r="G38" s="243"/>
      <c r="H38" s="244"/>
      <c r="I38" s="244"/>
      <c r="J38" s="245" t="str">
        <f aca="false">IF(OR(H38="",I38=""),"",COUNTIF(H38:I38,"YES")/2*$C$7)</f>
        <v/>
      </c>
      <c r="K38" s="243"/>
    </row>
    <row r="39" customFormat="false" ht="14.25" hidden="false" customHeight="false" outlineLevel="0" collapsed="false">
      <c r="A39" s="242" t="s">
        <v>825</v>
      </c>
      <c r="B39" s="243"/>
      <c r="C39" s="243"/>
      <c r="D39" s="243"/>
      <c r="E39" s="243"/>
      <c r="F39" s="243"/>
      <c r="G39" s="243"/>
      <c r="H39" s="244"/>
      <c r="I39" s="244"/>
      <c r="J39" s="245" t="str">
        <f aca="false">IF(OR(H39="",I39=""),"",COUNTIF(H39:I39,"YES")/2*$C$7)</f>
        <v/>
      </c>
      <c r="K39" s="243"/>
    </row>
    <row r="40" customFormat="false" ht="14.25" hidden="false" customHeight="false" outlineLevel="0" collapsed="false">
      <c r="A40" s="242" t="s">
        <v>826</v>
      </c>
      <c r="B40" s="243"/>
      <c r="C40" s="243"/>
      <c r="D40" s="243"/>
      <c r="E40" s="243"/>
      <c r="F40" s="243"/>
      <c r="G40" s="243"/>
      <c r="H40" s="244"/>
      <c r="I40" s="244"/>
      <c r="J40" s="245" t="str">
        <f aca="false">IF(OR(H40="",I40=""),"",COUNTIF(H40:I40,"YES")/2*$C$7)</f>
        <v/>
      </c>
      <c r="K40" s="243"/>
    </row>
    <row r="41" customFormat="false" ht="14.25" hidden="false" customHeight="false" outlineLevel="0" collapsed="false">
      <c r="A41" s="242" t="s">
        <v>827</v>
      </c>
      <c r="B41" s="243"/>
      <c r="C41" s="243"/>
      <c r="D41" s="243"/>
      <c r="E41" s="243"/>
      <c r="F41" s="243"/>
      <c r="G41" s="243"/>
      <c r="H41" s="244"/>
      <c r="I41" s="244"/>
      <c r="J41" s="245" t="str">
        <f aca="false">IF(OR(H41="",I41=""),"",COUNTIF(H41:I41,"YES")/2*$C$7)</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G14" r:id="rId1" display="https://ksrsac.karnataka.gov.in/map.asp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216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city have a notified and active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 website, relevant parastatal/sectoral agency website, master plan and other official government sources for the existence of the relevant plan.The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"UPD23a1: Water Supply &amp; Sewerage Plan ("&amp;TEXT($C$7/3,"0.00")&amp;")"</f>
        <v>UPD23a1: Water Supply &amp; Sewerage Plan (1.11)</v>
      </c>
      <c r="I12" s="241" t="str">
        <f aca="false">"UPD23a2: Solid Waste Management Plan ("&amp;TEXT($C$7/3,"0.00")&amp;")"</f>
        <v>UPD23a2: Solid Waste Management Plan (1.11)</v>
      </c>
      <c r="J12" s="241" t="str">
        <f aca="false">"UPD23a3: City Sanitation Plan ("&amp;TEXT($C$7/3,"0.00")&amp;")"</f>
        <v>UPD23a3: City Sanitation Plan (1.11)</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IF(OR(H13="",I13="",J13=""),"",COUNTIF(H13:J13,"YES")/3*$C$7)</f>
        <v/>
      </c>
      <c r="L13" s="243"/>
    </row>
    <row r="14" customFormat="false" ht="15" hidden="false" customHeight="true" outlineLevel="0" collapsed="false">
      <c r="A14" s="242" t="s">
        <v>801</v>
      </c>
      <c r="B14" s="243"/>
      <c r="C14" s="243"/>
      <c r="D14" s="243"/>
      <c r="E14" s="243"/>
      <c r="F14" s="243"/>
      <c r="G14" s="247" t="s">
        <v>1265</v>
      </c>
      <c r="H14" s="244" t="s">
        <v>1111</v>
      </c>
      <c r="I14" s="244" t="s">
        <v>1134</v>
      </c>
      <c r="J14" s="244" t="s">
        <v>1134</v>
      </c>
      <c r="K14" s="245" t="n">
        <f aca="false">IF(OR(H14="",I14="",J14=""),"",COUNTIF(H14:J14,"YES")/3*$C$7)</f>
        <v>1.11</v>
      </c>
      <c r="L14" s="243" t="s">
        <v>1266</v>
      </c>
    </row>
    <row r="15" customFormat="false" ht="14.25" hidden="false" customHeight="false" outlineLevel="0" collapsed="false">
      <c r="A15" s="242" t="s">
        <v>802</v>
      </c>
      <c r="B15" s="243"/>
      <c r="C15" s="243"/>
      <c r="D15" s="243"/>
      <c r="E15" s="243"/>
      <c r="F15" s="243"/>
      <c r="G15" s="243"/>
      <c r="H15" s="244"/>
      <c r="I15" s="244"/>
      <c r="J15" s="244"/>
      <c r="K15" s="245" t="str">
        <f aca="false">IF(OR(H15="",I15="",J15=""),"",COUNTIF(H15:J15,"YES")/3*$C$7)</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IF(OR(H16="",I16="",J16=""),"",COUNTIF(H16:J16,"YES")/3*$C$7)</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IF(OR(H17="",I17="",J17=""),"",COUNTIF(H17:J17,"YES")/3*$C$7)</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IF(OR(H18="",I18="",J18=""),"",COUNTIF(H18:J18,"YES")/3*$C$7)</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IF(OR(H19="",I19="",J19=""),"",COUNTIF(H19:J19,"YES")/3*$C$7)</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IF(OR(H20="",I20="",J20=""),"",COUNTIF(H20:J20,"YES")/3*$C$7)</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IF(OR(H21="",I21="",J21=""),"",COUNTIF(H21:J21,"YES")/3*$C$7)</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IF(OR(H22="",I22="",J22=""),"",COUNTIF(H22:J22,"YES")/3*$C$7)</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IF(OR(H23="",I23="",J23=""),"",COUNTIF(H23:J23,"YES")/3*$C$7)</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IF(OR(H24="",I24="",J24=""),"",COUNTIF(H24:J24,"YES")/3*$C$7)</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IF(OR(H25="",I25="",J25=""),"",COUNTIF(H25:J25,"YES")/3*$C$7)</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IF(OR(H26="",I26="",J26=""),"",COUNTIF(H26:J26,"YES")/3*$C$7)</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IF(OR(H27="",I27="",J27=""),"",COUNTIF(H27:J27,"YES")/3*$C$7)</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IF(OR(H28="",I28="",J28=""),"",COUNTIF(H28:J28,"YES")/3*$C$7)</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IF(OR(H29="",I29="",J29=""),"",COUNTIF(H29:J29,"YES")/3*$C$7)</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IF(OR(H30="",I30="",J30=""),"",COUNTIF(H30:J30,"YES")/3*$C$7)</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IF(OR(H31="",I31="",J31=""),"",COUNTIF(H31:J31,"YES")/3*$C$7)</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IF(OR(H32="",I32="",J32=""),"",COUNTIF(H32:J32,"YES")/3*$C$7)</f>
        <v/>
      </c>
      <c r="L32" s="243"/>
    </row>
    <row r="33" customFormat="false" ht="14.25" hidden="false" customHeight="false" outlineLevel="0" collapsed="false">
      <c r="A33" s="242" t="s">
        <v>17</v>
      </c>
      <c r="B33" s="243"/>
      <c r="C33" s="243"/>
      <c r="D33" s="243"/>
      <c r="E33" s="243"/>
      <c r="F33" s="243"/>
      <c r="G33" s="243"/>
      <c r="H33" s="244"/>
      <c r="I33" s="244"/>
      <c r="J33" s="244"/>
      <c r="K33" s="245" t="str">
        <f aca="false">IF(OR(H33="",I33="",J33=""),"",COUNTIF(H33:J33,"YES")/3*$C$7)</f>
        <v/>
      </c>
      <c r="L33" s="243" t="s">
        <v>1267</v>
      </c>
    </row>
    <row r="34" customFormat="false" ht="14.25" hidden="false" customHeight="false" outlineLevel="0" collapsed="false">
      <c r="A34" s="242" t="s">
        <v>820</v>
      </c>
      <c r="B34" s="243"/>
      <c r="C34" s="243"/>
      <c r="D34" s="243"/>
      <c r="E34" s="243"/>
      <c r="F34" s="243"/>
      <c r="G34" s="243"/>
      <c r="H34" s="244"/>
      <c r="I34" s="244"/>
      <c r="J34" s="244"/>
      <c r="K34" s="245" t="str">
        <f aca="false">IF(OR(H34="",I34="",J34=""),"",COUNTIF(H34:J34,"YES")/3*$C$7)</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IF(OR(H35="",I35="",J35=""),"",COUNTIF(H35:J35,"YES")/3*$C$7)</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IF(OR(H36="",I36="",J36=""),"",COUNTIF(H36:J36,"YES")/3*$C$7)</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IF(OR(H37="",I37="",J37=""),"",COUNTIF(H37:J37,"YES")/3*$C$7)</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IF(OR(H38="",I38="",J38=""),"",COUNTIF(H38:J38,"YES")/3*$C$7)</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IF(OR(H39="",I39="",J39=""),"",COUNTIF(H39:J39,"YES")/3*$C$7)</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IF(OR(H40="",I40="",J40=""),"",COUNTIF(H40:J40,"YES")/3*$C$7)</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IF(OR(H41="",I41="",J41=""),"",COUNTIF(H41:J41,"YES")/3*$C$7)</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219</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"UPD23b1: Water Supply &amp; Sewerage Plan ("&amp;TEXT($C$7/3,"0.00")&amp;")"</f>
        <v>UPD23b1: Water Supply &amp; Sewerage Plan (1.11)</v>
      </c>
      <c r="I12" s="241" t="str">
        <f aca="false">"UPD23b2: Solid Waste Management Plan ("&amp;TEXT($C$7/3,"0.00")&amp;")"</f>
        <v>UPD23b2: Solid Waste Management Plan (1.11)</v>
      </c>
      <c r="J12" s="241" t="str">
        <f aca="false">"UPD23b3: City Sanitation Plan ("&amp;TEXT($C$7/3,"0.00")&amp;")"</f>
        <v>UPD23b3: City Sanitation Plan (1.11)</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IF(OR(H13="",I13="",J13=""),"",COUNTIF(H13:J13,"YES")/3*$C$7)</f>
        <v/>
      </c>
      <c r="L13" s="243"/>
    </row>
    <row r="14" customFormat="false" ht="15" hidden="false" customHeight="true" outlineLevel="0" collapsed="false">
      <c r="A14" s="242" t="s">
        <v>801</v>
      </c>
      <c r="B14" s="243"/>
      <c r="C14" s="243"/>
      <c r="D14" s="243"/>
      <c r="E14" s="243"/>
      <c r="F14" s="243"/>
      <c r="G14" s="247" t="s">
        <v>1265</v>
      </c>
      <c r="H14" s="244" t="s">
        <v>1111</v>
      </c>
      <c r="I14" s="244" t="s">
        <v>1134</v>
      </c>
      <c r="J14" s="244" t="s">
        <v>1134</v>
      </c>
      <c r="K14" s="245" t="n">
        <f aca="false">IF(OR(H14="",I14="",J14=""),"",COUNTIF(H14:J14,"YES")/3*$C$7)</f>
        <v>1.11</v>
      </c>
      <c r="L14" s="243" t="s">
        <v>1268</v>
      </c>
    </row>
    <row r="15" customFormat="false" ht="14.25" hidden="false" customHeight="false" outlineLevel="0" collapsed="false">
      <c r="A15" s="242" t="s">
        <v>802</v>
      </c>
      <c r="B15" s="243"/>
      <c r="C15" s="243"/>
      <c r="D15" s="243"/>
      <c r="E15" s="243"/>
      <c r="F15" s="243"/>
      <c r="G15" s="243"/>
      <c r="H15" s="244"/>
      <c r="I15" s="244"/>
      <c r="J15" s="244"/>
      <c r="K15" s="245" t="str">
        <f aca="false">IF(OR(H15="",I15="",J15=""),"",COUNTIF(H15:J15,"YES")/3*$C$7)</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IF(OR(H16="",I16="",J16=""),"",COUNTIF(H16:J16,"YES")/3*$C$7)</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IF(OR(H17="",I17="",J17=""),"",COUNTIF(H17:J17,"YES")/3*$C$7)</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IF(OR(H18="",I18="",J18=""),"",COUNTIF(H18:J18,"YES")/3*$C$7)</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IF(OR(H19="",I19="",J19=""),"",COUNTIF(H19:J19,"YES")/3*$C$7)</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IF(OR(H20="",I20="",J20=""),"",COUNTIF(H20:J20,"YES")/3*$C$7)</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IF(OR(H21="",I21="",J21=""),"",COUNTIF(H21:J21,"YES")/3*$C$7)</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IF(OR(H22="",I22="",J22=""),"",COUNTIF(H22:J22,"YES")/3*$C$7)</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IF(OR(H23="",I23="",J23=""),"",COUNTIF(H23:J23,"YES")/3*$C$7)</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IF(OR(H24="",I24="",J24=""),"",COUNTIF(H24:J24,"YES")/3*$C$7)</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IF(OR(H25="",I25="",J25=""),"",COUNTIF(H25:J25,"YES")/3*$C$7)</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IF(OR(H26="",I26="",J26=""),"",COUNTIF(H26:J26,"YES")/3*$C$7)</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IF(OR(H27="",I27="",J27=""),"",COUNTIF(H27:J27,"YES")/3*$C$7)</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IF(OR(H28="",I28="",J28=""),"",COUNTIF(H28:J28,"YES")/3*$C$7)</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IF(OR(H29="",I29="",J29=""),"",COUNTIF(H29:J29,"YES")/3*$C$7)</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IF(OR(H30="",I30="",J30=""),"",COUNTIF(H30:J30,"YES")/3*$C$7)</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IF(OR(H31="",I31="",J31=""),"",COUNTIF(H31:J31,"YES")/3*$C$7)</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IF(OR(H32="",I32="",J32=""),"",COUNTIF(H32:J32,"YES")/3*$C$7)</f>
        <v/>
      </c>
      <c r="L32" s="243"/>
    </row>
    <row r="33" customFormat="false" ht="281.3" hidden="false" customHeight="false" outlineLevel="0" collapsed="false">
      <c r="A33" s="242" t="s">
        <v>17</v>
      </c>
      <c r="B33" s="243" t="s">
        <v>28</v>
      </c>
      <c r="C33" s="243" t="s">
        <v>1269</v>
      </c>
      <c r="D33" s="243" t="s">
        <v>1270</v>
      </c>
      <c r="E33" s="243" t="s">
        <v>1271</v>
      </c>
      <c r="F33" s="243" t="s">
        <v>1272</v>
      </c>
      <c r="G33" s="243" t="s">
        <v>29</v>
      </c>
      <c r="H33" s="244"/>
      <c r="I33" s="244"/>
      <c r="J33" s="244"/>
      <c r="K33" s="245" t="str">
        <f aca="false">IF(OR(H33="",I33="",J33=""),"",COUNTIF(H33:J33,"YES")/3*$C$7)</f>
        <v/>
      </c>
      <c r="L33" s="246" t="s">
        <v>1273</v>
      </c>
    </row>
    <row r="34" customFormat="false" ht="14.25" hidden="false" customHeight="false" outlineLevel="0" collapsed="false">
      <c r="A34" s="242" t="s">
        <v>820</v>
      </c>
      <c r="B34" s="243"/>
      <c r="C34" s="243"/>
      <c r="D34" s="243"/>
      <c r="E34" s="243"/>
      <c r="F34" s="243"/>
      <c r="G34" s="243"/>
      <c r="H34" s="244"/>
      <c r="I34" s="244"/>
      <c r="J34" s="244"/>
      <c r="K34" s="245" t="str">
        <f aca="false">IF(OR(H34="",I34="",J34=""),"",COUNTIF(H34:J34,"YES")/3*$C$7)</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IF(OR(H35="",I35="",J35=""),"",COUNTIF(H35:J35,"YES")/3*$C$7)</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IF(OR(H36="",I36="",J36=""),"",COUNTIF(H36:J36,"YES")/3*$C$7)</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IF(OR(H37="",I37="",J37=""),"",COUNTIF(H37:J37,"YES")/3*$C$7)</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IF(OR(H38="",I38="",J38=""),"",COUNTIF(H38:J38,"YES")/3*$C$7)</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IF(OR(H39="",I39="",J39=""),"",COUNTIF(H39:J39,"YES")/3*$C$7)</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IF(OR(H40="",I40="",J40=""),"",COUNTIF(H40:J40,"YES")/3*$C$7)</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IF(OR(H41="",I41="",J41=""),"",COUNTIF(H41:J41,"YES")/3*$C$7)</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9" activeCellId="0" sqref="G19"/>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225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clearly articulate the role of the ULG?</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implementation.A general reference to the ULG as a stakeholder or participating institution, without identifiable responsibilities, shall not qualify.</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"UPD23c1: Water Supply &amp; Sewerage Plan ("&amp;TEXT($C$7/3,"0.00")&amp;")"</f>
        <v>UPD23c1: Water Supply &amp; Sewerage Plan (1.11)</v>
      </c>
      <c r="I12" s="241" t="str">
        <f aca="false">"UPD23c2: Solid Waste Management Plan ("&amp;TEXT($C$7/3,"0.00")&amp;")"</f>
        <v>UPD23c2: Solid Waste Management Plan (1.11)</v>
      </c>
      <c r="J12" s="241" t="str">
        <f aca="false">"UPD23c3: City Sanitation Plan ("&amp;TEXT($C$7/3,"0.00")&amp;")"</f>
        <v>UPD23c3: City Sanitation Plan (1.11)</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IF(OR(H13="",I13="",J13=""),"",COUNTIF(H13:J13,"YES")/3*$C$7)</f>
        <v/>
      </c>
      <c r="L13" s="243"/>
    </row>
    <row r="14" customFormat="false" ht="15" hidden="false" customHeight="true" outlineLevel="0" collapsed="false">
      <c r="A14" s="242" t="s">
        <v>801</v>
      </c>
      <c r="B14" s="243"/>
      <c r="C14" s="243"/>
      <c r="D14" s="243"/>
      <c r="E14" s="243"/>
      <c r="F14" s="243"/>
      <c r="G14" s="247" t="s">
        <v>1265</v>
      </c>
      <c r="H14" s="244" t="s">
        <v>1134</v>
      </c>
      <c r="I14" s="244" t="s">
        <v>1134</v>
      </c>
      <c r="J14" s="244" t="s">
        <v>1134</v>
      </c>
      <c r="K14" s="245" t="n">
        <f aca="false">IF(OR(H14="",I14="",J14=""),"",COUNTIF(H14:J14,"YES")/3*$C$7)</f>
        <v>0</v>
      </c>
      <c r="L14" s="243" t="s">
        <v>1274</v>
      </c>
    </row>
    <row r="15" customFormat="false" ht="14.25" hidden="false" customHeight="false" outlineLevel="0" collapsed="false">
      <c r="A15" s="242" t="s">
        <v>802</v>
      </c>
      <c r="B15" s="243"/>
      <c r="C15" s="243"/>
      <c r="D15" s="243"/>
      <c r="E15" s="243"/>
      <c r="F15" s="243"/>
      <c r="G15" s="243"/>
      <c r="H15" s="244"/>
      <c r="I15" s="244"/>
      <c r="J15" s="244"/>
      <c r="K15" s="245" t="str">
        <f aca="false">IF(OR(H15="",I15="",J15=""),"",COUNTIF(H15:J15,"YES")/3*$C$7)</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IF(OR(H16="",I16="",J16=""),"",COUNTIF(H16:J16,"YES")/3*$C$7)</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IF(OR(H17="",I17="",J17=""),"",COUNTIF(H17:J17,"YES")/3*$C$7)</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IF(OR(H18="",I18="",J18=""),"",COUNTIF(H18:J18,"YES")/3*$C$7)</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IF(OR(H19="",I19="",J19=""),"",COUNTIF(H19:J19,"YES")/3*$C$7)</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IF(OR(H20="",I20="",J20=""),"",COUNTIF(H20:J20,"YES")/3*$C$7)</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IF(OR(H21="",I21="",J21=""),"",COUNTIF(H21:J21,"YES")/3*$C$7)</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IF(OR(H22="",I22="",J22=""),"",COUNTIF(H22:J22,"YES")/3*$C$7)</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IF(OR(H23="",I23="",J23=""),"",COUNTIF(H23:J23,"YES")/3*$C$7)</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IF(OR(H24="",I24="",J24=""),"",COUNTIF(H24:J24,"YES")/3*$C$7)</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IF(OR(H25="",I25="",J25=""),"",COUNTIF(H25:J25,"YES")/3*$C$7)</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IF(OR(H26="",I26="",J26=""),"",COUNTIF(H26:J26,"YES")/3*$C$7)</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IF(OR(H27="",I27="",J27=""),"",COUNTIF(H27:J27,"YES")/3*$C$7)</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IF(OR(H28="",I28="",J28=""),"",COUNTIF(H28:J28,"YES")/3*$C$7)</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IF(OR(H29="",I29="",J29=""),"",COUNTIF(H29:J29,"YES")/3*$C$7)</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IF(OR(H30="",I30="",J30=""),"",COUNTIF(H30:J30,"YES")/3*$C$7)</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IF(OR(H31="",I31="",J31=""),"",COUNTIF(H31:J31,"YES")/3*$C$7)</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IF(OR(H32="",I32="",J32=""),"",COUNTIF(H32:J32,"YES")/3*$C$7)</f>
        <v/>
      </c>
      <c r="L32" s="243"/>
    </row>
    <row r="33" customFormat="false" ht="14.25" hidden="false" customHeight="false" outlineLevel="0" collapsed="false">
      <c r="A33" s="242" t="s">
        <v>17</v>
      </c>
      <c r="B33" s="243" t="s">
        <v>28</v>
      </c>
      <c r="C33" s="243" t="s">
        <v>1275</v>
      </c>
      <c r="D33" s="243" t="s">
        <v>1276</v>
      </c>
      <c r="E33" s="243"/>
      <c r="F33" s="243" t="s">
        <v>1277</v>
      </c>
      <c r="G33" s="243" t="s">
        <v>29</v>
      </c>
      <c r="H33" s="244"/>
      <c r="I33" s="244"/>
      <c r="J33" s="244"/>
      <c r="K33" s="245" t="str">
        <f aca="false">IF(OR(H33="",I33="",J33=""),"",COUNTIF(H33:J33,"YES")/3*$C$7)</f>
        <v/>
      </c>
      <c r="L33" s="243" t="s">
        <v>1278</v>
      </c>
    </row>
    <row r="34" customFormat="false" ht="14.25" hidden="false" customHeight="false" outlineLevel="0" collapsed="false">
      <c r="A34" s="242" t="s">
        <v>820</v>
      </c>
      <c r="B34" s="243"/>
      <c r="C34" s="243"/>
      <c r="D34" s="243"/>
      <c r="E34" s="243"/>
      <c r="F34" s="243"/>
      <c r="G34" s="243"/>
      <c r="H34" s="244"/>
      <c r="I34" s="244"/>
      <c r="J34" s="244"/>
      <c r="K34" s="245" t="str">
        <f aca="false">IF(OR(H34="",I34="",J34=""),"",COUNTIF(H34:J34,"YES")/3*$C$7)</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IF(OR(H35="",I35="",J35=""),"",COUNTIF(H35:J35,"YES")/3*$C$7)</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IF(OR(H36="",I36="",J36=""),"",COUNTIF(H36:J36,"YES")/3*$C$7)</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IF(OR(H37="",I37="",J37=""),"",COUNTIF(H37:J37,"YES")/3*$C$7)</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IF(OR(H38="",I38="",J38=""),"",COUNTIF(H38:J38,"YES")/3*$C$7)</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IF(OR(H39="",I39="",J39=""),"",COUNTIF(H39:J39,"YES")/3*$C$7)</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IF(OR(H40="",I40="",J40=""),"",COUNTIF(H40:J40,"YES")/3*$C$7)</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IF(OR(H41="",I41="",J41=""),"",COUNTIF(H41:J41,"YES")/3*$C$7)</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231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city have a notified and active Sustainability/Resilience Strategy?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Independent consultant's report/academic reports will not be considered.</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6" t="s">
        <v>1279</v>
      </c>
      <c r="H14" s="244" t="s">
        <v>1111</v>
      </c>
      <c r="I14" s="245" t="n">
        <f aca="false">IF(H14="YES",$C$7,IF(H14="NO",0,""))</f>
        <v>3.33</v>
      </c>
      <c r="J14" s="248" t="s">
        <v>1280</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1281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1" activeCellId="0" sqref="G1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235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have development priorities and measurable objectives?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outcomes.A general statement of intent, such as becoming climate-resilient, sustainable or reducing emissions, without identifiable priorities and measurable objectives or targets, shall not qualify.Score 3.33 if the plan identifies atleast two or more clear priorities and includes measurable objectives or targets against those priorities;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6" t="s">
        <v>1282</v>
      </c>
      <c r="H14" s="244" t="s">
        <v>1111</v>
      </c>
      <c r="I14" s="245" t="n">
        <f aca="false">IF(H14="YES",$C$7,IF(H14="NO",0,""))</f>
        <v>3.33</v>
      </c>
      <c r="J14" s="243" t="s">
        <v>1283</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t="s">
        <v>238</v>
      </c>
      <c r="C33" s="243" t="s">
        <v>1284</v>
      </c>
      <c r="D33" s="243" t="s">
        <v>1285</v>
      </c>
      <c r="E33" s="243" t="s">
        <v>1286</v>
      </c>
      <c r="F33" s="243" t="s">
        <v>607</v>
      </c>
      <c r="G33" s="243" t="s">
        <v>239</v>
      </c>
      <c r="H33" s="244" t="s">
        <v>1111</v>
      </c>
      <c r="I33" s="245" t="n">
        <f aca="false">IF(H33="YES",$C$7,IF(H33="NO",0,""))</f>
        <v>3.33</v>
      </c>
      <c r="J33" s="243" t="s">
        <v>1287</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242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clearly articulate the role of the ULG?</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Score 3.33 where the plan clearly articulates the role/responsibilities of the ULG in its preparation/implementation;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3" t="s">
        <v>1282</v>
      </c>
      <c r="H14" s="244" t="s">
        <v>1111</v>
      </c>
      <c r="I14" s="245" t="n">
        <f aca="false">IF(H14="YES",$C$7,IF(H14="NO",0,""))</f>
        <v>3.33</v>
      </c>
      <c r="J14" s="243" t="s">
        <v>1288</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7" hidden="false" customHeight="false" outlineLevel="0" collapsed="false">
      <c r="A33" s="242" t="s">
        <v>17</v>
      </c>
      <c r="B33" s="243" t="s">
        <v>245</v>
      </c>
      <c r="C33" s="243" t="s">
        <v>1289</v>
      </c>
      <c r="D33" s="243" t="s">
        <v>1290</v>
      </c>
      <c r="E33" s="243"/>
      <c r="F33" s="243" t="s">
        <v>1277</v>
      </c>
      <c r="G33" s="243" t="s">
        <v>246</v>
      </c>
      <c r="H33" s="244"/>
      <c r="I33" s="245" t="str">
        <f aca="false">IF(H33="YES",$C$7,IF(H33="NO",0,""))</f>
        <v/>
      </c>
      <c r="J33" s="246" t="s">
        <v>1291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249</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city have a notified and active Comprehensive Mobility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website.A draft CMP, a consultant's report, or an unadopted study, without evidence of formal adoption or approval, shall not qualify.Score 3.33 if the city has a CMP formally adopted or approved by the competent authority;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7" t="s">
        <v>1292</v>
      </c>
      <c r="H14" s="244" t="s">
        <v>1111</v>
      </c>
      <c r="I14" s="245" t="n">
        <f aca="false">IF(H14="YES",$C$7,IF(H14="NO",0,""))</f>
        <v>3.33</v>
      </c>
      <c r="J14" s="243" t="s">
        <v>1293</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1294</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252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have development priorities and measurable objectives?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plan.A general statement of intent, such as improving mobility, promoting public transport or reducing congestion, without identifiable priorities and measurable objectives or targets, shall not qualify.Score 3.33 if the CMP identifies atleast two or more clear priorities and includes measurable objectives or targets against those priorities;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7" t="s">
        <v>1292</v>
      </c>
      <c r="H14" s="244" t="s">
        <v>1111</v>
      </c>
      <c r="I14" s="245" t="n">
        <f aca="false">IF(H14="YES",$C$7,IF(H14="NO",0,""))</f>
        <v>3.33</v>
      </c>
      <c r="J14" s="243" t="s">
        <v>1295</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1296</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255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clearly articulate the role of the ULG?</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progress.A passing mention of the ULG as a stakeholder, or a general reference to coordination among agencies, without specifying the ULG's role or responsibilities, shall not qualify.Score 3.3 if the CMP clearly articulates the roles and responsibilities of the ULG in its preparation and/or implementation;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7" t="s">
        <v>1292</v>
      </c>
      <c r="H14" s="244" t="s">
        <v>1111</v>
      </c>
      <c r="I14" s="245" t="n">
        <f aca="false">IF(H14="YES",$C$7,IF(H14="NO",0,""))</f>
        <v>3.33</v>
      </c>
      <c r="J14" s="243" t="s">
        <v>1297</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1298</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10"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258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city have a notified and active Economic Vision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 ULG website, relevant parastatal website, or city/district website for the existence of an Economic Vision, Economic Development Plan or equivalent city-level economic strategy. The document must:Be a final document; draft documents shall not be considered.Be formally adopted/approved by the competent authority, evidenced through a Municipal Corporation/Council resolution, Government Order, formal approval by the competent authority, or integration into the statutory municipal/city plan/Development Plan.Be currently active/applicable. Where the document specifies a validity or implementation period, the city must be within that period at the time of assessment. An expired or superseded plan shall not be considered.Independent consultant reports, academic studies/reports, background studies or other documents that have not been formally adopted/approved by the competent authority shall not be considered.Score 3.3 if the city has a final, formally adopted/approved and currently active/applicable Economic Vision, Economic Development Plan or equivalent city-level economic strategy that meets all the above conditions;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5" hidden="false" customHeight="true" outlineLevel="0" collapsed="false">
      <c r="A14" s="242" t="s">
        <v>801</v>
      </c>
      <c r="B14" s="243"/>
      <c r="C14" s="243"/>
      <c r="D14" s="243"/>
      <c r="E14" s="243"/>
      <c r="F14" s="243"/>
      <c r="G14" s="247" t="s">
        <v>1299</v>
      </c>
      <c r="H14" s="244" t="s">
        <v>1134</v>
      </c>
      <c r="I14" s="245" t="n">
        <f aca="false">IF(H14="YES",$C$7,IF(H14="NO",0,""))</f>
        <v>0</v>
      </c>
      <c r="J14" s="243" t="s">
        <v>1300</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t="s">
        <v>245</v>
      </c>
      <c r="C33" s="243" t="s">
        <v>1301</v>
      </c>
      <c r="D33" s="243" t="s">
        <v>1302</v>
      </c>
      <c r="E33" s="243"/>
      <c r="F33" s="243" t="s">
        <v>432</v>
      </c>
      <c r="G33" s="243" t="s">
        <v>246</v>
      </c>
      <c r="H33" s="244"/>
      <c r="I33" s="245" t="str">
        <f aca="false">IF(H33="YES",$C$7,IF(H33="NO",0,""))</f>
        <v/>
      </c>
      <c r="J33" s="243" t="s">
        <v>1303</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G14" r:id="rId1" display="https://www.thehindu.com/news/cities/bangalore/proposed-economic-masterplan-for-bengaluru-metropolitan-region-targets-75-public-transport/article71420718.e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263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have development priorities and measurable objectives?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t="s">
        <v>1134</v>
      </c>
      <c r="I14" s="245" t="n">
        <f aca="false">IF(H14="YES",$C$7,IF(H14="NO",0,""))</f>
        <v>0</v>
      </c>
      <c r="J14" s="243" t="s">
        <v>1304</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1305</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1" activeCellId="0" sqref="J1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268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clearly articulate the role of the ULG?</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36" t="n">
        <f aca="false">VLOOKUP($B$1,'UPD Questions_290926 '!$E$1:$N$300,MATCH($A$7,'UPD Questions_290926 '!$E$1:$N$1,0),0)</f>
        <v>3.33</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t="s">
        <v>1134</v>
      </c>
      <c r="I14" s="245" t="n">
        <f aca="false">IF(H14="YES",$C$7,IF(H14="NO",0,""))</f>
        <v>0</v>
      </c>
      <c r="J14" s="243" t="s">
        <v>1304</v>
      </c>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337.3" hidden="false" customHeight="false" outlineLevel="0" collapsed="false">
      <c r="A33" s="242" t="s">
        <v>17</v>
      </c>
      <c r="B33" s="243" t="s">
        <v>245</v>
      </c>
      <c r="C33" s="243" t="s">
        <v>1306</v>
      </c>
      <c r="D33" s="243" t="s">
        <v>1307</v>
      </c>
      <c r="E33" s="243" t="s">
        <v>1308</v>
      </c>
      <c r="F33" s="243" t="s">
        <v>1309</v>
      </c>
      <c r="G33" s="243" t="s">
        <v>246</v>
      </c>
      <c r="H33" s="244" t="s">
        <v>1134</v>
      </c>
      <c r="I33" s="245" t="n">
        <f aca="false">IF(H33="YES",$C$7,IF(H33="NO",0,""))</f>
        <v>0</v>
      </c>
      <c r="J33" s="246" t="s">
        <v>1310</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1" min="8" style="0" width="22"/>
    <col collapsed="false" customWidth="true" hidden="false" outlineLevel="0" max="12" min="12" style="0" width="14"/>
    <col collapsed="false" customWidth="true" hidden="false" outlineLevel="0" max="13" min="13" style="0" width="45"/>
    <col collapsed="false" customWidth="true" hidden="false" outlineLevel="0" max="18" min="14" style="0" width="30"/>
  </cols>
  <sheetData>
    <row r="1" customFormat="false" ht="14.25" hidden="false" customHeight="false" outlineLevel="0" collapsed="false">
      <c r="A1" s="234" t="s">
        <v>1090</v>
      </c>
      <c r="B1" s="234" t="s">
        <v>273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Does the city have adequate professional town-planning capacity?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benchmark.Score = (Town planners per lakh population in the city ÷ Highest town planners per lakh population among cities assessed) × 5For example, if the highest-performing city has 2 planners/lakh, a city with 1.5 planners/lakh scores 3.75, and one with 1 planner/lakh scores 2.5.</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Scorer comment - Record in the score sheet, separately for the ULG and Development/Planning Authority: total sanctioned town-planner positions; total filled positions; vacancies and vacancy rate; women and men among filled positions; and town planners per lakh population.</v>
      </c>
      <c r="H10" s="237" t="s">
        <v>1311</v>
      </c>
    </row>
    <row r="11" customFormat="false" ht="28.5" hidden="false" customHeight="true" outlineLevel="0" collapsed="false">
      <c r="H11" s="238" t="s">
        <v>1312</v>
      </c>
      <c r="I11" s="238" t="s">
        <v>1312</v>
      </c>
      <c r="J11" s="238" t="s">
        <v>1313</v>
      </c>
      <c r="K11" s="238" t="s">
        <v>1314</v>
      </c>
      <c r="L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1315</v>
      </c>
      <c r="I12" s="241" t="s">
        <v>1316</v>
      </c>
      <c r="J12" s="241" t="s">
        <v>1317</v>
      </c>
      <c r="K12" s="249" t="s">
        <v>1318</v>
      </c>
      <c r="L12" s="239" t="s">
        <v>1103</v>
      </c>
      <c r="M12" s="241" t="s">
        <v>1104</v>
      </c>
      <c r="N12" s="241" t="s">
        <v>1319</v>
      </c>
      <c r="O12" s="241" t="s">
        <v>1320</v>
      </c>
      <c r="P12" s="241" t="s">
        <v>1321</v>
      </c>
      <c r="Q12" s="241" t="s">
        <v>1322</v>
      </c>
      <c r="R12" s="241" t="s">
        <v>1323</v>
      </c>
    </row>
    <row r="13" customFormat="false" ht="14.25" hidden="false" customHeight="false" outlineLevel="0" collapsed="false">
      <c r="A13" s="242" t="s">
        <v>800</v>
      </c>
      <c r="B13" s="243"/>
      <c r="C13" s="243"/>
      <c r="D13" s="243"/>
      <c r="E13" s="243"/>
      <c r="F13" s="243"/>
      <c r="G13" s="243"/>
      <c r="H13" s="244"/>
      <c r="I13" s="244"/>
      <c r="J13" s="244"/>
      <c r="K13" s="250" t="str">
        <f aca="false">IF(OR(H13="",I13="",J13=""),"",(H13+I13)/J13*100000)</f>
        <v/>
      </c>
      <c r="L13" s="245" t="str">
        <f aca="false">IF(K13="","",IF(MAX($K$13:$K$41)=0,0,K13/MAX($K$13:$K$41)*$C$7))</f>
        <v/>
      </c>
      <c r="M13" s="243"/>
      <c r="N13" s="243"/>
      <c r="O13" s="243"/>
      <c r="P13" s="243"/>
      <c r="Q13" s="243"/>
      <c r="R13" s="243"/>
    </row>
    <row r="14" customFormat="false" ht="14.25" hidden="false" customHeight="false" outlineLevel="0" collapsed="false">
      <c r="A14" s="242" t="s">
        <v>801</v>
      </c>
      <c r="B14" s="243"/>
      <c r="C14" s="243"/>
      <c r="D14" s="243"/>
      <c r="E14" s="243"/>
      <c r="F14" s="243"/>
      <c r="G14" s="243"/>
      <c r="H14" s="244"/>
      <c r="I14" s="244"/>
      <c r="J14" s="244"/>
      <c r="K14" s="250" t="str">
        <f aca="false">IF(OR(H14="",I14="",J14=""),"",(H14+I14)/J14*100000)</f>
        <v/>
      </c>
      <c r="L14" s="245" t="str">
        <f aca="false">IF(K14="","",IF(MAX($K$13:$K$41)=0,0,K14/MAX($K$13:$K$41)*$C$7))</f>
        <v/>
      </c>
      <c r="M14" s="243"/>
      <c r="N14" s="243"/>
      <c r="O14" s="243"/>
      <c r="P14" s="243"/>
      <c r="Q14" s="243"/>
      <c r="R14" s="243"/>
    </row>
    <row r="15" customFormat="false" ht="14.25" hidden="false" customHeight="false" outlineLevel="0" collapsed="false">
      <c r="A15" s="242" t="s">
        <v>802</v>
      </c>
      <c r="B15" s="243"/>
      <c r="C15" s="243"/>
      <c r="D15" s="243"/>
      <c r="E15" s="243"/>
      <c r="F15" s="243"/>
      <c r="G15" s="243"/>
      <c r="H15" s="244"/>
      <c r="I15" s="244"/>
      <c r="J15" s="244"/>
      <c r="K15" s="250" t="str">
        <f aca="false">IF(OR(H15="",I15="",J15=""),"",(H15+I15)/J15*100000)</f>
        <v/>
      </c>
      <c r="L15" s="245" t="str">
        <f aca="false">IF(K15="","",IF(MAX($K$13:$K$41)=0,0,K15/MAX($K$13:$K$41)*$C$7))</f>
        <v/>
      </c>
      <c r="M15" s="243"/>
      <c r="N15" s="243"/>
      <c r="O15" s="243"/>
      <c r="P15" s="243"/>
      <c r="Q15" s="243"/>
      <c r="R15" s="243"/>
    </row>
    <row r="16" customFormat="false" ht="14.25" hidden="false" customHeight="false" outlineLevel="0" collapsed="false">
      <c r="A16" s="242" t="s">
        <v>803</v>
      </c>
      <c r="B16" s="243"/>
      <c r="C16" s="243"/>
      <c r="D16" s="243"/>
      <c r="E16" s="243"/>
      <c r="F16" s="243"/>
      <c r="G16" s="243"/>
      <c r="H16" s="244"/>
      <c r="I16" s="244"/>
      <c r="J16" s="244"/>
      <c r="K16" s="250" t="str">
        <f aca="false">IF(OR(H16="",I16="",J16=""),"",(H16+I16)/J16*100000)</f>
        <v/>
      </c>
      <c r="L16" s="245" t="str">
        <f aca="false">IF(K16="","",IF(MAX($K$13:$K$41)=0,0,K16/MAX($K$13:$K$41)*$C$7))</f>
        <v/>
      </c>
      <c r="M16" s="243"/>
      <c r="N16" s="243"/>
      <c r="O16" s="243"/>
      <c r="P16" s="243"/>
      <c r="Q16" s="243"/>
      <c r="R16" s="243"/>
    </row>
    <row r="17" customFormat="false" ht="14.25" hidden="false" customHeight="false" outlineLevel="0" collapsed="false">
      <c r="A17" s="242" t="s">
        <v>804</v>
      </c>
      <c r="B17" s="243"/>
      <c r="C17" s="243"/>
      <c r="D17" s="243"/>
      <c r="E17" s="243"/>
      <c r="F17" s="243"/>
      <c r="G17" s="243"/>
      <c r="H17" s="244"/>
      <c r="I17" s="244"/>
      <c r="J17" s="244"/>
      <c r="K17" s="250" t="str">
        <f aca="false">IF(OR(H17="",I17="",J17=""),"",(H17+I17)/J17*100000)</f>
        <v/>
      </c>
      <c r="L17" s="245" t="str">
        <f aca="false">IF(K17="","",IF(MAX($K$13:$K$41)=0,0,K17/MAX($K$13:$K$41)*$C$7))</f>
        <v/>
      </c>
      <c r="M17" s="243"/>
      <c r="N17" s="243"/>
      <c r="O17" s="243"/>
      <c r="P17" s="243"/>
      <c r="Q17" s="243"/>
      <c r="R17" s="243"/>
    </row>
    <row r="18" customFormat="false" ht="14.25" hidden="false" customHeight="false" outlineLevel="0" collapsed="false">
      <c r="A18" s="242" t="s">
        <v>805</v>
      </c>
      <c r="B18" s="243"/>
      <c r="C18" s="243"/>
      <c r="D18" s="243"/>
      <c r="E18" s="243"/>
      <c r="F18" s="243"/>
      <c r="G18" s="243"/>
      <c r="H18" s="244"/>
      <c r="I18" s="244"/>
      <c r="J18" s="244"/>
      <c r="K18" s="250" t="str">
        <f aca="false">IF(OR(H18="",I18="",J18=""),"",(H18+I18)/J18*100000)</f>
        <v/>
      </c>
      <c r="L18" s="245" t="str">
        <f aca="false">IF(K18="","",IF(MAX($K$13:$K$41)=0,0,K18/MAX($K$13:$K$41)*$C$7))</f>
        <v/>
      </c>
      <c r="M18" s="243"/>
      <c r="N18" s="243"/>
      <c r="O18" s="243"/>
      <c r="P18" s="243"/>
      <c r="Q18" s="243"/>
      <c r="R18" s="243"/>
    </row>
    <row r="19" customFormat="false" ht="14.25" hidden="false" customHeight="false" outlineLevel="0" collapsed="false">
      <c r="A19" s="242" t="s">
        <v>806</v>
      </c>
      <c r="B19" s="243"/>
      <c r="C19" s="243"/>
      <c r="D19" s="243"/>
      <c r="E19" s="243"/>
      <c r="F19" s="243"/>
      <c r="G19" s="243"/>
      <c r="H19" s="244"/>
      <c r="I19" s="244"/>
      <c r="J19" s="244"/>
      <c r="K19" s="250" t="str">
        <f aca="false">IF(OR(H19="",I19="",J19=""),"",(H19+I19)/J19*100000)</f>
        <v/>
      </c>
      <c r="L19" s="245" t="str">
        <f aca="false">IF(K19="","",IF(MAX($K$13:$K$41)=0,0,K19/MAX($K$13:$K$41)*$C$7))</f>
        <v/>
      </c>
      <c r="M19" s="243"/>
      <c r="N19" s="243"/>
      <c r="O19" s="243"/>
      <c r="P19" s="243"/>
      <c r="Q19" s="243"/>
      <c r="R19" s="243"/>
    </row>
    <row r="20" customFormat="false" ht="14.25" hidden="false" customHeight="false" outlineLevel="0" collapsed="false">
      <c r="A20" s="242" t="s">
        <v>807</v>
      </c>
      <c r="B20" s="243"/>
      <c r="C20" s="243"/>
      <c r="D20" s="243"/>
      <c r="E20" s="243"/>
      <c r="F20" s="243"/>
      <c r="G20" s="243"/>
      <c r="H20" s="244"/>
      <c r="I20" s="244"/>
      <c r="J20" s="244"/>
      <c r="K20" s="250" t="str">
        <f aca="false">IF(OR(H20="",I20="",J20=""),"",(H20+I20)/J20*100000)</f>
        <v/>
      </c>
      <c r="L20" s="245" t="str">
        <f aca="false">IF(K20="","",IF(MAX($K$13:$K$41)=0,0,K20/MAX($K$13:$K$41)*$C$7))</f>
        <v/>
      </c>
      <c r="M20" s="243"/>
      <c r="N20" s="243"/>
      <c r="O20" s="243"/>
      <c r="P20" s="243"/>
      <c r="Q20" s="243"/>
      <c r="R20" s="243"/>
    </row>
    <row r="21" customFormat="false" ht="14.25" hidden="false" customHeight="false" outlineLevel="0" collapsed="false">
      <c r="A21" s="242" t="s">
        <v>808</v>
      </c>
      <c r="B21" s="243"/>
      <c r="C21" s="243"/>
      <c r="D21" s="243"/>
      <c r="E21" s="243"/>
      <c r="F21" s="243"/>
      <c r="G21" s="243"/>
      <c r="H21" s="244"/>
      <c r="I21" s="244"/>
      <c r="J21" s="244"/>
      <c r="K21" s="250" t="str">
        <f aca="false">IF(OR(H21="",I21="",J21=""),"",(H21+I21)/J21*100000)</f>
        <v/>
      </c>
      <c r="L21" s="245" t="str">
        <f aca="false">IF(K21="","",IF(MAX($K$13:$K$41)=0,0,K21/MAX($K$13:$K$41)*$C$7))</f>
        <v/>
      </c>
      <c r="M21" s="243"/>
      <c r="N21" s="243"/>
      <c r="O21" s="243"/>
      <c r="P21" s="243"/>
      <c r="Q21" s="243"/>
      <c r="R21" s="243"/>
    </row>
    <row r="22" customFormat="false" ht="14.25" hidden="false" customHeight="false" outlineLevel="0" collapsed="false">
      <c r="A22" s="242" t="s">
        <v>809</v>
      </c>
      <c r="B22" s="243"/>
      <c r="C22" s="243"/>
      <c r="D22" s="243"/>
      <c r="E22" s="243"/>
      <c r="F22" s="243"/>
      <c r="G22" s="243"/>
      <c r="H22" s="244"/>
      <c r="I22" s="244"/>
      <c r="J22" s="244"/>
      <c r="K22" s="250" t="str">
        <f aca="false">IF(OR(H22="",I22="",J22=""),"",(H22+I22)/J22*100000)</f>
        <v/>
      </c>
      <c r="L22" s="245" t="str">
        <f aca="false">IF(K22="","",IF(MAX($K$13:$K$41)=0,0,K22/MAX($K$13:$K$41)*$C$7))</f>
        <v/>
      </c>
      <c r="M22" s="243"/>
      <c r="N22" s="243"/>
      <c r="O22" s="243"/>
      <c r="P22" s="243"/>
      <c r="Q22" s="243"/>
      <c r="R22" s="243"/>
    </row>
    <row r="23" customFormat="false" ht="14.25" hidden="false" customHeight="false" outlineLevel="0" collapsed="false">
      <c r="A23" s="242" t="s">
        <v>810</v>
      </c>
      <c r="B23" s="243"/>
      <c r="C23" s="243"/>
      <c r="D23" s="243"/>
      <c r="E23" s="243"/>
      <c r="F23" s="243"/>
      <c r="G23" s="243"/>
      <c r="H23" s="244"/>
      <c r="I23" s="244"/>
      <c r="J23" s="244"/>
      <c r="K23" s="250" t="str">
        <f aca="false">IF(OR(H23="",I23="",J23=""),"",(H23+I23)/J23*100000)</f>
        <v/>
      </c>
      <c r="L23" s="245" t="str">
        <f aca="false">IF(K23="","",IF(MAX($K$13:$K$41)=0,0,K23/MAX($K$13:$K$41)*$C$7))</f>
        <v/>
      </c>
      <c r="M23" s="243"/>
      <c r="N23" s="243"/>
      <c r="O23" s="243"/>
      <c r="P23" s="243"/>
      <c r="Q23" s="243"/>
      <c r="R23" s="243"/>
    </row>
    <row r="24" customFormat="false" ht="14.25" hidden="false" customHeight="false" outlineLevel="0" collapsed="false">
      <c r="A24" s="242" t="s">
        <v>811</v>
      </c>
      <c r="B24" s="243"/>
      <c r="C24" s="243"/>
      <c r="D24" s="243"/>
      <c r="E24" s="243"/>
      <c r="F24" s="243"/>
      <c r="G24" s="243"/>
      <c r="H24" s="244"/>
      <c r="I24" s="244"/>
      <c r="J24" s="244"/>
      <c r="K24" s="250" t="str">
        <f aca="false">IF(OR(H24="",I24="",J24=""),"",(H24+I24)/J24*100000)</f>
        <v/>
      </c>
      <c r="L24" s="245" t="str">
        <f aca="false">IF(K24="","",IF(MAX($K$13:$K$41)=0,0,K24/MAX($K$13:$K$41)*$C$7))</f>
        <v/>
      </c>
      <c r="M24" s="243"/>
      <c r="N24" s="243"/>
      <c r="O24" s="243"/>
      <c r="P24" s="243"/>
      <c r="Q24" s="243"/>
      <c r="R24" s="243"/>
    </row>
    <row r="25" customFormat="false" ht="14.25" hidden="false" customHeight="false" outlineLevel="0" collapsed="false">
      <c r="A25" s="242" t="s">
        <v>812</v>
      </c>
      <c r="B25" s="243"/>
      <c r="C25" s="243"/>
      <c r="D25" s="243"/>
      <c r="E25" s="243"/>
      <c r="F25" s="243"/>
      <c r="G25" s="243"/>
      <c r="H25" s="244"/>
      <c r="I25" s="244"/>
      <c r="J25" s="244"/>
      <c r="K25" s="250" t="str">
        <f aca="false">IF(OR(H25="",I25="",J25=""),"",(H25+I25)/J25*100000)</f>
        <v/>
      </c>
      <c r="L25" s="245" t="str">
        <f aca="false">IF(K25="","",IF(MAX($K$13:$K$41)=0,0,K25/MAX($K$13:$K$41)*$C$7))</f>
        <v/>
      </c>
      <c r="M25" s="243"/>
      <c r="N25" s="243"/>
      <c r="O25" s="243"/>
      <c r="P25" s="243"/>
      <c r="Q25" s="243"/>
      <c r="R25" s="243"/>
    </row>
    <row r="26" customFormat="false" ht="14.25" hidden="false" customHeight="false" outlineLevel="0" collapsed="false">
      <c r="A26" s="242" t="s">
        <v>813</v>
      </c>
      <c r="B26" s="243"/>
      <c r="C26" s="243"/>
      <c r="D26" s="243"/>
      <c r="E26" s="243"/>
      <c r="F26" s="243"/>
      <c r="G26" s="243"/>
      <c r="H26" s="244"/>
      <c r="I26" s="244"/>
      <c r="J26" s="244"/>
      <c r="K26" s="250" t="str">
        <f aca="false">IF(OR(H26="",I26="",J26=""),"",(H26+I26)/J26*100000)</f>
        <v/>
      </c>
      <c r="L26" s="245" t="str">
        <f aca="false">IF(K26="","",IF(MAX($K$13:$K$41)=0,0,K26/MAX($K$13:$K$41)*$C$7))</f>
        <v/>
      </c>
      <c r="M26" s="243"/>
      <c r="N26" s="243"/>
      <c r="O26" s="243"/>
      <c r="P26" s="243"/>
      <c r="Q26" s="243"/>
      <c r="R26" s="243"/>
    </row>
    <row r="27" customFormat="false" ht="14.25" hidden="false" customHeight="false" outlineLevel="0" collapsed="false">
      <c r="A27" s="242" t="s">
        <v>814</v>
      </c>
      <c r="B27" s="243"/>
      <c r="C27" s="243"/>
      <c r="D27" s="243"/>
      <c r="E27" s="243"/>
      <c r="F27" s="243"/>
      <c r="G27" s="243"/>
      <c r="H27" s="244"/>
      <c r="I27" s="244"/>
      <c r="J27" s="244"/>
      <c r="K27" s="250" t="str">
        <f aca="false">IF(OR(H27="",I27="",J27=""),"",(H27+I27)/J27*100000)</f>
        <v/>
      </c>
      <c r="L27" s="245" t="str">
        <f aca="false">IF(K27="","",IF(MAX($K$13:$K$41)=0,0,K27/MAX($K$13:$K$41)*$C$7))</f>
        <v/>
      </c>
      <c r="M27" s="243"/>
      <c r="N27" s="243"/>
      <c r="O27" s="243"/>
      <c r="P27" s="243"/>
      <c r="Q27" s="243"/>
      <c r="R27" s="243"/>
    </row>
    <row r="28" customFormat="false" ht="14.25" hidden="false" customHeight="false" outlineLevel="0" collapsed="false">
      <c r="A28" s="242" t="s">
        <v>815</v>
      </c>
      <c r="B28" s="243"/>
      <c r="C28" s="243"/>
      <c r="D28" s="243"/>
      <c r="E28" s="243"/>
      <c r="F28" s="243"/>
      <c r="G28" s="243"/>
      <c r="H28" s="244"/>
      <c r="I28" s="244"/>
      <c r="J28" s="244"/>
      <c r="K28" s="250" t="str">
        <f aca="false">IF(OR(H28="",I28="",J28=""),"",(H28+I28)/J28*100000)</f>
        <v/>
      </c>
      <c r="L28" s="245" t="str">
        <f aca="false">IF(K28="","",IF(MAX($K$13:$K$41)=0,0,K28/MAX($K$13:$K$41)*$C$7))</f>
        <v/>
      </c>
      <c r="M28" s="243"/>
      <c r="N28" s="243"/>
      <c r="O28" s="243"/>
      <c r="P28" s="243"/>
      <c r="Q28" s="243"/>
      <c r="R28" s="243"/>
    </row>
    <row r="29" customFormat="false" ht="14.25" hidden="false" customHeight="false" outlineLevel="0" collapsed="false">
      <c r="A29" s="242" t="s">
        <v>816</v>
      </c>
      <c r="B29" s="243"/>
      <c r="C29" s="243"/>
      <c r="D29" s="243"/>
      <c r="E29" s="243"/>
      <c r="F29" s="243"/>
      <c r="G29" s="243"/>
      <c r="H29" s="244"/>
      <c r="I29" s="244"/>
      <c r="J29" s="244"/>
      <c r="K29" s="250" t="str">
        <f aca="false">IF(OR(H29="",I29="",J29=""),"",(H29+I29)/J29*100000)</f>
        <v/>
      </c>
      <c r="L29" s="245" t="str">
        <f aca="false">IF(K29="","",IF(MAX($K$13:$K$41)=0,0,K29/MAX($K$13:$K$41)*$C$7))</f>
        <v/>
      </c>
      <c r="M29" s="243"/>
      <c r="N29" s="243"/>
      <c r="O29" s="243"/>
      <c r="P29" s="243"/>
      <c r="Q29" s="243"/>
      <c r="R29" s="243"/>
    </row>
    <row r="30" customFormat="false" ht="14.25" hidden="false" customHeight="false" outlineLevel="0" collapsed="false">
      <c r="A30" s="242" t="s">
        <v>817</v>
      </c>
      <c r="B30" s="243"/>
      <c r="C30" s="243"/>
      <c r="D30" s="243"/>
      <c r="E30" s="243"/>
      <c r="F30" s="243"/>
      <c r="G30" s="243"/>
      <c r="H30" s="244"/>
      <c r="I30" s="244"/>
      <c r="J30" s="244"/>
      <c r="K30" s="250" t="str">
        <f aca="false">IF(OR(H30="",I30="",J30=""),"",(H30+I30)/J30*100000)</f>
        <v/>
      </c>
      <c r="L30" s="245" t="str">
        <f aca="false">IF(K30="","",IF(MAX($K$13:$K$41)=0,0,K30/MAX($K$13:$K$41)*$C$7))</f>
        <v/>
      </c>
      <c r="M30" s="243"/>
      <c r="N30" s="243"/>
      <c r="O30" s="243"/>
      <c r="P30" s="243"/>
      <c r="Q30" s="243"/>
      <c r="R30" s="243"/>
    </row>
    <row r="31" customFormat="false" ht="14.25" hidden="false" customHeight="false" outlineLevel="0" collapsed="false">
      <c r="A31" s="242" t="s">
        <v>818</v>
      </c>
      <c r="B31" s="243"/>
      <c r="C31" s="243"/>
      <c r="D31" s="243"/>
      <c r="E31" s="243"/>
      <c r="F31" s="243"/>
      <c r="G31" s="243"/>
      <c r="H31" s="244"/>
      <c r="I31" s="244"/>
      <c r="J31" s="244"/>
      <c r="K31" s="250" t="str">
        <f aca="false">IF(OR(H31="",I31="",J31=""),"",(H31+I31)/J31*100000)</f>
        <v/>
      </c>
      <c r="L31" s="245" t="str">
        <f aca="false">IF(K31="","",IF(MAX($K$13:$K$41)=0,0,K31/MAX($K$13:$K$41)*$C$7))</f>
        <v/>
      </c>
      <c r="M31" s="243"/>
      <c r="N31" s="243"/>
      <c r="O31" s="243"/>
      <c r="P31" s="243"/>
      <c r="Q31" s="243"/>
      <c r="R31" s="243"/>
    </row>
    <row r="32" customFormat="false" ht="14.25" hidden="false" customHeight="false" outlineLevel="0" collapsed="false">
      <c r="A32" s="242" t="s">
        <v>819</v>
      </c>
      <c r="B32" s="243"/>
      <c r="C32" s="243"/>
      <c r="D32" s="243"/>
      <c r="E32" s="243"/>
      <c r="F32" s="243"/>
      <c r="G32" s="243"/>
      <c r="H32" s="244"/>
      <c r="I32" s="244"/>
      <c r="J32" s="244"/>
      <c r="K32" s="250" t="str">
        <f aca="false">IF(OR(H32="",I32="",J32=""),"",(H32+I32)/J32*100000)</f>
        <v/>
      </c>
      <c r="L32" s="245" t="str">
        <f aca="false">IF(K32="","",IF(MAX($K$13:$K$41)=0,0,K32/MAX($K$13:$K$41)*$C$7))</f>
        <v/>
      </c>
      <c r="M32" s="243"/>
      <c r="N32" s="243"/>
      <c r="O32" s="243"/>
      <c r="P32" s="243"/>
      <c r="Q32" s="243"/>
      <c r="R32" s="243"/>
    </row>
    <row r="33" customFormat="false" ht="236.55" hidden="false" customHeight="false" outlineLevel="0" collapsed="false">
      <c r="A33" s="242" t="s">
        <v>17</v>
      </c>
      <c r="B33" s="243" t="s">
        <v>276</v>
      </c>
      <c r="C33" s="243" t="s">
        <v>1324</v>
      </c>
      <c r="D33" s="243" t="s">
        <v>1325</v>
      </c>
      <c r="E33" s="243"/>
      <c r="F33" s="243" t="s">
        <v>456</v>
      </c>
      <c r="G33" s="243" t="s">
        <v>277</v>
      </c>
      <c r="H33" s="244"/>
      <c r="I33" s="244"/>
      <c r="J33" s="244" t="n">
        <v>4462826</v>
      </c>
      <c r="K33" s="250" t="str">
        <f aca="false">IF(OR(H33="",I33="",J33=""),"",(H33+I33)/J33*100000)</f>
        <v/>
      </c>
      <c r="L33" s="245" t="str">
        <f aca="false">IF(K33="","",IF(MAX($K$13:$K$41)=0,0,K33/MAX($K$13:$K$41)*$C$7))</f>
        <v/>
      </c>
      <c r="M33" s="246" t="s">
        <v>1326</v>
      </c>
      <c r="N33" s="243"/>
      <c r="O33" s="243"/>
      <c r="P33" s="243"/>
      <c r="Q33" s="243"/>
      <c r="R33" s="243"/>
    </row>
    <row r="34" customFormat="false" ht="14.25" hidden="false" customHeight="false" outlineLevel="0" collapsed="false">
      <c r="A34" s="242" t="s">
        <v>820</v>
      </c>
      <c r="B34" s="243"/>
      <c r="C34" s="243"/>
      <c r="D34" s="243"/>
      <c r="E34" s="243"/>
      <c r="F34" s="243"/>
      <c r="G34" s="243"/>
      <c r="H34" s="244"/>
      <c r="I34" s="244"/>
      <c r="J34" s="244"/>
      <c r="K34" s="250" t="str">
        <f aca="false">IF(OR(H34="",I34="",J34=""),"",(H34+I34)/J34*100000)</f>
        <v/>
      </c>
      <c r="L34" s="245" t="str">
        <f aca="false">IF(K34="","",IF(MAX($K$13:$K$41)=0,0,K34/MAX($K$13:$K$41)*$C$7))</f>
        <v/>
      </c>
      <c r="M34" s="243"/>
      <c r="N34" s="243"/>
      <c r="O34" s="243"/>
      <c r="P34" s="243"/>
      <c r="Q34" s="243"/>
      <c r="R34" s="243"/>
    </row>
    <row r="35" customFormat="false" ht="14.25" hidden="false" customHeight="false" outlineLevel="0" collapsed="false">
      <c r="A35" s="242" t="s">
        <v>821</v>
      </c>
      <c r="B35" s="243"/>
      <c r="C35" s="243"/>
      <c r="D35" s="243"/>
      <c r="E35" s="243"/>
      <c r="F35" s="243"/>
      <c r="G35" s="243"/>
      <c r="H35" s="244"/>
      <c r="I35" s="244"/>
      <c r="J35" s="244"/>
      <c r="K35" s="250" t="str">
        <f aca="false">IF(OR(H35="",I35="",J35=""),"",(H35+I35)/J35*100000)</f>
        <v/>
      </c>
      <c r="L35" s="245" t="str">
        <f aca="false">IF(K35="","",IF(MAX($K$13:$K$41)=0,0,K35/MAX($K$13:$K$41)*$C$7))</f>
        <v/>
      </c>
      <c r="M35" s="243"/>
      <c r="N35" s="243"/>
      <c r="O35" s="243"/>
      <c r="P35" s="243"/>
      <c r="Q35" s="243"/>
      <c r="R35" s="243"/>
    </row>
    <row r="36" customFormat="false" ht="14.25" hidden="false" customHeight="false" outlineLevel="0" collapsed="false">
      <c r="A36" s="242" t="s">
        <v>822</v>
      </c>
      <c r="B36" s="243"/>
      <c r="C36" s="243"/>
      <c r="D36" s="243"/>
      <c r="E36" s="243"/>
      <c r="F36" s="243"/>
      <c r="G36" s="243"/>
      <c r="H36" s="244"/>
      <c r="I36" s="244"/>
      <c r="J36" s="244"/>
      <c r="K36" s="250" t="str">
        <f aca="false">IF(OR(H36="",I36="",J36=""),"",(H36+I36)/J36*100000)</f>
        <v/>
      </c>
      <c r="L36" s="245" t="str">
        <f aca="false">IF(K36="","",IF(MAX($K$13:$K$41)=0,0,K36/MAX($K$13:$K$41)*$C$7))</f>
        <v/>
      </c>
      <c r="M36" s="243"/>
      <c r="N36" s="243"/>
      <c r="O36" s="243"/>
      <c r="P36" s="243"/>
      <c r="Q36" s="243"/>
      <c r="R36" s="243"/>
    </row>
    <row r="37" customFormat="false" ht="14.25" hidden="false" customHeight="false" outlineLevel="0" collapsed="false">
      <c r="A37" s="242" t="s">
        <v>823</v>
      </c>
      <c r="B37" s="243"/>
      <c r="C37" s="243"/>
      <c r="D37" s="243"/>
      <c r="E37" s="243"/>
      <c r="F37" s="243"/>
      <c r="G37" s="243"/>
      <c r="H37" s="244"/>
      <c r="I37" s="244"/>
      <c r="J37" s="244"/>
      <c r="K37" s="250" t="str">
        <f aca="false">IF(OR(H37="",I37="",J37=""),"",(H37+I37)/J37*100000)</f>
        <v/>
      </c>
      <c r="L37" s="245" t="str">
        <f aca="false">IF(K37="","",IF(MAX($K$13:$K$41)=0,0,K37/MAX($K$13:$K$41)*$C$7))</f>
        <v/>
      </c>
      <c r="M37" s="243"/>
      <c r="N37" s="243"/>
      <c r="O37" s="243"/>
      <c r="P37" s="243"/>
      <c r="Q37" s="243"/>
      <c r="R37" s="243"/>
    </row>
    <row r="38" customFormat="false" ht="14.25" hidden="false" customHeight="false" outlineLevel="0" collapsed="false">
      <c r="A38" s="242" t="s">
        <v>824</v>
      </c>
      <c r="B38" s="243"/>
      <c r="C38" s="243"/>
      <c r="D38" s="243"/>
      <c r="E38" s="243"/>
      <c r="F38" s="243"/>
      <c r="G38" s="243"/>
      <c r="H38" s="244"/>
      <c r="I38" s="244"/>
      <c r="J38" s="244"/>
      <c r="K38" s="250" t="str">
        <f aca="false">IF(OR(H38="",I38="",J38=""),"",(H38+I38)/J38*100000)</f>
        <v/>
      </c>
      <c r="L38" s="245" t="str">
        <f aca="false">IF(K38="","",IF(MAX($K$13:$K$41)=0,0,K38/MAX($K$13:$K$41)*$C$7))</f>
        <v/>
      </c>
      <c r="M38" s="243"/>
      <c r="N38" s="243"/>
      <c r="O38" s="243"/>
      <c r="P38" s="243"/>
      <c r="Q38" s="243"/>
      <c r="R38" s="243"/>
    </row>
    <row r="39" customFormat="false" ht="14.25" hidden="false" customHeight="false" outlineLevel="0" collapsed="false">
      <c r="A39" s="242" t="s">
        <v>825</v>
      </c>
      <c r="B39" s="243"/>
      <c r="C39" s="243"/>
      <c r="D39" s="243"/>
      <c r="E39" s="243"/>
      <c r="F39" s="243"/>
      <c r="G39" s="243"/>
      <c r="H39" s="244"/>
      <c r="I39" s="244"/>
      <c r="J39" s="244"/>
      <c r="K39" s="250" t="str">
        <f aca="false">IF(OR(H39="",I39="",J39=""),"",(H39+I39)/J39*100000)</f>
        <v/>
      </c>
      <c r="L39" s="245" t="str">
        <f aca="false">IF(K39="","",IF(MAX($K$13:$K$41)=0,0,K39/MAX($K$13:$K$41)*$C$7))</f>
        <v/>
      </c>
      <c r="M39" s="243"/>
      <c r="N39" s="243"/>
      <c r="O39" s="243"/>
      <c r="P39" s="243"/>
      <c r="Q39" s="243"/>
      <c r="R39" s="243"/>
    </row>
    <row r="40" customFormat="false" ht="14.25" hidden="false" customHeight="false" outlineLevel="0" collapsed="false">
      <c r="A40" s="242" t="s">
        <v>826</v>
      </c>
      <c r="B40" s="243"/>
      <c r="C40" s="243"/>
      <c r="D40" s="243"/>
      <c r="E40" s="243"/>
      <c r="F40" s="243"/>
      <c r="G40" s="243"/>
      <c r="H40" s="244"/>
      <c r="I40" s="244"/>
      <c r="J40" s="244"/>
      <c r="K40" s="250" t="str">
        <f aca="false">IF(OR(H40="",I40="",J40=""),"",(H40+I40)/J40*100000)</f>
        <v/>
      </c>
      <c r="L40" s="245" t="str">
        <f aca="false">IF(K40="","",IF(MAX($K$13:$K$41)=0,0,K40/MAX($K$13:$K$41)*$C$7))</f>
        <v/>
      </c>
      <c r="M40" s="243"/>
      <c r="N40" s="243"/>
      <c r="O40" s="243"/>
      <c r="P40" s="243"/>
      <c r="Q40" s="243"/>
      <c r="R40" s="243"/>
    </row>
    <row r="41" customFormat="false" ht="14.25" hidden="false" customHeight="false" outlineLevel="0" collapsed="false">
      <c r="A41" s="242" t="s">
        <v>827</v>
      </c>
      <c r="B41" s="243"/>
      <c r="C41" s="243"/>
      <c r="D41" s="243"/>
      <c r="E41" s="243"/>
      <c r="F41" s="243"/>
      <c r="G41" s="243"/>
      <c r="H41" s="244"/>
      <c r="I41" s="244"/>
      <c r="J41" s="244"/>
      <c r="K41" s="250" t="str">
        <f aca="false">IF(OR(H41="",I41="",J41=""),"",(H41+I41)/J41*100000)</f>
        <v/>
      </c>
      <c r="L41" s="245" t="str">
        <f aca="false">IF(K41="","",IF(MAX($K$13:$K$41)=0,0,K41/MAX($K$13:$K$41)*$C$7))</f>
        <v/>
      </c>
      <c r="M41" s="243"/>
      <c r="N41" s="243"/>
      <c r="O41" s="243"/>
      <c r="P41" s="243"/>
      <c r="Q41" s="243"/>
      <c r="R41" s="243"/>
    </row>
  </sheetData>
  <dataValidations count="2">
    <dataValidation allowBlank="true" error="Please enter a valid value (see note above the column)." errorStyle="stop" errorTitle="Invalid entry" operator="greaterThanOrEqual" showDropDown="false" showErrorMessage="true" showInputMessage="false" sqref="H13:I41" type="whole">
      <formula1>0</formula1>
      <formula2>0</formula2>
    </dataValidation>
    <dataValidation allowBlank="true" error="Please enter a valid value (see note above the column)." errorStyle="stop" errorTitle="Invalid entry" operator="greaterThanOrEqual" showDropDown="false" showErrorMessage="true" showInputMessage="false" sqref="J13:J41" type="whol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281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What proportion of the city's professional town-planning workforce is women?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Compute women town planners as a proportion of the total filled qualified town-planner positions across the ULG and, where applicable, the Development/Planning Authority staff attributable to the city, using the latest available staffing data.% women town planners = (Number of women town planners ÷ Total filled qualified town-planner positions) × 100Scoring bands:Score 5 — women constitute ≥33% of the professional town-planning workforceScore 2.5 — women constitute 15–32%Score 0 — women constitute &lt;15%</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Record, wherever available, the proportion of women among senior/decision-making town-planning positions.</v>
      </c>
      <c r="H10" s="237" t="s">
        <v>1327</v>
      </c>
    </row>
    <row r="11" customFormat="false" ht="28.5" hidden="false" customHeight="true" outlineLevel="0" collapsed="false">
      <c r="H11" s="238" t="s">
        <v>1328</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1329</v>
      </c>
      <c r="I12" s="239" t="s">
        <v>1103</v>
      </c>
      <c r="J12" s="241" t="s">
        <v>1104</v>
      </c>
      <c r="K12" s="241" t="s">
        <v>1330</v>
      </c>
    </row>
    <row r="13" customFormat="false" ht="14.25" hidden="false" customHeight="false" outlineLevel="0" collapsed="false">
      <c r="A13" s="242" t="s">
        <v>800</v>
      </c>
      <c r="B13" s="243"/>
      <c r="C13" s="243"/>
      <c r="D13" s="243"/>
      <c r="E13" s="243"/>
      <c r="F13" s="243"/>
      <c r="G13" s="243"/>
      <c r="H13" s="251"/>
      <c r="I13" s="245" t="str">
        <f aca="false">IF(H13="","",IF(H13&gt;=0.33,$C$7,IF(H13&gt;=0.15,$C$7/2,0)))</f>
        <v/>
      </c>
      <c r="J13" s="243"/>
      <c r="K13" s="243"/>
    </row>
    <row r="14" customFormat="false" ht="14.25" hidden="false" customHeight="false" outlineLevel="0" collapsed="false">
      <c r="A14" s="242" t="s">
        <v>801</v>
      </c>
      <c r="B14" s="243"/>
      <c r="C14" s="243"/>
      <c r="D14" s="243"/>
      <c r="E14" s="243"/>
      <c r="F14" s="243"/>
      <c r="G14" s="243"/>
      <c r="H14" s="251"/>
      <c r="I14" s="245" t="str">
        <f aca="false">IF(H14="","",IF(H14&gt;=0.33,$C$7,IF(H14&gt;=0.15,$C$7/2,0)))</f>
        <v/>
      </c>
      <c r="J14" s="243"/>
      <c r="K14" s="243"/>
    </row>
    <row r="15" customFormat="false" ht="14.25" hidden="false" customHeight="false" outlineLevel="0" collapsed="false">
      <c r="A15" s="242" t="s">
        <v>802</v>
      </c>
      <c r="B15" s="243"/>
      <c r="C15" s="243"/>
      <c r="D15" s="243"/>
      <c r="E15" s="243"/>
      <c r="F15" s="243"/>
      <c r="G15" s="243"/>
      <c r="H15" s="251"/>
      <c r="I15" s="245" t="str">
        <f aca="false">IF(H15="","",IF(H15&gt;=0.33,$C$7,IF(H15&gt;=0.15,$C$7/2,0)))</f>
        <v/>
      </c>
      <c r="J15" s="243"/>
      <c r="K15" s="243"/>
    </row>
    <row r="16" customFormat="false" ht="14.25" hidden="false" customHeight="false" outlineLevel="0" collapsed="false">
      <c r="A16" s="242" t="s">
        <v>803</v>
      </c>
      <c r="B16" s="243"/>
      <c r="C16" s="243"/>
      <c r="D16" s="243"/>
      <c r="E16" s="243"/>
      <c r="F16" s="243"/>
      <c r="G16" s="243"/>
      <c r="H16" s="251"/>
      <c r="I16" s="245" t="str">
        <f aca="false">IF(H16="","",IF(H16&gt;=0.33,$C$7,IF(H16&gt;=0.15,$C$7/2,0)))</f>
        <v/>
      </c>
      <c r="J16" s="243"/>
      <c r="K16" s="243"/>
    </row>
    <row r="17" customFormat="false" ht="14.25" hidden="false" customHeight="false" outlineLevel="0" collapsed="false">
      <c r="A17" s="242" t="s">
        <v>804</v>
      </c>
      <c r="B17" s="243"/>
      <c r="C17" s="243"/>
      <c r="D17" s="243"/>
      <c r="E17" s="243"/>
      <c r="F17" s="243"/>
      <c r="G17" s="243"/>
      <c r="H17" s="251"/>
      <c r="I17" s="245" t="str">
        <f aca="false">IF(H17="","",IF(H17&gt;=0.33,$C$7,IF(H17&gt;=0.15,$C$7/2,0)))</f>
        <v/>
      </c>
      <c r="J17" s="243"/>
      <c r="K17" s="243"/>
    </row>
    <row r="18" customFormat="false" ht="14.25" hidden="false" customHeight="false" outlineLevel="0" collapsed="false">
      <c r="A18" s="242" t="s">
        <v>805</v>
      </c>
      <c r="B18" s="243"/>
      <c r="C18" s="243"/>
      <c r="D18" s="243"/>
      <c r="E18" s="243"/>
      <c r="F18" s="243"/>
      <c r="G18" s="243"/>
      <c r="H18" s="251"/>
      <c r="I18" s="245" t="str">
        <f aca="false">IF(H18="","",IF(H18&gt;=0.33,$C$7,IF(H18&gt;=0.15,$C$7/2,0)))</f>
        <v/>
      </c>
      <c r="J18" s="243"/>
      <c r="K18" s="243"/>
    </row>
    <row r="19" customFormat="false" ht="14.25" hidden="false" customHeight="false" outlineLevel="0" collapsed="false">
      <c r="A19" s="242" t="s">
        <v>806</v>
      </c>
      <c r="B19" s="243"/>
      <c r="C19" s="243"/>
      <c r="D19" s="243"/>
      <c r="E19" s="243"/>
      <c r="F19" s="243"/>
      <c r="G19" s="243"/>
      <c r="H19" s="251"/>
      <c r="I19" s="245" t="str">
        <f aca="false">IF(H19="","",IF(H19&gt;=0.33,$C$7,IF(H19&gt;=0.15,$C$7/2,0)))</f>
        <v/>
      </c>
      <c r="J19" s="243"/>
      <c r="K19" s="243"/>
    </row>
    <row r="20" customFormat="false" ht="14.25" hidden="false" customHeight="false" outlineLevel="0" collapsed="false">
      <c r="A20" s="242" t="s">
        <v>807</v>
      </c>
      <c r="B20" s="243"/>
      <c r="C20" s="243"/>
      <c r="D20" s="243"/>
      <c r="E20" s="243"/>
      <c r="F20" s="243"/>
      <c r="G20" s="243"/>
      <c r="H20" s="251"/>
      <c r="I20" s="245" t="str">
        <f aca="false">IF(H20="","",IF(H20&gt;=0.33,$C$7,IF(H20&gt;=0.15,$C$7/2,0)))</f>
        <v/>
      </c>
      <c r="J20" s="243"/>
      <c r="K20" s="243"/>
    </row>
    <row r="21" customFormat="false" ht="14.25" hidden="false" customHeight="false" outlineLevel="0" collapsed="false">
      <c r="A21" s="242" t="s">
        <v>808</v>
      </c>
      <c r="B21" s="243"/>
      <c r="C21" s="243"/>
      <c r="D21" s="243"/>
      <c r="E21" s="243"/>
      <c r="F21" s="243"/>
      <c r="G21" s="243"/>
      <c r="H21" s="251"/>
      <c r="I21" s="245" t="str">
        <f aca="false">IF(H21="","",IF(H21&gt;=0.33,$C$7,IF(H21&gt;=0.15,$C$7/2,0)))</f>
        <v/>
      </c>
      <c r="J21" s="243"/>
      <c r="K21" s="243"/>
    </row>
    <row r="22" customFormat="false" ht="14.25" hidden="false" customHeight="false" outlineLevel="0" collapsed="false">
      <c r="A22" s="242" t="s">
        <v>809</v>
      </c>
      <c r="B22" s="243"/>
      <c r="C22" s="243"/>
      <c r="D22" s="243"/>
      <c r="E22" s="243"/>
      <c r="F22" s="243"/>
      <c r="G22" s="243"/>
      <c r="H22" s="251"/>
      <c r="I22" s="245" t="str">
        <f aca="false">IF(H22="","",IF(H22&gt;=0.33,$C$7,IF(H22&gt;=0.15,$C$7/2,0)))</f>
        <v/>
      </c>
      <c r="J22" s="243"/>
      <c r="K22" s="243"/>
    </row>
    <row r="23" customFormat="false" ht="14.25" hidden="false" customHeight="false" outlineLevel="0" collapsed="false">
      <c r="A23" s="242" t="s">
        <v>810</v>
      </c>
      <c r="B23" s="243"/>
      <c r="C23" s="243"/>
      <c r="D23" s="243"/>
      <c r="E23" s="243"/>
      <c r="F23" s="243"/>
      <c r="G23" s="243"/>
      <c r="H23" s="251"/>
      <c r="I23" s="245" t="str">
        <f aca="false">IF(H23="","",IF(H23&gt;=0.33,$C$7,IF(H23&gt;=0.15,$C$7/2,0)))</f>
        <v/>
      </c>
      <c r="J23" s="243"/>
      <c r="K23" s="243"/>
    </row>
    <row r="24" customFormat="false" ht="14.25" hidden="false" customHeight="false" outlineLevel="0" collapsed="false">
      <c r="A24" s="242" t="s">
        <v>811</v>
      </c>
      <c r="B24" s="243"/>
      <c r="C24" s="243"/>
      <c r="D24" s="243"/>
      <c r="E24" s="243"/>
      <c r="F24" s="243"/>
      <c r="G24" s="243"/>
      <c r="H24" s="251"/>
      <c r="I24" s="245" t="str">
        <f aca="false">IF(H24="","",IF(H24&gt;=0.33,$C$7,IF(H24&gt;=0.15,$C$7/2,0)))</f>
        <v/>
      </c>
      <c r="J24" s="243"/>
      <c r="K24" s="243"/>
    </row>
    <row r="25" customFormat="false" ht="14.25" hidden="false" customHeight="false" outlineLevel="0" collapsed="false">
      <c r="A25" s="242" t="s">
        <v>812</v>
      </c>
      <c r="B25" s="243"/>
      <c r="C25" s="243"/>
      <c r="D25" s="243"/>
      <c r="E25" s="243"/>
      <c r="F25" s="243"/>
      <c r="G25" s="243"/>
      <c r="H25" s="251"/>
      <c r="I25" s="245" t="str">
        <f aca="false">IF(H25="","",IF(H25&gt;=0.33,$C$7,IF(H25&gt;=0.15,$C$7/2,0)))</f>
        <v/>
      </c>
      <c r="J25" s="243"/>
      <c r="K25" s="243"/>
    </row>
    <row r="26" customFormat="false" ht="14.25" hidden="false" customHeight="false" outlineLevel="0" collapsed="false">
      <c r="A26" s="242" t="s">
        <v>813</v>
      </c>
      <c r="B26" s="243"/>
      <c r="C26" s="243"/>
      <c r="D26" s="243"/>
      <c r="E26" s="243"/>
      <c r="F26" s="243"/>
      <c r="G26" s="243"/>
      <c r="H26" s="251"/>
      <c r="I26" s="245" t="str">
        <f aca="false">IF(H26="","",IF(H26&gt;=0.33,$C$7,IF(H26&gt;=0.15,$C$7/2,0)))</f>
        <v/>
      </c>
      <c r="J26" s="243"/>
      <c r="K26" s="243"/>
    </row>
    <row r="27" customFormat="false" ht="14.25" hidden="false" customHeight="false" outlineLevel="0" collapsed="false">
      <c r="A27" s="242" t="s">
        <v>814</v>
      </c>
      <c r="B27" s="243"/>
      <c r="C27" s="243"/>
      <c r="D27" s="243"/>
      <c r="E27" s="243"/>
      <c r="F27" s="243"/>
      <c r="G27" s="243"/>
      <c r="H27" s="251"/>
      <c r="I27" s="245" t="str">
        <f aca="false">IF(H27="","",IF(H27&gt;=0.33,$C$7,IF(H27&gt;=0.15,$C$7/2,0)))</f>
        <v/>
      </c>
      <c r="J27" s="243"/>
      <c r="K27" s="243"/>
    </row>
    <row r="28" customFormat="false" ht="14.25" hidden="false" customHeight="false" outlineLevel="0" collapsed="false">
      <c r="A28" s="242" t="s">
        <v>815</v>
      </c>
      <c r="B28" s="243"/>
      <c r="C28" s="243"/>
      <c r="D28" s="243"/>
      <c r="E28" s="243"/>
      <c r="F28" s="243"/>
      <c r="G28" s="243"/>
      <c r="H28" s="251"/>
      <c r="I28" s="245" t="str">
        <f aca="false">IF(H28="","",IF(H28&gt;=0.33,$C$7,IF(H28&gt;=0.15,$C$7/2,0)))</f>
        <v/>
      </c>
      <c r="J28" s="243"/>
      <c r="K28" s="243"/>
    </row>
    <row r="29" customFormat="false" ht="14.25" hidden="false" customHeight="false" outlineLevel="0" collapsed="false">
      <c r="A29" s="242" t="s">
        <v>816</v>
      </c>
      <c r="B29" s="243"/>
      <c r="C29" s="243"/>
      <c r="D29" s="243"/>
      <c r="E29" s="243"/>
      <c r="F29" s="243"/>
      <c r="G29" s="243"/>
      <c r="H29" s="251"/>
      <c r="I29" s="245" t="str">
        <f aca="false">IF(H29="","",IF(H29&gt;=0.33,$C$7,IF(H29&gt;=0.15,$C$7/2,0)))</f>
        <v/>
      </c>
      <c r="J29" s="243"/>
      <c r="K29" s="243"/>
    </row>
    <row r="30" customFormat="false" ht="14.25" hidden="false" customHeight="false" outlineLevel="0" collapsed="false">
      <c r="A30" s="242" t="s">
        <v>817</v>
      </c>
      <c r="B30" s="243"/>
      <c r="C30" s="243"/>
      <c r="D30" s="243"/>
      <c r="E30" s="243"/>
      <c r="F30" s="243"/>
      <c r="G30" s="243"/>
      <c r="H30" s="251"/>
      <c r="I30" s="245" t="str">
        <f aca="false">IF(H30="","",IF(H30&gt;=0.33,$C$7,IF(H30&gt;=0.15,$C$7/2,0)))</f>
        <v/>
      </c>
      <c r="J30" s="243"/>
      <c r="K30" s="243"/>
    </row>
    <row r="31" customFormat="false" ht="14.25" hidden="false" customHeight="false" outlineLevel="0" collapsed="false">
      <c r="A31" s="242" t="s">
        <v>818</v>
      </c>
      <c r="B31" s="243"/>
      <c r="C31" s="243"/>
      <c r="D31" s="243"/>
      <c r="E31" s="243"/>
      <c r="F31" s="243"/>
      <c r="G31" s="243"/>
      <c r="H31" s="251"/>
      <c r="I31" s="245" t="str">
        <f aca="false">IF(H31="","",IF(H31&gt;=0.33,$C$7,IF(H31&gt;=0.15,$C$7/2,0)))</f>
        <v/>
      </c>
      <c r="J31" s="243"/>
      <c r="K31" s="243"/>
    </row>
    <row r="32" customFormat="false" ht="14.25" hidden="false" customHeight="false" outlineLevel="0" collapsed="false">
      <c r="A32" s="242" t="s">
        <v>819</v>
      </c>
      <c r="B32" s="243"/>
      <c r="C32" s="243"/>
      <c r="D32" s="243"/>
      <c r="E32" s="243"/>
      <c r="F32" s="243"/>
      <c r="G32" s="243"/>
      <c r="H32" s="251"/>
      <c r="I32" s="245" t="str">
        <f aca="false">IF(H32="","",IF(H32&gt;=0.33,$C$7,IF(H32&gt;=0.15,$C$7/2,0)))</f>
        <v/>
      </c>
      <c r="J32" s="243"/>
      <c r="K32" s="243"/>
    </row>
    <row r="33" customFormat="false" ht="35.05" hidden="false" customHeight="false" outlineLevel="0" collapsed="false">
      <c r="A33" s="242" t="s">
        <v>17</v>
      </c>
      <c r="B33" s="243" t="s">
        <v>238</v>
      </c>
      <c r="C33" s="243" t="s">
        <v>1331</v>
      </c>
      <c r="D33" s="243" t="s">
        <v>1332</v>
      </c>
      <c r="E33" s="243"/>
      <c r="F33" s="243" t="s">
        <v>1333</v>
      </c>
      <c r="G33" s="243" t="s">
        <v>239</v>
      </c>
      <c r="H33" s="251"/>
      <c r="I33" s="245" t="str">
        <f aca="false">IF(H33="","",IF(H33&gt;=0.33,$C$7,IF(H33&gt;=0.15,$C$7/2,0)))</f>
        <v/>
      </c>
      <c r="J33" s="246" t="s">
        <v>1334</v>
      </c>
      <c r="K33" s="243"/>
    </row>
    <row r="34" customFormat="false" ht="14.25" hidden="false" customHeight="false" outlineLevel="0" collapsed="false">
      <c r="A34" s="242" t="s">
        <v>820</v>
      </c>
      <c r="B34" s="243"/>
      <c r="C34" s="243"/>
      <c r="D34" s="243"/>
      <c r="E34" s="243"/>
      <c r="F34" s="243"/>
      <c r="G34" s="243"/>
      <c r="H34" s="251"/>
      <c r="I34" s="245" t="str">
        <f aca="false">IF(H34="","",IF(H34&gt;=0.33,$C$7,IF(H34&gt;=0.15,$C$7/2,0)))</f>
        <v/>
      </c>
      <c r="J34" s="243"/>
      <c r="K34" s="243"/>
    </row>
    <row r="35" customFormat="false" ht="14.25" hidden="false" customHeight="false" outlineLevel="0" collapsed="false">
      <c r="A35" s="242" t="s">
        <v>821</v>
      </c>
      <c r="B35" s="243"/>
      <c r="C35" s="243"/>
      <c r="D35" s="243"/>
      <c r="E35" s="243"/>
      <c r="F35" s="243"/>
      <c r="G35" s="243"/>
      <c r="H35" s="251"/>
      <c r="I35" s="245" t="str">
        <f aca="false">IF(H35="","",IF(H35&gt;=0.33,$C$7,IF(H35&gt;=0.15,$C$7/2,0)))</f>
        <v/>
      </c>
      <c r="J35" s="243"/>
      <c r="K35" s="243"/>
    </row>
    <row r="36" customFormat="false" ht="14.25" hidden="false" customHeight="false" outlineLevel="0" collapsed="false">
      <c r="A36" s="242" t="s">
        <v>822</v>
      </c>
      <c r="B36" s="243"/>
      <c r="C36" s="243"/>
      <c r="D36" s="243"/>
      <c r="E36" s="243"/>
      <c r="F36" s="243"/>
      <c r="G36" s="243"/>
      <c r="H36" s="251"/>
      <c r="I36" s="245" t="str">
        <f aca="false">IF(H36="","",IF(H36&gt;=0.33,$C$7,IF(H36&gt;=0.15,$C$7/2,0)))</f>
        <v/>
      </c>
      <c r="J36" s="243"/>
      <c r="K36" s="243"/>
    </row>
    <row r="37" customFormat="false" ht="14.25" hidden="false" customHeight="false" outlineLevel="0" collapsed="false">
      <c r="A37" s="242" t="s">
        <v>823</v>
      </c>
      <c r="B37" s="243"/>
      <c r="C37" s="243"/>
      <c r="D37" s="243"/>
      <c r="E37" s="243"/>
      <c r="F37" s="243"/>
      <c r="G37" s="243"/>
      <c r="H37" s="251"/>
      <c r="I37" s="245" t="str">
        <f aca="false">IF(H37="","",IF(H37&gt;=0.33,$C$7,IF(H37&gt;=0.15,$C$7/2,0)))</f>
        <v/>
      </c>
      <c r="J37" s="243"/>
      <c r="K37" s="243"/>
    </row>
    <row r="38" customFormat="false" ht="14.25" hidden="false" customHeight="false" outlineLevel="0" collapsed="false">
      <c r="A38" s="242" t="s">
        <v>824</v>
      </c>
      <c r="B38" s="243"/>
      <c r="C38" s="243"/>
      <c r="D38" s="243"/>
      <c r="E38" s="243"/>
      <c r="F38" s="243"/>
      <c r="G38" s="243"/>
      <c r="H38" s="251"/>
      <c r="I38" s="245" t="str">
        <f aca="false">IF(H38="","",IF(H38&gt;=0.33,$C$7,IF(H38&gt;=0.15,$C$7/2,0)))</f>
        <v/>
      </c>
      <c r="J38" s="243"/>
      <c r="K38" s="243"/>
    </row>
    <row r="39" customFormat="false" ht="14.25" hidden="false" customHeight="false" outlineLevel="0" collapsed="false">
      <c r="A39" s="242" t="s">
        <v>825</v>
      </c>
      <c r="B39" s="243"/>
      <c r="C39" s="243"/>
      <c r="D39" s="243"/>
      <c r="E39" s="243"/>
      <c r="F39" s="243"/>
      <c r="G39" s="243"/>
      <c r="H39" s="251"/>
      <c r="I39" s="245" t="str">
        <f aca="false">IF(H39="","",IF(H39&gt;=0.33,$C$7,IF(H39&gt;=0.15,$C$7/2,0)))</f>
        <v/>
      </c>
      <c r="J39" s="243"/>
      <c r="K39" s="243"/>
    </row>
    <row r="40" customFormat="false" ht="14.25" hidden="false" customHeight="false" outlineLevel="0" collapsed="false">
      <c r="A40" s="242" t="s">
        <v>826</v>
      </c>
      <c r="B40" s="243"/>
      <c r="C40" s="243"/>
      <c r="D40" s="243"/>
      <c r="E40" s="243"/>
      <c r="F40" s="243"/>
      <c r="G40" s="243"/>
      <c r="H40" s="251"/>
      <c r="I40" s="245" t="str">
        <f aca="false">IF(H40="","",IF(H40&gt;=0.33,$C$7,IF(H40&gt;=0.15,$C$7/2,0)))</f>
        <v/>
      </c>
      <c r="J40" s="243"/>
      <c r="K40" s="243"/>
    </row>
    <row r="41" customFormat="false" ht="14.25" hidden="false" customHeight="false" outlineLevel="0" collapsed="false">
      <c r="A41" s="242" t="s">
        <v>827</v>
      </c>
      <c r="B41" s="243"/>
      <c r="C41" s="243"/>
      <c r="D41" s="243"/>
      <c r="E41" s="243"/>
      <c r="F41" s="243"/>
      <c r="G41" s="243"/>
      <c r="H41" s="251"/>
      <c r="I41" s="245" t="str">
        <f aca="false">IF(H41="","",IF(H41&gt;=0.33,$C$7,IF(H41&gt;=0.15,$C$7/2,0)))</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287</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Urban design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Urban Design Cell?</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36" t="n">
        <f aca="false">VLOOKUP($B$1,'UPD Questions_290926 '!$E$1:$N$300,MATCH($A$7,'UPD Questions_290926 '!$E$1:$N$1,0),0)</f>
        <v>2.5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69.4" hidden="false" customHeight="false" outlineLevel="0" collapsed="false">
      <c r="A33" s="242" t="s">
        <v>17</v>
      </c>
      <c r="B33" s="243" t="s">
        <v>291</v>
      </c>
      <c r="C33" s="243" t="s">
        <v>1335</v>
      </c>
      <c r="D33" s="243" t="s">
        <v>1336</v>
      </c>
      <c r="E33" s="243" t="s">
        <v>1337</v>
      </c>
      <c r="F33" s="243" t="s">
        <v>423</v>
      </c>
      <c r="G33" s="243" t="s">
        <v>292</v>
      </c>
      <c r="H33" s="244"/>
      <c r="I33" s="245" t="str">
        <f aca="false">IF(H33="YES",$C$7,IF(H33="NO",0,""))</f>
        <v/>
      </c>
      <c r="J33" s="246" t="s">
        <v>1338</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295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Climate</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Climate Action/Sustainability/Disaster Management Cell?</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36" t="n">
        <f aca="false">VLOOKUP($B$1,'UPD Questions_290926 '!$E$1:$N$300,MATCH($A$7,'UPD Questions_290926 '!$E$1:$N$1,0),0)</f>
        <v>2.5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3.85" hidden="false" customHeight="false" outlineLevel="0" collapsed="false">
      <c r="A33" s="242" t="s">
        <v>17</v>
      </c>
      <c r="B33" s="243" t="s">
        <v>291</v>
      </c>
      <c r="C33" s="243" t="s">
        <v>1335</v>
      </c>
      <c r="D33" s="243" t="s">
        <v>1339</v>
      </c>
      <c r="E33" s="243" t="s">
        <v>1340</v>
      </c>
      <c r="F33" s="243" t="s">
        <v>423</v>
      </c>
      <c r="G33" s="243" t="s">
        <v>292</v>
      </c>
      <c r="H33" s="244" t="s">
        <v>1111</v>
      </c>
      <c r="I33" s="245" t="n">
        <f aca="false">IF(H33="YES",$C$7,IF(H33="NO",0,""))</f>
        <v>2.5</v>
      </c>
      <c r="J33" s="246" t="s">
        <v>1341</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300</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Economic development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Economic Develepment Cell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36" t="n">
        <f aca="false">VLOOKUP($B$1,'UPD Questions_290926 '!$E$1:$N$300,MATCH($A$7,'UPD Questions_290926 '!$E$1:$N$1,0),0)</f>
        <v>2.5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1342</v>
      </c>
    </row>
    <row r="11" customFormat="false" ht="28.5" hidden="false" customHeight="true" outlineLevel="0" collapsed="false">
      <c r="H11" s="238" t="s">
        <v>1153</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IF(H13="NA","NA",IF(H13="YES",$C$7,IF(H13="NO",0,"")))</f>
        <v/>
      </c>
      <c r="J13" s="243"/>
    </row>
    <row r="14" customFormat="false" ht="14.25" hidden="false" customHeight="false" outlineLevel="0" collapsed="false">
      <c r="A14" s="242" t="s">
        <v>801</v>
      </c>
      <c r="B14" s="243"/>
      <c r="C14" s="243"/>
      <c r="D14" s="243"/>
      <c r="E14" s="243"/>
      <c r="F14" s="243"/>
      <c r="G14" s="243"/>
      <c r="H14" s="244"/>
      <c r="I14" s="245" t="str">
        <f aca="false">IF(H14="NA","NA",IF(H14="YES",$C$7,IF(H14="NO",0,"")))</f>
        <v/>
      </c>
      <c r="J14" s="243"/>
    </row>
    <row r="15" customFormat="false" ht="14.25" hidden="false" customHeight="false" outlineLevel="0" collapsed="false">
      <c r="A15" s="242" t="s">
        <v>802</v>
      </c>
      <c r="B15" s="243"/>
      <c r="C15" s="243"/>
      <c r="D15" s="243"/>
      <c r="E15" s="243"/>
      <c r="F15" s="243"/>
      <c r="G15" s="243"/>
      <c r="H15" s="244"/>
      <c r="I15" s="245" t="str">
        <f aca="false">IF(H15="NA","NA",IF(H15="YES",$C$7,IF(H15="NO",0,"")))</f>
        <v/>
      </c>
      <c r="J15" s="243"/>
    </row>
    <row r="16" customFormat="false" ht="14.25" hidden="false" customHeight="false" outlineLevel="0" collapsed="false">
      <c r="A16" s="242" t="s">
        <v>803</v>
      </c>
      <c r="B16" s="243"/>
      <c r="C16" s="243"/>
      <c r="D16" s="243"/>
      <c r="E16" s="243"/>
      <c r="F16" s="243"/>
      <c r="G16" s="243"/>
      <c r="H16" s="244"/>
      <c r="I16" s="245" t="str">
        <f aca="false">IF(H16="NA","NA",IF(H16="YES",$C$7,IF(H16="NO",0,"")))</f>
        <v/>
      </c>
      <c r="J16" s="243"/>
    </row>
    <row r="17" customFormat="false" ht="14.25" hidden="false" customHeight="false" outlineLevel="0" collapsed="false">
      <c r="A17" s="242" t="s">
        <v>804</v>
      </c>
      <c r="B17" s="243"/>
      <c r="C17" s="243"/>
      <c r="D17" s="243"/>
      <c r="E17" s="243"/>
      <c r="F17" s="243"/>
      <c r="G17" s="243"/>
      <c r="H17" s="244"/>
      <c r="I17" s="245" t="str">
        <f aca="false">IF(H17="NA","NA",IF(H17="YES",$C$7,IF(H17="NO",0,"")))</f>
        <v/>
      </c>
      <c r="J17" s="243"/>
    </row>
    <row r="18" customFormat="false" ht="14.25" hidden="false" customHeight="false" outlineLevel="0" collapsed="false">
      <c r="A18" s="242" t="s">
        <v>805</v>
      </c>
      <c r="B18" s="243"/>
      <c r="C18" s="243"/>
      <c r="D18" s="243"/>
      <c r="E18" s="243"/>
      <c r="F18" s="243"/>
      <c r="G18" s="243"/>
      <c r="H18" s="244"/>
      <c r="I18" s="245" t="str">
        <f aca="false">IF(H18="NA","NA",IF(H18="YES",$C$7,IF(H18="NO",0,"")))</f>
        <v/>
      </c>
      <c r="J18" s="243"/>
    </row>
    <row r="19" customFormat="false" ht="14.25" hidden="false" customHeight="false" outlineLevel="0" collapsed="false">
      <c r="A19" s="242" t="s">
        <v>806</v>
      </c>
      <c r="B19" s="243"/>
      <c r="C19" s="243"/>
      <c r="D19" s="243"/>
      <c r="E19" s="243"/>
      <c r="F19" s="243"/>
      <c r="G19" s="243"/>
      <c r="H19" s="244"/>
      <c r="I19" s="245" t="str">
        <f aca="false">IF(H19="NA","NA",IF(H19="YES",$C$7,IF(H19="NO",0,"")))</f>
        <v/>
      </c>
      <c r="J19" s="243"/>
    </row>
    <row r="20" customFormat="false" ht="14.25" hidden="false" customHeight="false" outlineLevel="0" collapsed="false">
      <c r="A20" s="242" t="s">
        <v>807</v>
      </c>
      <c r="B20" s="243"/>
      <c r="C20" s="243"/>
      <c r="D20" s="243"/>
      <c r="E20" s="243"/>
      <c r="F20" s="243"/>
      <c r="G20" s="243"/>
      <c r="H20" s="244"/>
      <c r="I20" s="245" t="str">
        <f aca="false">IF(H20="NA","NA",IF(H20="YES",$C$7,IF(H20="NO",0,"")))</f>
        <v/>
      </c>
      <c r="J20" s="243"/>
    </row>
    <row r="21" customFormat="false" ht="14.25" hidden="false" customHeight="false" outlineLevel="0" collapsed="false">
      <c r="A21" s="242" t="s">
        <v>808</v>
      </c>
      <c r="B21" s="243"/>
      <c r="C21" s="243"/>
      <c r="D21" s="243"/>
      <c r="E21" s="243"/>
      <c r="F21" s="243"/>
      <c r="G21" s="243"/>
      <c r="H21" s="244"/>
      <c r="I21" s="245" t="str">
        <f aca="false">IF(H21="NA","NA",IF(H21="YES",$C$7,IF(H21="NO",0,"")))</f>
        <v/>
      </c>
      <c r="J21" s="243"/>
    </row>
    <row r="22" customFormat="false" ht="14.25" hidden="false" customHeight="false" outlineLevel="0" collapsed="false">
      <c r="A22" s="242" t="s">
        <v>809</v>
      </c>
      <c r="B22" s="243"/>
      <c r="C22" s="243"/>
      <c r="D22" s="243"/>
      <c r="E22" s="243"/>
      <c r="F22" s="243"/>
      <c r="G22" s="243"/>
      <c r="H22" s="244"/>
      <c r="I22" s="245" t="str">
        <f aca="false">IF(H22="NA","NA",IF(H22="YES",$C$7,IF(H22="NO",0,"")))</f>
        <v/>
      </c>
      <c r="J22" s="243"/>
    </row>
    <row r="23" customFormat="false" ht="14.25" hidden="false" customHeight="false" outlineLevel="0" collapsed="false">
      <c r="A23" s="242" t="s">
        <v>810</v>
      </c>
      <c r="B23" s="243"/>
      <c r="C23" s="243"/>
      <c r="D23" s="243"/>
      <c r="E23" s="243"/>
      <c r="F23" s="243"/>
      <c r="G23" s="243"/>
      <c r="H23" s="244"/>
      <c r="I23" s="245" t="str">
        <f aca="false">IF(H23="NA","NA",IF(H23="YES",$C$7,IF(H23="NO",0,"")))</f>
        <v/>
      </c>
      <c r="J23" s="243"/>
    </row>
    <row r="24" customFormat="false" ht="14.25" hidden="false" customHeight="false" outlineLevel="0" collapsed="false">
      <c r="A24" s="242" t="s">
        <v>811</v>
      </c>
      <c r="B24" s="243"/>
      <c r="C24" s="243"/>
      <c r="D24" s="243"/>
      <c r="E24" s="243"/>
      <c r="F24" s="243"/>
      <c r="G24" s="243"/>
      <c r="H24" s="244"/>
      <c r="I24" s="245" t="str">
        <f aca="false">IF(H24="NA","NA",IF(H24="YES",$C$7,IF(H24="NO",0,"")))</f>
        <v/>
      </c>
      <c r="J24" s="243"/>
    </row>
    <row r="25" customFormat="false" ht="14.25" hidden="false" customHeight="false" outlineLevel="0" collapsed="false">
      <c r="A25" s="242" t="s">
        <v>812</v>
      </c>
      <c r="B25" s="243"/>
      <c r="C25" s="243"/>
      <c r="D25" s="243"/>
      <c r="E25" s="243"/>
      <c r="F25" s="243"/>
      <c r="G25" s="243"/>
      <c r="H25" s="244"/>
      <c r="I25" s="245" t="str">
        <f aca="false">IF(H25="NA","NA",IF(H25="YES",$C$7,IF(H25="NO",0,"")))</f>
        <v/>
      </c>
      <c r="J25" s="243"/>
    </row>
    <row r="26" customFormat="false" ht="14.25" hidden="false" customHeight="false" outlineLevel="0" collapsed="false">
      <c r="A26" s="242" t="s">
        <v>813</v>
      </c>
      <c r="B26" s="243"/>
      <c r="C26" s="243"/>
      <c r="D26" s="243"/>
      <c r="E26" s="243"/>
      <c r="F26" s="243"/>
      <c r="G26" s="243"/>
      <c r="H26" s="244"/>
      <c r="I26" s="245" t="str">
        <f aca="false">IF(H26="NA","NA",IF(H26="YES",$C$7,IF(H26="NO",0,"")))</f>
        <v/>
      </c>
      <c r="J26" s="243"/>
    </row>
    <row r="27" customFormat="false" ht="14.25" hidden="false" customHeight="false" outlineLevel="0" collapsed="false">
      <c r="A27" s="242" t="s">
        <v>814</v>
      </c>
      <c r="B27" s="243"/>
      <c r="C27" s="243"/>
      <c r="D27" s="243"/>
      <c r="E27" s="243"/>
      <c r="F27" s="243"/>
      <c r="G27" s="243"/>
      <c r="H27" s="244"/>
      <c r="I27" s="245" t="str">
        <f aca="false">IF(H27="NA","NA",IF(H27="YES",$C$7,IF(H27="NO",0,"")))</f>
        <v/>
      </c>
      <c r="J27" s="243"/>
    </row>
    <row r="28" customFormat="false" ht="14.25" hidden="false" customHeight="false" outlineLevel="0" collapsed="false">
      <c r="A28" s="242" t="s">
        <v>815</v>
      </c>
      <c r="B28" s="243"/>
      <c r="C28" s="243"/>
      <c r="D28" s="243"/>
      <c r="E28" s="243"/>
      <c r="F28" s="243"/>
      <c r="G28" s="243"/>
      <c r="H28" s="244"/>
      <c r="I28" s="245" t="str">
        <f aca="false">IF(H28="NA","NA",IF(H28="YES",$C$7,IF(H28="NO",0,"")))</f>
        <v/>
      </c>
      <c r="J28" s="243"/>
    </row>
    <row r="29" customFormat="false" ht="14.25" hidden="false" customHeight="false" outlineLevel="0" collapsed="false">
      <c r="A29" s="242" t="s">
        <v>816</v>
      </c>
      <c r="B29" s="243"/>
      <c r="C29" s="243"/>
      <c r="D29" s="243"/>
      <c r="E29" s="243"/>
      <c r="F29" s="243"/>
      <c r="G29" s="243"/>
      <c r="H29" s="244"/>
      <c r="I29" s="245" t="str">
        <f aca="false">IF(H29="NA","NA",IF(H29="YES",$C$7,IF(H29="NO",0,"")))</f>
        <v/>
      </c>
      <c r="J29" s="243"/>
    </row>
    <row r="30" customFormat="false" ht="14.25" hidden="false" customHeight="false" outlineLevel="0" collapsed="false">
      <c r="A30" s="242" t="s">
        <v>817</v>
      </c>
      <c r="B30" s="243"/>
      <c r="C30" s="243"/>
      <c r="D30" s="243"/>
      <c r="E30" s="243"/>
      <c r="F30" s="243"/>
      <c r="G30" s="243"/>
      <c r="H30" s="244"/>
      <c r="I30" s="245" t="str">
        <f aca="false">IF(H30="NA","NA",IF(H30="YES",$C$7,IF(H30="NO",0,"")))</f>
        <v/>
      </c>
      <c r="J30" s="243"/>
    </row>
    <row r="31" customFormat="false" ht="14.25" hidden="false" customHeight="false" outlineLevel="0" collapsed="false">
      <c r="A31" s="242" t="s">
        <v>818</v>
      </c>
      <c r="B31" s="243"/>
      <c r="C31" s="243"/>
      <c r="D31" s="243"/>
      <c r="E31" s="243"/>
      <c r="F31" s="243"/>
      <c r="G31" s="243"/>
      <c r="H31" s="244"/>
      <c r="I31" s="245" t="str">
        <f aca="false">IF(H31="NA","NA",IF(H31="YES",$C$7,IF(H31="NO",0,"")))</f>
        <v/>
      </c>
      <c r="J31" s="243"/>
    </row>
    <row r="32" customFormat="false" ht="14.25" hidden="false" customHeight="false" outlineLevel="0" collapsed="false">
      <c r="A32" s="242" t="s">
        <v>819</v>
      </c>
      <c r="B32" s="243"/>
      <c r="C32" s="243"/>
      <c r="D32" s="243"/>
      <c r="E32" s="243"/>
      <c r="F32" s="243"/>
      <c r="G32" s="243"/>
      <c r="H32" s="244"/>
      <c r="I32" s="245" t="str">
        <f aca="false">IF(H32="NA","NA",IF(H32="YES",$C$7,IF(H32="NO",0,"")))</f>
        <v/>
      </c>
      <c r="J32" s="243"/>
    </row>
    <row r="33" customFormat="false" ht="14.25" hidden="false" customHeight="false" outlineLevel="0" collapsed="false">
      <c r="A33" s="242" t="s">
        <v>17</v>
      </c>
      <c r="B33" s="243" t="s">
        <v>291</v>
      </c>
      <c r="C33" s="243"/>
      <c r="D33" s="243" t="s">
        <v>1343</v>
      </c>
      <c r="E33" s="243" t="s">
        <v>1344</v>
      </c>
      <c r="F33" s="243" t="s">
        <v>423</v>
      </c>
      <c r="G33" s="243" t="s">
        <v>292</v>
      </c>
      <c r="H33" s="244"/>
      <c r="I33" s="245" t="str">
        <f aca="false">IF(H33="NA","NA",IF(H33="YES",$C$7,IF(H33="NO",0,"")))</f>
        <v/>
      </c>
      <c r="J33" s="243" t="s">
        <v>1345</v>
      </c>
    </row>
    <row r="34" customFormat="false" ht="14.25" hidden="false" customHeight="false" outlineLevel="0" collapsed="false">
      <c r="A34" s="242" t="s">
        <v>820</v>
      </c>
      <c r="B34" s="243"/>
      <c r="C34" s="243"/>
      <c r="D34" s="243"/>
      <c r="E34" s="243"/>
      <c r="F34" s="243"/>
      <c r="G34" s="243"/>
      <c r="H34" s="244"/>
      <c r="I34" s="245" t="str">
        <f aca="false">IF(H34="NA","NA",IF(H34="YES",$C$7,IF(H34="NO",0,"")))</f>
        <v/>
      </c>
      <c r="J34" s="243"/>
    </row>
    <row r="35" customFormat="false" ht="14.25" hidden="false" customHeight="false" outlineLevel="0" collapsed="false">
      <c r="A35" s="242" t="s">
        <v>821</v>
      </c>
      <c r="B35" s="243"/>
      <c r="C35" s="243"/>
      <c r="D35" s="243"/>
      <c r="E35" s="243"/>
      <c r="F35" s="243"/>
      <c r="G35" s="243"/>
      <c r="H35" s="244"/>
      <c r="I35" s="245" t="str">
        <f aca="false">IF(H35="NA","NA",IF(H35="YES",$C$7,IF(H35="NO",0,"")))</f>
        <v/>
      </c>
      <c r="J35" s="243"/>
    </row>
    <row r="36" customFormat="false" ht="14.25" hidden="false" customHeight="false" outlineLevel="0" collapsed="false">
      <c r="A36" s="242" t="s">
        <v>822</v>
      </c>
      <c r="B36" s="243"/>
      <c r="C36" s="243"/>
      <c r="D36" s="243"/>
      <c r="E36" s="243"/>
      <c r="F36" s="243"/>
      <c r="G36" s="243"/>
      <c r="H36" s="244"/>
      <c r="I36" s="245" t="str">
        <f aca="false">IF(H36="NA","NA",IF(H36="YES",$C$7,IF(H36="NO",0,"")))</f>
        <v/>
      </c>
      <c r="J36" s="243"/>
    </row>
    <row r="37" customFormat="false" ht="14.25" hidden="false" customHeight="false" outlineLevel="0" collapsed="false">
      <c r="A37" s="242" t="s">
        <v>823</v>
      </c>
      <c r="B37" s="243"/>
      <c r="C37" s="243"/>
      <c r="D37" s="243"/>
      <c r="E37" s="243"/>
      <c r="F37" s="243"/>
      <c r="G37" s="243"/>
      <c r="H37" s="244"/>
      <c r="I37" s="245" t="str">
        <f aca="false">IF(H37="NA","NA",IF(H37="YES",$C$7,IF(H37="NO",0,"")))</f>
        <v/>
      </c>
      <c r="J37" s="243"/>
    </row>
    <row r="38" customFormat="false" ht="14.25" hidden="false" customHeight="false" outlineLevel="0" collapsed="false">
      <c r="A38" s="242" t="s">
        <v>824</v>
      </c>
      <c r="B38" s="243"/>
      <c r="C38" s="243"/>
      <c r="D38" s="243"/>
      <c r="E38" s="243"/>
      <c r="F38" s="243"/>
      <c r="G38" s="243"/>
      <c r="H38" s="244"/>
      <c r="I38" s="245" t="str">
        <f aca="false">IF(H38="NA","NA",IF(H38="YES",$C$7,IF(H38="NO",0,"")))</f>
        <v/>
      </c>
      <c r="J38" s="243"/>
    </row>
    <row r="39" customFormat="false" ht="14.25" hidden="false" customHeight="false" outlineLevel="0" collapsed="false">
      <c r="A39" s="242" t="s">
        <v>825</v>
      </c>
      <c r="B39" s="243"/>
      <c r="C39" s="243"/>
      <c r="D39" s="243"/>
      <c r="E39" s="243"/>
      <c r="F39" s="243"/>
      <c r="G39" s="243"/>
      <c r="H39" s="244"/>
      <c r="I39" s="245" t="str">
        <f aca="false">IF(H39="NA","NA",IF(H39="YES",$C$7,IF(H39="NO",0,"")))</f>
        <v/>
      </c>
      <c r="J39" s="243"/>
    </row>
    <row r="40" customFormat="false" ht="14.25" hidden="false" customHeight="false" outlineLevel="0" collapsed="false">
      <c r="A40" s="242" t="s">
        <v>826</v>
      </c>
      <c r="B40" s="243"/>
      <c r="C40" s="243"/>
      <c r="D40" s="243"/>
      <c r="E40" s="243"/>
      <c r="F40" s="243"/>
      <c r="G40" s="243"/>
      <c r="H40" s="244"/>
      <c r="I40" s="245" t="str">
        <f aca="false">IF(H40="NA","NA",IF(H40="YES",$C$7,IF(H40="NO",0,"")))</f>
        <v/>
      </c>
      <c r="J40" s="243"/>
    </row>
    <row r="41" customFormat="false" ht="14.25" hidden="false" customHeight="false" outlineLevel="0" collapsed="false">
      <c r="A41" s="242" t="s">
        <v>827</v>
      </c>
      <c r="B41" s="243"/>
      <c r="C41" s="243"/>
      <c r="D41" s="243"/>
      <c r="E41" s="243"/>
      <c r="F41" s="243"/>
      <c r="G41" s="243"/>
      <c r="H41" s="244"/>
      <c r="I41" s="245" t="str">
        <f aca="false">IF(H41="NA","NA",IF(H41="YES",$C$7,IF(H41="NO",0,"")))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305</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Women's welfare or development</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dedicated Women's Welfare/Development Cell?</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36" t="n">
        <f aca="false">VLOOKUP($B$1,'UPD Questions_290926 '!$E$1:$N$300,MATCH($A$7,'UPD Questions_290926 '!$E$1:$N$1,0),0)</f>
        <v>2.5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1342</v>
      </c>
    </row>
    <row r="11" customFormat="false" ht="28.5" hidden="false" customHeight="true" outlineLevel="0" collapsed="false">
      <c r="H11" s="238" t="s">
        <v>1153</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IF(H13="NA","NA",IF(H13="YES",$C$7,IF(H13="NO",0,"")))</f>
        <v/>
      </c>
      <c r="J13" s="243"/>
    </row>
    <row r="14" customFormat="false" ht="14.25" hidden="false" customHeight="false" outlineLevel="0" collapsed="false">
      <c r="A14" s="242" t="s">
        <v>801</v>
      </c>
      <c r="B14" s="243"/>
      <c r="C14" s="243"/>
      <c r="D14" s="243"/>
      <c r="E14" s="243"/>
      <c r="F14" s="243"/>
      <c r="G14" s="243"/>
      <c r="H14" s="244"/>
      <c r="I14" s="245" t="str">
        <f aca="false">IF(H14="NA","NA",IF(H14="YES",$C$7,IF(H14="NO",0,"")))</f>
        <v/>
      </c>
      <c r="J14" s="243"/>
    </row>
    <row r="15" customFormat="false" ht="14.25" hidden="false" customHeight="false" outlineLevel="0" collapsed="false">
      <c r="A15" s="242" t="s">
        <v>802</v>
      </c>
      <c r="B15" s="243"/>
      <c r="C15" s="243"/>
      <c r="D15" s="243"/>
      <c r="E15" s="243"/>
      <c r="F15" s="243"/>
      <c r="G15" s="243"/>
      <c r="H15" s="244"/>
      <c r="I15" s="245" t="str">
        <f aca="false">IF(H15="NA","NA",IF(H15="YES",$C$7,IF(H15="NO",0,"")))</f>
        <v/>
      </c>
      <c r="J15" s="243"/>
    </row>
    <row r="16" customFormat="false" ht="14.25" hidden="false" customHeight="false" outlineLevel="0" collapsed="false">
      <c r="A16" s="242" t="s">
        <v>803</v>
      </c>
      <c r="B16" s="243"/>
      <c r="C16" s="243"/>
      <c r="D16" s="243"/>
      <c r="E16" s="243"/>
      <c r="F16" s="243"/>
      <c r="G16" s="243"/>
      <c r="H16" s="244"/>
      <c r="I16" s="245" t="str">
        <f aca="false">IF(H16="NA","NA",IF(H16="YES",$C$7,IF(H16="NO",0,"")))</f>
        <v/>
      </c>
      <c r="J16" s="243"/>
    </row>
    <row r="17" customFormat="false" ht="14.25" hidden="false" customHeight="false" outlineLevel="0" collapsed="false">
      <c r="A17" s="242" t="s">
        <v>804</v>
      </c>
      <c r="B17" s="243"/>
      <c r="C17" s="243"/>
      <c r="D17" s="243"/>
      <c r="E17" s="243"/>
      <c r="F17" s="243"/>
      <c r="G17" s="243"/>
      <c r="H17" s="244"/>
      <c r="I17" s="245" t="str">
        <f aca="false">IF(H17="NA","NA",IF(H17="YES",$C$7,IF(H17="NO",0,"")))</f>
        <v/>
      </c>
      <c r="J17" s="243"/>
    </row>
    <row r="18" customFormat="false" ht="14.25" hidden="false" customHeight="false" outlineLevel="0" collapsed="false">
      <c r="A18" s="242" t="s">
        <v>805</v>
      </c>
      <c r="B18" s="243"/>
      <c r="C18" s="243"/>
      <c r="D18" s="243"/>
      <c r="E18" s="243"/>
      <c r="F18" s="243"/>
      <c r="G18" s="243"/>
      <c r="H18" s="244"/>
      <c r="I18" s="245" t="str">
        <f aca="false">IF(H18="NA","NA",IF(H18="YES",$C$7,IF(H18="NO",0,"")))</f>
        <v/>
      </c>
      <c r="J18" s="243"/>
    </row>
    <row r="19" customFormat="false" ht="14.25" hidden="false" customHeight="false" outlineLevel="0" collapsed="false">
      <c r="A19" s="242" t="s">
        <v>806</v>
      </c>
      <c r="B19" s="243"/>
      <c r="C19" s="243"/>
      <c r="D19" s="243"/>
      <c r="E19" s="243"/>
      <c r="F19" s="243"/>
      <c r="G19" s="243"/>
      <c r="H19" s="244"/>
      <c r="I19" s="245" t="str">
        <f aca="false">IF(H19="NA","NA",IF(H19="YES",$C$7,IF(H19="NO",0,"")))</f>
        <v/>
      </c>
      <c r="J19" s="243"/>
    </row>
    <row r="20" customFormat="false" ht="14.25" hidden="false" customHeight="false" outlineLevel="0" collapsed="false">
      <c r="A20" s="242" t="s">
        <v>807</v>
      </c>
      <c r="B20" s="243"/>
      <c r="C20" s="243"/>
      <c r="D20" s="243"/>
      <c r="E20" s="243"/>
      <c r="F20" s="243"/>
      <c r="G20" s="243"/>
      <c r="H20" s="244"/>
      <c r="I20" s="245" t="str">
        <f aca="false">IF(H20="NA","NA",IF(H20="YES",$C$7,IF(H20="NO",0,"")))</f>
        <v/>
      </c>
      <c r="J20" s="243"/>
    </row>
    <row r="21" customFormat="false" ht="14.25" hidden="false" customHeight="false" outlineLevel="0" collapsed="false">
      <c r="A21" s="242" t="s">
        <v>808</v>
      </c>
      <c r="B21" s="243"/>
      <c r="C21" s="243"/>
      <c r="D21" s="243"/>
      <c r="E21" s="243"/>
      <c r="F21" s="243"/>
      <c r="G21" s="243"/>
      <c r="H21" s="244"/>
      <c r="I21" s="245" t="str">
        <f aca="false">IF(H21="NA","NA",IF(H21="YES",$C$7,IF(H21="NO",0,"")))</f>
        <v/>
      </c>
      <c r="J21" s="243"/>
    </row>
    <row r="22" customFormat="false" ht="14.25" hidden="false" customHeight="false" outlineLevel="0" collapsed="false">
      <c r="A22" s="242" t="s">
        <v>809</v>
      </c>
      <c r="B22" s="243"/>
      <c r="C22" s="243"/>
      <c r="D22" s="243"/>
      <c r="E22" s="243"/>
      <c r="F22" s="243"/>
      <c r="G22" s="243"/>
      <c r="H22" s="244"/>
      <c r="I22" s="245" t="str">
        <f aca="false">IF(H22="NA","NA",IF(H22="YES",$C$7,IF(H22="NO",0,"")))</f>
        <v/>
      </c>
      <c r="J22" s="243"/>
    </row>
    <row r="23" customFormat="false" ht="14.25" hidden="false" customHeight="false" outlineLevel="0" collapsed="false">
      <c r="A23" s="242" t="s">
        <v>810</v>
      </c>
      <c r="B23" s="243"/>
      <c r="C23" s="243"/>
      <c r="D23" s="243"/>
      <c r="E23" s="243"/>
      <c r="F23" s="243"/>
      <c r="G23" s="243"/>
      <c r="H23" s="244"/>
      <c r="I23" s="245" t="str">
        <f aca="false">IF(H23="NA","NA",IF(H23="YES",$C$7,IF(H23="NO",0,"")))</f>
        <v/>
      </c>
      <c r="J23" s="243"/>
    </row>
    <row r="24" customFormat="false" ht="14.25" hidden="false" customHeight="false" outlineLevel="0" collapsed="false">
      <c r="A24" s="242" t="s">
        <v>811</v>
      </c>
      <c r="B24" s="243"/>
      <c r="C24" s="243"/>
      <c r="D24" s="243"/>
      <c r="E24" s="243"/>
      <c r="F24" s="243"/>
      <c r="G24" s="243"/>
      <c r="H24" s="244"/>
      <c r="I24" s="245" t="str">
        <f aca="false">IF(H24="NA","NA",IF(H24="YES",$C$7,IF(H24="NO",0,"")))</f>
        <v/>
      </c>
      <c r="J24" s="243"/>
    </row>
    <row r="25" customFormat="false" ht="14.25" hidden="false" customHeight="false" outlineLevel="0" collapsed="false">
      <c r="A25" s="242" t="s">
        <v>812</v>
      </c>
      <c r="B25" s="243"/>
      <c r="C25" s="243"/>
      <c r="D25" s="243"/>
      <c r="E25" s="243"/>
      <c r="F25" s="243"/>
      <c r="G25" s="243"/>
      <c r="H25" s="244"/>
      <c r="I25" s="245" t="str">
        <f aca="false">IF(H25="NA","NA",IF(H25="YES",$C$7,IF(H25="NO",0,"")))</f>
        <v/>
      </c>
      <c r="J25" s="243"/>
    </row>
    <row r="26" customFormat="false" ht="14.25" hidden="false" customHeight="false" outlineLevel="0" collapsed="false">
      <c r="A26" s="242" t="s">
        <v>813</v>
      </c>
      <c r="B26" s="243"/>
      <c r="C26" s="243"/>
      <c r="D26" s="243"/>
      <c r="E26" s="243"/>
      <c r="F26" s="243"/>
      <c r="G26" s="243"/>
      <c r="H26" s="244"/>
      <c r="I26" s="245" t="str">
        <f aca="false">IF(H26="NA","NA",IF(H26="YES",$C$7,IF(H26="NO",0,"")))</f>
        <v/>
      </c>
      <c r="J26" s="243"/>
    </row>
    <row r="27" customFormat="false" ht="14.25" hidden="false" customHeight="false" outlineLevel="0" collapsed="false">
      <c r="A27" s="242" t="s">
        <v>814</v>
      </c>
      <c r="B27" s="243"/>
      <c r="C27" s="243"/>
      <c r="D27" s="243"/>
      <c r="E27" s="243"/>
      <c r="F27" s="243"/>
      <c r="G27" s="243"/>
      <c r="H27" s="244"/>
      <c r="I27" s="245" t="str">
        <f aca="false">IF(H27="NA","NA",IF(H27="YES",$C$7,IF(H27="NO",0,"")))</f>
        <v/>
      </c>
      <c r="J27" s="243"/>
    </row>
    <row r="28" customFormat="false" ht="14.25" hidden="false" customHeight="false" outlineLevel="0" collapsed="false">
      <c r="A28" s="242" t="s">
        <v>815</v>
      </c>
      <c r="B28" s="243"/>
      <c r="C28" s="243"/>
      <c r="D28" s="243"/>
      <c r="E28" s="243"/>
      <c r="F28" s="243"/>
      <c r="G28" s="243"/>
      <c r="H28" s="244"/>
      <c r="I28" s="245" t="str">
        <f aca="false">IF(H28="NA","NA",IF(H28="YES",$C$7,IF(H28="NO",0,"")))</f>
        <v/>
      </c>
      <c r="J28" s="243"/>
    </row>
    <row r="29" customFormat="false" ht="14.25" hidden="false" customHeight="false" outlineLevel="0" collapsed="false">
      <c r="A29" s="242" t="s">
        <v>816</v>
      </c>
      <c r="B29" s="243"/>
      <c r="C29" s="243"/>
      <c r="D29" s="243"/>
      <c r="E29" s="243"/>
      <c r="F29" s="243"/>
      <c r="G29" s="243"/>
      <c r="H29" s="244"/>
      <c r="I29" s="245" t="str">
        <f aca="false">IF(H29="NA","NA",IF(H29="YES",$C$7,IF(H29="NO",0,"")))</f>
        <v/>
      </c>
      <c r="J29" s="243"/>
    </row>
    <row r="30" customFormat="false" ht="14.25" hidden="false" customHeight="false" outlineLevel="0" collapsed="false">
      <c r="A30" s="242" t="s">
        <v>817</v>
      </c>
      <c r="B30" s="243"/>
      <c r="C30" s="243"/>
      <c r="D30" s="243"/>
      <c r="E30" s="243"/>
      <c r="F30" s="243"/>
      <c r="G30" s="243"/>
      <c r="H30" s="244"/>
      <c r="I30" s="245" t="str">
        <f aca="false">IF(H30="NA","NA",IF(H30="YES",$C$7,IF(H30="NO",0,"")))</f>
        <v/>
      </c>
      <c r="J30" s="243"/>
    </row>
    <row r="31" customFormat="false" ht="14.25" hidden="false" customHeight="false" outlineLevel="0" collapsed="false">
      <c r="A31" s="242" t="s">
        <v>818</v>
      </c>
      <c r="B31" s="243"/>
      <c r="C31" s="243"/>
      <c r="D31" s="243"/>
      <c r="E31" s="243"/>
      <c r="F31" s="243"/>
      <c r="G31" s="243"/>
      <c r="H31" s="244"/>
      <c r="I31" s="245" t="str">
        <f aca="false">IF(H31="NA","NA",IF(H31="YES",$C$7,IF(H31="NO",0,"")))</f>
        <v/>
      </c>
      <c r="J31" s="243"/>
    </row>
    <row r="32" customFormat="false" ht="14.25" hidden="false" customHeight="false" outlineLevel="0" collapsed="false">
      <c r="A32" s="242" t="s">
        <v>819</v>
      </c>
      <c r="B32" s="243"/>
      <c r="C32" s="243"/>
      <c r="D32" s="243"/>
      <c r="E32" s="243"/>
      <c r="F32" s="243"/>
      <c r="G32" s="243"/>
      <c r="H32" s="244"/>
      <c r="I32" s="245" t="str">
        <f aca="false">IF(H32="NA","NA",IF(H32="YES",$C$7,IF(H32="NO",0,"")))</f>
        <v/>
      </c>
      <c r="J32" s="243"/>
    </row>
    <row r="33" customFormat="false" ht="247.75" hidden="false" customHeight="false" outlineLevel="0" collapsed="false">
      <c r="A33" s="242" t="s">
        <v>17</v>
      </c>
      <c r="B33" s="243" t="s">
        <v>291</v>
      </c>
      <c r="C33" s="243"/>
      <c r="D33" s="243" t="s">
        <v>1343</v>
      </c>
      <c r="E33" s="243" t="s">
        <v>1346</v>
      </c>
      <c r="F33" s="243" t="s">
        <v>423</v>
      </c>
      <c r="G33" s="243" t="s">
        <v>292</v>
      </c>
      <c r="H33" s="244"/>
      <c r="I33" s="245" t="str">
        <f aca="false">IF(H33="NA","NA",IF(H33="YES",$C$7,IF(H33="NO",0,"")))</f>
        <v/>
      </c>
      <c r="J33" s="246" t="s">
        <v>1347</v>
      </c>
    </row>
    <row r="34" customFormat="false" ht="14.25" hidden="false" customHeight="false" outlineLevel="0" collapsed="false">
      <c r="A34" s="242" t="s">
        <v>820</v>
      </c>
      <c r="B34" s="243"/>
      <c r="C34" s="243"/>
      <c r="D34" s="243"/>
      <c r="E34" s="243"/>
      <c r="F34" s="243"/>
      <c r="G34" s="243"/>
      <c r="H34" s="244"/>
      <c r="I34" s="245" t="str">
        <f aca="false">IF(H34="NA","NA",IF(H34="YES",$C$7,IF(H34="NO",0,"")))</f>
        <v/>
      </c>
      <c r="J34" s="243"/>
    </row>
    <row r="35" customFormat="false" ht="14.25" hidden="false" customHeight="false" outlineLevel="0" collapsed="false">
      <c r="A35" s="242" t="s">
        <v>821</v>
      </c>
      <c r="B35" s="243"/>
      <c r="C35" s="243"/>
      <c r="D35" s="243"/>
      <c r="E35" s="243"/>
      <c r="F35" s="243"/>
      <c r="G35" s="243"/>
      <c r="H35" s="244"/>
      <c r="I35" s="245" t="str">
        <f aca="false">IF(H35="NA","NA",IF(H35="YES",$C$7,IF(H35="NO",0,"")))</f>
        <v/>
      </c>
      <c r="J35" s="243"/>
    </row>
    <row r="36" customFormat="false" ht="14.25" hidden="false" customHeight="false" outlineLevel="0" collapsed="false">
      <c r="A36" s="242" t="s">
        <v>822</v>
      </c>
      <c r="B36" s="243"/>
      <c r="C36" s="243"/>
      <c r="D36" s="243"/>
      <c r="E36" s="243"/>
      <c r="F36" s="243"/>
      <c r="G36" s="243"/>
      <c r="H36" s="244"/>
      <c r="I36" s="245" t="str">
        <f aca="false">IF(H36="NA","NA",IF(H36="YES",$C$7,IF(H36="NO",0,"")))</f>
        <v/>
      </c>
      <c r="J36" s="243"/>
    </row>
    <row r="37" customFormat="false" ht="14.25" hidden="false" customHeight="false" outlineLevel="0" collapsed="false">
      <c r="A37" s="242" t="s">
        <v>823</v>
      </c>
      <c r="B37" s="243"/>
      <c r="C37" s="243"/>
      <c r="D37" s="243"/>
      <c r="E37" s="243"/>
      <c r="F37" s="243"/>
      <c r="G37" s="243"/>
      <c r="H37" s="244"/>
      <c r="I37" s="245" t="str">
        <f aca="false">IF(H37="NA","NA",IF(H37="YES",$C$7,IF(H37="NO",0,"")))</f>
        <v/>
      </c>
      <c r="J37" s="243"/>
    </row>
    <row r="38" customFormat="false" ht="14.25" hidden="false" customHeight="false" outlineLevel="0" collapsed="false">
      <c r="A38" s="242" t="s">
        <v>824</v>
      </c>
      <c r="B38" s="243"/>
      <c r="C38" s="243"/>
      <c r="D38" s="243"/>
      <c r="E38" s="243"/>
      <c r="F38" s="243"/>
      <c r="G38" s="243"/>
      <c r="H38" s="244"/>
      <c r="I38" s="245" t="str">
        <f aca="false">IF(H38="NA","NA",IF(H38="YES",$C$7,IF(H38="NO",0,"")))</f>
        <v/>
      </c>
      <c r="J38" s="243"/>
    </row>
    <row r="39" customFormat="false" ht="14.25" hidden="false" customHeight="false" outlineLevel="0" collapsed="false">
      <c r="A39" s="242" t="s">
        <v>825</v>
      </c>
      <c r="B39" s="243"/>
      <c r="C39" s="243"/>
      <c r="D39" s="243"/>
      <c r="E39" s="243"/>
      <c r="F39" s="243"/>
      <c r="G39" s="243"/>
      <c r="H39" s="244"/>
      <c r="I39" s="245" t="str">
        <f aca="false">IF(H39="NA","NA",IF(H39="YES",$C$7,IF(H39="NO",0,"")))</f>
        <v/>
      </c>
      <c r="J39" s="243"/>
    </row>
    <row r="40" customFormat="false" ht="14.25" hidden="false" customHeight="false" outlineLevel="0" collapsed="false">
      <c r="A40" s="242" t="s">
        <v>826</v>
      </c>
      <c r="B40" s="243"/>
      <c r="C40" s="243"/>
      <c r="D40" s="243"/>
      <c r="E40" s="243"/>
      <c r="F40" s="243"/>
      <c r="G40" s="243"/>
      <c r="H40" s="244"/>
      <c r="I40" s="245" t="str">
        <f aca="false">IF(H40="NA","NA",IF(H40="YES",$C$7,IF(H40="NO",0,"")))</f>
        <v/>
      </c>
      <c r="J40" s="243"/>
    </row>
    <row r="41" customFormat="false" ht="14.25" hidden="false" customHeight="false" outlineLevel="0" collapsed="false">
      <c r="A41" s="242" t="s">
        <v>827</v>
      </c>
      <c r="B41" s="243"/>
      <c r="C41" s="243"/>
      <c r="D41" s="243"/>
      <c r="E41" s="243"/>
      <c r="F41" s="243"/>
      <c r="G41" s="243"/>
      <c r="H41" s="244"/>
      <c r="I41" s="245" t="str">
        <f aca="false">IF(H41="NA","NA",IF(H41="YES",$C$7,IF(H41="NO",0,"")))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2" min="8" style="0" width="22"/>
    <col collapsed="false" customWidth="true" hidden="false" outlineLevel="0" max="13" min="13" style="0" width="14"/>
    <col collapsed="false" customWidth="true" hidden="false" outlineLevel="0" max="14" min="14" style="0" width="45"/>
  </cols>
  <sheetData>
    <row r="1" customFormat="false" ht="14.25" hidden="false" customHeight="false" outlineLevel="0" collapsed="false">
      <c r="A1" s="234" t="s">
        <v>1090</v>
      </c>
      <c r="B1" s="234" t="s">
        <v>310</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law mandate comprehensive urban design standards and universal accessibility?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provides for urban design standards/guidelines for the planning, design or execution of urban development across the following four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 For each of the five categories, check whether the applicable law mandates or enables urban design standards/guidelines for the planning, design or execution of urban development.For each category, score as follows:Score 1: Where the law uses mandatory language (e.g., “shall”) requiring the preparation, prescription, adoption or application of urban design standards/guidelines.Score 0.5: Where the law uses enabling/discretionary language (e.g., “may”) permitting the preparation, prescription, adoption or application of such standards/guidelines.Score 0: Where there is no such provision.Maximum score: 5 points (5 categories × 1 point). A general power to regulate development, without a specific provision for relevant design standards/guidelines, shall not qualify.</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1348</v>
      </c>
    </row>
    <row r="11" customFormat="false" ht="28.5" hidden="false" customHeight="true" outlineLevel="0" collapsed="false">
      <c r="H11" s="238" t="s">
        <v>1349</v>
      </c>
      <c r="I11" s="238" t="s">
        <v>1349</v>
      </c>
      <c r="J11" s="238" t="s">
        <v>1349</v>
      </c>
      <c r="K11" s="238" t="s">
        <v>1349</v>
      </c>
      <c r="L11" s="238" t="s">
        <v>1349</v>
      </c>
      <c r="M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"Roads &amp; streetscapes ("&amp;TEXT($C$7/5,"0.00")&amp;")"</f>
        <v>Roads &amp; streetscapes (1.00)</v>
      </c>
      <c r="I12" s="241" t="str">
        <f aca="false">"Footpaths / pedestrian infrastructure ("&amp;TEXT($C$7/5,"0.00")&amp;")"</f>
        <v>Footpaths / pedestrian infrastructure (1.00)</v>
      </c>
      <c r="J12" s="241" t="str">
        <f aca="false">"Underground public utilities ("&amp;TEXT($C$7/5,"0.00")&amp;")"</f>
        <v>Underground public utilities (1.00)</v>
      </c>
      <c r="K12" s="241" t="str">
        <f aca="false">"Built-form based codes ("&amp;TEXT($C$7/5,"0.00")&amp;")"</f>
        <v>Built-form based codes (1.00)</v>
      </c>
      <c r="L12" s="241" t="str">
        <f aca="false">"Universal accessibility ("&amp;TEXT($C$7/5,"0.00")&amp;")"</f>
        <v>Universal accessibility (1.00)</v>
      </c>
      <c r="M12" s="239" t="s">
        <v>1103</v>
      </c>
      <c r="N12" s="241" t="s">
        <v>1104</v>
      </c>
    </row>
    <row r="13" customFormat="false" ht="14.25" hidden="false" customHeight="false" outlineLevel="0" collapsed="false">
      <c r="A13" s="242" t="s">
        <v>800</v>
      </c>
      <c r="B13" s="243"/>
      <c r="C13" s="243"/>
      <c r="D13" s="243"/>
      <c r="E13" s="243"/>
      <c r="F13" s="243"/>
      <c r="G13" s="243"/>
      <c r="H13" s="244"/>
      <c r="I13" s="244"/>
      <c r="J13" s="244"/>
      <c r="K13" s="244"/>
      <c r="L13" s="244"/>
      <c r="M13" s="245" t="str">
        <f aca="false">IF(OR(H13="",I13="",J13="",K13="",L13=""),"",(COUNTIF(H13:L13,"SHALL")+0.5*COUNTIF(H13:L13,"MAY"))/5*$C$7)</f>
        <v/>
      </c>
      <c r="N13" s="243"/>
    </row>
    <row r="14" customFormat="false" ht="14.25" hidden="false" customHeight="false" outlineLevel="0" collapsed="false">
      <c r="A14" s="242" t="s">
        <v>801</v>
      </c>
      <c r="B14" s="243"/>
      <c r="C14" s="243"/>
      <c r="D14" s="243"/>
      <c r="E14" s="243"/>
      <c r="F14" s="243"/>
      <c r="G14" s="243"/>
      <c r="H14" s="244"/>
      <c r="I14" s="244"/>
      <c r="J14" s="244"/>
      <c r="K14" s="244"/>
      <c r="L14" s="244"/>
      <c r="M14" s="245" t="str">
        <f aca="false">IF(OR(H14="",I14="",J14="",K14="",L14=""),"",(COUNTIF(H14:L14,"SHALL")+0.5*COUNTIF(H14:L14,"MAY"))/5*$C$7)</f>
        <v/>
      </c>
      <c r="N14" s="243"/>
    </row>
    <row r="15" customFormat="false" ht="14.25" hidden="false" customHeight="false" outlineLevel="0" collapsed="false">
      <c r="A15" s="242" t="s">
        <v>802</v>
      </c>
      <c r="B15" s="243"/>
      <c r="C15" s="243"/>
      <c r="D15" s="243"/>
      <c r="E15" s="243"/>
      <c r="F15" s="243"/>
      <c r="G15" s="243"/>
      <c r="H15" s="244"/>
      <c r="I15" s="244"/>
      <c r="J15" s="244"/>
      <c r="K15" s="244"/>
      <c r="L15" s="244"/>
      <c r="M15" s="245" t="str">
        <f aca="false">IF(OR(H15="",I15="",J15="",K15="",L15=""),"",(COUNTIF(H15:L15,"SHALL")+0.5*COUNTIF(H15:L15,"MAY"))/5*$C$7)</f>
        <v/>
      </c>
      <c r="N15" s="243"/>
    </row>
    <row r="16" customFormat="false" ht="14.25" hidden="false" customHeight="false" outlineLevel="0" collapsed="false">
      <c r="A16" s="242" t="s">
        <v>803</v>
      </c>
      <c r="B16" s="243"/>
      <c r="C16" s="243"/>
      <c r="D16" s="243"/>
      <c r="E16" s="243"/>
      <c r="F16" s="243"/>
      <c r="G16" s="243"/>
      <c r="H16" s="244"/>
      <c r="I16" s="244"/>
      <c r="J16" s="244"/>
      <c r="K16" s="244"/>
      <c r="L16" s="244"/>
      <c r="M16" s="245" t="str">
        <f aca="false">IF(OR(H16="",I16="",J16="",K16="",L16=""),"",(COUNTIF(H16:L16,"SHALL")+0.5*COUNTIF(H16:L16,"MAY"))/5*$C$7)</f>
        <v/>
      </c>
      <c r="N16" s="243"/>
    </row>
    <row r="17" customFormat="false" ht="14.25" hidden="false" customHeight="false" outlineLevel="0" collapsed="false">
      <c r="A17" s="242" t="s">
        <v>804</v>
      </c>
      <c r="B17" s="243"/>
      <c r="C17" s="243"/>
      <c r="D17" s="243"/>
      <c r="E17" s="243"/>
      <c r="F17" s="243"/>
      <c r="G17" s="243"/>
      <c r="H17" s="244"/>
      <c r="I17" s="244"/>
      <c r="J17" s="244"/>
      <c r="K17" s="244"/>
      <c r="L17" s="244"/>
      <c r="M17" s="245" t="str">
        <f aca="false">IF(OR(H17="",I17="",J17="",K17="",L17=""),"",(COUNTIF(H17:L17,"SHALL")+0.5*COUNTIF(H17:L17,"MAY"))/5*$C$7)</f>
        <v/>
      </c>
      <c r="N17" s="243"/>
    </row>
    <row r="18" customFormat="false" ht="14.25" hidden="false" customHeight="false" outlineLevel="0" collapsed="false">
      <c r="A18" s="242" t="s">
        <v>805</v>
      </c>
      <c r="B18" s="243"/>
      <c r="C18" s="243"/>
      <c r="D18" s="243"/>
      <c r="E18" s="243"/>
      <c r="F18" s="243"/>
      <c r="G18" s="243"/>
      <c r="H18" s="244"/>
      <c r="I18" s="244"/>
      <c r="J18" s="244"/>
      <c r="K18" s="244"/>
      <c r="L18" s="244"/>
      <c r="M18" s="245" t="str">
        <f aca="false">IF(OR(H18="",I18="",J18="",K18="",L18=""),"",(COUNTIF(H18:L18,"SHALL")+0.5*COUNTIF(H18:L18,"MAY"))/5*$C$7)</f>
        <v/>
      </c>
      <c r="N18" s="243"/>
    </row>
    <row r="19" customFormat="false" ht="14.25" hidden="false" customHeight="false" outlineLevel="0" collapsed="false">
      <c r="A19" s="242" t="s">
        <v>806</v>
      </c>
      <c r="B19" s="243"/>
      <c r="C19" s="243"/>
      <c r="D19" s="243"/>
      <c r="E19" s="243"/>
      <c r="F19" s="243"/>
      <c r="G19" s="243"/>
      <c r="H19" s="244"/>
      <c r="I19" s="244"/>
      <c r="J19" s="244"/>
      <c r="K19" s="244"/>
      <c r="L19" s="244"/>
      <c r="M19" s="245" t="str">
        <f aca="false">IF(OR(H19="",I19="",J19="",K19="",L19=""),"",(COUNTIF(H19:L19,"SHALL")+0.5*COUNTIF(H19:L19,"MAY"))/5*$C$7)</f>
        <v/>
      </c>
      <c r="N19" s="243"/>
    </row>
    <row r="20" customFormat="false" ht="14.25" hidden="false" customHeight="false" outlineLevel="0" collapsed="false">
      <c r="A20" s="242" t="s">
        <v>807</v>
      </c>
      <c r="B20" s="243"/>
      <c r="C20" s="243"/>
      <c r="D20" s="243"/>
      <c r="E20" s="243"/>
      <c r="F20" s="243"/>
      <c r="G20" s="243"/>
      <c r="H20" s="244"/>
      <c r="I20" s="244"/>
      <c r="J20" s="244"/>
      <c r="K20" s="244"/>
      <c r="L20" s="244"/>
      <c r="M20" s="245" t="str">
        <f aca="false">IF(OR(H20="",I20="",J20="",K20="",L20=""),"",(COUNTIF(H20:L20,"SHALL")+0.5*COUNTIF(H20:L20,"MAY"))/5*$C$7)</f>
        <v/>
      </c>
      <c r="N20" s="243"/>
    </row>
    <row r="21" customFormat="false" ht="14.25" hidden="false" customHeight="false" outlineLevel="0" collapsed="false">
      <c r="A21" s="242" t="s">
        <v>808</v>
      </c>
      <c r="B21" s="243"/>
      <c r="C21" s="243"/>
      <c r="D21" s="243"/>
      <c r="E21" s="243"/>
      <c r="F21" s="243"/>
      <c r="G21" s="243"/>
      <c r="H21" s="244"/>
      <c r="I21" s="244"/>
      <c r="J21" s="244"/>
      <c r="K21" s="244"/>
      <c r="L21" s="244"/>
      <c r="M21" s="245" t="str">
        <f aca="false">IF(OR(H21="",I21="",J21="",K21="",L21=""),"",(COUNTIF(H21:L21,"SHALL")+0.5*COUNTIF(H21:L21,"MAY"))/5*$C$7)</f>
        <v/>
      </c>
      <c r="N21" s="243"/>
    </row>
    <row r="22" customFormat="false" ht="14.25" hidden="false" customHeight="false" outlineLevel="0" collapsed="false">
      <c r="A22" s="242" t="s">
        <v>809</v>
      </c>
      <c r="B22" s="243"/>
      <c r="C22" s="243"/>
      <c r="D22" s="243"/>
      <c r="E22" s="243"/>
      <c r="F22" s="243"/>
      <c r="G22" s="243"/>
      <c r="H22" s="244"/>
      <c r="I22" s="244"/>
      <c r="J22" s="244"/>
      <c r="K22" s="244"/>
      <c r="L22" s="244"/>
      <c r="M22" s="245" t="str">
        <f aca="false">IF(OR(H22="",I22="",J22="",K22="",L22=""),"",(COUNTIF(H22:L22,"SHALL")+0.5*COUNTIF(H22:L22,"MAY"))/5*$C$7)</f>
        <v/>
      </c>
      <c r="N22" s="243"/>
    </row>
    <row r="23" customFormat="false" ht="14.25" hidden="false" customHeight="false" outlineLevel="0" collapsed="false">
      <c r="A23" s="242" t="s">
        <v>810</v>
      </c>
      <c r="B23" s="243"/>
      <c r="C23" s="243"/>
      <c r="D23" s="243"/>
      <c r="E23" s="243"/>
      <c r="F23" s="243"/>
      <c r="G23" s="243"/>
      <c r="H23" s="244"/>
      <c r="I23" s="244"/>
      <c r="J23" s="244"/>
      <c r="K23" s="244"/>
      <c r="L23" s="244"/>
      <c r="M23" s="245" t="str">
        <f aca="false">IF(OR(H23="",I23="",J23="",K23="",L23=""),"",(COUNTIF(H23:L23,"SHALL")+0.5*COUNTIF(H23:L23,"MAY"))/5*$C$7)</f>
        <v/>
      </c>
      <c r="N23" s="243"/>
    </row>
    <row r="24" customFormat="false" ht="14.25" hidden="false" customHeight="false" outlineLevel="0" collapsed="false">
      <c r="A24" s="242" t="s">
        <v>811</v>
      </c>
      <c r="B24" s="243"/>
      <c r="C24" s="243"/>
      <c r="D24" s="243"/>
      <c r="E24" s="243"/>
      <c r="F24" s="243"/>
      <c r="G24" s="243"/>
      <c r="H24" s="244"/>
      <c r="I24" s="244"/>
      <c r="J24" s="244"/>
      <c r="K24" s="244"/>
      <c r="L24" s="244"/>
      <c r="M24" s="245" t="str">
        <f aca="false">IF(OR(H24="",I24="",J24="",K24="",L24=""),"",(COUNTIF(H24:L24,"SHALL")+0.5*COUNTIF(H24:L24,"MAY"))/5*$C$7)</f>
        <v/>
      </c>
      <c r="N24" s="243"/>
    </row>
    <row r="25" customFormat="false" ht="14.25" hidden="false" customHeight="false" outlineLevel="0" collapsed="false">
      <c r="A25" s="242" t="s">
        <v>812</v>
      </c>
      <c r="B25" s="243"/>
      <c r="C25" s="243"/>
      <c r="D25" s="243"/>
      <c r="E25" s="243"/>
      <c r="F25" s="243"/>
      <c r="G25" s="243"/>
      <c r="H25" s="244"/>
      <c r="I25" s="244"/>
      <c r="J25" s="244"/>
      <c r="K25" s="244"/>
      <c r="L25" s="244"/>
      <c r="M25" s="245" t="str">
        <f aca="false">IF(OR(H25="",I25="",J25="",K25="",L25=""),"",(COUNTIF(H25:L25,"SHALL")+0.5*COUNTIF(H25:L25,"MAY"))/5*$C$7)</f>
        <v/>
      </c>
      <c r="N25" s="243"/>
    </row>
    <row r="26" customFormat="false" ht="14.25" hidden="false" customHeight="false" outlineLevel="0" collapsed="false">
      <c r="A26" s="242" t="s">
        <v>813</v>
      </c>
      <c r="B26" s="243"/>
      <c r="C26" s="243"/>
      <c r="D26" s="243"/>
      <c r="E26" s="243"/>
      <c r="F26" s="243"/>
      <c r="G26" s="243"/>
      <c r="H26" s="244"/>
      <c r="I26" s="244"/>
      <c r="J26" s="244"/>
      <c r="K26" s="244"/>
      <c r="L26" s="244"/>
      <c r="M26" s="245" t="str">
        <f aca="false">IF(OR(H26="",I26="",J26="",K26="",L26=""),"",(COUNTIF(H26:L26,"SHALL")+0.5*COUNTIF(H26:L26,"MAY"))/5*$C$7)</f>
        <v/>
      </c>
      <c r="N26" s="243"/>
    </row>
    <row r="27" customFormat="false" ht="14.25" hidden="false" customHeight="false" outlineLevel="0" collapsed="false">
      <c r="A27" s="242" t="s">
        <v>814</v>
      </c>
      <c r="B27" s="243"/>
      <c r="C27" s="243"/>
      <c r="D27" s="243"/>
      <c r="E27" s="243"/>
      <c r="F27" s="243"/>
      <c r="G27" s="243"/>
      <c r="H27" s="244"/>
      <c r="I27" s="244"/>
      <c r="J27" s="244"/>
      <c r="K27" s="244"/>
      <c r="L27" s="244"/>
      <c r="M27" s="245" t="str">
        <f aca="false">IF(OR(H27="",I27="",J27="",K27="",L27=""),"",(COUNTIF(H27:L27,"SHALL")+0.5*COUNTIF(H27:L27,"MAY"))/5*$C$7)</f>
        <v/>
      </c>
      <c r="N27" s="243"/>
    </row>
    <row r="28" customFormat="false" ht="14.25" hidden="false" customHeight="false" outlineLevel="0" collapsed="false">
      <c r="A28" s="242" t="s">
        <v>815</v>
      </c>
      <c r="B28" s="243"/>
      <c r="C28" s="243"/>
      <c r="D28" s="243"/>
      <c r="E28" s="243"/>
      <c r="F28" s="243"/>
      <c r="G28" s="243"/>
      <c r="H28" s="244"/>
      <c r="I28" s="244"/>
      <c r="J28" s="244"/>
      <c r="K28" s="244"/>
      <c r="L28" s="244"/>
      <c r="M28" s="245" t="str">
        <f aca="false">IF(OR(H28="",I28="",J28="",K28="",L28=""),"",(COUNTIF(H28:L28,"SHALL")+0.5*COUNTIF(H28:L28,"MAY"))/5*$C$7)</f>
        <v/>
      </c>
      <c r="N28" s="243"/>
    </row>
    <row r="29" customFormat="false" ht="14.25" hidden="false" customHeight="false" outlineLevel="0" collapsed="false">
      <c r="A29" s="242" t="s">
        <v>816</v>
      </c>
      <c r="B29" s="243"/>
      <c r="C29" s="243"/>
      <c r="D29" s="243"/>
      <c r="E29" s="243"/>
      <c r="F29" s="243"/>
      <c r="G29" s="243"/>
      <c r="H29" s="244"/>
      <c r="I29" s="244"/>
      <c r="J29" s="244"/>
      <c r="K29" s="244"/>
      <c r="L29" s="244"/>
      <c r="M29" s="245" t="str">
        <f aca="false">IF(OR(H29="",I29="",J29="",K29="",L29=""),"",(COUNTIF(H29:L29,"SHALL")+0.5*COUNTIF(H29:L29,"MAY"))/5*$C$7)</f>
        <v/>
      </c>
      <c r="N29" s="243"/>
    </row>
    <row r="30" customFormat="false" ht="14.25" hidden="false" customHeight="false" outlineLevel="0" collapsed="false">
      <c r="A30" s="242" t="s">
        <v>817</v>
      </c>
      <c r="B30" s="243"/>
      <c r="C30" s="243"/>
      <c r="D30" s="243"/>
      <c r="E30" s="243"/>
      <c r="F30" s="243"/>
      <c r="G30" s="243"/>
      <c r="H30" s="244"/>
      <c r="I30" s="244"/>
      <c r="J30" s="244"/>
      <c r="K30" s="244"/>
      <c r="L30" s="244"/>
      <c r="M30" s="245" t="str">
        <f aca="false">IF(OR(H30="",I30="",J30="",K30="",L30=""),"",(COUNTIF(H30:L30,"SHALL")+0.5*COUNTIF(H30:L30,"MAY"))/5*$C$7)</f>
        <v/>
      </c>
      <c r="N30" s="243"/>
    </row>
    <row r="31" customFormat="false" ht="14.25" hidden="false" customHeight="false" outlineLevel="0" collapsed="false">
      <c r="A31" s="242" t="s">
        <v>818</v>
      </c>
      <c r="B31" s="243"/>
      <c r="C31" s="243"/>
      <c r="D31" s="243"/>
      <c r="E31" s="243"/>
      <c r="F31" s="243"/>
      <c r="G31" s="243"/>
      <c r="H31" s="244"/>
      <c r="I31" s="244"/>
      <c r="J31" s="244"/>
      <c r="K31" s="244"/>
      <c r="L31" s="244"/>
      <c r="M31" s="245" t="str">
        <f aca="false">IF(OR(H31="",I31="",J31="",K31="",L31=""),"",(COUNTIF(H31:L31,"SHALL")+0.5*COUNTIF(H31:L31,"MAY"))/5*$C$7)</f>
        <v/>
      </c>
      <c r="N31" s="243"/>
    </row>
    <row r="32" customFormat="false" ht="14.25" hidden="false" customHeight="false" outlineLevel="0" collapsed="false">
      <c r="A32" s="242" t="s">
        <v>819</v>
      </c>
      <c r="B32" s="243"/>
      <c r="C32" s="243"/>
      <c r="D32" s="243"/>
      <c r="E32" s="243"/>
      <c r="F32" s="243"/>
      <c r="G32" s="243"/>
      <c r="H32" s="244"/>
      <c r="I32" s="244"/>
      <c r="J32" s="244"/>
      <c r="K32" s="244"/>
      <c r="L32" s="244"/>
      <c r="M32" s="245" t="str">
        <f aca="false">IF(OR(H32="",I32="",J32="",K32="",L32=""),"",(COUNTIF(H32:L32,"SHALL")+0.5*COUNTIF(H32:L32,"MAY"))/5*$C$7)</f>
        <v/>
      </c>
      <c r="N32" s="243"/>
    </row>
    <row r="33" customFormat="false" ht="14.25" hidden="false" customHeight="false" outlineLevel="0" collapsed="false">
      <c r="A33" s="242" t="s">
        <v>17</v>
      </c>
      <c r="B33" s="243" t="s">
        <v>313</v>
      </c>
      <c r="C33" s="243" t="s">
        <v>1350</v>
      </c>
      <c r="D33" s="243" t="s">
        <v>1351</v>
      </c>
      <c r="E33" s="243" t="s">
        <v>1352</v>
      </c>
      <c r="F33" s="243" t="s">
        <v>1353</v>
      </c>
      <c r="G33" s="243" t="s">
        <v>314</v>
      </c>
      <c r="H33" s="244" t="s">
        <v>1354</v>
      </c>
      <c r="I33" s="244"/>
      <c r="J33" s="244"/>
      <c r="K33" s="244" t="s">
        <v>1354</v>
      </c>
      <c r="L33" s="244" t="s">
        <v>1354</v>
      </c>
      <c r="M33" s="245" t="str">
        <f aca="false">IF(OR(H33="",I33="",J33="",K33="",L33=""),"",(COUNTIF(H33:L33,"SHALL")+0.5*COUNTIF(H33:L33,"MAY"))/5*$C$7)</f>
        <v/>
      </c>
      <c r="N33" s="243" t="s">
        <v>1355</v>
      </c>
    </row>
    <row r="34" customFormat="false" ht="14.25" hidden="false" customHeight="false" outlineLevel="0" collapsed="false">
      <c r="A34" s="242" t="s">
        <v>820</v>
      </c>
      <c r="B34" s="243"/>
      <c r="C34" s="243"/>
      <c r="D34" s="243"/>
      <c r="E34" s="243"/>
      <c r="F34" s="243"/>
      <c r="G34" s="243"/>
      <c r="H34" s="244"/>
      <c r="I34" s="244"/>
      <c r="J34" s="244"/>
      <c r="K34" s="244"/>
      <c r="L34" s="244"/>
      <c r="M34" s="245" t="str">
        <f aca="false">IF(OR(H34="",I34="",J34="",K34="",L34=""),"",(COUNTIF(H34:L34,"SHALL")+0.5*COUNTIF(H34:L34,"MAY"))/5*$C$7)</f>
        <v/>
      </c>
      <c r="N34" s="243"/>
    </row>
    <row r="35" customFormat="false" ht="14.25" hidden="false" customHeight="false" outlineLevel="0" collapsed="false">
      <c r="A35" s="242" t="s">
        <v>821</v>
      </c>
      <c r="B35" s="243"/>
      <c r="C35" s="243"/>
      <c r="D35" s="243"/>
      <c r="E35" s="243"/>
      <c r="F35" s="243"/>
      <c r="G35" s="243"/>
      <c r="H35" s="244"/>
      <c r="I35" s="244"/>
      <c r="J35" s="244"/>
      <c r="K35" s="244"/>
      <c r="L35" s="244"/>
      <c r="M35" s="245" t="str">
        <f aca="false">IF(OR(H35="",I35="",J35="",K35="",L35=""),"",(COUNTIF(H35:L35,"SHALL")+0.5*COUNTIF(H35:L35,"MAY"))/5*$C$7)</f>
        <v/>
      </c>
      <c r="N35" s="243"/>
    </row>
    <row r="36" customFormat="false" ht="14.25" hidden="false" customHeight="false" outlineLevel="0" collapsed="false">
      <c r="A36" s="242" t="s">
        <v>822</v>
      </c>
      <c r="B36" s="243"/>
      <c r="C36" s="243"/>
      <c r="D36" s="243"/>
      <c r="E36" s="243"/>
      <c r="F36" s="243"/>
      <c r="G36" s="243"/>
      <c r="H36" s="244"/>
      <c r="I36" s="244"/>
      <c r="J36" s="244"/>
      <c r="K36" s="244"/>
      <c r="L36" s="244"/>
      <c r="M36" s="245" t="str">
        <f aca="false">IF(OR(H36="",I36="",J36="",K36="",L36=""),"",(COUNTIF(H36:L36,"SHALL")+0.5*COUNTIF(H36:L36,"MAY"))/5*$C$7)</f>
        <v/>
      </c>
      <c r="N36" s="243"/>
    </row>
    <row r="37" customFormat="false" ht="14.25" hidden="false" customHeight="false" outlineLevel="0" collapsed="false">
      <c r="A37" s="242" t="s">
        <v>823</v>
      </c>
      <c r="B37" s="243"/>
      <c r="C37" s="243"/>
      <c r="D37" s="243"/>
      <c r="E37" s="243"/>
      <c r="F37" s="243"/>
      <c r="G37" s="243"/>
      <c r="H37" s="244"/>
      <c r="I37" s="244"/>
      <c r="J37" s="244"/>
      <c r="K37" s="244"/>
      <c r="L37" s="244"/>
      <c r="M37" s="245" t="str">
        <f aca="false">IF(OR(H37="",I37="",J37="",K37="",L37=""),"",(COUNTIF(H37:L37,"SHALL")+0.5*COUNTIF(H37:L37,"MAY"))/5*$C$7)</f>
        <v/>
      </c>
      <c r="N37" s="243"/>
    </row>
    <row r="38" customFormat="false" ht="14.25" hidden="false" customHeight="false" outlineLevel="0" collapsed="false">
      <c r="A38" s="242" t="s">
        <v>824</v>
      </c>
      <c r="B38" s="243"/>
      <c r="C38" s="243"/>
      <c r="D38" s="243"/>
      <c r="E38" s="243"/>
      <c r="F38" s="243"/>
      <c r="G38" s="243"/>
      <c r="H38" s="244"/>
      <c r="I38" s="244"/>
      <c r="J38" s="244"/>
      <c r="K38" s="244"/>
      <c r="L38" s="244"/>
      <c r="M38" s="245" t="str">
        <f aca="false">IF(OR(H38="",I38="",J38="",K38="",L38=""),"",(COUNTIF(H38:L38,"SHALL")+0.5*COUNTIF(H38:L38,"MAY"))/5*$C$7)</f>
        <v/>
      </c>
      <c r="N38" s="243"/>
    </row>
    <row r="39" customFormat="false" ht="14.25" hidden="false" customHeight="false" outlineLevel="0" collapsed="false">
      <c r="A39" s="242" t="s">
        <v>825</v>
      </c>
      <c r="B39" s="243"/>
      <c r="C39" s="243"/>
      <c r="D39" s="243"/>
      <c r="E39" s="243"/>
      <c r="F39" s="243"/>
      <c r="G39" s="243"/>
      <c r="H39" s="244"/>
      <c r="I39" s="244"/>
      <c r="J39" s="244"/>
      <c r="K39" s="244"/>
      <c r="L39" s="244"/>
      <c r="M39" s="245" t="str">
        <f aca="false">IF(OR(H39="",I39="",J39="",K39="",L39=""),"",(COUNTIF(H39:L39,"SHALL")+0.5*COUNTIF(H39:L39,"MAY"))/5*$C$7)</f>
        <v/>
      </c>
      <c r="N39" s="243"/>
    </row>
    <row r="40" customFormat="false" ht="14.25" hidden="false" customHeight="false" outlineLevel="0" collapsed="false">
      <c r="A40" s="242" t="s">
        <v>826</v>
      </c>
      <c r="B40" s="243"/>
      <c r="C40" s="243"/>
      <c r="D40" s="243"/>
      <c r="E40" s="243"/>
      <c r="F40" s="243"/>
      <c r="G40" s="243"/>
      <c r="H40" s="244"/>
      <c r="I40" s="244"/>
      <c r="J40" s="244"/>
      <c r="K40" s="244"/>
      <c r="L40" s="244"/>
      <c r="M40" s="245" t="str">
        <f aca="false">IF(OR(H40="",I40="",J40="",K40="",L40=""),"",(COUNTIF(H40:L40,"SHALL")+0.5*COUNTIF(H40:L40,"MAY"))/5*$C$7)</f>
        <v/>
      </c>
      <c r="N40" s="243"/>
    </row>
    <row r="41" customFormat="false" ht="14.25" hidden="false" customHeight="false" outlineLevel="0" collapsed="false">
      <c r="A41" s="242" t="s">
        <v>827</v>
      </c>
      <c r="B41" s="243"/>
      <c r="C41" s="243"/>
      <c r="D41" s="243"/>
      <c r="E41" s="243"/>
      <c r="F41" s="243"/>
      <c r="G41" s="243"/>
      <c r="H41" s="244"/>
      <c r="I41" s="244"/>
      <c r="J41" s="244"/>
      <c r="K41" s="244"/>
      <c r="L41" s="244"/>
      <c r="M41" s="245" t="str">
        <f aca="false">IF(OR(H41="",I41="",J41="",K41="",L41=""),"",(COUNTIF(H41:L41,"SHALL")+0.5*COUNTIF(H41:L41,"MAY"))/5*$C$7)</f>
        <v/>
      </c>
      <c r="N41" s="243"/>
    </row>
  </sheetData>
  <dataValidations count="1">
    <dataValidation allowBlank="true" error="Please enter a valid value (see note above the column)." errorStyle="stop" errorTitle="Invalid entry" operator="between" showDropDown="false" showErrorMessage="true" showInputMessage="false" sqref="H13:L41" type="list">
      <formula1>"SHALL,MAY,NONE"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2" min="8" style="0" width="22"/>
    <col collapsed="false" customWidth="true" hidden="false" outlineLevel="0" max="13" min="13" style="0" width="14"/>
    <col collapsed="false" customWidth="true" hidden="false" outlineLevel="0" max="14" min="14" style="0" width="45"/>
  </cols>
  <sheetData>
    <row r="1" customFormat="false" ht="14.25" hidden="false" customHeight="false" outlineLevel="0" collapsed="false">
      <c r="A1" s="234" t="s">
        <v>1090</v>
      </c>
      <c r="B1" s="234" t="s">
        <v>318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city have urban design standards to guide the execution of urban projects?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city has adopted/notified urban design standards or guidelines for the planning, design or execution of urban development across the following five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1148</v>
      </c>
    </row>
    <row r="11" customFormat="false" ht="28.5" hidden="false" customHeight="true" outlineLevel="0" collapsed="false">
      <c r="H11" s="238" t="s">
        <v>1095</v>
      </c>
      <c r="I11" s="238" t="s">
        <v>1095</v>
      </c>
      <c r="J11" s="238" t="s">
        <v>1095</v>
      </c>
      <c r="K11" s="238" t="s">
        <v>1095</v>
      </c>
      <c r="L11" s="238" t="s">
        <v>1095</v>
      </c>
      <c r="M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"Roads &amp; streetscapes ("&amp;TEXT($C$7/5,"0.00")&amp;")"</f>
        <v>Roads &amp; streetscapes (1.00)</v>
      </c>
      <c r="I12" s="241" t="str">
        <f aca="false">"Footpaths / pedestrian infrastructure ("&amp;TEXT($C$7/5,"0.00")&amp;")"</f>
        <v>Footpaths / pedestrian infrastructure (1.00)</v>
      </c>
      <c r="J12" s="241" t="str">
        <f aca="false">"Underground public utilities ("&amp;TEXT($C$7/5,"0.00")&amp;")"</f>
        <v>Underground public utilities (1.00)</v>
      </c>
      <c r="K12" s="241" t="str">
        <f aca="false">"Built-form based codes ("&amp;TEXT($C$7/5,"0.00")&amp;")"</f>
        <v>Built-form based codes (1.00)</v>
      </c>
      <c r="L12" s="241" t="str">
        <f aca="false">"Universal accessibility ("&amp;TEXT($C$7/5,"0.00")&amp;")"</f>
        <v>Universal accessibility (1.00)</v>
      </c>
      <c r="M12" s="239" t="s">
        <v>1103</v>
      </c>
      <c r="N12" s="241" t="s">
        <v>1104</v>
      </c>
    </row>
    <row r="13" customFormat="false" ht="14.25" hidden="false" customHeight="false" outlineLevel="0" collapsed="false">
      <c r="A13" s="242" t="s">
        <v>800</v>
      </c>
      <c r="B13" s="243"/>
      <c r="C13" s="243"/>
      <c r="D13" s="243"/>
      <c r="E13" s="243"/>
      <c r="F13" s="243"/>
      <c r="G13" s="243"/>
      <c r="H13" s="244"/>
      <c r="I13" s="244"/>
      <c r="J13" s="244"/>
      <c r="K13" s="244"/>
      <c r="L13" s="244"/>
      <c r="M13" s="245" t="str">
        <f aca="false">IF(OR(H13="",I13="",J13="",K13="",L13=""),"",COUNTIF(H13:L13,"YES")/5*$C$7)</f>
        <v/>
      </c>
      <c r="N13" s="243"/>
    </row>
    <row r="14" customFormat="false" ht="14.25" hidden="false" customHeight="false" outlineLevel="0" collapsed="false">
      <c r="A14" s="242" t="s">
        <v>801</v>
      </c>
      <c r="B14" s="243"/>
      <c r="C14" s="243"/>
      <c r="D14" s="243"/>
      <c r="E14" s="243"/>
      <c r="F14" s="243"/>
      <c r="G14" s="243"/>
      <c r="H14" s="244"/>
      <c r="I14" s="244"/>
      <c r="J14" s="244"/>
      <c r="K14" s="244"/>
      <c r="L14" s="244"/>
      <c r="M14" s="245" t="str">
        <f aca="false">IF(OR(H14="",I14="",J14="",K14="",L14=""),"",COUNTIF(H14:L14,"YES")/5*$C$7)</f>
        <v/>
      </c>
      <c r="N14" s="243"/>
    </row>
    <row r="15" customFormat="false" ht="14.25" hidden="false" customHeight="false" outlineLevel="0" collapsed="false">
      <c r="A15" s="242" t="s">
        <v>802</v>
      </c>
      <c r="B15" s="243"/>
      <c r="C15" s="243"/>
      <c r="D15" s="243"/>
      <c r="E15" s="243"/>
      <c r="F15" s="243"/>
      <c r="G15" s="243"/>
      <c r="H15" s="244"/>
      <c r="I15" s="244"/>
      <c r="J15" s="244"/>
      <c r="K15" s="244"/>
      <c r="L15" s="244"/>
      <c r="M15" s="245" t="str">
        <f aca="false">IF(OR(H15="",I15="",J15="",K15="",L15=""),"",COUNTIF(H15:L15,"YES")/5*$C$7)</f>
        <v/>
      </c>
      <c r="N15" s="243"/>
    </row>
    <row r="16" customFormat="false" ht="14.25" hidden="false" customHeight="false" outlineLevel="0" collapsed="false">
      <c r="A16" s="242" t="s">
        <v>803</v>
      </c>
      <c r="B16" s="243"/>
      <c r="C16" s="243"/>
      <c r="D16" s="243"/>
      <c r="E16" s="243"/>
      <c r="F16" s="243"/>
      <c r="G16" s="243"/>
      <c r="H16" s="244"/>
      <c r="I16" s="244"/>
      <c r="J16" s="244"/>
      <c r="K16" s="244"/>
      <c r="L16" s="244"/>
      <c r="M16" s="245" t="str">
        <f aca="false">IF(OR(H16="",I16="",J16="",K16="",L16=""),"",COUNTIF(H16:L16,"YES")/5*$C$7)</f>
        <v/>
      </c>
      <c r="N16" s="243"/>
    </row>
    <row r="17" customFormat="false" ht="14.25" hidden="false" customHeight="false" outlineLevel="0" collapsed="false">
      <c r="A17" s="242" t="s">
        <v>804</v>
      </c>
      <c r="B17" s="243"/>
      <c r="C17" s="243"/>
      <c r="D17" s="243"/>
      <c r="E17" s="243"/>
      <c r="F17" s="243"/>
      <c r="G17" s="243"/>
      <c r="H17" s="244"/>
      <c r="I17" s="244"/>
      <c r="J17" s="244"/>
      <c r="K17" s="244"/>
      <c r="L17" s="244"/>
      <c r="M17" s="245" t="str">
        <f aca="false">IF(OR(H17="",I17="",J17="",K17="",L17=""),"",COUNTIF(H17:L17,"YES")/5*$C$7)</f>
        <v/>
      </c>
      <c r="N17" s="243"/>
    </row>
    <row r="18" customFormat="false" ht="14.25" hidden="false" customHeight="false" outlineLevel="0" collapsed="false">
      <c r="A18" s="242" t="s">
        <v>805</v>
      </c>
      <c r="B18" s="243"/>
      <c r="C18" s="243"/>
      <c r="D18" s="243"/>
      <c r="E18" s="243"/>
      <c r="F18" s="243"/>
      <c r="G18" s="243"/>
      <c r="H18" s="244"/>
      <c r="I18" s="244"/>
      <c r="J18" s="244"/>
      <c r="K18" s="244"/>
      <c r="L18" s="244"/>
      <c r="M18" s="245" t="str">
        <f aca="false">IF(OR(H18="",I18="",J18="",K18="",L18=""),"",COUNTIF(H18:L18,"YES")/5*$C$7)</f>
        <v/>
      </c>
      <c r="N18" s="243"/>
    </row>
    <row r="19" customFormat="false" ht="14.25" hidden="false" customHeight="false" outlineLevel="0" collapsed="false">
      <c r="A19" s="242" t="s">
        <v>806</v>
      </c>
      <c r="B19" s="243"/>
      <c r="C19" s="243"/>
      <c r="D19" s="243"/>
      <c r="E19" s="243"/>
      <c r="F19" s="243"/>
      <c r="G19" s="243"/>
      <c r="H19" s="244"/>
      <c r="I19" s="244"/>
      <c r="J19" s="244"/>
      <c r="K19" s="244"/>
      <c r="L19" s="244"/>
      <c r="M19" s="245" t="str">
        <f aca="false">IF(OR(H19="",I19="",J19="",K19="",L19=""),"",COUNTIF(H19:L19,"YES")/5*$C$7)</f>
        <v/>
      </c>
      <c r="N19" s="243"/>
    </row>
    <row r="20" customFormat="false" ht="14.25" hidden="false" customHeight="false" outlineLevel="0" collapsed="false">
      <c r="A20" s="242" t="s">
        <v>807</v>
      </c>
      <c r="B20" s="243"/>
      <c r="C20" s="243"/>
      <c r="D20" s="243"/>
      <c r="E20" s="243"/>
      <c r="F20" s="243"/>
      <c r="G20" s="243"/>
      <c r="H20" s="244"/>
      <c r="I20" s="244"/>
      <c r="J20" s="244"/>
      <c r="K20" s="244"/>
      <c r="L20" s="244"/>
      <c r="M20" s="245" t="str">
        <f aca="false">IF(OR(H20="",I20="",J20="",K20="",L20=""),"",COUNTIF(H20:L20,"YES")/5*$C$7)</f>
        <v/>
      </c>
      <c r="N20" s="243"/>
    </row>
    <row r="21" customFormat="false" ht="14.25" hidden="false" customHeight="false" outlineLevel="0" collapsed="false">
      <c r="A21" s="242" t="s">
        <v>808</v>
      </c>
      <c r="B21" s="243"/>
      <c r="C21" s="243"/>
      <c r="D21" s="243"/>
      <c r="E21" s="243"/>
      <c r="F21" s="243"/>
      <c r="G21" s="243"/>
      <c r="H21" s="244"/>
      <c r="I21" s="244"/>
      <c r="J21" s="244"/>
      <c r="K21" s="244"/>
      <c r="L21" s="244"/>
      <c r="M21" s="245" t="str">
        <f aca="false">IF(OR(H21="",I21="",J21="",K21="",L21=""),"",COUNTIF(H21:L21,"YES")/5*$C$7)</f>
        <v/>
      </c>
      <c r="N21" s="243"/>
    </row>
    <row r="22" customFormat="false" ht="14.25" hidden="false" customHeight="false" outlineLevel="0" collapsed="false">
      <c r="A22" s="242" t="s">
        <v>809</v>
      </c>
      <c r="B22" s="243"/>
      <c r="C22" s="243"/>
      <c r="D22" s="243"/>
      <c r="E22" s="243"/>
      <c r="F22" s="243"/>
      <c r="G22" s="243"/>
      <c r="H22" s="244"/>
      <c r="I22" s="244"/>
      <c r="J22" s="244"/>
      <c r="K22" s="244"/>
      <c r="L22" s="244"/>
      <c r="M22" s="245" t="str">
        <f aca="false">IF(OR(H22="",I22="",J22="",K22="",L22=""),"",COUNTIF(H22:L22,"YES")/5*$C$7)</f>
        <v/>
      </c>
      <c r="N22" s="243"/>
    </row>
    <row r="23" customFormat="false" ht="14.25" hidden="false" customHeight="false" outlineLevel="0" collapsed="false">
      <c r="A23" s="242" t="s">
        <v>810</v>
      </c>
      <c r="B23" s="243"/>
      <c r="C23" s="243"/>
      <c r="D23" s="243"/>
      <c r="E23" s="243"/>
      <c r="F23" s="243"/>
      <c r="G23" s="243"/>
      <c r="H23" s="244"/>
      <c r="I23" s="244"/>
      <c r="J23" s="244"/>
      <c r="K23" s="244"/>
      <c r="L23" s="244"/>
      <c r="M23" s="245" t="str">
        <f aca="false">IF(OR(H23="",I23="",J23="",K23="",L23=""),"",COUNTIF(H23:L23,"YES")/5*$C$7)</f>
        <v/>
      </c>
      <c r="N23" s="243"/>
    </row>
    <row r="24" customFormat="false" ht="14.25" hidden="false" customHeight="false" outlineLevel="0" collapsed="false">
      <c r="A24" s="242" t="s">
        <v>811</v>
      </c>
      <c r="B24" s="243"/>
      <c r="C24" s="243"/>
      <c r="D24" s="243"/>
      <c r="E24" s="243"/>
      <c r="F24" s="243"/>
      <c r="G24" s="243"/>
      <c r="H24" s="244"/>
      <c r="I24" s="244"/>
      <c r="J24" s="244"/>
      <c r="K24" s="244"/>
      <c r="L24" s="244"/>
      <c r="M24" s="245" t="str">
        <f aca="false">IF(OR(H24="",I24="",J24="",K24="",L24=""),"",COUNTIF(H24:L24,"YES")/5*$C$7)</f>
        <v/>
      </c>
      <c r="N24" s="243"/>
    </row>
    <row r="25" customFormat="false" ht="14.25" hidden="false" customHeight="false" outlineLevel="0" collapsed="false">
      <c r="A25" s="242" t="s">
        <v>812</v>
      </c>
      <c r="B25" s="243"/>
      <c r="C25" s="243"/>
      <c r="D25" s="243"/>
      <c r="E25" s="243"/>
      <c r="F25" s="243"/>
      <c r="G25" s="243"/>
      <c r="H25" s="244"/>
      <c r="I25" s="244"/>
      <c r="J25" s="244"/>
      <c r="K25" s="244"/>
      <c r="L25" s="244"/>
      <c r="M25" s="245" t="str">
        <f aca="false">IF(OR(H25="",I25="",J25="",K25="",L25=""),"",COUNTIF(H25:L25,"YES")/5*$C$7)</f>
        <v/>
      </c>
      <c r="N25" s="243"/>
    </row>
    <row r="26" customFormat="false" ht="14.25" hidden="false" customHeight="false" outlineLevel="0" collapsed="false">
      <c r="A26" s="242" t="s">
        <v>813</v>
      </c>
      <c r="B26" s="243"/>
      <c r="C26" s="243"/>
      <c r="D26" s="243"/>
      <c r="E26" s="243"/>
      <c r="F26" s="243"/>
      <c r="G26" s="243"/>
      <c r="H26" s="244"/>
      <c r="I26" s="244"/>
      <c r="J26" s="244"/>
      <c r="K26" s="244"/>
      <c r="L26" s="244"/>
      <c r="M26" s="245" t="str">
        <f aca="false">IF(OR(H26="",I26="",J26="",K26="",L26=""),"",COUNTIF(H26:L26,"YES")/5*$C$7)</f>
        <v/>
      </c>
      <c r="N26" s="243"/>
    </row>
    <row r="27" customFormat="false" ht="14.25" hidden="false" customHeight="false" outlineLevel="0" collapsed="false">
      <c r="A27" s="242" t="s">
        <v>814</v>
      </c>
      <c r="B27" s="243"/>
      <c r="C27" s="243"/>
      <c r="D27" s="243"/>
      <c r="E27" s="243"/>
      <c r="F27" s="243"/>
      <c r="G27" s="243"/>
      <c r="H27" s="244"/>
      <c r="I27" s="244"/>
      <c r="J27" s="244"/>
      <c r="K27" s="244"/>
      <c r="L27" s="244"/>
      <c r="M27" s="245" t="str">
        <f aca="false">IF(OR(H27="",I27="",J27="",K27="",L27=""),"",COUNTIF(H27:L27,"YES")/5*$C$7)</f>
        <v/>
      </c>
      <c r="N27" s="243"/>
    </row>
    <row r="28" customFormat="false" ht="14.25" hidden="false" customHeight="false" outlineLevel="0" collapsed="false">
      <c r="A28" s="242" t="s">
        <v>815</v>
      </c>
      <c r="B28" s="243"/>
      <c r="C28" s="243"/>
      <c r="D28" s="243"/>
      <c r="E28" s="243"/>
      <c r="F28" s="243"/>
      <c r="G28" s="243"/>
      <c r="H28" s="244"/>
      <c r="I28" s="244"/>
      <c r="J28" s="244"/>
      <c r="K28" s="244"/>
      <c r="L28" s="244"/>
      <c r="M28" s="245" t="str">
        <f aca="false">IF(OR(H28="",I28="",J28="",K28="",L28=""),"",COUNTIF(H28:L28,"YES")/5*$C$7)</f>
        <v/>
      </c>
      <c r="N28" s="243"/>
    </row>
    <row r="29" customFormat="false" ht="14.25" hidden="false" customHeight="false" outlineLevel="0" collapsed="false">
      <c r="A29" s="242" t="s">
        <v>816</v>
      </c>
      <c r="B29" s="243"/>
      <c r="C29" s="243"/>
      <c r="D29" s="243"/>
      <c r="E29" s="243"/>
      <c r="F29" s="243"/>
      <c r="G29" s="243"/>
      <c r="H29" s="244"/>
      <c r="I29" s="244"/>
      <c r="J29" s="244"/>
      <c r="K29" s="244"/>
      <c r="L29" s="244"/>
      <c r="M29" s="245" t="str">
        <f aca="false">IF(OR(H29="",I29="",J29="",K29="",L29=""),"",COUNTIF(H29:L29,"YES")/5*$C$7)</f>
        <v/>
      </c>
      <c r="N29" s="243"/>
    </row>
    <row r="30" customFormat="false" ht="14.25" hidden="false" customHeight="false" outlineLevel="0" collapsed="false">
      <c r="A30" s="242" t="s">
        <v>817</v>
      </c>
      <c r="B30" s="243"/>
      <c r="C30" s="243"/>
      <c r="D30" s="243"/>
      <c r="E30" s="243"/>
      <c r="F30" s="243"/>
      <c r="G30" s="243"/>
      <c r="H30" s="244"/>
      <c r="I30" s="244"/>
      <c r="J30" s="244"/>
      <c r="K30" s="244"/>
      <c r="L30" s="244"/>
      <c r="M30" s="245" t="str">
        <f aca="false">IF(OR(H30="",I30="",J30="",K30="",L30=""),"",COUNTIF(H30:L30,"YES")/5*$C$7)</f>
        <v/>
      </c>
      <c r="N30" s="243"/>
    </row>
    <row r="31" customFormat="false" ht="14.25" hidden="false" customHeight="false" outlineLevel="0" collapsed="false">
      <c r="A31" s="242" t="s">
        <v>818</v>
      </c>
      <c r="B31" s="243"/>
      <c r="C31" s="243"/>
      <c r="D31" s="243"/>
      <c r="E31" s="243"/>
      <c r="F31" s="243"/>
      <c r="G31" s="243"/>
      <c r="H31" s="244"/>
      <c r="I31" s="244"/>
      <c r="J31" s="244"/>
      <c r="K31" s="244"/>
      <c r="L31" s="244"/>
      <c r="M31" s="245" t="str">
        <f aca="false">IF(OR(H31="",I31="",J31="",K31="",L31=""),"",COUNTIF(H31:L31,"YES")/5*$C$7)</f>
        <v/>
      </c>
      <c r="N31" s="243"/>
    </row>
    <row r="32" customFormat="false" ht="14.25" hidden="false" customHeight="false" outlineLevel="0" collapsed="false">
      <c r="A32" s="242" t="s">
        <v>819</v>
      </c>
      <c r="B32" s="243"/>
      <c r="C32" s="243"/>
      <c r="D32" s="243"/>
      <c r="E32" s="243"/>
      <c r="F32" s="243"/>
      <c r="G32" s="243"/>
      <c r="H32" s="244"/>
      <c r="I32" s="244"/>
      <c r="J32" s="244"/>
      <c r="K32" s="244"/>
      <c r="L32" s="244"/>
      <c r="M32" s="245" t="str">
        <f aca="false">IF(OR(H32="",I32="",J32="",K32="",L32=""),"",COUNTIF(H32:L32,"YES")/5*$C$7)</f>
        <v/>
      </c>
      <c r="N32" s="243"/>
    </row>
    <row r="33" customFormat="false" ht="14.25" hidden="false" customHeight="false" outlineLevel="0" collapsed="false">
      <c r="A33" s="242" t="s">
        <v>17</v>
      </c>
      <c r="B33" s="243" t="s">
        <v>313</v>
      </c>
      <c r="C33" s="243" t="s">
        <v>1356</v>
      </c>
      <c r="D33" s="243" t="s">
        <v>1357</v>
      </c>
      <c r="E33" s="243" t="s">
        <v>1358</v>
      </c>
      <c r="F33" s="243" t="s">
        <v>1353</v>
      </c>
      <c r="G33" s="243" t="s">
        <v>314</v>
      </c>
      <c r="H33" s="244"/>
      <c r="I33" s="244"/>
      <c r="J33" s="244"/>
      <c r="K33" s="244" t="s">
        <v>1111</v>
      </c>
      <c r="L33" s="244" t="s">
        <v>1111</v>
      </c>
      <c r="M33" s="245" t="str">
        <f aca="false">IF(OR(H33="",I33="",J33="",K33="",L33=""),"",COUNTIF(H33:L33,"YES")/5*$C$7)</f>
        <v/>
      </c>
      <c r="N33" s="243" t="s">
        <v>1359</v>
      </c>
    </row>
    <row r="34" customFormat="false" ht="14.25" hidden="false" customHeight="false" outlineLevel="0" collapsed="false">
      <c r="A34" s="242" t="s">
        <v>820</v>
      </c>
      <c r="B34" s="243"/>
      <c r="C34" s="243"/>
      <c r="D34" s="243"/>
      <c r="E34" s="243"/>
      <c r="F34" s="243"/>
      <c r="G34" s="243"/>
      <c r="H34" s="244"/>
      <c r="I34" s="244"/>
      <c r="J34" s="244"/>
      <c r="K34" s="244"/>
      <c r="L34" s="244"/>
      <c r="M34" s="245" t="str">
        <f aca="false">IF(OR(H34="",I34="",J34="",K34="",L34=""),"",COUNTIF(H34:L34,"YES")/5*$C$7)</f>
        <v/>
      </c>
      <c r="N34" s="243"/>
    </row>
    <row r="35" customFormat="false" ht="14.25" hidden="false" customHeight="false" outlineLevel="0" collapsed="false">
      <c r="A35" s="242" t="s">
        <v>821</v>
      </c>
      <c r="B35" s="243"/>
      <c r="C35" s="243"/>
      <c r="D35" s="243"/>
      <c r="E35" s="243"/>
      <c r="F35" s="243"/>
      <c r="G35" s="243"/>
      <c r="H35" s="244"/>
      <c r="I35" s="244"/>
      <c r="J35" s="244"/>
      <c r="K35" s="244"/>
      <c r="L35" s="244"/>
      <c r="M35" s="245" t="str">
        <f aca="false">IF(OR(H35="",I35="",J35="",K35="",L35=""),"",COUNTIF(H35:L35,"YES")/5*$C$7)</f>
        <v/>
      </c>
      <c r="N35" s="243"/>
    </row>
    <row r="36" customFormat="false" ht="14.25" hidden="false" customHeight="false" outlineLevel="0" collapsed="false">
      <c r="A36" s="242" t="s">
        <v>822</v>
      </c>
      <c r="B36" s="243"/>
      <c r="C36" s="243"/>
      <c r="D36" s="243"/>
      <c r="E36" s="243"/>
      <c r="F36" s="243"/>
      <c r="G36" s="243"/>
      <c r="H36" s="244"/>
      <c r="I36" s="244"/>
      <c r="J36" s="244"/>
      <c r="K36" s="244"/>
      <c r="L36" s="244"/>
      <c r="M36" s="245" t="str">
        <f aca="false">IF(OR(H36="",I36="",J36="",K36="",L36=""),"",COUNTIF(H36:L36,"YES")/5*$C$7)</f>
        <v/>
      </c>
      <c r="N36" s="243"/>
    </row>
    <row r="37" customFormat="false" ht="14.25" hidden="false" customHeight="false" outlineLevel="0" collapsed="false">
      <c r="A37" s="242" t="s">
        <v>823</v>
      </c>
      <c r="B37" s="243"/>
      <c r="C37" s="243"/>
      <c r="D37" s="243"/>
      <c r="E37" s="243"/>
      <c r="F37" s="243"/>
      <c r="G37" s="243"/>
      <c r="H37" s="244"/>
      <c r="I37" s="244"/>
      <c r="J37" s="244"/>
      <c r="K37" s="244"/>
      <c r="L37" s="244"/>
      <c r="M37" s="245" t="str">
        <f aca="false">IF(OR(H37="",I37="",J37="",K37="",L37=""),"",COUNTIF(H37:L37,"YES")/5*$C$7)</f>
        <v/>
      </c>
      <c r="N37" s="243"/>
    </row>
    <row r="38" customFormat="false" ht="14.25" hidden="false" customHeight="false" outlineLevel="0" collapsed="false">
      <c r="A38" s="242" t="s">
        <v>824</v>
      </c>
      <c r="B38" s="243"/>
      <c r="C38" s="243"/>
      <c r="D38" s="243"/>
      <c r="E38" s="243"/>
      <c r="F38" s="243"/>
      <c r="G38" s="243"/>
      <c r="H38" s="244"/>
      <c r="I38" s="244"/>
      <c r="J38" s="244"/>
      <c r="K38" s="244"/>
      <c r="L38" s="244"/>
      <c r="M38" s="245" t="str">
        <f aca="false">IF(OR(H38="",I38="",J38="",K38="",L38=""),"",COUNTIF(H38:L38,"YES")/5*$C$7)</f>
        <v/>
      </c>
      <c r="N38" s="243"/>
    </row>
    <row r="39" customFormat="false" ht="14.25" hidden="false" customHeight="false" outlineLevel="0" collapsed="false">
      <c r="A39" s="242" t="s">
        <v>825</v>
      </c>
      <c r="B39" s="243"/>
      <c r="C39" s="243"/>
      <c r="D39" s="243"/>
      <c r="E39" s="243"/>
      <c r="F39" s="243"/>
      <c r="G39" s="243"/>
      <c r="H39" s="244"/>
      <c r="I39" s="244"/>
      <c r="J39" s="244"/>
      <c r="K39" s="244"/>
      <c r="L39" s="244"/>
      <c r="M39" s="245" t="str">
        <f aca="false">IF(OR(H39="",I39="",J39="",K39="",L39=""),"",COUNTIF(H39:L39,"YES")/5*$C$7)</f>
        <v/>
      </c>
      <c r="N39" s="243"/>
    </row>
    <row r="40" customFormat="false" ht="14.25" hidden="false" customHeight="false" outlineLevel="0" collapsed="false">
      <c r="A40" s="242" t="s">
        <v>826</v>
      </c>
      <c r="B40" s="243"/>
      <c r="C40" s="243"/>
      <c r="D40" s="243"/>
      <c r="E40" s="243"/>
      <c r="F40" s="243"/>
      <c r="G40" s="243"/>
      <c r="H40" s="244"/>
      <c r="I40" s="244"/>
      <c r="J40" s="244"/>
      <c r="K40" s="244"/>
      <c r="L40" s="244"/>
      <c r="M40" s="245" t="str">
        <f aca="false">IF(OR(H40="",I40="",J40="",K40="",L40=""),"",COUNTIF(H40:L40,"YES")/5*$C$7)</f>
        <v/>
      </c>
      <c r="N40" s="243"/>
    </row>
    <row r="41" customFormat="false" ht="14.25" hidden="false" customHeight="false" outlineLevel="0" collapsed="false">
      <c r="A41" s="242" t="s">
        <v>827</v>
      </c>
      <c r="B41" s="243"/>
      <c r="C41" s="243"/>
      <c r="D41" s="243"/>
      <c r="E41" s="243"/>
      <c r="F41" s="243"/>
      <c r="G41" s="243"/>
      <c r="H41" s="244"/>
      <c r="I41" s="244"/>
      <c r="J41" s="244"/>
      <c r="K41" s="244"/>
      <c r="L41" s="244"/>
      <c r="M41" s="245" t="str">
        <f aca="false">IF(OR(H41="",I41="",J41="",K41="",L41=""),"",COUNTIF(H41:L41,"YES")/5*$C$7)</f>
        <v/>
      </c>
      <c r="N41" s="243"/>
    </row>
  </sheetData>
  <dataValidations count="1">
    <dataValidation allowBlank="true" error="Please enter a valid value (see note above the column)." errorStyle="stop" errorTitle="Invalid entry" operator="between" showDropDown="false" showErrorMessage="true" showInputMessage="false" sqref="H13:L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324</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Is there a clear mandate in the law for a parking policy?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mandates the ULG to prepare and/or adopt a standalone parking policy or parking management policy.A general provision prescribing parking standards for individual buildings/developments, or empowering the ULG to regulate parking, shall not qualify. The law must specifically provide for the preparation/adoption of a city-level parking policy.Distinguish between mandatory and enabling provisions:Score 5 where the law uses mandatory language (e.g., “shall”) requiring the ULG/city to prepare or adopt a standalone Parking Policy/Parking Management Policy.Score 2.5 where the law uses enabling/discretionary language (e.g., “may”) permitting the ULG/city to prepare or adopt such a policy.Score 0 where there is no such statutory provision.</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1360</v>
      </c>
    </row>
    <row r="11" customFormat="false" ht="28.5" hidden="false" customHeight="true" outlineLevel="0" collapsed="false">
      <c r="H11" s="238" t="s">
        <v>1349</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1361</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IF(H13="","",IF(H13="SHALL",$C$7,IF(H13="MAY",$C$7/2,0)))</f>
        <v/>
      </c>
      <c r="J13" s="243"/>
    </row>
    <row r="14" customFormat="false" ht="14.25" hidden="false" customHeight="false" outlineLevel="0" collapsed="false">
      <c r="A14" s="242" t="s">
        <v>801</v>
      </c>
      <c r="B14" s="243"/>
      <c r="C14" s="243"/>
      <c r="D14" s="243"/>
      <c r="E14" s="243"/>
      <c r="F14" s="243"/>
      <c r="G14" s="243"/>
      <c r="H14" s="244"/>
      <c r="I14" s="245" t="str">
        <f aca="false">IF(H14="","",IF(H14="SHALL",$C$7,IF(H14="MAY",$C$7/2,0)))</f>
        <v/>
      </c>
      <c r="J14" s="243"/>
    </row>
    <row r="15" customFormat="false" ht="14.25" hidden="false" customHeight="false" outlineLevel="0" collapsed="false">
      <c r="A15" s="242" t="s">
        <v>802</v>
      </c>
      <c r="B15" s="243"/>
      <c r="C15" s="243"/>
      <c r="D15" s="243"/>
      <c r="E15" s="243"/>
      <c r="F15" s="243"/>
      <c r="G15" s="243"/>
      <c r="H15" s="244"/>
      <c r="I15" s="245" t="str">
        <f aca="false">IF(H15="","",IF(H15="SHALL",$C$7,IF(H15="MAY",$C$7/2,0)))</f>
        <v/>
      </c>
      <c r="J15" s="243"/>
    </row>
    <row r="16" customFormat="false" ht="14.25" hidden="false" customHeight="false" outlineLevel="0" collapsed="false">
      <c r="A16" s="242" t="s">
        <v>803</v>
      </c>
      <c r="B16" s="243"/>
      <c r="C16" s="243"/>
      <c r="D16" s="243"/>
      <c r="E16" s="243"/>
      <c r="F16" s="243"/>
      <c r="G16" s="243"/>
      <c r="H16" s="244"/>
      <c r="I16" s="245" t="str">
        <f aca="false">IF(H16="","",IF(H16="SHALL",$C$7,IF(H16="MAY",$C$7/2,0)))</f>
        <v/>
      </c>
      <c r="J16" s="243"/>
    </row>
    <row r="17" customFormat="false" ht="14.25" hidden="false" customHeight="false" outlineLevel="0" collapsed="false">
      <c r="A17" s="242" t="s">
        <v>804</v>
      </c>
      <c r="B17" s="243"/>
      <c r="C17" s="243"/>
      <c r="D17" s="243"/>
      <c r="E17" s="243"/>
      <c r="F17" s="243"/>
      <c r="G17" s="243"/>
      <c r="H17" s="244"/>
      <c r="I17" s="245" t="str">
        <f aca="false">IF(H17="","",IF(H17="SHALL",$C$7,IF(H17="MAY",$C$7/2,0)))</f>
        <v/>
      </c>
      <c r="J17" s="243"/>
    </row>
    <row r="18" customFormat="false" ht="14.25" hidden="false" customHeight="false" outlineLevel="0" collapsed="false">
      <c r="A18" s="242" t="s">
        <v>805</v>
      </c>
      <c r="B18" s="243"/>
      <c r="C18" s="243"/>
      <c r="D18" s="243"/>
      <c r="E18" s="243"/>
      <c r="F18" s="243"/>
      <c r="G18" s="243"/>
      <c r="H18" s="244"/>
      <c r="I18" s="245" t="str">
        <f aca="false">IF(H18="","",IF(H18="SHALL",$C$7,IF(H18="MAY",$C$7/2,0)))</f>
        <v/>
      </c>
      <c r="J18" s="243"/>
    </row>
    <row r="19" customFormat="false" ht="14.25" hidden="false" customHeight="false" outlineLevel="0" collapsed="false">
      <c r="A19" s="242" t="s">
        <v>806</v>
      </c>
      <c r="B19" s="243"/>
      <c r="C19" s="243"/>
      <c r="D19" s="243"/>
      <c r="E19" s="243"/>
      <c r="F19" s="243"/>
      <c r="G19" s="243"/>
      <c r="H19" s="244"/>
      <c r="I19" s="245" t="str">
        <f aca="false">IF(H19="","",IF(H19="SHALL",$C$7,IF(H19="MAY",$C$7/2,0)))</f>
        <v/>
      </c>
      <c r="J19" s="243"/>
    </row>
    <row r="20" customFormat="false" ht="14.25" hidden="false" customHeight="false" outlineLevel="0" collapsed="false">
      <c r="A20" s="242" t="s">
        <v>807</v>
      </c>
      <c r="B20" s="243"/>
      <c r="C20" s="243"/>
      <c r="D20" s="243"/>
      <c r="E20" s="243"/>
      <c r="F20" s="243"/>
      <c r="G20" s="243"/>
      <c r="H20" s="244"/>
      <c r="I20" s="245" t="str">
        <f aca="false">IF(H20="","",IF(H20="SHALL",$C$7,IF(H20="MAY",$C$7/2,0)))</f>
        <v/>
      </c>
      <c r="J20" s="243"/>
    </row>
    <row r="21" customFormat="false" ht="14.25" hidden="false" customHeight="false" outlineLevel="0" collapsed="false">
      <c r="A21" s="242" t="s">
        <v>808</v>
      </c>
      <c r="B21" s="243"/>
      <c r="C21" s="243"/>
      <c r="D21" s="243"/>
      <c r="E21" s="243"/>
      <c r="F21" s="243"/>
      <c r="G21" s="243"/>
      <c r="H21" s="244"/>
      <c r="I21" s="245" t="str">
        <f aca="false">IF(H21="","",IF(H21="SHALL",$C$7,IF(H21="MAY",$C$7/2,0)))</f>
        <v/>
      </c>
      <c r="J21" s="243"/>
    </row>
    <row r="22" customFormat="false" ht="14.25" hidden="false" customHeight="false" outlineLevel="0" collapsed="false">
      <c r="A22" s="242" t="s">
        <v>809</v>
      </c>
      <c r="B22" s="243"/>
      <c r="C22" s="243"/>
      <c r="D22" s="243"/>
      <c r="E22" s="243"/>
      <c r="F22" s="243"/>
      <c r="G22" s="243"/>
      <c r="H22" s="244"/>
      <c r="I22" s="245" t="str">
        <f aca="false">IF(H22="","",IF(H22="SHALL",$C$7,IF(H22="MAY",$C$7/2,0)))</f>
        <v/>
      </c>
      <c r="J22" s="243"/>
    </row>
    <row r="23" customFormat="false" ht="14.25" hidden="false" customHeight="false" outlineLevel="0" collapsed="false">
      <c r="A23" s="242" t="s">
        <v>810</v>
      </c>
      <c r="B23" s="243"/>
      <c r="C23" s="243"/>
      <c r="D23" s="243"/>
      <c r="E23" s="243"/>
      <c r="F23" s="243"/>
      <c r="G23" s="243"/>
      <c r="H23" s="244"/>
      <c r="I23" s="245" t="str">
        <f aca="false">IF(H23="","",IF(H23="SHALL",$C$7,IF(H23="MAY",$C$7/2,0)))</f>
        <v/>
      </c>
      <c r="J23" s="243"/>
    </row>
    <row r="24" customFormat="false" ht="14.25" hidden="false" customHeight="false" outlineLevel="0" collapsed="false">
      <c r="A24" s="242" t="s">
        <v>811</v>
      </c>
      <c r="B24" s="243"/>
      <c r="C24" s="243"/>
      <c r="D24" s="243"/>
      <c r="E24" s="243"/>
      <c r="F24" s="243"/>
      <c r="G24" s="243"/>
      <c r="H24" s="244"/>
      <c r="I24" s="245" t="str">
        <f aca="false">IF(H24="","",IF(H24="SHALL",$C$7,IF(H24="MAY",$C$7/2,0)))</f>
        <v/>
      </c>
      <c r="J24" s="243"/>
    </row>
    <row r="25" customFormat="false" ht="14.25" hidden="false" customHeight="false" outlineLevel="0" collapsed="false">
      <c r="A25" s="242" t="s">
        <v>812</v>
      </c>
      <c r="B25" s="243"/>
      <c r="C25" s="243"/>
      <c r="D25" s="243"/>
      <c r="E25" s="243"/>
      <c r="F25" s="243"/>
      <c r="G25" s="243"/>
      <c r="H25" s="244"/>
      <c r="I25" s="245" t="str">
        <f aca="false">IF(H25="","",IF(H25="SHALL",$C$7,IF(H25="MAY",$C$7/2,0)))</f>
        <v/>
      </c>
      <c r="J25" s="243"/>
    </row>
    <row r="26" customFormat="false" ht="14.25" hidden="false" customHeight="false" outlineLevel="0" collapsed="false">
      <c r="A26" s="242" t="s">
        <v>813</v>
      </c>
      <c r="B26" s="243"/>
      <c r="C26" s="243"/>
      <c r="D26" s="243"/>
      <c r="E26" s="243"/>
      <c r="F26" s="243"/>
      <c r="G26" s="243"/>
      <c r="H26" s="244"/>
      <c r="I26" s="245" t="str">
        <f aca="false">IF(H26="","",IF(H26="SHALL",$C$7,IF(H26="MAY",$C$7/2,0)))</f>
        <v/>
      </c>
      <c r="J26" s="243"/>
    </row>
    <row r="27" customFormat="false" ht="14.25" hidden="false" customHeight="false" outlineLevel="0" collapsed="false">
      <c r="A27" s="242" t="s">
        <v>814</v>
      </c>
      <c r="B27" s="243"/>
      <c r="C27" s="243"/>
      <c r="D27" s="243"/>
      <c r="E27" s="243"/>
      <c r="F27" s="243"/>
      <c r="G27" s="243"/>
      <c r="H27" s="244"/>
      <c r="I27" s="245" t="str">
        <f aca="false">IF(H27="","",IF(H27="SHALL",$C$7,IF(H27="MAY",$C$7/2,0)))</f>
        <v/>
      </c>
      <c r="J27" s="243"/>
    </row>
    <row r="28" customFormat="false" ht="14.25" hidden="false" customHeight="false" outlineLevel="0" collapsed="false">
      <c r="A28" s="242" t="s">
        <v>815</v>
      </c>
      <c r="B28" s="243"/>
      <c r="C28" s="243"/>
      <c r="D28" s="243"/>
      <c r="E28" s="243"/>
      <c r="F28" s="243"/>
      <c r="G28" s="243"/>
      <c r="H28" s="244"/>
      <c r="I28" s="245" t="str">
        <f aca="false">IF(H28="","",IF(H28="SHALL",$C$7,IF(H28="MAY",$C$7/2,0)))</f>
        <v/>
      </c>
      <c r="J28" s="243"/>
    </row>
    <row r="29" customFormat="false" ht="14.25" hidden="false" customHeight="false" outlineLevel="0" collapsed="false">
      <c r="A29" s="242" t="s">
        <v>816</v>
      </c>
      <c r="B29" s="243"/>
      <c r="C29" s="243"/>
      <c r="D29" s="243"/>
      <c r="E29" s="243"/>
      <c r="F29" s="243"/>
      <c r="G29" s="243"/>
      <c r="H29" s="244"/>
      <c r="I29" s="245" t="str">
        <f aca="false">IF(H29="","",IF(H29="SHALL",$C$7,IF(H29="MAY",$C$7/2,0)))</f>
        <v/>
      </c>
      <c r="J29" s="243"/>
    </row>
    <row r="30" customFormat="false" ht="14.25" hidden="false" customHeight="false" outlineLevel="0" collapsed="false">
      <c r="A30" s="242" t="s">
        <v>817</v>
      </c>
      <c r="B30" s="243"/>
      <c r="C30" s="243"/>
      <c r="D30" s="243"/>
      <c r="E30" s="243"/>
      <c r="F30" s="243"/>
      <c r="G30" s="243"/>
      <c r="H30" s="244"/>
      <c r="I30" s="245" t="str">
        <f aca="false">IF(H30="","",IF(H30="SHALL",$C$7,IF(H30="MAY",$C$7/2,0)))</f>
        <v/>
      </c>
      <c r="J30" s="243"/>
    </row>
    <row r="31" customFormat="false" ht="14.25" hidden="false" customHeight="false" outlineLevel="0" collapsed="false">
      <c r="A31" s="242" t="s">
        <v>818</v>
      </c>
      <c r="B31" s="243"/>
      <c r="C31" s="243"/>
      <c r="D31" s="243"/>
      <c r="E31" s="243"/>
      <c r="F31" s="243"/>
      <c r="G31" s="243"/>
      <c r="H31" s="244"/>
      <c r="I31" s="245" t="str">
        <f aca="false">IF(H31="","",IF(H31="SHALL",$C$7,IF(H31="MAY",$C$7/2,0)))</f>
        <v/>
      </c>
      <c r="J31" s="243"/>
    </row>
    <row r="32" customFormat="false" ht="14.25" hidden="false" customHeight="false" outlineLevel="0" collapsed="false">
      <c r="A32" s="242" t="s">
        <v>819</v>
      </c>
      <c r="B32" s="243"/>
      <c r="C32" s="243"/>
      <c r="D32" s="243"/>
      <c r="E32" s="243"/>
      <c r="F32" s="243"/>
      <c r="G32" s="243"/>
      <c r="H32" s="244"/>
      <c r="I32" s="245" t="str">
        <f aca="false">IF(H32="","",IF(H32="SHALL",$C$7,IF(H32="MAY",$C$7/2,0)))</f>
        <v/>
      </c>
      <c r="J32" s="243"/>
    </row>
    <row r="33" customFormat="false" ht="14.25" hidden="false" customHeight="false" outlineLevel="0" collapsed="false">
      <c r="A33" s="242" t="s">
        <v>17</v>
      </c>
      <c r="B33" s="243" t="s">
        <v>327</v>
      </c>
      <c r="C33" s="243" t="s">
        <v>1362</v>
      </c>
      <c r="D33" s="243" t="s">
        <v>1363</v>
      </c>
      <c r="E33" s="243" t="s">
        <v>1364</v>
      </c>
      <c r="F33" s="243" t="s">
        <v>1365</v>
      </c>
      <c r="G33" s="243" t="s">
        <v>328</v>
      </c>
      <c r="H33" s="244"/>
      <c r="I33" s="245" t="str">
        <f aca="false">IF(H33="","",IF(H33="SHALL",$C$7,IF(H33="MAY",$C$7/2,0)))</f>
        <v/>
      </c>
      <c r="J33" s="243" t="s">
        <v>1366</v>
      </c>
    </row>
    <row r="34" customFormat="false" ht="14.25" hidden="false" customHeight="false" outlineLevel="0" collapsed="false">
      <c r="A34" s="242" t="s">
        <v>820</v>
      </c>
      <c r="B34" s="243"/>
      <c r="C34" s="243"/>
      <c r="D34" s="243"/>
      <c r="E34" s="243"/>
      <c r="F34" s="243"/>
      <c r="G34" s="243"/>
      <c r="H34" s="244"/>
      <c r="I34" s="245" t="str">
        <f aca="false">IF(H34="","",IF(H34="SHALL",$C$7,IF(H34="MAY",$C$7/2,0)))</f>
        <v/>
      </c>
      <c r="J34" s="243"/>
    </row>
    <row r="35" customFormat="false" ht="14.25" hidden="false" customHeight="false" outlineLevel="0" collapsed="false">
      <c r="A35" s="242" t="s">
        <v>821</v>
      </c>
      <c r="B35" s="243"/>
      <c r="C35" s="243"/>
      <c r="D35" s="243"/>
      <c r="E35" s="243"/>
      <c r="F35" s="243"/>
      <c r="G35" s="243"/>
      <c r="H35" s="244"/>
      <c r="I35" s="245" t="str">
        <f aca="false">IF(H35="","",IF(H35="SHALL",$C$7,IF(H35="MAY",$C$7/2,0)))</f>
        <v/>
      </c>
      <c r="J35" s="243"/>
    </row>
    <row r="36" customFormat="false" ht="14.25" hidden="false" customHeight="false" outlineLevel="0" collapsed="false">
      <c r="A36" s="242" t="s">
        <v>822</v>
      </c>
      <c r="B36" s="243"/>
      <c r="C36" s="243"/>
      <c r="D36" s="243"/>
      <c r="E36" s="243"/>
      <c r="F36" s="243"/>
      <c r="G36" s="243"/>
      <c r="H36" s="244"/>
      <c r="I36" s="245" t="str">
        <f aca="false">IF(H36="","",IF(H36="SHALL",$C$7,IF(H36="MAY",$C$7/2,0)))</f>
        <v/>
      </c>
      <c r="J36" s="243"/>
    </row>
    <row r="37" customFormat="false" ht="14.25" hidden="false" customHeight="false" outlineLevel="0" collapsed="false">
      <c r="A37" s="242" t="s">
        <v>823</v>
      </c>
      <c r="B37" s="243"/>
      <c r="C37" s="243"/>
      <c r="D37" s="243"/>
      <c r="E37" s="243"/>
      <c r="F37" s="243"/>
      <c r="G37" s="243"/>
      <c r="H37" s="244"/>
      <c r="I37" s="245" t="str">
        <f aca="false">IF(H37="","",IF(H37="SHALL",$C$7,IF(H37="MAY",$C$7/2,0)))</f>
        <v/>
      </c>
      <c r="J37" s="243"/>
    </row>
    <row r="38" customFormat="false" ht="14.25" hidden="false" customHeight="false" outlineLevel="0" collapsed="false">
      <c r="A38" s="242" t="s">
        <v>824</v>
      </c>
      <c r="B38" s="243"/>
      <c r="C38" s="243"/>
      <c r="D38" s="243"/>
      <c r="E38" s="243"/>
      <c r="F38" s="243"/>
      <c r="G38" s="243"/>
      <c r="H38" s="244"/>
      <c r="I38" s="245" t="str">
        <f aca="false">IF(H38="","",IF(H38="SHALL",$C$7,IF(H38="MAY",$C$7/2,0)))</f>
        <v/>
      </c>
      <c r="J38" s="243"/>
    </row>
    <row r="39" customFormat="false" ht="14.25" hidden="false" customHeight="false" outlineLevel="0" collapsed="false">
      <c r="A39" s="242" t="s">
        <v>825</v>
      </c>
      <c r="B39" s="243"/>
      <c r="C39" s="243"/>
      <c r="D39" s="243"/>
      <c r="E39" s="243"/>
      <c r="F39" s="243"/>
      <c r="G39" s="243"/>
      <c r="H39" s="244"/>
      <c r="I39" s="245" t="str">
        <f aca="false">IF(H39="","",IF(H39="SHALL",$C$7,IF(H39="MAY",$C$7/2,0)))</f>
        <v/>
      </c>
      <c r="J39" s="243"/>
    </row>
    <row r="40" customFormat="false" ht="14.25" hidden="false" customHeight="false" outlineLevel="0" collapsed="false">
      <c r="A40" s="242" t="s">
        <v>826</v>
      </c>
      <c r="B40" s="243"/>
      <c r="C40" s="243"/>
      <c r="D40" s="243"/>
      <c r="E40" s="243"/>
      <c r="F40" s="243"/>
      <c r="G40" s="243"/>
      <c r="H40" s="244"/>
      <c r="I40" s="245" t="str">
        <f aca="false">IF(H40="","",IF(H40="SHALL",$C$7,IF(H40="MAY",$C$7/2,0)))</f>
        <v/>
      </c>
      <c r="J40" s="243"/>
    </row>
    <row r="41" customFormat="false" ht="14.25" hidden="false" customHeight="false" outlineLevel="0" collapsed="false">
      <c r="A41" s="242" t="s">
        <v>827</v>
      </c>
      <c r="B41" s="243"/>
      <c r="C41" s="243"/>
      <c r="D41" s="243"/>
      <c r="E41" s="243"/>
      <c r="F41" s="243"/>
      <c r="G41" s="243"/>
      <c r="H41" s="244"/>
      <c r="I41" s="245" t="str">
        <f aca="false">IF(H41="","",IF(H41="SHALL",$C$7,IF(H41="MAY",$C$7/2,0)))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"SHALL,MAY,NONE"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332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Has the parking policy been implemented?</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policy.Score 5 if a city-level parking policy exists or its formal adoption can be established through reliable evidence.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Score this question independently of the legal mandate. A city may score 5 on this question even where there is no legal mandate for a parking policy.</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23.85" hidden="false" customHeight="false" outlineLevel="0" collapsed="false">
      <c r="A33" s="242" t="s">
        <v>17</v>
      </c>
      <c r="B33" s="243" t="s">
        <v>276</v>
      </c>
      <c r="C33" s="243" t="s">
        <v>1367</v>
      </c>
      <c r="D33" s="243" t="s">
        <v>1368</v>
      </c>
      <c r="E33" s="243"/>
      <c r="F33" s="243" t="s">
        <v>423</v>
      </c>
      <c r="G33" s="243" t="s">
        <v>277</v>
      </c>
      <c r="H33" s="244" t="s">
        <v>1111</v>
      </c>
      <c r="I33" s="245" t="n">
        <f aca="false">IF(H33="YES",$C$7,IF(H33="NO",0,""))</f>
        <v>5</v>
      </c>
      <c r="J33" s="246" t="s">
        <v>1369</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337</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Applicability and currency of DCRs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city-specific Development Control Regulation (DCR)?</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applicable DCR to determine whether a city-specific DCR applies. Evidence can be present on the websites of the ULG/Development Authority/T&amp;CP/UDD Department. Score 10 — A city-specific DCR is applicable to the city.Score 0 — The city relies on a generic/state-wide DCR and does not have a city-specific DCR.NA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1370</v>
      </c>
    </row>
    <row r="11" customFormat="false" ht="28.5" hidden="false" customHeight="true" outlineLevel="0" collapsed="false">
      <c r="H11" s="238" t="s">
        <v>1153</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c r="K12" s="241" t="s">
        <v>1371</v>
      </c>
    </row>
    <row r="13" customFormat="false" ht="14.25" hidden="false" customHeight="false" outlineLevel="0" collapsed="false">
      <c r="A13" s="242" t="s">
        <v>800</v>
      </c>
      <c r="B13" s="243"/>
      <c r="C13" s="243"/>
      <c r="D13" s="243"/>
      <c r="E13" s="243"/>
      <c r="F13" s="243"/>
      <c r="G13" s="243"/>
      <c r="H13" s="244"/>
      <c r="I13" s="245" t="str">
        <f aca="false">IF(H13="NA","NA",IF(H13="YES",$C$7,IF(H13="NO",0,"")))</f>
        <v/>
      </c>
      <c r="J13" s="243"/>
      <c r="K13" s="243"/>
    </row>
    <row r="14" customFormat="false" ht="14.25" hidden="false" customHeight="false" outlineLevel="0" collapsed="false">
      <c r="A14" s="242" t="s">
        <v>801</v>
      </c>
      <c r="B14" s="243"/>
      <c r="C14" s="243"/>
      <c r="D14" s="243"/>
      <c r="E14" s="243"/>
      <c r="F14" s="243"/>
      <c r="G14" s="243"/>
      <c r="H14" s="244"/>
      <c r="I14" s="245" t="str">
        <f aca="false">IF(H14="NA","NA",IF(H14="YES",$C$7,IF(H14="NO",0,"")))</f>
        <v/>
      </c>
      <c r="J14" s="243"/>
      <c r="K14" s="243"/>
    </row>
    <row r="15" customFormat="false" ht="14.25" hidden="false" customHeight="false" outlineLevel="0" collapsed="false">
      <c r="A15" s="242" t="s">
        <v>802</v>
      </c>
      <c r="B15" s="243"/>
      <c r="C15" s="243"/>
      <c r="D15" s="243"/>
      <c r="E15" s="243"/>
      <c r="F15" s="243"/>
      <c r="G15" s="243"/>
      <c r="H15" s="244"/>
      <c r="I15" s="245" t="str">
        <f aca="false">IF(H15="NA","NA",IF(H15="YES",$C$7,IF(H15="NO",0,"")))</f>
        <v/>
      </c>
      <c r="J15" s="243"/>
      <c r="K15" s="243"/>
    </row>
    <row r="16" customFormat="false" ht="14.25" hidden="false" customHeight="false" outlineLevel="0" collapsed="false">
      <c r="A16" s="242" t="s">
        <v>803</v>
      </c>
      <c r="B16" s="243"/>
      <c r="C16" s="243"/>
      <c r="D16" s="243"/>
      <c r="E16" s="243"/>
      <c r="F16" s="243"/>
      <c r="G16" s="243"/>
      <c r="H16" s="244"/>
      <c r="I16" s="245" t="str">
        <f aca="false">IF(H16="NA","NA",IF(H16="YES",$C$7,IF(H16="NO",0,"")))</f>
        <v/>
      </c>
      <c r="J16" s="243"/>
      <c r="K16" s="243"/>
    </row>
    <row r="17" customFormat="false" ht="14.25" hidden="false" customHeight="false" outlineLevel="0" collapsed="false">
      <c r="A17" s="242" t="s">
        <v>804</v>
      </c>
      <c r="B17" s="243"/>
      <c r="C17" s="243"/>
      <c r="D17" s="243"/>
      <c r="E17" s="243"/>
      <c r="F17" s="243"/>
      <c r="G17" s="243"/>
      <c r="H17" s="244"/>
      <c r="I17" s="245" t="str">
        <f aca="false">IF(H17="NA","NA",IF(H17="YES",$C$7,IF(H17="NO",0,"")))</f>
        <v/>
      </c>
      <c r="J17" s="243"/>
      <c r="K17" s="243"/>
    </row>
    <row r="18" customFormat="false" ht="14.25" hidden="false" customHeight="false" outlineLevel="0" collapsed="false">
      <c r="A18" s="242" t="s">
        <v>805</v>
      </c>
      <c r="B18" s="243"/>
      <c r="C18" s="243"/>
      <c r="D18" s="243"/>
      <c r="E18" s="243"/>
      <c r="F18" s="243"/>
      <c r="G18" s="243"/>
      <c r="H18" s="244"/>
      <c r="I18" s="245" t="str">
        <f aca="false">IF(H18="NA","NA",IF(H18="YES",$C$7,IF(H18="NO",0,"")))</f>
        <v/>
      </c>
      <c r="J18" s="243"/>
      <c r="K18" s="243"/>
    </row>
    <row r="19" customFormat="false" ht="14.25" hidden="false" customHeight="false" outlineLevel="0" collapsed="false">
      <c r="A19" s="242" t="s">
        <v>806</v>
      </c>
      <c r="B19" s="243"/>
      <c r="C19" s="243"/>
      <c r="D19" s="243"/>
      <c r="E19" s="243"/>
      <c r="F19" s="243"/>
      <c r="G19" s="243"/>
      <c r="H19" s="244"/>
      <c r="I19" s="245" t="str">
        <f aca="false">IF(H19="NA","NA",IF(H19="YES",$C$7,IF(H19="NO",0,"")))</f>
        <v/>
      </c>
      <c r="J19" s="243"/>
      <c r="K19" s="243"/>
    </row>
    <row r="20" customFormat="false" ht="14.25" hidden="false" customHeight="false" outlineLevel="0" collapsed="false">
      <c r="A20" s="242" t="s">
        <v>807</v>
      </c>
      <c r="B20" s="243"/>
      <c r="C20" s="243"/>
      <c r="D20" s="243"/>
      <c r="E20" s="243"/>
      <c r="F20" s="243"/>
      <c r="G20" s="243"/>
      <c r="H20" s="244"/>
      <c r="I20" s="245" t="str">
        <f aca="false">IF(H20="NA","NA",IF(H20="YES",$C$7,IF(H20="NO",0,"")))</f>
        <v/>
      </c>
      <c r="J20" s="243"/>
      <c r="K20" s="243"/>
    </row>
    <row r="21" customFormat="false" ht="14.25" hidden="false" customHeight="false" outlineLevel="0" collapsed="false">
      <c r="A21" s="242" t="s">
        <v>808</v>
      </c>
      <c r="B21" s="243"/>
      <c r="C21" s="243"/>
      <c r="D21" s="243"/>
      <c r="E21" s="243"/>
      <c r="F21" s="243"/>
      <c r="G21" s="243"/>
      <c r="H21" s="244"/>
      <c r="I21" s="245" t="str">
        <f aca="false">IF(H21="NA","NA",IF(H21="YES",$C$7,IF(H21="NO",0,"")))</f>
        <v/>
      </c>
      <c r="J21" s="243"/>
      <c r="K21" s="243"/>
    </row>
    <row r="22" customFormat="false" ht="14.25" hidden="false" customHeight="false" outlineLevel="0" collapsed="false">
      <c r="A22" s="242" t="s">
        <v>809</v>
      </c>
      <c r="B22" s="243"/>
      <c r="C22" s="243"/>
      <c r="D22" s="243"/>
      <c r="E22" s="243"/>
      <c r="F22" s="243"/>
      <c r="G22" s="243"/>
      <c r="H22" s="244"/>
      <c r="I22" s="245" t="str">
        <f aca="false">IF(H22="NA","NA",IF(H22="YES",$C$7,IF(H22="NO",0,"")))</f>
        <v/>
      </c>
      <c r="J22" s="243"/>
      <c r="K22" s="243"/>
    </row>
    <row r="23" customFormat="false" ht="14.25" hidden="false" customHeight="false" outlineLevel="0" collapsed="false">
      <c r="A23" s="242" t="s">
        <v>810</v>
      </c>
      <c r="B23" s="243"/>
      <c r="C23" s="243"/>
      <c r="D23" s="243"/>
      <c r="E23" s="243"/>
      <c r="F23" s="243"/>
      <c r="G23" s="243"/>
      <c r="H23" s="244"/>
      <c r="I23" s="245" t="str">
        <f aca="false">IF(H23="NA","NA",IF(H23="YES",$C$7,IF(H23="NO",0,"")))</f>
        <v/>
      </c>
      <c r="J23" s="243"/>
      <c r="K23" s="243"/>
    </row>
    <row r="24" customFormat="false" ht="14.25" hidden="false" customHeight="false" outlineLevel="0" collapsed="false">
      <c r="A24" s="242" t="s">
        <v>811</v>
      </c>
      <c r="B24" s="243"/>
      <c r="C24" s="243"/>
      <c r="D24" s="243"/>
      <c r="E24" s="243"/>
      <c r="F24" s="243"/>
      <c r="G24" s="243"/>
      <c r="H24" s="244"/>
      <c r="I24" s="245" t="str">
        <f aca="false">IF(H24="NA","NA",IF(H24="YES",$C$7,IF(H24="NO",0,"")))</f>
        <v/>
      </c>
      <c r="J24" s="243"/>
      <c r="K24" s="243"/>
    </row>
    <row r="25" customFormat="false" ht="14.25" hidden="false" customHeight="false" outlineLevel="0" collapsed="false">
      <c r="A25" s="242" t="s">
        <v>812</v>
      </c>
      <c r="B25" s="243"/>
      <c r="C25" s="243"/>
      <c r="D25" s="243"/>
      <c r="E25" s="243"/>
      <c r="F25" s="243"/>
      <c r="G25" s="243"/>
      <c r="H25" s="244"/>
      <c r="I25" s="245" t="str">
        <f aca="false">IF(H25="NA","NA",IF(H25="YES",$C$7,IF(H25="NO",0,"")))</f>
        <v/>
      </c>
      <c r="J25" s="243"/>
      <c r="K25" s="243"/>
    </row>
    <row r="26" customFormat="false" ht="14.25" hidden="false" customHeight="false" outlineLevel="0" collapsed="false">
      <c r="A26" s="242" t="s">
        <v>813</v>
      </c>
      <c r="B26" s="243"/>
      <c r="C26" s="243"/>
      <c r="D26" s="243"/>
      <c r="E26" s="243"/>
      <c r="F26" s="243"/>
      <c r="G26" s="243"/>
      <c r="H26" s="244"/>
      <c r="I26" s="245" t="str">
        <f aca="false">IF(H26="NA","NA",IF(H26="YES",$C$7,IF(H26="NO",0,"")))</f>
        <v/>
      </c>
      <c r="J26" s="243"/>
      <c r="K26" s="243"/>
    </row>
    <row r="27" customFormat="false" ht="14.25" hidden="false" customHeight="false" outlineLevel="0" collapsed="false">
      <c r="A27" s="242" t="s">
        <v>814</v>
      </c>
      <c r="B27" s="243"/>
      <c r="C27" s="243"/>
      <c r="D27" s="243"/>
      <c r="E27" s="243"/>
      <c r="F27" s="243"/>
      <c r="G27" s="243"/>
      <c r="H27" s="244"/>
      <c r="I27" s="245" t="str">
        <f aca="false">IF(H27="NA","NA",IF(H27="YES",$C$7,IF(H27="NO",0,"")))</f>
        <v/>
      </c>
      <c r="J27" s="243"/>
      <c r="K27" s="243"/>
    </row>
    <row r="28" customFormat="false" ht="14.25" hidden="false" customHeight="false" outlineLevel="0" collapsed="false">
      <c r="A28" s="242" t="s">
        <v>815</v>
      </c>
      <c r="B28" s="243"/>
      <c r="C28" s="243"/>
      <c r="D28" s="243"/>
      <c r="E28" s="243"/>
      <c r="F28" s="243"/>
      <c r="G28" s="243"/>
      <c r="H28" s="244"/>
      <c r="I28" s="245" t="str">
        <f aca="false">IF(H28="NA","NA",IF(H28="YES",$C$7,IF(H28="NO",0,"")))</f>
        <v/>
      </c>
      <c r="J28" s="243"/>
      <c r="K28" s="243"/>
    </row>
    <row r="29" customFormat="false" ht="14.25" hidden="false" customHeight="false" outlineLevel="0" collapsed="false">
      <c r="A29" s="242" t="s">
        <v>816</v>
      </c>
      <c r="B29" s="243"/>
      <c r="C29" s="243"/>
      <c r="D29" s="243"/>
      <c r="E29" s="243"/>
      <c r="F29" s="243"/>
      <c r="G29" s="243"/>
      <c r="H29" s="244"/>
      <c r="I29" s="245" t="str">
        <f aca="false">IF(H29="NA","NA",IF(H29="YES",$C$7,IF(H29="NO",0,"")))</f>
        <v/>
      </c>
      <c r="J29" s="243"/>
      <c r="K29" s="243"/>
    </row>
    <row r="30" customFormat="false" ht="14.25" hidden="false" customHeight="false" outlineLevel="0" collapsed="false">
      <c r="A30" s="242" t="s">
        <v>817</v>
      </c>
      <c r="B30" s="243"/>
      <c r="C30" s="243"/>
      <c r="D30" s="243"/>
      <c r="E30" s="243"/>
      <c r="F30" s="243"/>
      <c r="G30" s="243"/>
      <c r="H30" s="244"/>
      <c r="I30" s="245" t="str">
        <f aca="false">IF(H30="NA","NA",IF(H30="YES",$C$7,IF(H30="NO",0,"")))</f>
        <v/>
      </c>
      <c r="J30" s="243"/>
      <c r="K30" s="243"/>
    </row>
    <row r="31" customFormat="false" ht="14.25" hidden="false" customHeight="false" outlineLevel="0" collapsed="false">
      <c r="A31" s="242" t="s">
        <v>818</v>
      </c>
      <c r="B31" s="243"/>
      <c r="C31" s="243"/>
      <c r="D31" s="243"/>
      <c r="E31" s="243"/>
      <c r="F31" s="243"/>
      <c r="G31" s="243"/>
      <c r="H31" s="244"/>
      <c r="I31" s="245" t="str">
        <f aca="false">IF(H31="NA","NA",IF(H31="YES",$C$7,IF(H31="NO",0,"")))</f>
        <v/>
      </c>
      <c r="J31" s="243"/>
      <c r="K31" s="243"/>
    </row>
    <row r="32" customFormat="false" ht="14.25" hidden="false" customHeight="false" outlineLevel="0" collapsed="false">
      <c r="A32" s="242" t="s">
        <v>819</v>
      </c>
      <c r="B32" s="243"/>
      <c r="C32" s="243"/>
      <c r="D32" s="243"/>
      <c r="E32" s="243"/>
      <c r="F32" s="243"/>
      <c r="G32" s="243"/>
      <c r="H32" s="244"/>
      <c r="I32" s="245" t="str">
        <f aca="false">IF(H32="NA","NA",IF(H32="YES",$C$7,IF(H32="NO",0,"")))</f>
        <v/>
      </c>
      <c r="J32" s="243"/>
      <c r="K32" s="243"/>
    </row>
    <row r="33" customFormat="false" ht="169.4" hidden="false" customHeight="false" outlineLevel="0" collapsed="false">
      <c r="A33" s="242" t="s">
        <v>17</v>
      </c>
      <c r="B33" s="243" t="s">
        <v>313</v>
      </c>
      <c r="C33" s="243" t="s">
        <v>1372</v>
      </c>
      <c r="D33" s="243" t="s">
        <v>1373</v>
      </c>
      <c r="E33" s="243" t="s">
        <v>1374</v>
      </c>
      <c r="F33" s="243" t="s">
        <v>761</v>
      </c>
      <c r="G33" s="243" t="s">
        <v>314</v>
      </c>
      <c r="H33" s="244"/>
      <c r="I33" s="245" t="str">
        <f aca="false">IF(H33="NA","NA",IF(H33="YES",$C$7,IF(H33="NO",0,"")))</f>
        <v/>
      </c>
      <c r="J33" s="246" t="s">
        <v>1375</v>
      </c>
      <c r="K33" s="243"/>
    </row>
    <row r="34" customFormat="false" ht="14.25" hidden="false" customHeight="false" outlineLevel="0" collapsed="false">
      <c r="A34" s="242" t="s">
        <v>820</v>
      </c>
      <c r="B34" s="243"/>
      <c r="C34" s="243"/>
      <c r="D34" s="243"/>
      <c r="E34" s="243"/>
      <c r="F34" s="243"/>
      <c r="G34" s="243"/>
      <c r="H34" s="244"/>
      <c r="I34" s="245" t="str">
        <f aca="false">IF(H34="NA","NA",IF(H34="YES",$C$7,IF(H34="NO",0,"")))</f>
        <v/>
      </c>
      <c r="J34" s="243"/>
      <c r="K34" s="243"/>
    </row>
    <row r="35" customFormat="false" ht="14.25" hidden="false" customHeight="false" outlineLevel="0" collapsed="false">
      <c r="A35" s="242" t="s">
        <v>821</v>
      </c>
      <c r="B35" s="243"/>
      <c r="C35" s="243"/>
      <c r="D35" s="243"/>
      <c r="E35" s="243"/>
      <c r="F35" s="243"/>
      <c r="G35" s="243"/>
      <c r="H35" s="244"/>
      <c r="I35" s="245" t="str">
        <f aca="false">IF(H35="NA","NA",IF(H35="YES",$C$7,IF(H35="NO",0,"")))</f>
        <v/>
      </c>
      <c r="J35" s="243"/>
      <c r="K35" s="243"/>
    </row>
    <row r="36" customFormat="false" ht="14.25" hidden="false" customHeight="false" outlineLevel="0" collapsed="false">
      <c r="A36" s="242" t="s">
        <v>822</v>
      </c>
      <c r="B36" s="243"/>
      <c r="C36" s="243"/>
      <c r="D36" s="243"/>
      <c r="E36" s="243"/>
      <c r="F36" s="243"/>
      <c r="G36" s="243"/>
      <c r="H36" s="244"/>
      <c r="I36" s="245" t="str">
        <f aca="false">IF(H36="NA","NA",IF(H36="YES",$C$7,IF(H36="NO",0,"")))</f>
        <v/>
      </c>
      <c r="J36" s="243"/>
      <c r="K36" s="243"/>
    </row>
    <row r="37" customFormat="false" ht="14.25" hidden="false" customHeight="false" outlineLevel="0" collapsed="false">
      <c r="A37" s="242" t="s">
        <v>823</v>
      </c>
      <c r="B37" s="243"/>
      <c r="C37" s="243"/>
      <c r="D37" s="243"/>
      <c r="E37" s="243"/>
      <c r="F37" s="243"/>
      <c r="G37" s="243"/>
      <c r="H37" s="244"/>
      <c r="I37" s="245" t="str">
        <f aca="false">IF(H37="NA","NA",IF(H37="YES",$C$7,IF(H37="NO",0,"")))</f>
        <v/>
      </c>
      <c r="J37" s="243"/>
      <c r="K37" s="243"/>
    </row>
    <row r="38" customFormat="false" ht="14.25" hidden="false" customHeight="false" outlineLevel="0" collapsed="false">
      <c r="A38" s="242" t="s">
        <v>824</v>
      </c>
      <c r="B38" s="243"/>
      <c r="C38" s="243"/>
      <c r="D38" s="243"/>
      <c r="E38" s="243"/>
      <c r="F38" s="243"/>
      <c r="G38" s="243"/>
      <c r="H38" s="244"/>
      <c r="I38" s="245" t="str">
        <f aca="false">IF(H38="NA","NA",IF(H38="YES",$C$7,IF(H38="NO",0,"")))</f>
        <v/>
      </c>
      <c r="J38" s="243"/>
      <c r="K38" s="243"/>
    </row>
    <row r="39" customFormat="false" ht="14.25" hidden="false" customHeight="false" outlineLevel="0" collapsed="false">
      <c r="A39" s="242" t="s">
        <v>825</v>
      </c>
      <c r="B39" s="243"/>
      <c r="C39" s="243"/>
      <c r="D39" s="243"/>
      <c r="E39" s="243"/>
      <c r="F39" s="243"/>
      <c r="G39" s="243"/>
      <c r="H39" s="244"/>
      <c r="I39" s="245" t="str">
        <f aca="false">IF(H39="NA","NA",IF(H39="YES",$C$7,IF(H39="NO",0,"")))</f>
        <v/>
      </c>
      <c r="J39" s="243"/>
      <c r="K39" s="243"/>
    </row>
    <row r="40" customFormat="false" ht="14.25" hidden="false" customHeight="false" outlineLevel="0" collapsed="false">
      <c r="A40" s="242" t="s">
        <v>826</v>
      </c>
      <c r="B40" s="243"/>
      <c r="C40" s="243"/>
      <c r="D40" s="243"/>
      <c r="E40" s="243"/>
      <c r="F40" s="243"/>
      <c r="G40" s="243"/>
      <c r="H40" s="244"/>
      <c r="I40" s="245" t="str">
        <f aca="false">IF(H40="NA","NA",IF(H40="YES",$C$7,IF(H40="NO",0,"")))</f>
        <v/>
      </c>
      <c r="J40" s="243"/>
      <c r="K40" s="243"/>
    </row>
    <row r="41" customFormat="false" ht="14.25" hidden="false" customHeight="false" outlineLevel="0" collapsed="false">
      <c r="A41" s="242" t="s">
        <v>827</v>
      </c>
      <c r="B41" s="243"/>
      <c r="C41" s="243"/>
      <c r="D41" s="243"/>
      <c r="E41" s="243"/>
      <c r="F41" s="243"/>
      <c r="G41" s="243"/>
      <c r="H41" s="244"/>
      <c r="I41" s="245" t="str">
        <f aca="false">IF(H41="NA","NA",IF(H41="YES",$C$7,IF(H41="NO",0,"")))</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342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36" t="n">
        <f aca="false">VLOOKUP($B$1,'UPD Questions_290926 '!$E$1:$N$300,MATCH($A$7,'UPD Questions_290926 '!$E$1:$N$1,0),0)</f>
        <v>2</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use.Score 1: Two or more Economic activities are provided for through conventional land-use zoning/permissible-use provisions, but no specific enabling or incentivising development provision is found.Score 0: No relevant provision addressing economic activity is found.(For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1376</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1377</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IF(H13="","",MIN(--H13,$C$7))</f>
        <v/>
      </c>
      <c r="J13" s="243"/>
    </row>
    <row r="14" customFormat="false" ht="15" hidden="false" customHeight="true" outlineLevel="0" collapsed="false">
      <c r="A14" s="242" t="s">
        <v>801</v>
      </c>
      <c r="B14" s="243"/>
      <c r="C14" s="243"/>
      <c r="D14" s="243"/>
      <c r="E14" s="243"/>
      <c r="F14" s="243"/>
      <c r="G14" s="247" t="s">
        <v>1222</v>
      </c>
      <c r="H14" s="244" t="n">
        <v>0</v>
      </c>
      <c r="I14" s="245" t="n">
        <f aca="false">IF(H14="","",MIN(--H14,$C$7))</f>
        <v>0</v>
      </c>
      <c r="J14" s="243" t="s">
        <v>1378</v>
      </c>
    </row>
    <row r="15" customFormat="false" ht="14.25" hidden="false" customHeight="false" outlineLevel="0" collapsed="false">
      <c r="A15" s="242" t="s">
        <v>802</v>
      </c>
      <c r="B15" s="243"/>
      <c r="C15" s="243"/>
      <c r="D15" s="243"/>
      <c r="E15" s="243"/>
      <c r="F15" s="243"/>
      <c r="G15" s="243"/>
      <c r="H15" s="244"/>
      <c r="I15" s="245" t="str">
        <f aca="false">IF(H15="","",MIN(--H15,$C$7))</f>
        <v/>
      </c>
      <c r="J15" s="243"/>
    </row>
    <row r="16" customFormat="false" ht="14.25" hidden="false" customHeight="false" outlineLevel="0" collapsed="false">
      <c r="A16" s="242" t="s">
        <v>803</v>
      </c>
      <c r="B16" s="243"/>
      <c r="C16" s="243"/>
      <c r="D16" s="243"/>
      <c r="E16" s="243"/>
      <c r="F16" s="243"/>
      <c r="G16" s="243"/>
      <c r="H16" s="244"/>
      <c r="I16" s="245" t="str">
        <f aca="false">IF(H16="","",MIN(--H16,$C$7))</f>
        <v/>
      </c>
      <c r="J16" s="243"/>
    </row>
    <row r="17" customFormat="false" ht="14.25" hidden="false" customHeight="false" outlineLevel="0" collapsed="false">
      <c r="A17" s="242" t="s">
        <v>804</v>
      </c>
      <c r="B17" s="243"/>
      <c r="C17" s="243"/>
      <c r="D17" s="243"/>
      <c r="E17" s="243"/>
      <c r="F17" s="243"/>
      <c r="G17" s="243"/>
      <c r="H17" s="244"/>
      <c r="I17" s="245" t="str">
        <f aca="false">IF(H17="","",MIN(--H17,$C$7))</f>
        <v/>
      </c>
      <c r="J17" s="243"/>
    </row>
    <row r="18" customFormat="false" ht="14.25" hidden="false" customHeight="false" outlineLevel="0" collapsed="false">
      <c r="A18" s="242" t="s">
        <v>805</v>
      </c>
      <c r="B18" s="243"/>
      <c r="C18" s="243"/>
      <c r="D18" s="243"/>
      <c r="E18" s="243"/>
      <c r="F18" s="243"/>
      <c r="G18" s="243"/>
      <c r="H18" s="244"/>
      <c r="I18" s="245" t="str">
        <f aca="false">IF(H18="","",MIN(--H18,$C$7))</f>
        <v/>
      </c>
      <c r="J18" s="243"/>
    </row>
    <row r="19" customFormat="false" ht="14.25" hidden="false" customHeight="false" outlineLevel="0" collapsed="false">
      <c r="A19" s="242" t="s">
        <v>806</v>
      </c>
      <c r="B19" s="243"/>
      <c r="C19" s="243"/>
      <c r="D19" s="243"/>
      <c r="E19" s="243"/>
      <c r="F19" s="243"/>
      <c r="G19" s="243"/>
      <c r="H19" s="244"/>
      <c r="I19" s="245" t="str">
        <f aca="false">IF(H19="","",MIN(--H19,$C$7))</f>
        <v/>
      </c>
      <c r="J19" s="243"/>
    </row>
    <row r="20" customFormat="false" ht="14.25" hidden="false" customHeight="false" outlineLevel="0" collapsed="false">
      <c r="A20" s="242" t="s">
        <v>807</v>
      </c>
      <c r="B20" s="243"/>
      <c r="C20" s="243"/>
      <c r="D20" s="243"/>
      <c r="E20" s="243"/>
      <c r="F20" s="243"/>
      <c r="G20" s="243"/>
      <c r="H20" s="244"/>
      <c r="I20" s="245" t="str">
        <f aca="false">IF(H20="","",MIN(--H20,$C$7))</f>
        <v/>
      </c>
      <c r="J20" s="243"/>
    </row>
    <row r="21" customFormat="false" ht="14.25" hidden="false" customHeight="false" outlineLevel="0" collapsed="false">
      <c r="A21" s="242" t="s">
        <v>808</v>
      </c>
      <c r="B21" s="243"/>
      <c r="C21" s="243"/>
      <c r="D21" s="243"/>
      <c r="E21" s="243"/>
      <c r="F21" s="243"/>
      <c r="G21" s="243"/>
      <c r="H21" s="244"/>
      <c r="I21" s="245" t="str">
        <f aca="false">IF(H21="","",MIN(--H21,$C$7))</f>
        <v/>
      </c>
      <c r="J21" s="243"/>
    </row>
    <row r="22" customFormat="false" ht="14.25" hidden="false" customHeight="false" outlineLevel="0" collapsed="false">
      <c r="A22" s="242" t="s">
        <v>809</v>
      </c>
      <c r="B22" s="243"/>
      <c r="C22" s="243"/>
      <c r="D22" s="243"/>
      <c r="E22" s="243"/>
      <c r="F22" s="243"/>
      <c r="G22" s="243"/>
      <c r="H22" s="244"/>
      <c r="I22" s="245" t="str">
        <f aca="false">IF(H22="","",MIN(--H22,$C$7))</f>
        <v/>
      </c>
      <c r="J22" s="243"/>
    </row>
    <row r="23" customFormat="false" ht="14.25" hidden="false" customHeight="false" outlineLevel="0" collapsed="false">
      <c r="A23" s="242" t="s">
        <v>810</v>
      </c>
      <c r="B23" s="243"/>
      <c r="C23" s="243"/>
      <c r="D23" s="243"/>
      <c r="E23" s="243"/>
      <c r="F23" s="243"/>
      <c r="G23" s="243"/>
      <c r="H23" s="244"/>
      <c r="I23" s="245" t="str">
        <f aca="false">IF(H23="","",MIN(--H23,$C$7))</f>
        <v/>
      </c>
      <c r="J23" s="243"/>
    </row>
    <row r="24" customFormat="false" ht="14.25" hidden="false" customHeight="false" outlineLevel="0" collapsed="false">
      <c r="A24" s="242" t="s">
        <v>811</v>
      </c>
      <c r="B24" s="243"/>
      <c r="C24" s="243"/>
      <c r="D24" s="243"/>
      <c r="E24" s="243"/>
      <c r="F24" s="243"/>
      <c r="G24" s="243"/>
      <c r="H24" s="244"/>
      <c r="I24" s="245" t="str">
        <f aca="false">IF(H24="","",MIN(--H24,$C$7))</f>
        <v/>
      </c>
      <c r="J24" s="243"/>
    </row>
    <row r="25" customFormat="false" ht="14.25" hidden="false" customHeight="false" outlineLevel="0" collapsed="false">
      <c r="A25" s="242" t="s">
        <v>812</v>
      </c>
      <c r="B25" s="243"/>
      <c r="C25" s="243"/>
      <c r="D25" s="243"/>
      <c r="E25" s="243"/>
      <c r="F25" s="243"/>
      <c r="G25" s="243"/>
      <c r="H25" s="244"/>
      <c r="I25" s="245" t="str">
        <f aca="false">IF(H25="","",MIN(--H25,$C$7))</f>
        <v/>
      </c>
      <c r="J25" s="243"/>
    </row>
    <row r="26" customFormat="false" ht="14.25" hidden="false" customHeight="false" outlineLevel="0" collapsed="false">
      <c r="A26" s="242" t="s">
        <v>813</v>
      </c>
      <c r="B26" s="243"/>
      <c r="C26" s="243"/>
      <c r="D26" s="243"/>
      <c r="E26" s="243"/>
      <c r="F26" s="243"/>
      <c r="G26" s="243"/>
      <c r="H26" s="244"/>
      <c r="I26" s="245" t="str">
        <f aca="false">IF(H26="","",MIN(--H26,$C$7))</f>
        <v/>
      </c>
      <c r="J26" s="243"/>
    </row>
    <row r="27" customFormat="false" ht="14.25" hidden="false" customHeight="false" outlineLevel="0" collapsed="false">
      <c r="A27" s="242" t="s">
        <v>814</v>
      </c>
      <c r="B27" s="243"/>
      <c r="C27" s="243"/>
      <c r="D27" s="243"/>
      <c r="E27" s="243"/>
      <c r="F27" s="243"/>
      <c r="G27" s="243"/>
      <c r="H27" s="244"/>
      <c r="I27" s="245" t="str">
        <f aca="false">IF(H27="","",MIN(--H27,$C$7))</f>
        <v/>
      </c>
      <c r="J27" s="243"/>
    </row>
    <row r="28" customFormat="false" ht="14.25" hidden="false" customHeight="false" outlineLevel="0" collapsed="false">
      <c r="A28" s="242" t="s">
        <v>815</v>
      </c>
      <c r="B28" s="243"/>
      <c r="C28" s="243"/>
      <c r="D28" s="243"/>
      <c r="E28" s="243"/>
      <c r="F28" s="243"/>
      <c r="G28" s="243"/>
      <c r="H28" s="244"/>
      <c r="I28" s="245" t="str">
        <f aca="false">IF(H28="","",MIN(--H28,$C$7))</f>
        <v/>
      </c>
      <c r="J28" s="243"/>
    </row>
    <row r="29" customFormat="false" ht="14.25" hidden="false" customHeight="false" outlineLevel="0" collapsed="false">
      <c r="A29" s="242" t="s">
        <v>816</v>
      </c>
      <c r="B29" s="243"/>
      <c r="C29" s="243"/>
      <c r="D29" s="243"/>
      <c r="E29" s="243"/>
      <c r="F29" s="243"/>
      <c r="G29" s="243"/>
      <c r="H29" s="244"/>
      <c r="I29" s="245" t="str">
        <f aca="false">IF(H29="","",MIN(--H29,$C$7))</f>
        <v/>
      </c>
      <c r="J29" s="243"/>
    </row>
    <row r="30" customFormat="false" ht="14.25" hidden="false" customHeight="false" outlineLevel="0" collapsed="false">
      <c r="A30" s="242" t="s">
        <v>817</v>
      </c>
      <c r="B30" s="243"/>
      <c r="C30" s="243"/>
      <c r="D30" s="243"/>
      <c r="E30" s="243"/>
      <c r="F30" s="243"/>
      <c r="G30" s="243"/>
      <c r="H30" s="244"/>
      <c r="I30" s="245" t="str">
        <f aca="false">IF(H30="","",MIN(--H30,$C$7))</f>
        <v/>
      </c>
      <c r="J30" s="243"/>
    </row>
    <row r="31" customFormat="false" ht="14.25" hidden="false" customHeight="false" outlineLevel="0" collapsed="false">
      <c r="A31" s="242" t="s">
        <v>818</v>
      </c>
      <c r="B31" s="243"/>
      <c r="C31" s="243"/>
      <c r="D31" s="243"/>
      <c r="E31" s="243"/>
      <c r="F31" s="243"/>
      <c r="G31" s="243"/>
      <c r="H31" s="244"/>
      <c r="I31" s="245" t="str">
        <f aca="false">IF(H31="","",MIN(--H31,$C$7))</f>
        <v/>
      </c>
      <c r="J31" s="243"/>
    </row>
    <row r="32" customFormat="false" ht="14.25" hidden="false" customHeight="false" outlineLevel="0" collapsed="false">
      <c r="A32" s="242" t="s">
        <v>819</v>
      </c>
      <c r="B32" s="243"/>
      <c r="C32" s="243"/>
      <c r="D32" s="243"/>
      <c r="E32" s="243"/>
      <c r="F32" s="243"/>
      <c r="G32" s="243"/>
      <c r="H32" s="244"/>
      <c r="I32" s="245" t="str">
        <f aca="false">IF(H32="","",MIN(--H32,$C$7))</f>
        <v/>
      </c>
      <c r="J32" s="243"/>
    </row>
    <row r="33" customFormat="false" ht="147" hidden="false" customHeight="false" outlineLevel="0" collapsed="false">
      <c r="A33" s="242" t="s">
        <v>17</v>
      </c>
      <c r="B33" s="243" t="s">
        <v>313</v>
      </c>
      <c r="C33" s="243" t="s">
        <v>1379</v>
      </c>
      <c r="D33" s="243" t="s">
        <v>1380</v>
      </c>
      <c r="E33" s="243" t="s">
        <v>1381</v>
      </c>
      <c r="F33" s="243" t="s">
        <v>1116</v>
      </c>
      <c r="G33" s="243" t="s">
        <v>314</v>
      </c>
      <c r="H33" s="244" t="n">
        <v>2</v>
      </c>
      <c r="I33" s="245" t="n">
        <f aca="false">IF(H33="","",MIN(--H33,$C$7))</f>
        <v>2</v>
      </c>
      <c r="J33" s="246" t="s">
        <v>1382</v>
      </c>
    </row>
    <row r="34" customFormat="false" ht="14.25" hidden="false" customHeight="false" outlineLevel="0" collapsed="false">
      <c r="A34" s="242" t="s">
        <v>820</v>
      </c>
      <c r="B34" s="243"/>
      <c r="C34" s="243"/>
      <c r="D34" s="243"/>
      <c r="E34" s="243"/>
      <c r="F34" s="243"/>
      <c r="G34" s="243"/>
      <c r="H34" s="244"/>
      <c r="I34" s="245" t="str">
        <f aca="false">IF(H34="","",MIN(--H34,$C$7))</f>
        <v/>
      </c>
      <c r="J34" s="243"/>
    </row>
    <row r="35" customFormat="false" ht="14.25" hidden="false" customHeight="false" outlineLevel="0" collapsed="false">
      <c r="A35" s="242" t="s">
        <v>821</v>
      </c>
      <c r="B35" s="243"/>
      <c r="C35" s="243"/>
      <c r="D35" s="243"/>
      <c r="E35" s="243"/>
      <c r="F35" s="243"/>
      <c r="G35" s="243"/>
      <c r="H35" s="244"/>
      <c r="I35" s="245" t="str">
        <f aca="false">IF(H35="","",MIN(--H35,$C$7))</f>
        <v/>
      </c>
      <c r="J35" s="243"/>
    </row>
    <row r="36" customFormat="false" ht="14.25" hidden="false" customHeight="false" outlineLevel="0" collapsed="false">
      <c r="A36" s="242" t="s">
        <v>822</v>
      </c>
      <c r="B36" s="243"/>
      <c r="C36" s="243"/>
      <c r="D36" s="243"/>
      <c r="E36" s="243"/>
      <c r="F36" s="243"/>
      <c r="G36" s="243"/>
      <c r="H36" s="244"/>
      <c r="I36" s="245" t="str">
        <f aca="false">IF(H36="","",MIN(--H36,$C$7))</f>
        <v/>
      </c>
      <c r="J36" s="243"/>
    </row>
    <row r="37" customFormat="false" ht="14.25" hidden="false" customHeight="false" outlineLevel="0" collapsed="false">
      <c r="A37" s="242" t="s">
        <v>823</v>
      </c>
      <c r="B37" s="243"/>
      <c r="C37" s="243"/>
      <c r="D37" s="243"/>
      <c r="E37" s="243"/>
      <c r="F37" s="243"/>
      <c r="G37" s="243"/>
      <c r="H37" s="244"/>
      <c r="I37" s="245" t="str">
        <f aca="false">IF(H37="","",MIN(--H37,$C$7))</f>
        <v/>
      </c>
      <c r="J37" s="243"/>
    </row>
    <row r="38" customFormat="false" ht="14.25" hidden="false" customHeight="false" outlineLevel="0" collapsed="false">
      <c r="A38" s="242" t="s">
        <v>824</v>
      </c>
      <c r="B38" s="243"/>
      <c r="C38" s="243"/>
      <c r="D38" s="243"/>
      <c r="E38" s="243"/>
      <c r="F38" s="243"/>
      <c r="G38" s="243"/>
      <c r="H38" s="244"/>
      <c r="I38" s="245" t="str">
        <f aca="false">IF(H38="","",MIN(--H38,$C$7))</f>
        <v/>
      </c>
      <c r="J38" s="243"/>
    </row>
    <row r="39" customFormat="false" ht="14.25" hidden="false" customHeight="false" outlineLevel="0" collapsed="false">
      <c r="A39" s="242" t="s">
        <v>825</v>
      </c>
      <c r="B39" s="243"/>
      <c r="C39" s="243"/>
      <c r="D39" s="243"/>
      <c r="E39" s="243"/>
      <c r="F39" s="243"/>
      <c r="G39" s="243"/>
      <c r="H39" s="244"/>
      <c r="I39" s="245" t="str">
        <f aca="false">IF(H39="","",MIN(--H39,$C$7))</f>
        <v/>
      </c>
      <c r="J39" s="243"/>
    </row>
    <row r="40" customFormat="false" ht="14.25" hidden="false" customHeight="false" outlineLevel="0" collapsed="false">
      <c r="A40" s="242" t="s">
        <v>826</v>
      </c>
      <c r="B40" s="243"/>
      <c r="C40" s="243"/>
      <c r="D40" s="243"/>
      <c r="E40" s="243"/>
      <c r="F40" s="243"/>
      <c r="G40" s="243"/>
      <c r="H40" s="244"/>
      <c r="I40" s="245" t="str">
        <f aca="false">IF(H40="","",MIN(--H40,$C$7))</f>
        <v/>
      </c>
      <c r="J40" s="243"/>
    </row>
    <row r="41" customFormat="false" ht="14.25" hidden="false" customHeight="false" outlineLevel="0" collapsed="false">
      <c r="A41" s="242" t="s">
        <v>827</v>
      </c>
      <c r="B41" s="243"/>
      <c r="C41" s="243"/>
      <c r="D41" s="243"/>
      <c r="E41" s="243"/>
      <c r="F41" s="243"/>
      <c r="G41" s="243"/>
      <c r="H41" s="244"/>
      <c r="I41" s="245" t="str">
        <f aca="false">IF(H41="","",MIN(--H41,$C$7))</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348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36" t="n">
        <f aca="false">VLOOKUP($B$1,'UPD Questions_290926 '!$E$1:$N$300,MATCH($A$7,'UPD Questions_290926 '!$E$1:$N$1,0),0)</f>
        <v>2</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qualify.For example: Additional FAR/FSI or relaxed development standards for EWS/affordable housing would qualify as a provision for the urban poor. Specific design requirements addressing women's safety or access would qualify as a provision for women. Keywords for scorer:Urban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relaxation.Women: women; woman; female; gender; gender responsive; gender sensitive; women safety; safety; safe access; lighting; visibility; toilet for women; female toilet; sanitary facility; childcare; crèche; public space; public realm.</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38" t="s">
        <v>1376</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1377</v>
      </c>
      <c r="I12" s="239" t="s">
        <v>1103</v>
      </c>
      <c r="J12" s="241" t="s">
        <v>1104</v>
      </c>
      <c r="K12" s="241" t="s">
        <v>1383</v>
      </c>
    </row>
    <row r="13" customFormat="false" ht="14.25" hidden="false" customHeight="false" outlineLevel="0" collapsed="false">
      <c r="A13" s="242" t="s">
        <v>800</v>
      </c>
      <c r="B13" s="243"/>
      <c r="C13" s="243"/>
      <c r="D13" s="243"/>
      <c r="E13" s="243"/>
      <c r="F13" s="243"/>
      <c r="G13" s="243"/>
      <c r="H13" s="244"/>
      <c r="I13" s="245" t="str">
        <f aca="false">IF(H13="","",MIN(--H13,$C$7))</f>
        <v/>
      </c>
      <c r="J13" s="243"/>
      <c r="K13" s="243"/>
    </row>
    <row r="14" customFormat="false" ht="15" hidden="false" customHeight="true" outlineLevel="0" collapsed="false">
      <c r="A14" s="242" t="s">
        <v>801</v>
      </c>
      <c r="B14" s="243"/>
      <c r="C14" s="243"/>
      <c r="D14" s="243"/>
      <c r="E14" s="243"/>
      <c r="F14" s="243"/>
      <c r="G14" s="247" t="s">
        <v>1222</v>
      </c>
      <c r="H14" s="244" t="n">
        <v>0</v>
      </c>
      <c r="I14" s="245" t="n">
        <f aca="false">IF(H14="","",MIN(--H14,$C$7))</f>
        <v>0</v>
      </c>
      <c r="J14" s="243" t="s">
        <v>1384</v>
      </c>
      <c r="K14" s="243"/>
    </row>
    <row r="15" customFormat="false" ht="14.25" hidden="false" customHeight="false" outlineLevel="0" collapsed="false">
      <c r="A15" s="242" t="s">
        <v>802</v>
      </c>
      <c r="B15" s="243"/>
      <c r="C15" s="243"/>
      <c r="D15" s="243"/>
      <c r="E15" s="243"/>
      <c r="F15" s="243"/>
      <c r="G15" s="243"/>
      <c r="H15" s="244"/>
      <c r="I15" s="245" t="str">
        <f aca="false">IF(H15="","",MIN(--H15,$C$7))</f>
        <v/>
      </c>
      <c r="J15" s="243"/>
      <c r="K15" s="243"/>
    </row>
    <row r="16" customFormat="false" ht="14.25" hidden="false" customHeight="false" outlineLevel="0" collapsed="false">
      <c r="A16" s="242" t="s">
        <v>803</v>
      </c>
      <c r="B16" s="243"/>
      <c r="C16" s="243"/>
      <c r="D16" s="243"/>
      <c r="E16" s="243"/>
      <c r="F16" s="243"/>
      <c r="G16" s="243"/>
      <c r="H16" s="244"/>
      <c r="I16" s="245" t="str">
        <f aca="false">IF(H16="","",MIN(--H16,$C$7))</f>
        <v/>
      </c>
      <c r="J16" s="243"/>
      <c r="K16" s="243"/>
    </row>
    <row r="17" customFormat="false" ht="14.25" hidden="false" customHeight="false" outlineLevel="0" collapsed="false">
      <c r="A17" s="242" t="s">
        <v>804</v>
      </c>
      <c r="B17" s="243"/>
      <c r="C17" s="243"/>
      <c r="D17" s="243"/>
      <c r="E17" s="243"/>
      <c r="F17" s="243"/>
      <c r="G17" s="243"/>
      <c r="H17" s="244"/>
      <c r="I17" s="245" t="str">
        <f aca="false">IF(H17="","",MIN(--H17,$C$7))</f>
        <v/>
      </c>
      <c r="J17" s="243"/>
      <c r="K17" s="243"/>
    </row>
    <row r="18" customFormat="false" ht="14.25" hidden="false" customHeight="false" outlineLevel="0" collapsed="false">
      <c r="A18" s="242" t="s">
        <v>805</v>
      </c>
      <c r="B18" s="243"/>
      <c r="C18" s="243"/>
      <c r="D18" s="243"/>
      <c r="E18" s="243"/>
      <c r="F18" s="243"/>
      <c r="G18" s="243"/>
      <c r="H18" s="244"/>
      <c r="I18" s="245" t="str">
        <f aca="false">IF(H18="","",MIN(--H18,$C$7))</f>
        <v/>
      </c>
      <c r="J18" s="243"/>
      <c r="K18" s="243"/>
    </row>
    <row r="19" customFormat="false" ht="14.25" hidden="false" customHeight="false" outlineLevel="0" collapsed="false">
      <c r="A19" s="242" t="s">
        <v>806</v>
      </c>
      <c r="B19" s="243"/>
      <c r="C19" s="243"/>
      <c r="D19" s="243"/>
      <c r="E19" s="243"/>
      <c r="F19" s="243"/>
      <c r="G19" s="243"/>
      <c r="H19" s="244"/>
      <c r="I19" s="245" t="str">
        <f aca="false">IF(H19="","",MIN(--H19,$C$7))</f>
        <v/>
      </c>
      <c r="J19" s="243"/>
      <c r="K19" s="243"/>
    </row>
    <row r="20" customFormat="false" ht="14.25" hidden="false" customHeight="false" outlineLevel="0" collapsed="false">
      <c r="A20" s="242" t="s">
        <v>807</v>
      </c>
      <c r="B20" s="243"/>
      <c r="C20" s="243"/>
      <c r="D20" s="243"/>
      <c r="E20" s="243"/>
      <c r="F20" s="243"/>
      <c r="G20" s="243"/>
      <c r="H20" s="244"/>
      <c r="I20" s="245" t="str">
        <f aca="false">IF(H20="","",MIN(--H20,$C$7))</f>
        <v/>
      </c>
      <c r="J20" s="243"/>
      <c r="K20" s="243"/>
    </row>
    <row r="21" customFormat="false" ht="14.25" hidden="false" customHeight="false" outlineLevel="0" collapsed="false">
      <c r="A21" s="242" t="s">
        <v>808</v>
      </c>
      <c r="B21" s="243"/>
      <c r="C21" s="243"/>
      <c r="D21" s="243"/>
      <c r="E21" s="243"/>
      <c r="F21" s="243"/>
      <c r="G21" s="243"/>
      <c r="H21" s="244"/>
      <c r="I21" s="245" t="str">
        <f aca="false">IF(H21="","",MIN(--H21,$C$7))</f>
        <v/>
      </c>
      <c r="J21" s="243"/>
      <c r="K21" s="243"/>
    </row>
    <row r="22" customFormat="false" ht="14.25" hidden="false" customHeight="false" outlineLevel="0" collapsed="false">
      <c r="A22" s="242" t="s">
        <v>809</v>
      </c>
      <c r="B22" s="243"/>
      <c r="C22" s="243"/>
      <c r="D22" s="243"/>
      <c r="E22" s="243"/>
      <c r="F22" s="243"/>
      <c r="G22" s="243"/>
      <c r="H22" s="244"/>
      <c r="I22" s="245" t="str">
        <f aca="false">IF(H22="","",MIN(--H22,$C$7))</f>
        <v/>
      </c>
      <c r="J22" s="243"/>
      <c r="K22" s="243"/>
    </row>
    <row r="23" customFormat="false" ht="14.25" hidden="false" customHeight="false" outlineLevel="0" collapsed="false">
      <c r="A23" s="242" t="s">
        <v>810</v>
      </c>
      <c r="B23" s="243"/>
      <c r="C23" s="243"/>
      <c r="D23" s="243"/>
      <c r="E23" s="243"/>
      <c r="F23" s="243"/>
      <c r="G23" s="243"/>
      <c r="H23" s="244"/>
      <c r="I23" s="245" t="str">
        <f aca="false">IF(H23="","",MIN(--H23,$C$7))</f>
        <v/>
      </c>
      <c r="J23" s="243"/>
      <c r="K23" s="243"/>
    </row>
    <row r="24" customFormat="false" ht="14.25" hidden="false" customHeight="false" outlineLevel="0" collapsed="false">
      <c r="A24" s="242" t="s">
        <v>811</v>
      </c>
      <c r="B24" s="243"/>
      <c r="C24" s="243"/>
      <c r="D24" s="243"/>
      <c r="E24" s="243"/>
      <c r="F24" s="243"/>
      <c r="G24" s="243"/>
      <c r="H24" s="244"/>
      <c r="I24" s="245" t="str">
        <f aca="false">IF(H24="","",MIN(--H24,$C$7))</f>
        <v/>
      </c>
      <c r="J24" s="243"/>
      <c r="K24" s="243"/>
    </row>
    <row r="25" customFormat="false" ht="14.25" hidden="false" customHeight="false" outlineLevel="0" collapsed="false">
      <c r="A25" s="242" t="s">
        <v>812</v>
      </c>
      <c r="B25" s="243"/>
      <c r="C25" s="243"/>
      <c r="D25" s="243"/>
      <c r="E25" s="243"/>
      <c r="F25" s="243"/>
      <c r="G25" s="243"/>
      <c r="H25" s="244"/>
      <c r="I25" s="245" t="str">
        <f aca="false">IF(H25="","",MIN(--H25,$C$7))</f>
        <v/>
      </c>
      <c r="J25" s="243"/>
      <c r="K25" s="243"/>
    </row>
    <row r="26" customFormat="false" ht="14.25" hidden="false" customHeight="false" outlineLevel="0" collapsed="false">
      <c r="A26" s="242" t="s">
        <v>813</v>
      </c>
      <c r="B26" s="243"/>
      <c r="C26" s="243"/>
      <c r="D26" s="243"/>
      <c r="E26" s="243"/>
      <c r="F26" s="243"/>
      <c r="G26" s="243"/>
      <c r="H26" s="244"/>
      <c r="I26" s="245" t="str">
        <f aca="false">IF(H26="","",MIN(--H26,$C$7))</f>
        <v/>
      </c>
      <c r="J26" s="243"/>
      <c r="K26" s="243"/>
    </row>
    <row r="27" customFormat="false" ht="14.25" hidden="false" customHeight="false" outlineLevel="0" collapsed="false">
      <c r="A27" s="242" t="s">
        <v>814</v>
      </c>
      <c r="B27" s="243"/>
      <c r="C27" s="243"/>
      <c r="D27" s="243"/>
      <c r="E27" s="243"/>
      <c r="F27" s="243"/>
      <c r="G27" s="243"/>
      <c r="H27" s="244"/>
      <c r="I27" s="245" t="str">
        <f aca="false">IF(H27="","",MIN(--H27,$C$7))</f>
        <v/>
      </c>
      <c r="J27" s="243"/>
      <c r="K27" s="243"/>
    </row>
    <row r="28" customFormat="false" ht="14.25" hidden="false" customHeight="false" outlineLevel="0" collapsed="false">
      <c r="A28" s="242" t="s">
        <v>815</v>
      </c>
      <c r="B28" s="243"/>
      <c r="C28" s="243"/>
      <c r="D28" s="243"/>
      <c r="E28" s="243"/>
      <c r="F28" s="243"/>
      <c r="G28" s="243"/>
      <c r="H28" s="244"/>
      <c r="I28" s="245" t="str">
        <f aca="false">IF(H28="","",MIN(--H28,$C$7))</f>
        <v/>
      </c>
      <c r="J28" s="243"/>
      <c r="K28" s="243"/>
    </row>
    <row r="29" customFormat="false" ht="14.25" hidden="false" customHeight="false" outlineLevel="0" collapsed="false">
      <c r="A29" s="242" t="s">
        <v>816</v>
      </c>
      <c r="B29" s="243"/>
      <c r="C29" s="243"/>
      <c r="D29" s="243"/>
      <c r="E29" s="243"/>
      <c r="F29" s="243"/>
      <c r="G29" s="243"/>
      <c r="H29" s="244"/>
      <c r="I29" s="245" t="str">
        <f aca="false">IF(H29="","",MIN(--H29,$C$7))</f>
        <v/>
      </c>
      <c r="J29" s="243"/>
      <c r="K29" s="243"/>
    </row>
    <row r="30" customFormat="false" ht="14.25" hidden="false" customHeight="false" outlineLevel="0" collapsed="false">
      <c r="A30" s="242" t="s">
        <v>817</v>
      </c>
      <c r="B30" s="243"/>
      <c r="C30" s="243"/>
      <c r="D30" s="243"/>
      <c r="E30" s="243"/>
      <c r="F30" s="243"/>
      <c r="G30" s="243"/>
      <c r="H30" s="244"/>
      <c r="I30" s="245" t="str">
        <f aca="false">IF(H30="","",MIN(--H30,$C$7))</f>
        <v/>
      </c>
      <c r="J30" s="243"/>
      <c r="K30" s="243"/>
    </row>
    <row r="31" customFormat="false" ht="14.25" hidden="false" customHeight="false" outlineLevel="0" collapsed="false">
      <c r="A31" s="242" t="s">
        <v>818</v>
      </c>
      <c r="B31" s="243"/>
      <c r="C31" s="243"/>
      <c r="D31" s="243"/>
      <c r="E31" s="243"/>
      <c r="F31" s="243"/>
      <c r="G31" s="243"/>
      <c r="H31" s="244"/>
      <c r="I31" s="245" t="str">
        <f aca="false">IF(H31="","",MIN(--H31,$C$7))</f>
        <v/>
      </c>
      <c r="J31" s="243"/>
      <c r="K31" s="243"/>
    </row>
    <row r="32" customFormat="false" ht="14.25" hidden="false" customHeight="false" outlineLevel="0" collapsed="false">
      <c r="A32" s="242" t="s">
        <v>819</v>
      </c>
      <c r="B32" s="243"/>
      <c r="C32" s="243"/>
      <c r="D32" s="243"/>
      <c r="E32" s="243"/>
      <c r="F32" s="243"/>
      <c r="G32" s="243"/>
      <c r="H32" s="244"/>
      <c r="I32" s="245" t="str">
        <f aca="false">IF(H32="","",MIN(--H32,$C$7))</f>
        <v/>
      </c>
      <c r="J32" s="243"/>
      <c r="K32" s="243"/>
    </row>
    <row r="33" customFormat="false" ht="14.25" hidden="false" customHeight="false" outlineLevel="0" collapsed="false">
      <c r="A33" s="242" t="s">
        <v>17</v>
      </c>
      <c r="B33" s="243" t="s">
        <v>313</v>
      </c>
      <c r="C33" s="243" t="s">
        <v>1385</v>
      </c>
      <c r="D33" s="243" t="s">
        <v>1386</v>
      </c>
      <c r="E33" s="243" t="s">
        <v>1387</v>
      </c>
      <c r="F33" s="243" t="s">
        <v>1388</v>
      </c>
      <c r="G33" s="243" t="s">
        <v>314</v>
      </c>
      <c r="H33" s="244" t="n">
        <v>1</v>
      </c>
      <c r="I33" s="245" t="n">
        <f aca="false">IF(H33="","",MIN(--H33,$C$7))</f>
        <v>1</v>
      </c>
      <c r="J33" s="243" t="s">
        <v>1389</v>
      </c>
      <c r="K33" s="243"/>
    </row>
    <row r="34" customFormat="false" ht="14.25" hidden="false" customHeight="false" outlineLevel="0" collapsed="false">
      <c r="A34" s="242" t="s">
        <v>820</v>
      </c>
      <c r="B34" s="243"/>
      <c r="C34" s="243"/>
      <c r="D34" s="243"/>
      <c r="E34" s="243"/>
      <c r="F34" s="243"/>
      <c r="G34" s="243"/>
      <c r="H34" s="244"/>
      <c r="I34" s="245" t="str">
        <f aca="false">IF(H34="","",MIN(--H34,$C$7))</f>
        <v/>
      </c>
      <c r="J34" s="243"/>
      <c r="K34" s="243"/>
    </row>
    <row r="35" customFormat="false" ht="14.25" hidden="false" customHeight="false" outlineLevel="0" collapsed="false">
      <c r="A35" s="242" t="s">
        <v>821</v>
      </c>
      <c r="B35" s="243"/>
      <c r="C35" s="243"/>
      <c r="D35" s="243"/>
      <c r="E35" s="243"/>
      <c r="F35" s="243"/>
      <c r="G35" s="243"/>
      <c r="H35" s="244"/>
      <c r="I35" s="245" t="str">
        <f aca="false">IF(H35="","",MIN(--H35,$C$7))</f>
        <v/>
      </c>
      <c r="J35" s="243"/>
      <c r="K35" s="243"/>
    </row>
    <row r="36" customFormat="false" ht="14.25" hidden="false" customHeight="false" outlineLevel="0" collapsed="false">
      <c r="A36" s="242" t="s">
        <v>822</v>
      </c>
      <c r="B36" s="243"/>
      <c r="C36" s="243"/>
      <c r="D36" s="243"/>
      <c r="E36" s="243"/>
      <c r="F36" s="243"/>
      <c r="G36" s="243"/>
      <c r="H36" s="244"/>
      <c r="I36" s="245" t="str">
        <f aca="false">IF(H36="","",MIN(--H36,$C$7))</f>
        <v/>
      </c>
      <c r="J36" s="243"/>
      <c r="K36" s="243"/>
    </row>
    <row r="37" customFormat="false" ht="14.25" hidden="false" customHeight="false" outlineLevel="0" collapsed="false">
      <c r="A37" s="242" t="s">
        <v>823</v>
      </c>
      <c r="B37" s="243"/>
      <c r="C37" s="243"/>
      <c r="D37" s="243"/>
      <c r="E37" s="243"/>
      <c r="F37" s="243"/>
      <c r="G37" s="243"/>
      <c r="H37" s="244"/>
      <c r="I37" s="245" t="str">
        <f aca="false">IF(H37="","",MIN(--H37,$C$7))</f>
        <v/>
      </c>
      <c r="J37" s="243"/>
      <c r="K37" s="243"/>
    </row>
    <row r="38" customFormat="false" ht="14.25" hidden="false" customHeight="false" outlineLevel="0" collapsed="false">
      <c r="A38" s="242" t="s">
        <v>824</v>
      </c>
      <c r="B38" s="243"/>
      <c r="C38" s="243"/>
      <c r="D38" s="243"/>
      <c r="E38" s="243"/>
      <c r="F38" s="243"/>
      <c r="G38" s="243"/>
      <c r="H38" s="244"/>
      <c r="I38" s="245" t="str">
        <f aca="false">IF(H38="","",MIN(--H38,$C$7))</f>
        <v/>
      </c>
      <c r="J38" s="243"/>
      <c r="K38" s="243"/>
    </row>
    <row r="39" customFormat="false" ht="14.25" hidden="false" customHeight="false" outlineLevel="0" collapsed="false">
      <c r="A39" s="242" t="s">
        <v>825</v>
      </c>
      <c r="B39" s="243"/>
      <c r="C39" s="243"/>
      <c r="D39" s="243"/>
      <c r="E39" s="243"/>
      <c r="F39" s="243"/>
      <c r="G39" s="243"/>
      <c r="H39" s="244"/>
      <c r="I39" s="245" t="str">
        <f aca="false">IF(H39="","",MIN(--H39,$C$7))</f>
        <v/>
      </c>
      <c r="J39" s="243"/>
      <c r="K39" s="243"/>
    </row>
    <row r="40" customFormat="false" ht="14.25" hidden="false" customHeight="false" outlineLevel="0" collapsed="false">
      <c r="A40" s="242" t="s">
        <v>826</v>
      </c>
      <c r="B40" s="243"/>
      <c r="C40" s="243"/>
      <c r="D40" s="243"/>
      <c r="E40" s="243"/>
      <c r="F40" s="243"/>
      <c r="G40" s="243"/>
      <c r="H40" s="244"/>
      <c r="I40" s="245" t="str">
        <f aca="false">IF(H40="","",MIN(--H40,$C$7))</f>
        <v/>
      </c>
      <c r="J40" s="243"/>
      <c r="K40" s="243"/>
    </row>
    <row r="41" customFormat="false" ht="14.25" hidden="false" customHeight="false" outlineLevel="0" collapsed="false">
      <c r="A41" s="242" t="s">
        <v>827</v>
      </c>
      <c r="B41" s="243"/>
      <c r="C41" s="243"/>
      <c r="D41" s="243"/>
      <c r="E41" s="243"/>
      <c r="F41" s="243"/>
      <c r="G41" s="243"/>
      <c r="H41" s="244"/>
      <c r="I41" s="245" t="str">
        <f aca="false">IF(H41="","",MIN(--H41,$C$7))</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11"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353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36" t="n">
        <f aca="false">VLOOKUP($B$1,'UPD Questions_290926 '!$E$1:$N$300,MATCH($A$7,'UPD Questions_290926 '!$E$1:$N$1,0),0)</f>
        <v>2</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resilience.Score 1: The DCR protects environmentally sensitive/climate-vulnerable areas or imposes environmental restrictions, but does not contain a clear enabling/incentive provision.Score 0 — No relevant environmental or climate-related development provision is found. Note: A generic requirement to obtain environmental clearance based on project size does not, by itself, qualify as an enabling environmental/climate provision.For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Capture the text that mentions the broad provisions related to the theme and the incentives it offers</v>
      </c>
    </row>
    <row r="11" customFormat="false" ht="28.5" hidden="false" customHeight="true" outlineLevel="0" collapsed="false">
      <c r="H11" s="238" t="s">
        <v>1376</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1377</v>
      </c>
      <c r="I12" s="239" t="s">
        <v>1103</v>
      </c>
      <c r="J12" s="241" t="s">
        <v>1104</v>
      </c>
      <c r="K12" s="241" t="s">
        <v>1383</v>
      </c>
    </row>
    <row r="13" customFormat="false" ht="14.25" hidden="false" customHeight="false" outlineLevel="0" collapsed="false">
      <c r="A13" s="242" t="s">
        <v>800</v>
      </c>
      <c r="B13" s="243"/>
      <c r="C13" s="243"/>
      <c r="D13" s="243"/>
      <c r="E13" s="243"/>
      <c r="F13" s="243"/>
      <c r="G13" s="243"/>
      <c r="H13" s="244"/>
      <c r="I13" s="245" t="str">
        <f aca="false">IF(H13="","",MIN(--H13,$C$7))</f>
        <v/>
      </c>
      <c r="J13" s="243"/>
      <c r="K13" s="243"/>
    </row>
    <row r="14" customFormat="false" ht="15" hidden="false" customHeight="true" outlineLevel="0" collapsed="false">
      <c r="A14" s="242" t="s">
        <v>801</v>
      </c>
      <c r="B14" s="243"/>
      <c r="C14" s="243"/>
      <c r="D14" s="243"/>
      <c r="E14" s="243"/>
      <c r="F14" s="243"/>
      <c r="G14" s="247" t="s">
        <v>1222</v>
      </c>
      <c r="H14" s="244" t="n">
        <v>0</v>
      </c>
      <c r="I14" s="245" t="n">
        <f aca="false">IF(H14="","",MIN(--H14,$C$7))</f>
        <v>0</v>
      </c>
      <c r="J14" s="243" t="s">
        <v>1390</v>
      </c>
      <c r="K14" s="243"/>
    </row>
    <row r="15" customFormat="false" ht="14.25" hidden="false" customHeight="false" outlineLevel="0" collapsed="false">
      <c r="A15" s="242" t="s">
        <v>802</v>
      </c>
      <c r="B15" s="243"/>
      <c r="C15" s="243"/>
      <c r="D15" s="243"/>
      <c r="E15" s="243"/>
      <c r="F15" s="243"/>
      <c r="G15" s="243"/>
      <c r="H15" s="244"/>
      <c r="I15" s="245" t="str">
        <f aca="false">IF(H15="","",MIN(--H15,$C$7))</f>
        <v/>
      </c>
      <c r="J15" s="243"/>
      <c r="K15" s="243"/>
    </row>
    <row r="16" customFormat="false" ht="14.25" hidden="false" customHeight="false" outlineLevel="0" collapsed="false">
      <c r="A16" s="242" t="s">
        <v>803</v>
      </c>
      <c r="B16" s="243"/>
      <c r="C16" s="243"/>
      <c r="D16" s="243"/>
      <c r="E16" s="243"/>
      <c r="F16" s="243"/>
      <c r="G16" s="243"/>
      <c r="H16" s="244"/>
      <c r="I16" s="245" t="str">
        <f aca="false">IF(H16="","",MIN(--H16,$C$7))</f>
        <v/>
      </c>
      <c r="J16" s="243"/>
      <c r="K16" s="243"/>
    </row>
    <row r="17" customFormat="false" ht="14.25" hidden="false" customHeight="false" outlineLevel="0" collapsed="false">
      <c r="A17" s="242" t="s">
        <v>804</v>
      </c>
      <c r="B17" s="243"/>
      <c r="C17" s="243"/>
      <c r="D17" s="243"/>
      <c r="E17" s="243"/>
      <c r="F17" s="243"/>
      <c r="G17" s="243"/>
      <c r="H17" s="244"/>
      <c r="I17" s="245" t="str">
        <f aca="false">IF(H17="","",MIN(--H17,$C$7))</f>
        <v/>
      </c>
      <c r="J17" s="243"/>
      <c r="K17" s="243"/>
    </row>
    <row r="18" customFormat="false" ht="14.25" hidden="false" customHeight="false" outlineLevel="0" collapsed="false">
      <c r="A18" s="242" t="s">
        <v>805</v>
      </c>
      <c r="B18" s="243"/>
      <c r="C18" s="243"/>
      <c r="D18" s="243"/>
      <c r="E18" s="243"/>
      <c r="F18" s="243"/>
      <c r="G18" s="243"/>
      <c r="H18" s="244"/>
      <c r="I18" s="245" t="str">
        <f aca="false">IF(H18="","",MIN(--H18,$C$7))</f>
        <v/>
      </c>
      <c r="J18" s="243"/>
      <c r="K18" s="243"/>
    </row>
    <row r="19" customFormat="false" ht="14.25" hidden="false" customHeight="false" outlineLevel="0" collapsed="false">
      <c r="A19" s="242" t="s">
        <v>806</v>
      </c>
      <c r="B19" s="243"/>
      <c r="C19" s="243"/>
      <c r="D19" s="243"/>
      <c r="E19" s="243"/>
      <c r="F19" s="243"/>
      <c r="G19" s="243"/>
      <c r="H19" s="244"/>
      <c r="I19" s="245" t="str">
        <f aca="false">IF(H19="","",MIN(--H19,$C$7))</f>
        <v/>
      </c>
      <c r="J19" s="243"/>
      <c r="K19" s="243"/>
    </row>
    <row r="20" customFormat="false" ht="14.25" hidden="false" customHeight="false" outlineLevel="0" collapsed="false">
      <c r="A20" s="242" t="s">
        <v>807</v>
      </c>
      <c r="B20" s="243"/>
      <c r="C20" s="243"/>
      <c r="D20" s="243"/>
      <c r="E20" s="243"/>
      <c r="F20" s="243"/>
      <c r="G20" s="243"/>
      <c r="H20" s="244"/>
      <c r="I20" s="245" t="str">
        <f aca="false">IF(H20="","",MIN(--H20,$C$7))</f>
        <v/>
      </c>
      <c r="J20" s="243"/>
      <c r="K20" s="243"/>
    </row>
    <row r="21" customFormat="false" ht="14.25" hidden="false" customHeight="false" outlineLevel="0" collapsed="false">
      <c r="A21" s="242" t="s">
        <v>808</v>
      </c>
      <c r="B21" s="243"/>
      <c r="C21" s="243"/>
      <c r="D21" s="243"/>
      <c r="E21" s="243"/>
      <c r="F21" s="243"/>
      <c r="G21" s="243"/>
      <c r="H21" s="244"/>
      <c r="I21" s="245" t="str">
        <f aca="false">IF(H21="","",MIN(--H21,$C$7))</f>
        <v/>
      </c>
      <c r="J21" s="243"/>
      <c r="K21" s="243"/>
    </row>
    <row r="22" customFormat="false" ht="14.25" hidden="false" customHeight="false" outlineLevel="0" collapsed="false">
      <c r="A22" s="242" t="s">
        <v>809</v>
      </c>
      <c r="B22" s="243"/>
      <c r="C22" s="243"/>
      <c r="D22" s="243"/>
      <c r="E22" s="243"/>
      <c r="F22" s="243"/>
      <c r="G22" s="243"/>
      <c r="H22" s="244"/>
      <c r="I22" s="245" t="str">
        <f aca="false">IF(H22="","",MIN(--H22,$C$7))</f>
        <v/>
      </c>
      <c r="J22" s="243"/>
      <c r="K22" s="243"/>
    </row>
    <row r="23" customFormat="false" ht="14.25" hidden="false" customHeight="false" outlineLevel="0" collapsed="false">
      <c r="A23" s="242" t="s">
        <v>810</v>
      </c>
      <c r="B23" s="243"/>
      <c r="C23" s="243"/>
      <c r="D23" s="243"/>
      <c r="E23" s="243"/>
      <c r="F23" s="243"/>
      <c r="G23" s="243"/>
      <c r="H23" s="244"/>
      <c r="I23" s="245" t="str">
        <f aca="false">IF(H23="","",MIN(--H23,$C$7))</f>
        <v/>
      </c>
      <c r="J23" s="243"/>
      <c r="K23" s="243"/>
    </row>
    <row r="24" customFormat="false" ht="14.25" hidden="false" customHeight="false" outlineLevel="0" collapsed="false">
      <c r="A24" s="242" t="s">
        <v>811</v>
      </c>
      <c r="B24" s="243"/>
      <c r="C24" s="243"/>
      <c r="D24" s="243"/>
      <c r="E24" s="243"/>
      <c r="F24" s="243"/>
      <c r="G24" s="243"/>
      <c r="H24" s="244"/>
      <c r="I24" s="245" t="str">
        <f aca="false">IF(H24="","",MIN(--H24,$C$7))</f>
        <v/>
      </c>
      <c r="J24" s="243"/>
      <c r="K24" s="243"/>
    </row>
    <row r="25" customFormat="false" ht="14.25" hidden="false" customHeight="false" outlineLevel="0" collapsed="false">
      <c r="A25" s="242" t="s">
        <v>812</v>
      </c>
      <c r="B25" s="243"/>
      <c r="C25" s="243"/>
      <c r="D25" s="243"/>
      <c r="E25" s="243"/>
      <c r="F25" s="243"/>
      <c r="G25" s="243"/>
      <c r="H25" s="244"/>
      <c r="I25" s="245" t="str">
        <f aca="false">IF(H25="","",MIN(--H25,$C$7))</f>
        <v/>
      </c>
      <c r="J25" s="243"/>
      <c r="K25" s="243"/>
    </row>
    <row r="26" customFormat="false" ht="14.25" hidden="false" customHeight="false" outlineLevel="0" collapsed="false">
      <c r="A26" s="242" t="s">
        <v>813</v>
      </c>
      <c r="B26" s="243"/>
      <c r="C26" s="243"/>
      <c r="D26" s="243"/>
      <c r="E26" s="243"/>
      <c r="F26" s="243"/>
      <c r="G26" s="243"/>
      <c r="H26" s="244"/>
      <c r="I26" s="245" t="str">
        <f aca="false">IF(H26="","",MIN(--H26,$C$7))</f>
        <v/>
      </c>
      <c r="J26" s="243"/>
      <c r="K26" s="243"/>
    </row>
    <row r="27" customFormat="false" ht="14.25" hidden="false" customHeight="false" outlineLevel="0" collapsed="false">
      <c r="A27" s="242" t="s">
        <v>814</v>
      </c>
      <c r="B27" s="243"/>
      <c r="C27" s="243"/>
      <c r="D27" s="243"/>
      <c r="E27" s="243"/>
      <c r="F27" s="243"/>
      <c r="G27" s="243"/>
      <c r="H27" s="244"/>
      <c r="I27" s="245" t="str">
        <f aca="false">IF(H27="","",MIN(--H27,$C$7))</f>
        <v/>
      </c>
      <c r="J27" s="243"/>
      <c r="K27" s="243"/>
    </row>
    <row r="28" customFormat="false" ht="14.25" hidden="false" customHeight="false" outlineLevel="0" collapsed="false">
      <c r="A28" s="242" t="s">
        <v>815</v>
      </c>
      <c r="B28" s="243"/>
      <c r="C28" s="243"/>
      <c r="D28" s="243"/>
      <c r="E28" s="243"/>
      <c r="F28" s="243"/>
      <c r="G28" s="243"/>
      <c r="H28" s="244"/>
      <c r="I28" s="245" t="str">
        <f aca="false">IF(H28="","",MIN(--H28,$C$7))</f>
        <v/>
      </c>
      <c r="J28" s="243"/>
      <c r="K28" s="243"/>
    </row>
    <row r="29" customFormat="false" ht="14.25" hidden="false" customHeight="false" outlineLevel="0" collapsed="false">
      <c r="A29" s="242" t="s">
        <v>816</v>
      </c>
      <c r="B29" s="243"/>
      <c r="C29" s="243"/>
      <c r="D29" s="243"/>
      <c r="E29" s="243"/>
      <c r="F29" s="243"/>
      <c r="G29" s="243"/>
      <c r="H29" s="244"/>
      <c r="I29" s="245" t="str">
        <f aca="false">IF(H29="","",MIN(--H29,$C$7))</f>
        <v/>
      </c>
      <c r="J29" s="243"/>
      <c r="K29" s="243"/>
    </row>
    <row r="30" customFormat="false" ht="14.25" hidden="false" customHeight="false" outlineLevel="0" collapsed="false">
      <c r="A30" s="242" t="s">
        <v>817</v>
      </c>
      <c r="B30" s="243"/>
      <c r="C30" s="243"/>
      <c r="D30" s="243"/>
      <c r="E30" s="243"/>
      <c r="F30" s="243"/>
      <c r="G30" s="243"/>
      <c r="H30" s="244"/>
      <c r="I30" s="245" t="str">
        <f aca="false">IF(H30="","",MIN(--H30,$C$7))</f>
        <v/>
      </c>
      <c r="J30" s="243"/>
      <c r="K30" s="243"/>
    </row>
    <row r="31" customFormat="false" ht="14.25" hidden="false" customHeight="false" outlineLevel="0" collapsed="false">
      <c r="A31" s="242" t="s">
        <v>818</v>
      </c>
      <c r="B31" s="243"/>
      <c r="C31" s="243"/>
      <c r="D31" s="243"/>
      <c r="E31" s="243"/>
      <c r="F31" s="243"/>
      <c r="G31" s="243"/>
      <c r="H31" s="244"/>
      <c r="I31" s="245" t="str">
        <f aca="false">IF(H31="","",MIN(--H31,$C$7))</f>
        <v/>
      </c>
      <c r="J31" s="243"/>
      <c r="K31" s="243"/>
    </row>
    <row r="32" customFormat="false" ht="14.25" hidden="false" customHeight="false" outlineLevel="0" collapsed="false">
      <c r="A32" s="242" t="s">
        <v>819</v>
      </c>
      <c r="B32" s="243"/>
      <c r="C32" s="243"/>
      <c r="D32" s="243"/>
      <c r="E32" s="243"/>
      <c r="F32" s="243"/>
      <c r="G32" s="243"/>
      <c r="H32" s="244"/>
      <c r="I32" s="245" t="str">
        <f aca="false">IF(H32="","",MIN(--H32,$C$7))</f>
        <v/>
      </c>
      <c r="J32" s="243"/>
      <c r="K32" s="243"/>
    </row>
    <row r="33" customFormat="false" ht="14.25" hidden="false" customHeight="false" outlineLevel="0" collapsed="false">
      <c r="A33" s="242" t="s">
        <v>17</v>
      </c>
      <c r="B33" s="243" t="s">
        <v>313</v>
      </c>
      <c r="C33" s="243" t="s">
        <v>1391</v>
      </c>
      <c r="D33" s="243" t="s">
        <v>1392</v>
      </c>
      <c r="E33" s="243" t="s">
        <v>1393</v>
      </c>
      <c r="F33" s="243" t="s">
        <v>1394</v>
      </c>
      <c r="G33" s="243" t="s">
        <v>314</v>
      </c>
      <c r="H33" s="244" t="n">
        <v>2</v>
      </c>
      <c r="I33" s="245" t="n">
        <f aca="false">IF(H33="","",MIN(--H33,$C$7))</f>
        <v>2</v>
      </c>
      <c r="J33" s="243" t="s">
        <v>1395</v>
      </c>
      <c r="K33" s="243"/>
    </row>
    <row r="34" customFormat="false" ht="14.25" hidden="false" customHeight="false" outlineLevel="0" collapsed="false">
      <c r="A34" s="242" t="s">
        <v>820</v>
      </c>
      <c r="B34" s="243"/>
      <c r="C34" s="243"/>
      <c r="D34" s="243"/>
      <c r="E34" s="243"/>
      <c r="F34" s="243"/>
      <c r="G34" s="243"/>
      <c r="H34" s="244"/>
      <c r="I34" s="245" t="str">
        <f aca="false">IF(H34="","",MIN(--H34,$C$7))</f>
        <v/>
      </c>
      <c r="J34" s="243"/>
      <c r="K34" s="243"/>
    </row>
    <row r="35" customFormat="false" ht="14.25" hidden="false" customHeight="false" outlineLevel="0" collapsed="false">
      <c r="A35" s="242" t="s">
        <v>821</v>
      </c>
      <c r="B35" s="243"/>
      <c r="C35" s="243"/>
      <c r="D35" s="243"/>
      <c r="E35" s="243"/>
      <c r="F35" s="243"/>
      <c r="G35" s="243"/>
      <c r="H35" s="244"/>
      <c r="I35" s="245" t="str">
        <f aca="false">IF(H35="","",MIN(--H35,$C$7))</f>
        <v/>
      </c>
      <c r="J35" s="243"/>
      <c r="K35" s="243"/>
    </row>
    <row r="36" customFormat="false" ht="14.25" hidden="false" customHeight="false" outlineLevel="0" collapsed="false">
      <c r="A36" s="242" t="s">
        <v>822</v>
      </c>
      <c r="B36" s="243"/>
      <c r="C36" s="243"/>
      <c r="D36" s="243"/>
      <c r="E36" s="243"/>
      <c r="F36" s="243"/>
      <c r="G36" s="243"/>
      <c r="H36" s="244"/>
      <c r="I36" s="245" t="str">
        <f aca="false">IF(H36="","",MIN(--H36,$C$7))</f>
        <v/>
      </c>
      <c r="J36" s="243"/>
      <c r="K36" s="243"/>
    </row>
    <row r="37" customFormat="false" ht="14.25" hidden="false" customHeight="false" outlineLevel="0" collapsed="false">
      <c r="A37" s="242" t="s">
        <v>823</v>
      </c>
      <c r="B37" s="243"/>
      <c r="C37" s="243"/>
      <c r="D37" s="243"/>
      <c r="E37" s="243"/>
      <c r="F37" s="243"/>
      <c r="G37" s="243"/>
      <c r="H37" s="244"/>
      <c r="I37" s="245" t="str">
        <f aca="false">IF(H37="","",MIN(--H37,$C$7))</f>
        <v/>
      </c>
      <c r="J37" s="243"/>
      <c r="K37" s="243"/>
    </row>
    <row r="38" customFormat="false" ht="14.25" hidden="false" customHeight="false" outlineLevel="0" collapsed="false">
      <c r="A38" s="242" t="s">
        <v>824</v>
      </c>
      <c r="B38" s="243"/>
      <c r="C38" s="243"/>
      <c r="D38" s="243"/>
      <c r="E38" s="243"/>
      <c r="F38" s="243"/>
      <c r="G38" s="243"/>
      <c r="H38" s="244"/>
      <c r="I38" s="245" t="str">
        <f aca="false">IF(H38="","",MIN(--H38,$C$7))</f>
        <v/>
      </c>
      <c r="J38" s="243"/>
      <c r="K38" s="243"/>
    </row>
    <row r="39" customFormat="false" ht="14.25" hidden="false" customHeight="false" outlineLevel="0" collapsed="false">
      <c r="A39" s="242" t="s">
        <v>825</v>
      </c>
      <c r="B39" s="243"/>
      <c r="C39" s="243"/>
      <c r="D39" s="243"/>
      <c r="E39" s="243"/>
      <c r="F39" s="243"/>
      <c r="G39" s="243"/>
      <c r="H39" s="244"/>
      <c r="I39" s="245" t="str">
        <f aca="false">IF(H39="","",MIN(--H39,$C$7))</f>
        <v/>
      </c>
      <c r="J39" s="243"/>
      <c r="K39" s="243"/>
    </row>
    <row r="40" customFormat="false" ht="14.25" hidden="false" customHeight="false" outlineLevel="0" collapsed="false">
      <c r="A40" s="242" t="s">
        <v>826</v>
      </c>
      <c r="B40" s="243"/>
      <c r="C40" s="243"/>
      <c r="D40" s="243"/>
      <c r="E40" s="243"/>
      <c r="F40" s="243"/>
      <c r="G40" s="243"/>
      <c r="H40" s="244"/>
      <c r="I40" s="245" t="str">
        <f aca="false">IF(H40="","",MIN(--H40,$C$7))</f>
        <v/>
      </c>
      <c r="J40" s="243"/>
      <c r="K40" s="243"/>
    </row>
    <row r="41" customFormat="false" ht="14.25" hidden="false" customHeight="false" outlineLevel="0" collapsed="false">
      <c r="A41" s="242" t="s">
        <v>827</v>
      </c>
      <c r="B41" s="243"/>
      <c r="C41" s="243"/>
      <c r="D41" s="243"/>
      <c r="E41" s="243"/>
      <c r="F41" s="243"/>
      <c r="G41" s="243"/>
      <c r="H41" s="244"/>
      <c r="I41" s="245" t="str">
        <f aca="false">IF(H41="","",MIN(--H41,$C$7))</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358</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or standards that promote positive public-health outcomes?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36" t="n">
        <f aca="false">VLOOKUP($B$1,'UPD Questions_290926 '!$E$1:$N$300,MATCH($A$7,'UPD Questions_290926 '!$E$1:$N$1,0),0)</f>
        <v>2</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38" t="s">
        <v>1376</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1377</v>
      </c>
      <c r="I12" s="239" t="s">
        <v>1103</v>
      </c>
      <c r="J12" s="241" t="s">
        <v>1104</v>
      </c>
      <c r="K12" s="241" t="s">
        <v>1383</v>
      </c>
    </row>
    <row r="13" customFormat="false" ht="14.25" hidden="false" customHeight="false" outlineLevel="0" collapsed="false">
      <c r="A13" s="242" t="s">
        <v>800</v>
      </c>
      <c r="B13" s="243"/>
      <c r="C13" s="243"/>
      <c r="D13" s="243"/>
      <c r="E13" s="243"/>
      <c r="F13" s="243"/>
      <c r="G13" s="243"/>
      <c r="H13" s="244"/>
      <c r="I13" s="245" t="str">
        <f aca="false">IF(H13="","",MIN(--H13,$C$7))</f>
        <v/>
      </c>
      <c r="J13" s="243"/>
      <c r="K13" s="243"/>
    </row>
    <row r="14" customFormat="false" ht="15" hidden="false" customHeight="true" outlineLevel="0" collapsed="false">
      <c r="A14" s="242" t="s">
        <v>801</v>
      </c>
      <c r="B14" s="243"/>
      <c r="C14" s="243"/>
      <c r="D14" s="243"/>
      <c r="E14" s="243"/>
      <c r="F14" s="243"/>
      <c r="G14" s="247" t="s">
        <v>1222</v>
      </c>
      <c r="H14" s="244" t="n">
        <v>0</v>
      </c>
      <c r="I14" s="245" t="n">
        <f aca="false">IF(H14="","",MIN(--H14,$C$7))</f>
        <v>0</v>
      </c>
      <c r="J14" s="243" t="s">
        <v>1396</v>
      </c>
      <c r="K14" s="243"/>
    </row>
    <row r="15" customFormat="false" ht="14.25" hidden="false" customHeight="false" outlineLevel="0" collapsed="false">
      <c r="A15" s="242" t="s">
        <v>802</v>
      </c>
      <c r="B15" s="243"/>
      <c r="C15" s="243"/>
      <c r="D15" s="243"/>
      <c r="E15" s="243"/>
      <c r="F15" s="243"/>
      <c r="G15" s="243"/>
      <c r="H15" s="244"/>
      <c r="I15" s="245" t="str">
        <f aca="false">IF(H15="","",MIN(--H15,$C$7))</f>
        <v/>
      </c>
      <c r="J15" s="243"/>
      <c r="K15" s="243"/>
    </row>
    <row r="16" customFormat="false" ht="14.25" hidden="false" customHeight="false" outlineLevel="0" collapsed="false">
      <c r="A16" s="242" t="s">
        <v>803</v>
      </c>
      <c r="B16" s="243"/>
      <c r="C16" s="243"/>
      <c r="D16" s="243"/>
      <c r="E16" s="243"/>
      <c r="F16" s="243"/>
      <c r="G16" s="243"/>
      <c r="H16" s="244"/>
      <c r="I16" s="245" t="str">
        <f aca="false">IF(H16="","",MIN(--H16,$C$7))</f>
        <v/>
      </c>
      <c r="J16" s="243"/>
      <c r="K16" s="243"/>
    </row>
    <row r="17" customFormat="false" ht="14.25" hidden="false" customHeight="false" outlineLevel="0" collapsed="false">
      <c r="A17" s="242" t="s">
        <v>804</v>
      </c>
      <c r="B17" s="243"/>
      <c r="C17" s="243"/>
      <c r="D17" s="243"/>
      <c r="E17" s="243"/>
      <c r="F17" s="243"/>
      <c r="G17" s="243"/>
      <c r="H17" s="244"/>
      <c r="I17" s="245" t="str">
        <f aca="false">IF(H17="","",MIN(--H17,$C$7))</f>
        <v/>
      </c>
      <c r="J17" s="243"/>
      <c r="K17" s="243"/>
    </row>
    <row r="18" customFormat="false" ht="14.25" hidden="false" customHeight="false" outlineLevel="0" collapsed="false">
      <c r="A18" s="242" t="s">
        <v>805</v>
      </c>
      <c r="B18" s="243"/>
      <c r="C18" s="243"/>
      <c r="D18" s="243"/>
      <c r="E18" s="243"/>
      <c r="F18" s="243"/>
      <c r="G18" s="243"/>
      <c r="H18" s="244"/>
      <c r="I18" s="245" t="str">
        <f aca="false">IF(H18="","",MIN(--H18,$C$7))</f>
        <v/>
      </c>
      <c r="J18" s="243"/>
      <c r="K18" s="243"/>
    </row>
    <row r="19" customFormat="false" ht="14.25" hidden="false" customHeight="false" outlineLevel="0" collapsed="false">
      <c r="A19" s="242" t="s">
        <v>806</v>
      </c>
      <c r="B19" s="243"/>
      <c r="C19" s="243"/>
      <c r="D19" s="243"/>
      <c r="E19" s="243"/>
      <c r="F19" s="243"/>
      <c r="G19" s="243"/>
      <c r="H19" s="244"/>
      <c r="I19" s="245" t="str">
        <f aca="false">IF(H19="","",MIN(--H19,$C$7))</f>
        <v/>
      </c>
      <c r="J19" s="243"/>
      <c r="K19" s="243"/>
    </row>
    <row r="20" customFormat="false" ht="14.25" hidden="false" customHeight="false" outlineLevel="0" collapsed="false">
      <c r="A20" s="242" t="s">
        <v>807</v>
      </c>
      <c r="B20" s="243"/>
      <c r="C20" s="243"/>
      <c r="D20" s="243"/>
      <c r="E20" s="243"/>
      <c r="F20" s="243"/>
      <c r="G20" s="243"/>
      <c r="H20" s="244"/>
      <c r="I20" s="245" t="str">
        <f aca="false">IF(H20="","",MIN(--H20,$C$7))</f>
        <v/>
      </c>
      <c r="J20" s="243"/>
      <c r="K20" s="243"/>
    </row>
    <row r="21" customFormat="false" ht="14.25" hidden="false" customHeight="false" outlineLevel="0" collapsed="false">
      <c r="A21" s="242" t="s">
        <v>808</v>
      </c>
      <c r="B21" s="243"/>
      <c r="C21" s="243"/>
      <c r="D21" s="243"/>
      <c r="E21" s="243"/>
      <c r="F21" s="243"/>
      <c r="G21" s="243"/>
      <c r="H21" s="244"/>
      <c r="I21" s="245" t="str">
        <f aca="false">IF(H21="","",MIN(--H21,$C$7))</f>
        <v/>
      </c>
      <c r="J21" s="243"/>
      <c r="K21" s="243"/>
    </row>
    <row r="22" customFormat="false" ht="14.25" hidden="false" customHeight="false" outlineLevel="0" collapsed="false">
      <c r="A22" s="242" t="s">
        <v>809</v>
      </c>
      <c r="B22" s="243"/>
      <c r="C22" s="243"/>
      <c r="D22" s="243"/>
      <c r="E22" s="243"/>
      <c r="F22" s="243"/>
      <c r="G22" s="243"/>
      <c r="H22" s="244"/>
      <c r="I22" s="245" t="str">
        <f aca="false">IF(H22="","",MIN(--H22,$C$7))</f>
        <v/>
      </c>
      <c r="J22" s="243"/>
      <c r="K22" s="243"/>
    </row>
    <row r="23" customFormat="false" ht="14.25" hidden="false" customHeight="false" outlineLevel="0" collapsed="false">
      <c r="A23" s="242" t="s">
        <v>810</v>
      </c>
      <c r="B23" s="243"/>
      <c r="C23" s="243"/>
      <c r="D23" s="243"/>
      <c r="E23" s="243"/>
      <c r="F23" s="243"/>
      <c r="G23" s="243"/>
      <c r="H23" s="244"/>
      <c r="I23" s="245" t="str">
        <f aca="false">IF(H23="","",MIN(--H23,$C$7))</f>
        <v/>
      </c>
      <c r="J23" s="243"/>
      <c r="K23" s="243"/>
    </row>
    <row r="24" customFormat="false" ht="14.25" hidden="false" customHeight="false" outlineLevel="0" collapsed="false">
      <c r="A24" s="242" t="s">
        <v>811</v>
      </c>
      <c r="B24" s="243"/>
      <c r="C24" s="243"/>
      <c r="D24" s="243"/>
      <c r="E24" s="243"/>
      <c r="F24" s="243"/>
      <c r="G24" s="243"/>
      <c r="H24" s="244"/>
      <c r="I24" s="245" t="str">
        <f aca="false">IF(H24="","",MIN(--H24,$C$7))</f>
        <v/>
      </c>
      <c r="J24" s="243"/>
      <c r="K24" s="243"/>
    </row>
    <row r="25" customFormat="false" ht="14.25" hidden="false" customHeight="false" outlineLevel="0" collapsed="false">
      <c r="A25" s="242" t="s">
        <v>812</v>
      </c>
      <c r="B25" s="243"/>
      <c r="C25" s="243"/>
      <c r="D25" s="243"/>
      <c r="E25" s="243"/>
      <c r="F25" s="243"/>
      <c r="G25" s="243"/>
      <c r="H25" s="244"/>
      <c r="I25" s="245" t="str">
        <f aca="false">IF(H25="","",MIN(--H25,$C$7))</f>
        <v/>
      </c>
      <c r="J25" s="243"/>
      <c r="K25" s="243"/>
    </row>
    <row r="26" customFormat="false" ht="14.25" hidden="false" customHeight="false" outlineLevel="0" collapsed="false">
      <c r="A26" s="242" t="s">
        <v>813</v>
      </c>
      <c r="B26" s="243"/>
      <c r="C26" s="243"/>
      <c r="D26" s="243"/>
      <c r="E26" s="243"/>
      <c r="F26" s="243"/>
      <c r="G26" s="243"/>
      <c r="H26" s="244"/>
      <c r="I26" s="245" t="str">
        <f aca="false">IF(H26="","",MIN(--H26,$C$7))</f>
        <v/>
      </c>
      <c r="J26" s="243"/>
      <c r="K26" s="243"/>
    </row>
    <row r="27" customFormat="false" ht="14.25" hidden="false" customHeight="false" outlineLevel="0" collapsed="false">
      <c r="A27" s="242" t="s">
        <v>814</v>
      </c>
      <c r="B27" s="243"/>
      <c r="C27" s="243"/>
      <c r="D27" s="243"/>
      <c r="E27" s="243"/>
      <c r="F27" s="243"/>
      <c r="G27" s="243"/>
      <c r="H27" s="244"/>
      <c r="I27" s="245" t="str">
        <f aca="false">IF(H27="","",MIN(--H27,$C$7))</f>
        <v/>
      </c>
      <c r="J27" s="243"/>
      <c r="K27" s="243"/>
    </row>
    <row r="28" customFormat="false" ht="14.25" hidden="false" customHeight="false" outlineLevel="0" collapsed="false">
      <c r="A28" s="242" t="s">
        <v>815</v>
      </c>
      <c r="B28" s="243"/>
      <c r="C28" s="243"/>
      <c r="D28" s="243"/>
      <c r="E28" s="243"/>
      <c r="F28" s="243"/>
      <c r="G28" s="243"/>
      <c r="H28" s="244"/>
      <c r="I28" s="245" t="str">
        <f aca="false">IF(H28="","",MIN(--H28,$C$7))</f>
        <v/>
      </c>
      <c r="J28" s="243"/>
      <c r="K28" s="243"/>
    </row>
    <row r="29" customFormat="false" ht="14.25" hidden="false" customHeight="false" outlineLevel="0" collapsed="false">
      <c r="A29" s="242" t="s">
        <v>816</v>
      </c>
      <c r="B29" s="243"/>
      <c r="C29" s="243"/>
      <c r="D29" s="243"/>
      <c r="E29" s="243"/>
      <c r="F29" s="243"/>
      <c r="G29" s="243"/>
      <c r="H29" s="244"/>
      <c r="I29" s="245" t="str">
        <f aca="false">IF(H29="","",MIN(--H29,$C$7))</f>
        <v/>
      </c>
      <c r="J29" s="243"/>
      <c r="K29" s="243"/>
    </row>
    <row r="30" customFormat="false" ht="14.25" hidden="false" customHeight="false" outlineLevel="0" collapsed="false">
      <c r="A30" s="242" t="s">
        <v>817</v>
      </c>
      <c r="B30" s="243"/>
      <c r="C30" s="243"/>
      <c r="D30" s="243"/>
      <c r="E30" s="243"/>
      <c r="F30" s="243"/>
      <c r="G30" s="243"/>
      <c r="H30" s="244"/>
      <c r="I30" s="245" t="str">
        <f aca="false">IF(H30="","",MIN(--H30,$C$7))</f>
        <v/>
      </c>
      <c r="J30" s="243"/>
      <c r="K30" s="243"/>
    </row>
    <row r="31" customFormat="false" ht="14.25" hidden="false" customHeight="false" outlineLevel="0" collapsed="false">
      <c r="A31" s="242" t="s">
        <v>818</v>
      </c>
      <c r="B31" s="243"/>
      <c r="C31" s="243"/>
      <c r="D31" s="243"/>
      <c r="E31" s="243"/>
      <c r="F31" s="243"/>
      <c r="G31" s="243"/>
      <c r="H31" s="244"/>
      <c r="I31" s="245" t="str">
        <f aca="false">IF(H31="","",MIN(--H31,$C$7))</f>
        <v/>
      </c>
      <c r="J31" s="243"/>
      <c r="K31" s="243"/>
    </row>
    <row r="32" customFormat="false" ht="14.25" hidden="false" customHeight="false" outlineLevel="0" collapsed="false">
      <c r="A32" s="242" t="s">
        <v>819</v>
      </c>
      <c r="B32" s="243"/>
      <c r="C32" s="243"/>
      <c r="D32" s="243"/>
      <c r="E32" s="243"/>
      <c r="F32" s="243"/>
      <c r="G32" s="243"/>
      <c r="H32" s="244"/>
      <c r="I32" s="245" t="str">
        <f aca="false">IF(H32="","",MIN(--H32,$C$7))</f>
        <v/>
      </c>
      <c r="J32" s="243"/>
      <c r="K32" s="243"/>
    </row>
    <row r="33" customFormat="false" ht="14.25" hidden="false" customHeight="false" outlineLevel="0" collapsed="false">
      <c r="A33" s="242" t="s">
        <v>17</v>
      </c>
      <c r="B33" s="243" t="s">
        <v>313</v>
      </c>
      <c r="C33" s="243" t="s">
        <v>1397</v>
      </c>
      <c r="D33" s="243" t="s">
        <v>1398</v>
      </c>
      <c r="E33" s="243" t="s">
        <v>1399</v>
      </c>
      <c r="F33" s="243" t="s">
        <v>1400</v>
      </c>
      <c r="G33" s="243" t="s">
        <v>314</v>
      </c>
      <c r="H33" s="244" t="n">
        <v>2</v>
      </c>
      <c r="I33" s="245" t="n">
        <f aca="false">IF(H33="","",MIN(--H33,$C$7))</f>
        <v>2</v>
      </c>
      <c r="J33" s="243" t="s">
        <v>1401</v>
      </c>
      <c r="K33" s="243"/>
    </row>
    <row r="34" customFormat="false" ht="14.25" hidden="false" customHeight="false" outlineLevel="0" collapsed="false">
      <c r="A34" s="242" t="s">
        <v>820</v>
      </c>
      <c r="B34" s="243"/>
      <c r="C34" s="243"/>
      <c r="D34" s="243"/>
      <c r="E34" s="243"/>
      <c r="F34" s="243"/>
      <c r="G34" s="243"/>
      <c r="H34" s="244"/>
      <c r="I34" s="245" t="str">
        <f aca="false">IF(H34="","",MIN(--H34,$C$7))</f>
        <v/>
      </c>
      <c r="J34" s="243"/>
      <c r="K34" s="243"/>
    </row>
    <row r="35" customFormat="false" ht="14.25" hidden="false" customHeight="false" outlineLevel="0" collapsed="false">
      <c r="A35" s="242" t="s">
        <v>821</v>
      </c>
      <c r="B35" s="243"/>
      <c r="C35" s="243"/>
      <c r="D35" s="243"/>
      <c r="E35" s="243"/>
      <c r="F35" s="243"/>
      <c r="G35" s="243"/>
      <c r="H35" s="244"/>
      <c r="I35" s="245" t="str">
        <f aca="false">IF(H35="","",MIN(--H35,$C$7))</f>
        <v/>
      </c>
      <c r="J35" s="243"/>
      <c r="K35" s="243"/>
    </row>
    <row r="36" customFormat="false" ht="14.25" hidden="false" customHeight="false" outlineLevel="0" collapsed="false">
      <c r="A36" s="242" t="s">
        <v>822</v>
      </c>
      <c r="B36" s="243"/>
      <c r="C36" s="243"/>
      <c r="D36" s="243"/>
      <c r="E36" s="243"/>
      <c r="F36" s="243"/>
      <c r="G36" s="243"/>
      <c r="H36" s="244"/>
      <c r="I36" s="245" t="str">
        <f aca="false">IF(H36="","",MIN(--H36,$C$7))</f>
        <v/>
      </c>
      <c r="J36" s="243"/>
      <c r="K36" s="243"/>
    </row>
    <row r="37" customFormat="false" ht="14.25" hidden="false" customHeight="false" outlineLevel="0" collapsed="false">
      <c r="A37" s="242" t="s">
        <v>823</v>
      </c>
      <c r="B37" s="243"/>
      <c r="C37" s="243"/>
      <c r="D37" s="243"/>
      <c r="E37" s="243"/>
      <c r="F37" s="243"/>
      <c r="G37" s="243"/>
      <c r="H37" s="244"/>
      <c r="I37" s="245" t="str">
        <f aca="false">IF(H37="","",MIN(--H37,$C$7))</f>
        <v/>
      </c>
      <c r="J37" s="243"/>
      <c r="K37" s="243"/>
    </row>
    <row r="38" customFormat="false" ht="14.25" hidden="false" customHeight="false" outlineLevel="0" collapsed="false">
      <c r="A38" s="242" t="s">
        <v>824</v>
      </c>
      <c r="B38" s="243"/>
      <c r="C38" s="243"/>
      <c r="D38" s="243"/>
      <c r="E38" s="243"/>
      <c r="F38" s="243"/>
      <c r="G38" s="243"/>
      <c r="H38" s="244"/>
      <c r="I38" s="245" t="str">
        <f aca="false">IF(H38="","",MIN(--H38,$C$7))</f>
        <v/>
      </c>
      <c r="J38" s="243"/>
      <c r="K38" s="243"/>
    </row>
    <row r="39" customFormat="false" ht="14.25" hidden="false" customHeight="false" outlineLevel="0" collapsed="false">
      <c r="A39" s="242" t="s">
        <v>825</v>
      </c>
      <c r="B39" s="243"/>
      <c r="C39" s="243"/>
      <c r="D39" s="243"/>
      <c r="E39" s="243"/>
      <c r="F39" s="243"/>
      <c r="G39" s="243"/>
      <c r="H39" s="244"/>
      <c r="I39" s="245" t="str">
        <f aca="false">IF(H39="","",MIN(--H39,$C$7))</f>
        <v/>
      </c>
      <c r="J39" s="243"/>
      <c r="K39" s="243"/>
    </row>
    <row r="40" customFormat="false" ht="14.25" hidden="false" customHeight="false" outlineLevel="0" collapsed="false">
      <c r="A40" s="242" t="s">
        <v>826</v>
      </c>
      <c r="B40" s="243"/>
      <c r="C40" s="243"/>
      <c r="D40" s="243"/>
      <c r="E40" s="243"/>
      <c r="F40" s="243"/>
      <c r="G40" s="243"/>
      <c r="H40" s="244"/>
      <c r="I40" s="245" t="str">
        <f aca="false">IF(H40="","",MIN(--H40,$C$7))</f>
        <v/>
      </c>
      <c r="J40" s="243"/>
      <c r="K40" s="243"/>
    </row>
    <row r="41" customFormat="false" ht="14.25" hidden="false" customHeight="false" outlineLevel="0" collapsed="false">
      <c r="A41" s="242" t="s">
        <v>827</v>
      </c>
      <c r="B41" s="243"/>
      <c r="C41" s="243"/>
      <c r="D41" s="243"/>
      <c r="E41" s="243"/>
      <c r="F41" s="243"/>
      <c r="G41" s="243"/>
      <c r="H41" s="244"/>
      <c r="I41" s="245" t="str">
        <f aca="false">IF(H41="","",MIN(--H41,$C$7))</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4" t="s">
        <v>1090</v>
      </c>
      <c r="B1" s="234" t="s">
        <v>363</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36" t="n">
        <f aca="false">VLOOKUP($B$1,'UPD Questions_290926 '!$E$1:$N$300,MATCH($A$7,'UPD Questions_290926 '!$E$1:$N$1,0),0)</f>
        <v>2</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38" t="s">
        <v>1376</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1377</v>
      </c>
      <c r="I12" s="239" t="s">
        <v>1103</v>
      </c>
      <c r="J12" s="241" t="s">
        <v>1104</v>
      </c>
      <c r="K12" s="241" t="s">
        <v>1383</v>
      </c>
    </row>
    <row r="13" customFormat="false" ht="14.25" hidden="false" customHeight="false" outlineLevel="0" collapsed="false">
      <c r="A13" s="242" t="s">
        <v>800</v>
      </c>
      <c r="B13" s="243"/>
      <c r="C13" s="243"/>
      <c r="D13" s="243"/>
      <c r="E13" s="243"/>
      <c r="F13" s="243"/>
      <c r="G13" s="243"/>
      <c r="H13" s="244"/>
      <c r="I13" s="245" t="str">
        <f aca="false">IF(H13="","",MIN(--H13,$C$7))</f>
        <v/>
      </c>
      <c r="J13" s="243"/>
      <c r="K13" s="243"/>
    </row>
    <row r="14" customFormat="false" ht="15" hidden="false" customHeight="true" outlineLevel="0" collapsed="false">
      <c r="A14" s="242" t="s">
        <v>801</v>
      </c>
      <c r="B14" s="243"/>
      <c r="C14" s="243"/>
      <c r="D14" s="243"/>
      <c r="E14" s="243"/>
      <c r="F14" s="243"/>
      <c r="G14" s="247" t="s">
        <v>1222</v>
      </c>
      <c r="H14" s="244" t="n">
        <v>0</v>
      </c>
      <c r="I14" s="245" t="n">
        <f aca="false">IF(H14="","",MIN(--H14,$C$7))</f>
        <v>0</v>
      </c>
      <c r="J14" s="243" t="s">
        <v>1402</v>
      </c>
      <c r="K14" s="243"/>
    </row>
    <row r="15" customFormat="false" ht="14.25" hidden="false" customHeight="false" outlineLevel="0" collapsed="false">
      <c r="A15" s="242" t="s">
        <v>802</v>
      </c>
      <c r="B15" s="243"/>
      <c r="C15" s="243"/>
      <c r="D15" s="243"/>
      <c r="E15" s="243"/>
      <c r="F15" s="243"/>
      <c r="G15" s="243"/>
      <c r="H15" s="244"/>
      <c r="I15" s="245" t="str">
        <f aca="false">IF(H15="","",MIN(--H15,$C$7))</f>
        <v/>
      </c>
      <c r="J15" s="243"/>
      <c r="K15" s="243"/>
    </row>
    <row r="16" customFormat="false" ht="14.25" hidden="false" customHeight="false" outlineLevel="0" collapsed="false">
      <c r="A16" s="242" t="s">
        <v>803</v>
      </c>
      <c r="B16" s="243"/>
      <c r="C16" s="243"/>
      <c r="D16" s="243"/>
      <c r="E16" s="243"/>
      <c r="F16" s="243"/>
      <c r="G16" s="243"/>
      <c r="H16" s="244"/>
      <c r="I16" s="245" t="str">
        <f aca="false">IF(H16="","",MIN(--H16,$C$7))</f>
        <v/>
      </c>
      <c r="J16" s="243"/>
      <c r="K16" s="243"/>
    </row>
    <row r="17" customFormat="false" ht="14.25" hidden="false" customHeight="false" outlineLevel="0" collapsed="false">
      <c r="A17" s="242" t="s">
        <v>804</v>
      </c>
      <c r="B17" s="243"/>
      <c r="C17" s="243"/>
      <c r="D17" s="243"/>
      <c r="E17" s="243"/>
      <c r="F17" s="243"/>
      <c r="G17" s="243"/>
      <c r="H17" s="244"/>
      <c r="I17" s="245" t="str">
        <f aca="false">IF(H17="","",MIN(--H17,$C$7))</f>
        <v/>
      </c>
      <c r="J17" s="243"/>
      <c r="K17" s="243"/>
    </row>
    <row r="18" customFormat="false" ht="14.25" hidden="false" customHeight="false" outlineLevel="0" collapsed="false">
      <c r="A18" s="242" t="s">
        <v>805</v>
      </c>
      <c r="B18" s="243"/>
      <c r="C18" s="243"/>
      <c r="D18" s="243"/>
      <c r="E18" s="243"/>
      <c r="F18" s="243"/>
      <c r="G18" s="243"/>
      <c r="H18" s="244"/>
      <c r="I18" s="245" t="str">
        <f aca="false">IF(H18="","",MIN(--H18,$C$7))</f>
        <v/>
      </c>
      <c r="J18" s="243"/>
      <c r="K18" s="243"/>
    </row>
    <row r="19" customFormat="false" ht="14.25" hidden="false" customHeight="false" outlineLevel="0" collapsed="false">
      <c r="A19" s="242" t="s">
        <v>806</v>
      </c>
      <c r="B19" s="243"/>
      <c r="C19" s="243"/>
      <c r="D19" s="243"/>
      <c r="E19" s="243"/>
      <c r="F19" s="243"/>
      <c r="G19" s="243"/>
      <c r="H19" s="244"/>
      <c r="I19" s="245" t="str">
        <f aca="false">IF(H19="","",MIN(--H19,$C$7))</f>
        <v/>
      </c>
      <c r="J19" s="243"/>
      <c r="K19" s="243"/>
    </row>
    <row r="20" customFormat="false" ht="14.25" hidden="false" customHeight="false" outlineLevel="0" collapsed="false">
      <c r="A20" s="242" t="s">
        <v>807</v>
      </c>
      <c r="B20" s="243"/>
      <c r="C20" s="243"/>
      <c r="D20" s="243"/>
      <c r="E20" s="243"/>
      <c r="F20" s="243"/>
      <c r="G20" s="243"/>
      <c r="H20" s="244"/>
      <c r="I20" s="245" t="str">
        <f aca="false">IF(H20="","",MIN(--H20,$C$7))</f>
        <v/>
      </c>
      <c r="J20" s="243"/>
      <c r="K20" s="243"/>
    </row>
    <row r="21" customFormat="false" ht="14.25" hidden="false" customHeight="false" outlineLevel="0" collapsed="false">
      <c r="A21" s="242" t="s">
        <v>808</v>
      </c>
      <c r="B21" s="243"/>
      <c r="C21" s="243"/>
      <c r="D21" s="243"/>
      <c r="E21" s="243"/>
      <c r="F21" s="243"/>
      <c r="G21" s="243"/>
      <c r="H21" s="244"/>
      <c r="I21" s="245" t="str">
        <f aca="false">IF(H21="","",MIN(--H21,$C$7))</f>
        <v/>
      </c>
      <c r="J21" s="243"/>
      <c r="K21" s="243"/>
    </row>
    <row r="22" customFormat="false" ht="14.25" hidden="false" customHeight="false" outlineLevel="0" collapsed="false">
      <c r="A22" s="242" t="s">
        <v>809</v>
      </c>
      <c r="B22" s="243"/>
      <c r="C22" s="243"/>
      <c r="D22" s="243"/>
      <c r="E22" s="243"/>
      <c r="F22" s="243"/>
      <c r="G22" s="243"/>
      <c r="H22" s="244"/>
      <c r="I22" s="245" t="str">
        <f aca="false">IF(H22="","",MIN(--H22,$C$7))</f>
        <v/>
      </c>
      <c r="J22" s="243"/>
      <c r="K22" s="243"/>
    </row>
    <row r="23" customFormat="false" ht="14.25" hidden="false" customHeight="false" outlineLevel="0" collapsed="false">
      <c r="A23" s="242" t="s">
        <v>810</v>
      </c>
      <c r="B23" s="243"/>
      <c r="C23" s="243"/>
      <c r="D23" s="243"/>
      <c r="E23" s="243"/>
      <c r="F23" s="243"/>
      <c r="G23" s="243"/>
      <c r="H23" s="244"/>
      <c r="I23" s="245" t="str">
        <f aca="false">IF(H23="","",MIN(--H23,$C$7))</f>
        <v/>
      </c>
      <c r="J23" s="243"/>
      <c r="K23" s="243"/>
    </row>
    <row r="24" customFormat="false" ht="14.25" hidden="false" customHeight="false" outlineLevel="0" collapsed="false">
      <c r="A24" s="242" t="s">
        <v>811</v>
      </c>
      <c r="B24" s="243"/>
      <c r="C24" s="243"/>
      <c r="D24" s="243"/>
      <c r="E24" s="243"/>
      <c r="F24" s="243"/>
      <c r="G24" s="243"/>
      <c r="H24" s="244"/>
      <c r="I24" s="245" t="str">
        <f aca="false">IF(H24="","",MIN(--H24,$C$7))</f>
        <v/>
      </c>
      <c r="J24" s="243"/>
      <c r="K24" s="243"/>
    </row>
    <row r="25" customFormat="false" ht="14.25" hidden="false" customHeight="false" outlineLevel="0" collapsed="false">
      <c r="A25" s="242" t="s">
        <v>812</v>
      </c>
      <c r="B25" s="243"/>
      <c r="C25" s="243"/>
      <c r="D25" s="243"/>
      <c r="E25" s="243"/>
      <c r="F25" s="243"/>
      <c r="G25" s="243"/>
      <c r="H25" s="244"/>
      <c r="I25" s="245" t="str">
        <f aca="false">IF(H25="","",MIN(--H25,$C$7))</f>
        <v/>
      </c>
      <c r="J25" s="243"/>
      <c r="K25" s="243"/>
    </row>
    <row r="26" customFormat="false" ht="14.25" hidden="false" customHeight="false" outlineLevel="0" collapsed="false">
      <c r="A26" s="242" t="s">
        <v>813</v>
      </c>
      <c r="B26" s="243"/>
      <c r="C26" s="243"/>
      <c r="D26" s="243"/>
      <c r="E26" s="243"/>
      <c r="F26" s="243"/>
      <c r="G26" s="243"/>
      <c r="H26" s="244"/>
      <c r="I26" s="245" t="str">
        <f aca="false">IF(H26="","",MIN(--H26,$C$7))</f>
        <v/>
      </c>
      <c r="J26" s="243"/>
      <c r="K26" s="243"/>
    </row>
    <row r="27" customFormat="false" ht="14.25" hidden="false" customHeight="false" outlineLevel="0" collapsed="false">
      <c r="A27" s="242" t="s">
        <v>814</v>
      </c>
      <c r="B27" s="243"/>
      <c r="C27" s="243"/>
      <c r="D27" s="243"/>
      <c r="E27" s="243"/>
      <c r="F27" s="243"/>
      <c r="G27" s="243"/>
      <c r="H27" s="244"/>
      <c r="I27" s="245" t="str">
        <f aca="false">IF(H27="","",MIN(--H27,$C$7))</f>
        <v/>
      </c>
      <c r="J27" s="243"/>
      <c r="K27" s="243"/>
    </row>
    <row r="28" customFormat="false" ht="14.25" hidden="false" customHeight="false" outlineLevel="0" collapsed="false">
      <c r="A28" s="242" t="s">
        <v>815</v>
      </c>
      <c r="B28" s="243"/>
      <c r="C28" s="243"/>
      <c r="D28" s="243"/>
      <c r="E28" s="243"/>
      <c r="F28" s="243"/>
      <c r="G28" s="243"/>
      <c r="H28" s="244"/>
      <c r="I28" s="245" t="str">
        <f aca="false">IF(H28="","",MIN(--H28,$C$7))</f>
        <v/>
      </c>
      <c r="J28" s="243"/>
      <c r="K28" s="243"/>
    </row>
    <row r="29" customFormat="false" ht="14.25" hidden="false" customHeight="false" outlineLevel="0" collapsed="false">
      <c r="A29" s="242" t="s">
        <v>816</v>
      </c>
      <c r="B29" s="243"/>
      <c r="C29" s="243"/>
      <c r="D29" s="243"/>
      <c r="E29" s="243"/>
      <c r="F29" s="243"/>
      <c r="G29" s="243"/>
      <c r="H29" s="244"/>
      <c r="I29" s="245" t="str">
        <f aca="false">IF(H29="","",MIN(--H29,$C$7))</f>
        <v/>
      </c>
      <c r="J29" s="243"/>
      <c r="K29" s="243"/>
    </row>
    <row r="30" customFormat="false" ht="14.25" hidden="false" customHeight="false" outlineLevel="0" collapsed="false">
      <c r="A30" s="242" t="s">
        <v>817</v>
      </c>
      <c r="B30" s="243"/>
      <c r="C30" s="243"/>
      <c r="D30" s="243"/>
      <c r="E30" s="243"/>
      <c r="F30" s="243"/>
      <c r="G30" s="243"/>
      <c r="H30" s="244"/>
      <c r="I30" s="245" t="str">
        <f aca="false">IF(H30="","",MIN(--H30,$C$7))</f>
        <v/>
      </c>
      <c r="J30" s="243"/>
      <c r="K30" s="243"/>
    </row>
    <row r="31" customFormat="false" ht="14.25" hidden="false" customHeight="false" outlineLevel="0" collapsed="false">
      <c r="A31" s="242" t="s">
        <v>818</v>
      </c>
      <c r="B31" s="243"/>
      <c r="C31" s="243"/>
      <c r="D31" s="243"/>
      <c r="E31" s="243"/>
      <c r="F31" s="243"/>
      <c r="G31" s="243"/>
      <c r="H31" s="244"/>
      <c r="I31" s="245" t="str">
        <f aca="false">IF(H31="","",MIN(--H31,$C$7))</f>
        <v/>
      </c>
      <c r="J31" s="243"/>
      <c r="K31" s="243"/>
    </row>
    <row r="32" customFormat="false" ht="14.25" hidden="false" customHeight="false" outlineLevel="0" collapsed="false">
      <c r="A32" s="242" t="s">
        <v>819</v>
      </c>
      <c r="B32" s="243"/>
      <c r="C32" s="243"/>
      <c r="D32" s="243"/>
      <c r="E32" s="243"/>
      <c r="F32" s="243"/>
      <c r="G32" s="243"/>
      <c r="H32" s="244"/>
      <c r="I32" s="245" t="str">
        <f aca="false">IF(H32="","",MIN(--H32,$C$7))</f>
        <v/>
      </c>
      <c r="J32" s="243"/>
      <c r="K32" s="243"/>
    </row>
    <row r="33" customFormat="false" ht="14.25" hidden="false" customHeight="false" outlineLevel="0" collapsed="false">
      <c r="A33" s="242" t="s">
        <v>17</v>
      </c>
      <c r="B33" s="243"/>
      <c r="C33" s="243"/>
      <c r="D33" s="243"/>
      <c r="E33" s="243"/>
      <c r="F33" s="243"/>
      <c r="G33" s="243"/>
      <c r="H33" s="244"/>
      <c r="I33" s="245" t="str">
        <f aca="false">IF(H33="","",MIN(--H33,$C$7))</f>
        <v/>
      </c>
      <c r="J33" s="243" t="s">
        <v>1281</v>
      </c>
      <c r="K33" s="243"/>
    </row>
    <row r="34" customFormat="false" ht="14.25" hidden="false" customHeight="false" outlineLevel="0" collapsed="false">
      <c r="A34" s="242" t="s">
        <v>820</v>
      </c>
      <c r="B34" s="243"/>
      <c r="C34" s="243"/>
      <c r="D34" s="243"/>
      <c r="E34" s="243"/>
      <c r="F34" s="243"/>
      <c r="G34" s="243"/>
      <c r="H34" s="244"/>
      <c r="I34" s="245" t="str">
        <f aca="false">IF(H34="","",MIN(--H34,$C$7))</f>
        <v/>
      </c>
      <c r="J34" s="243"/>
      <c r="K34" s="243"/>
    </row>
    <row r="35" customFormat="false" ht="14.25" hidden="false" customHeight="false" outlineLevel="0" collapsed="false">
      <c r="A35" s="242" t="s">
        <v>821</v>
      </c>
      <c r="B35" s="243"/>
      <c r="C35" s="243"/>
      <c r="D35" s="243"/>
      <c r="E35" s="243"/>
      <c r="F35" s="243"/>
      <c r="G35" s="243"/>
      <c r="H35" s="244"/>
      <c r="I35" s="245" t="str">
        <f aca="false">IF(H35="","",MIN(--H35,$C$7))</f>
        <v/>
      </c>
      <c r="J35" s="243"/>
      <c r="K35" s="243"/>
    </row>
    <row r="36" customFormat="false" ht="14.25" hidden="false" customHeight="false" outlineLevel="0" collapsed="false">
      <c r="A36" s="242" t="s">
        <v>822</v>
      </c>
      <c r="B36" s="243"/>
      <c r="C36" s="243"/>
      <c r="D36" s="243"/>
      <c r="E36" s="243"/>
      <c r="F36" s="243"/>
      <c r="G36" s="243"/>
      <c r="H36" s="244"/>
      <c r="I36" s="245" t="str">
        <f aca="false">IF(H36="","",MIN(--H36,$C$7))</f>
        <v/>
      </c>
      <c r="J36" s="243"/>
      <c r="K36" s="243"/>
    </row>
    <row r="37" customFormat="false" ht="14.25" hidden="false" customHeight="false" outlineLevel="0" collapsed="false">
      <c r="A37" s="242" t="s">
        <v>823</v>
      </c>
      <c r="B37" s="243"/>
      <c r="C37" s="243"/>
      <c r="D37" s="243"/>
      <c r="E37" s="243"/>
      <c r="F37" s="243"/>
      <c r="G37" s="243"/>
      <c r="H37" s="244"/>
      <c r="I37" s="245" t="str">
        <f aca="false">IF(H37="","",MIN(--H37,$C$7))</f>
        <v/>
      </c>
      <c r="J37" s="243"/>
      <c r="K37" s="243"/>
    </row>
    <row r="38" customFormat="false" ht="14.25" hidden="false" customHeight="false" outlineLevel="0" collapsed="false">
      <c r="A38" s="242" t="s">
        <v>824</v>
      </c>
      <c r="B38" s="243"/>
      <c r="C38" s="243"/>
      <c r="D38" s="243"/>
      <c r="E38" s="243"/>
      <c r="F38" s="243"/>
      <c r="G38" s="243"/>
      <c r="H38" s="244"/>
      <c r="I38" s="245" t="str">
        <f aca="false">IF(H38="","",MIN(--H38,$C$7))</f>
        <v/>
      </c>
      <c r="J38" s="243"/>
      <c r="K38" s="243"/>
    </row>
    <row r="39" customFormat="false" ht="14.25" hidden="false" customHeight="false" outlineLevel="0" collapsed="false">
      <c r="A39" s="242" t="s">
        <v>825</v>
      </c>
      <c r="B39" s="243"/>
      <c r="C39" s="243"/>
      <c r="D39" s="243"/>
      <c r="E39" s="243"/>
      <c r="F39" s="243"/>
      <c r="G39" s="243"/>
      <c r="H39" s="244"/>
      <c r="I39" s="245" t="str">
        <f aca="false">IF(H39="","",MIN(--H39,$C$7))</f>
        <v/>
      </c>
      <c r="J39" s="243"/>
      <c r="K39" s="243"/>
    </row>
    <row r="40" customFormat="false" ht="14.25" hidden="false" customHeight="false" outlineLevel="0" collapsed="false">
      <c r="A40" s="242" t="s">
        <v>826</v>
      </c>
      <c r="B40" s="243"/>
      <c r="C40" s="243"/>
      <c r="D40" s="243"/>
      <c r="E40" s="243"/>
      <c r="F40" s="243"/>
      <c r="G40" s="243"/>
      <c r="H40" s="244"/>
      <c r="I40" s="245" t="str">
        <f aca="false">IF(H40="","",MIN(--H40,$C$7))</f>
        <v/>
      </c>
      <c r="J40" s="243"/>
      <c r="K40" s="243"/>
    </row>
    <row r="41" customFormat="false" ht="14.25" hidden="false" customHeight="false" outlineLevel="0" collapsed="false">
      <c r="A41" s="242" t="s">
        <v>827</v>
      </c>
      <c r="B41" s="243"/>
      <c r="C41" s="243"/>
      <c r="D41" s="243"/>
      <c r="E41" s="243"/>
      <c r="F41" s="243"/>
      <c r="G41" s="243"/>
      <c r="H41" s="244"/>
      <c r="I41" s="245" t="str">
        <f aca="false">IF(H41="","",MIN(--H41,$C$7))</f>
        <v/>
      </c>
      <c r="J41" s="243"/>
      <c r="K41" s="243"/>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366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the law mandate incentives for green buildings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incentives.Score 5 if the Act provides a clear mandate or enabling provision for green-building incentives, even if the specific incentives are to be prescribed subsequently through rules, regulations or other instruments.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1403</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371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your city give incentives for green buildings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incentives.Score 5 if at least one green-building incentive is operational in the city, based on an official source or reliable secondary evidence.Score 0 if no such incentive can be established.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1404</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4" t="s">
        <v>1090</v>
      </c>
      <c r="B1" s="234" t="s">
        <v>376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titling system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OperationalisationWhere the framework is provided through an Act, check whether the rules/regulations necessary to operationalise the land titling framework have been notified. Scoring:Score 10: Land titling is provided through an Act and the necessary rules/regulations have been notified; OR an applicable Government Order/circular/notification establishes an operational framework that does not require separate rules.Score 5: A land titling Act has been enacted, but the necessary rules/regulations have not been notified.Score 0: No land titling law or applicable Government Order/circular/notification exists.</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1094</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A: Land titling Act / Government Order exists ("&amp;TEXT($C$7/2,"0.00")&amp;")"</f>
        <v>Part A: Land titling Act / Government Order exists (5.00)</v>
      </c>
      <c r="I12" s="241" t="str">
        <f aca="false">"Part B: Rules notified / framework operational (counts only if Part A = YES) ("&amp;TEXT($C$7/2,"0.00")&amp;")"</f>
        <v>Part B: Rules notified / framework operational (counts only if Part A = YES) (5.00)</v>
      </c>
      <c r="J12" s="239" t="s">
        <v>1103</v>
      </c>
      <c r="K12" s="241" t="s">
        <v>1104</v>
      </c>
    </row>
    <row r="13" customFormat="false" ht="14.25" hidden="false" customHeight="false" outlineLevel="0" collapsed="false">
      <c r="A13" s="242" t="s">
        <v>800</v>
      </c>
      <c r="B13" s="243"/>
      <c r="C13" s="243"/>
      <c r="D13" s="243"/>
      <c r="E13" s="243"/>
      <c r="F13" s="243"/>
      <c r="G13" s="243"/>
      <c r="H13" s="244"/>
      <c r="I13" s="244"/>
      <c r="J13" s="245" t="str">
        <f aca="false">IF(H13="","",IF(H13="NO",0,IF(I13="","",IF(I13="YES",$C$7,$C$7/2))))</f>
        <v/>
      </c>
      <c r="K13" s="243"/>
    </row>
    <row r="14" customFormat="false" ht="14.25" hidden="false" customHeight="false" outlineLevel="0" collapsed="false">
      <c r="A14" s="242" t="s">
        <v>801</v>
      </c>
      <c r="B14" s="243"/>
      <c r="C14" s="243"/>
      <c r="D14" s="243"/>
      <c r="E14" s="243"/>
      <c r="F14" s="243"/>
      <c r="G14" s="243"/>
      <c r="H14" s="244"/>
      <c r="I14" s="244"/>
      <c r="J14" s="245" t="str">
        <f aca="false">IF(H14="","",IF(H14="NO",0,IF(I14="","",IF(I14="YES",$C$7,$C$7/2))))</f>
        <v/>
      </c>
      <c r="K14" s="243"/>
    </row>
    <row r="15" customFormat="false" ht="14.25" hidden="false" customHeight="false" outlineLevel="0" collapsed="false">
      <c r="A15" s="242" t="s">
        <v>802</v>
      </c>
      <c r="B15" s="243"/>
      <c r="C15" s="243"/>
      <c r="D15" s="243"/>
      <c r="E15" s="243"/>
      <c r="F15" s="243"/>
      <c r="G15" s="243"/>
      <c r="H15" s="244"/>
      <c r="I15" s="244"/>
      <c r="J15" s="245" t="str">
        <f aca="false">IF(H15="","",IF(H15="NO",0,IF(I15="","",IF(I15="YES",$C$7,$C$7/2))))</f>
        <v/>
      </c>
      <c r="K15" s="243"/>
    </row>
    <row r="16" customFormat="false" ht="14.25" hidden="false" customHeight="false" outlineLevel="0" collapsed="false">
      <c r="A16" s="242" t="s">
        <v>803</v>
      </c>
      <c r="B16" s="243"/>
      <c r="C16" s="243"/>
      <c r="D16" s="243"/>
      <c r="E16" s="243"/>
      <c r="F16" s="243"/>
      <c r="G16" s="243"/>
      <c r="H16" s="244"/>
      <c r="I16" s="244"/>
      <c r="J16" s="245" t="str">
        <f aca="false">IF(H16="","",IF(H16="NO",0,IF(I16="","",IF(I16="YES",$C$7,$C$7/2))))</f>
        <v/>
      </c>
      <c r="K16" s="243"/>
    </row>
    <row r="17" customFormat="false" ht="14.25" hidden="false" customHeight="false" outlineLevel="0" collapsed="false">
      <c r="A17" s="242" t="s">
        <v>804</v>
      </c>
      <c r="B17" s="243"/>
      <c r="C17" s="243"/>
      <c r="D17" s="243"/>
      <c r="E17" s="243"/>
      <c r="F17" s="243"/>
      <c r="G17" s="243"/>
      <c r="H17" s="244"/>
      <c r="I17" s="244"/>
      <c r="J17" s="245" t="str">
        <f aca="false">IF(H17="","",IF(H17="NO",0,IF(I17="","",IF(I17="YES",$C$7,$C$7/2))))</f>
        <v/>
      </c>
      <c r="K17" s="243"/>
    </row>
    <row r="18" customFormat="false" ht="14.25" hidden="false" customHeight="false" outlineLevel="0" collapsed="false">
      <c r="A18" s="242" t="s">
        <v>805</v>
      </c>
      <c r="B18" s="243"/>
      <c r="C18" s="243"/>
      <c r="D18" s="243"/>
      <c r="E18" s="243"/>
      <c r="F18" s="243"/>
      <c r="G18" s="243"/>
      <c r="H18" s="244"/>
      <c r="I18" s="244"/>
      <c r="J18" s="245" t="str">
        <f aca="false">IF(H18="","",IF(H18="NO",0,IF(I18="","",IF(I18="YES",$C$7,$C$7/2))))</f>
        <v/>
      </c>
      <c r="K18" s="243"/>
    </row>
    <row r="19" customFormat="false" ht="14.25" hidden="false" customHeight="false" outlineLevel="0" collapsed="false">
      <c r="A19" s="242" t="s">
        <v>806</v>
      </c>
      <c r="B19" s="243"/>
      <c r="C19" s="243"/>
      <c r="D19" s="243"/>
      <c r="E19" s="243"/>
      <c r="F19" s="243"/>
      <c r="G19" s="243"/>
      <c r="H19" s="244"/>
      <c r="I19" s="244"/>
      <c r="J19" s="245" t="str">
        <f aca="false">IF(H19="","",IF(H19="NO",0,IF(I19="","",IF(I19="YES",$C$7,$C$7/2))))</f>
        <v/>
      </c>
      <c r="K19" s="243"/>
    </row>
    <row r="20" customFormat="false" ht="14.25" hidden="false" customHeight="false" outlineLevel="0" collapsed="false">
      <c r="A20" s="242" t="s">
        <v>807</v>
      </c>
      <c r="B20" s="243"/>
      <c r="C20" s="243"/>
      <c r="D20" s="243"/>
      <c r="E20" s="243"/>
      <c r="F20" s="243"/>
      <c r="G20" s="243"/>
      <c r="H20" s="244"/>
      <c r="I20" s="244"/>
      <c r="J20" s="245" t="str">
        <f aca="false">IF(H20="","",IF(H20="NO",0,IF(I20="","",IF(I20="YES",$C$7,$C$7/2))))</f>
        <v/>
      </c>
      <c r="K20" s="243"/>
    </row>
    <row r="21" customFormat="false" ht="14.25" hidden="false" customHeight="false" outlineLevel="0" collapsed="false">
      <c r="A21" s="242" t="s">
        <v>808</v>
      </c>
      <c r="B21" s="243"/>
      <c r="C21" s="243"/>
      <c r="D21" s="243"/>
      <c r="E21" s="243"/>
      <c r="F21" s="243"/>
      <c r="G21" s="243"/>
      <c r="H21" s="244"/>
      <c r="I21" s="244"/>
      <c r="J21" s="245" t="str">
        <f aca="false">IF(H21="","",IF(H21="NO",0,IF(I21="","",IF(I21="YES",$C$7,$C$7/2))))</f>
        <v/>
      </c>
      <c r="K21" s="243"/>
    </row>
    <row r="22" customFormat="false" ht="14.25" hidden="false" customHeight="false" outlineLevel="0" collapsed="false">
      <c r="A22" s="242" t="s">
        <v>809</v>
      </c>
      <c r="B22" s="243"/>
      <c r="C22" s="243"/>
      <c r="D22" s="243"/>
      <c r="E22" s="243"/>
      <c r="F22" s="243"/>
      <c r="G22" s="243"/>
      <c r="H22" s="244"/>
      <c r="I22" s="244"/>
      <c r="J22" s="245" t="str">
        <f aca="false">IF(H22="","",IF(H22="NO",0,IF(I22="","",IF(I22="YES",$C$7,$C$7/2))))</f>
        <v/>
      </c>
      <c r="K22" s="243"/>
    </row>
    <row r="23" customFormat="false" ht="14.25" hidden="false" customHeight="false" outlineLevel="0" collapsed="false">
      <c r="A23" s="242" t="s">
        <v>810</v>
      </c>
      <c r="B23" s="243"/>
      <c r="C23" s="243"/>
      <c r="D23" s="243"/>
      <c r="E23" s="243"/>
      <c r="F23" s="243"/>
      <c r="G23" s="243"/>
      <c r="H23" s="244"/>
      <c r="I23" s="244"/>
      <c r="J23" s="245" t="str">
        <f aca="false">IF(H23="","",IF(H23="NO",0,IF(I23="","",IF(I23="YES",$C$7,$C$7/2))))</f>
        <v/>
      </c>
      <c r="K23" s="243"/>
    </row>
    <row r="24" customFormat="false" ht="14.25" hidden="false" customHeight="false" outlineLevel="0" collapsed="false">
      <c r="A24" s="242" t="s">
        <v>811</v>
      </c>
      <c r="B24" s="243"/>
      <c r="C24" s="243"/>
      <c r="D24" s="243"/>
      <c r="E24" s="243"/>
      <c r="F24" s="243"/>
      <c r="G24" s="243"/>
      <c r="H24" s="244"/>
      <c r="I24" s="244"/>
      <c r="J24" s="245" t="str">
        <f aca="false">IF(H24="","",IF(H24="NO",0,IF(I24="","",IF(I24="YES",$C$7,$C$7/2))))</f>
        <v/>
      </c>
      <c r="K24" s="243"/>
    </row>
    <row r="25" customFormat="false" ht="14.25" hidden="false" customHeight="false" outlineLevel="0" collapsed="false">
      <c r="A25" s="242" t="s">
        <v>812</v>
      </c>
      <c r="B25" s="243"/>
      <c r="C25" s="243"/>
      <c r="D25" s="243"/>
      <c r="E25" s="243"/>
      <c r="F25" s="243"/>
      <c r="G25" s="243"/>
      <c r="H25" s="244"/>
      <c r="I25" s="244"/>
      <c r="J25" s="245" t="str">
        <f aca="false">IF(H25="","",IF(H25="NO",0,IF(I25="","",IF(I25="YES",$C$7,$C$7/2))))</f>
        <v/>
      </c>
      <c r="K25" s="243"/>
    </row>
    <row r="26" customFormat="false" ht="14.25" hidden="false" customHeight="false" outlineLevel="0" collapsed="false">
      <c r="A26" s="242" t="s">
        <v>813</v>
      </c>
      <c r="B26" s="243"/>
      <c r="C26" s="243"/>
      <c r="D26" s="243"/>
      <c r="E26" s="243"/>
      <c r="F26" s="243"/>
      <c r="G26" s="243"/>
      <c r="H26" s="244"/>
      <c r="I26" s="244"/>
      <c r="J26" s="245" t="str">
        <f aca="false">IF(H26="","",IF(H26="NO",0,IF(I26="","",IF(I26="YES",$C$7,$C$7/2))))</f>
        <v/>
      </c>
      <c r="K26" s="243"/>
    </row>
    <row r="27" customFormat="false" ht="14.25" hidden="false" customHeight="false" outlineLevel="0" collapsed="false">
      <c r="A27" s="242" t="s">
        <v>814</v>
      </c>
      <c r="B27" s="243"/>
      <c r="C27" s="243"/>
      <c r="D27" s="243"/>
      <c r="E27" s="243"/>
      <c r="F27" s="243"/>
      <c r="G27" s="243"/>
      <c r="H27" s="244"/>
      <c r="I27" s="244"/>
      <c r="J27" s="245" t="str">
        <f aca="false">IF(H27="","",IF(H27="NO",0,IF(I27="","",IF(I27="YES",$C$7,$C$7/2))))</f>
        <v/>
      </c>
      <c r="K27" s="243"/>
    </row>
    <row r="28" customFormat="false" ht="14.25" hidden="false" customHeight="false" outlineLevel="0" collapsed="false">
      <c r="A28" s="242" t="s">
        <v>815</v>
      </c>
      <c r="B28" s="243"/>
      <c r="C28" s="243"/>
      <c r="D28" s="243"/>
      <c r="E28" s="243"/>
      <c r="F28" s="243"/>
      <c r="G28" s="243"/>
      <c r="H28" s="244"/>
      <c r="I28" s="244"/>
      <c r="J28" s="245" t="str">
        <f aca="false">IF(H28="","",IF(H28="NO",0,IF(I28="","",IF(I28="YES",$C$7,$C$7/2))))</f>
        <v/>
      </c>
      <c r="K28" s="243"/>
    </row>
    <row r="29" customFormat="false" ht="14.25" hidden="false" customHeight="false" outlineLevel="0" collapsed="false">
      <c r="A29" s="242" t="s">
        <v>816</v>
      </c>
      <c r="B29" s="243"/>
      <c r="C29" s="243"/>
      <c r="D29" s="243"/>
      <c r="E29" s="243"/>
      <c r="F29" s="243"/>
      <c r="G29" s="243"/>
      <c r="H29" s="244"/>
      <c r="I29" s="244"/>
      <c r="J29" s="245" t="str">
        <f aca="false">IF(H29="","",IF(H29="NO",0,IF(I29="","",IF(I29="YES",$C$7,$C$7/2))))</f>
        <v/>
      </c>
      <c r="K29" s="243"/>
    </row>
    <row r="30" customFormat="false" ht="14.25" hidden="false" customHeight="false" outlineLevel="0" collapsed="false">
      <c r="A30" s="242" t="s">
        <v>817</v>
      </c>
      <c r="B30" s="243"/>
      <c r="C30" s="243"/>
      <c r="D30" s="243"/>
      <c r="E30" s="243"/>
      <c r="F30" s="243"/>
      <c r="G30" s="243"/>
      <c r="H30" s="244"/>
      <c r="I30" s="244"/>
      <c r="J30" s="245" t="str">
        <f aca="false">IF(H30="","",IF(H30="NO",0,IF(I30="","",IF(I30="YES",$C$7,$C$7/2))))</f>
        <v/>
      </c>
      <c r="K30" s="243"/>
    </row>
    <row r="31" customFormat="false" ht="14.25" hidden="false" customHeight="false" outlineLevel="0" collapsed="false">
      <c r="A31" s="242" t="s">
        <v>818</v>
      </c>
      <c r="B31" s="243"/>
      <c r="C31" s="243"/>
      <c r="D31" s="243"/>
      <c r="E31" s="243"/>
      <c r="F31" s="243"/>
      <c r="G31" s="243"/>
      <c r="H31" s="244"/>
      <c r="I31" s="244"/>
      <c r="J31" s="245" t="str">
        <f aca="false">IF(H31="","",IF(H31="NO",0,IF(I31="","",IF(I31="YES",$C$7,$C$7/2))))</f>
        <v/>
      </c>
      <c r="K31" s="243"/>
    </row>
    <row r="32" customFormat="false" ht="14.25" hidden="false" customHeight="false" outlineLevel="0" collapsed="false">
      <c r="A32" s="242" t="s">
        <v>819</v>
      </c>
      <c r="B32" s="243"/>
      <c r="C32" s="243"/>
      <c r="D32" s="243"/>
      <c r="E32" s="243"/>
      <c r="F32" s="243"/>
      <c r="G32" s="243"/>
      <c r="H32" s="244"/>
      <c r="I32" s="244"/>
      <c r="J32" s="245" t="str">
        <f aca="false">IF(H32="","",IF(H32="NO",0,IF(I32="","",IF(I32="YES",$C$7,$C$7/2))))</f>
        <v/>
      </c>
      <c r="K32" s="243"/>
    </row>
    <row r="33" customFormat="false" ht="14.25" hidden="false" customHeight="false" outlineLevel="0" collapsed="false">
      <c r="A33" s="242" t="s">
        <v>17</v>
      </c>
      <c r="B33" s="243" t="s">
        <v>67</v>
      </c>
      <c r="C33" s="243" t="s">
        <v>1405</v>
      </c>
      <c r="D33" s="243" t="s">
        <v>1406</v>
      </c>
      <c r="E33" s="243" t="s">
        <v>1407</v>
      </c>
      <c r="F33" s="243" t="s">
        <v>1408</v>
      </c>
      <c r="G33" s="243" t="s">
        <v>68</v>
      </c>
      <c r="H33" s="244"/>
      <c r="I33" s="244"/>
      <c r="J33" s="245" t="str">
        <f aca="false">IF(H33="","",IF(H33="NO",0,IF(I33="","",IF(I33="YES",$C$7,$C$7/2))))</f>
        <v/>
      </c>
      <c r="K33" s="243" t="s">
        <v>1409</v>
      </c>
    </row>
    <row r="34" customFormat="false" ht="14.25" hidden="false" customHeight="false" outlineLevel="0" collapsed="false">
      <c r="A34" s="242" t="s">
        <v>820</v>
      </c>
      <c r="B34" s="243"/>
      <c r="C34" s="243"/>
      <c r="D34" s="243"/>
      <c r="E34" s="243"/>
      <c r="F34" s="243"/>
      <c r="G34" s="243"/>
      <c r="H34" s="244"/>
      <c r="I34" s="244"/>
      <c r="J34" s="245" t="str">
        <f aca="false">IF(H34="","",IF(H34="NO",0,IF(I34="","",IF(I34="YES",$C$7,$C$7/2))))</f>
        <v/>
      </c>
      <c r="K34" s="243"/>
    </row>
    <row r="35" customFormat="false" ht="14.25" hidden="false" customHeight="false" outlineLevel="0" collapsed="false">
      <c r="A35" s="242" t="s">
        <v>821</v>
      </c>
      <c r="B35" s="243"/>
      <c r="C35" s="243"/>
      <c r="D35" s="243"/>
      <c r="E35" s="243"/>
      <c r="F35" s="243"/>
      <c r="G35" s="243"/>
      <c r="H35" s="244"/>
      <c r="I35" s="244"/>
      <c r="J35" s="245" t="str">
        <f aca="false">IF(H35="","",IF(H35="NO",0,IF(I35="","",IF(I35="YES",$C$7,$C$7/2))))</f>
        <v/>
      </c>
      <c r="K35" s="243"/>
    </row>
    <row r="36" customFormat="false" ht="14.25" hidden="false" customHeight="false" outlineLevel="0" collapsed="false">
      <c r="A36" s="242" t="s">
        <v>822</v>
      </c>
      <c r="B36" s="243"/>
      <c r="C36" s="243"/>
      <c r="D36" s="243"/>
      <c r="E36" s="243"/>
      <c r="F36" s="243"/>
      <c r="G36" s="243"/>
      <c r="H36" s="244"/>
      <c r="I36" s="244"/>
      <c r="J36" s="245" t="str">
        <f aca="false">IF(H36="","",IF(H36="NO",0,IF(I36="","",IF(I36="YES",$C$7,$C$7/2))))</f>
        <v/>
      </c>
      <c r="K36" s="243"/>
    </row>
    <row r="37" customFormat="false" ht="14.25" hidden="false" customHeight="false" outlineLevel="0" collapsed="false">
      <c r="A37" s="242" t="s">
        <v>823</v>
      </c>
      <c r="B37" s="243"/>
      <c r="C37" s="243"/>
      <c r="D37" s="243"/>
      <c r="E37" s="243"/>
      <c r="F37" s="243"/>
      <c r="G37" s="243"/>
      <c r="H37" s="244"/>
      <c r="I37" s="244"/>
      <c r="J37" s="245" t="str">
        <f aca="false">IF(H37="","",IF(H37="NO",0,IF(I37="","",IF(I37="YES",$C$7,$C$7/2))))</f>
        <v/>
      </c>
      <c r="K37" s="243"/>
    </row>
    <row r="38" customFormat="false" ht="14.25" hidden="false" customHeight="false" outlineLevel="0" collapsed="false">
      <c r="A38" s="242" t="s">
        <v>824</v>
      </c>
      <c r="B38" s="243"/>
      <c r="C38" s="243"/>
      <c r="D38" s="243"/>
      <c r="E38" s="243"/>
      <c r="F38" s="243"/>
      <c r="G38" s="243"/>
      <c r="H38" s="244"/>
      <c r="I38" s="244"/>
      <c r="J38" s="245" t="str">
        <f aca="false">IF(H38="","",IF(H38="NO",0,IF(I38="","",IF(I38="YES",$C$7,$C$7/2))))</f>
        <v/>
      </c>
      <c r="K38" s="243"/>
    </row>
    <row r="39" customFormat="false" ht="14.25" hidden="false" customHeight="false" outlineLevel="0" collapsed="false">
      <c r="A39" s="242" t="s">
        <v>825</v>
      </c>
      <c r="B39" s="243"/>
      <c r="C39" s="243"/>
      <c r="D39" s="243"/>
      <c r="E39" s="243"/>
      <c r="F39" s="243"/>
      <c r="G39" s="243"/>
      <c r="H39" s="244"/>
      <c r="I39" s="244"/>
      <c r="J39" s="245" t="str">
        <f aca="false">IF(H39="","",IF(H39="NO",0,IF(I39="","",IF(I39="YES",$C$7,$C$7/2))))</f>
        <v/>
      </c>
      <c r="K39" s="243"/>
    </row>
    <row r="40" customFormat="false" ht="14.25" hidden="false" customHeight="false" outlineLevel="0" collapsed="false">
      <c r="A40" s="242" t="s">
        <v>826</v>
      </c>
      <c r="B40" s="243"/>
      <c r="C40" s="243"/>
      <c r="D40" s="243"/>
      <c r="E40" s="243"/>
      <c r="F40" s="243"/>
      <c r="G40" s="243"/>
      <c r="H40" s="244"/>
      <c r="I40" s="244"/>
      <c r="J40" s="245" t="str">
        <f aca="false">IF(H40="","",IF(H40="NO",0,IF(I40="","",IF(I40="YES",$C$7,$C$7/2))))</f>
        <v/>
      </c>
      <c r="K40" s="243"/>
    </row>
    <row r="41" customFormat="false" ht="14.25" hidden="false" customHeight="false" outlineLevel="0" collapsed="false">
      <c r="A41" s="242" t="s">
        <v>827</v>
      </c>
      <c r="B41" s="243"/>
      <c r="C41" s="243"/>
      <c r="D41" s="243"/>
      <c r="E41" s="243"/>
      <c r="F41" s="243"/>
      <c r="G41" s="243"/>
      <c r="H41" s="244"/>
      <c r="I41" s="244"/>
      <c r="J41" s="245" t="str">
        <f aca="false">IF(H41="","",IF(H41="NO",0,IF(I41="","",IF(I41="YES",$C$7,$C$7/2))))</f>
        <v/>
      </c>
      <c r="K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 collapsed="false" customWidth="true" hidden="false" outlineLevel="0" max="12" min="12" style="0" width="30"/>
  </cols>
  <sheetData>
    <row r="1" customFormat="false" ht="14.25" hidden="false" customHeight="false" outlineLevel="0" collapsed="false">
      <c r="A1" s="234" t="s">
        <v>1090</v>
      </c>
      <c r="B1" s="234" t="s">
        <v>382</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pooling system ?</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legislation or issued a Government Order/circular/notification providing for a land assembly/reconstitution mechanism such as:a. Town Planning Scheme (TPS)/land reconstitution; orb. Land pooling. Score 5 if at least one such mechanism is formally provided for through legislation or an applicable Government Order/circular/notification. Score 0 otherwise. Part B – OperationalisationWhere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Note: Record separately whether the applicable mechanism is TPS/land reconstitution, land pooling, or both. </v>
      </c>
      <c r="H10" s="237" t="s">
        <v>1148</v>
      </c>
    </row>
    <row r="11" customFormat="false" ht="28.5" hidden="false" customHeight="true" outlineLevel="0" collapsed="false">
      <c r="H11" s="238" t="s">
        <v>1095</v>
      </c>
      <c r="I11" s="238" t="s">
        <v>1095</v>
      </c>
      <c r="J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tr">
        <f aca="false">"Part A: Mechanism provided (law / GO) ("&amp;TEXT($C$7/2,"0.00")&amp;")"</f>
        <v>Part A: Mechanism provided (law / GO) (5.00)</v>
      </c>
      <c r="I12" s="241" t="str">
        <f aca="false">"Part B: Rules notified &amp; in force ("&amp;TEXT($C$7/2,"0.00")&amp;")"</f>
        <v>Part B: Rules notified &amp; in force (5.00)</v>
      </c>
      <c r="J12" s="239" t="s">
        <v>1103</v>
      </c>
      <c r="K12" s="241" t="s">
        <v>1104</v>
      </c>
      <c r="L12" s="241" t="s">
        <v>1410</v>
      </c>
    </row>
    <row r="13" customFormat="false" ht="14.25" hidden="false" customHeight="false" outlineLevel="0" collapsed="false">
      <c r="A13" s="242" t="s">
        <v>800</v>
      </c>
      <c r="B13" s="243"/>
      <c r="C13" s="243"/>
      <c r="D13" s="243"/>
      <c r="E13" s="243"/>
      <c r="F13" s="243"/>
      <c r="G13" s="243"/>
      <c r="H13" s="244"/>
      <c r="I13" s="244"/>
      <c r="J13" s="245" t="str">
        <f aca="false">IF(OR(H13="",I13=""),"",COUNTIF(H13:I13,"YES")/2*$C$7)</f>
        <v/>
      </c>
      <c r="K13" s="243"/>
      <c r="L13" s="243"/>
    </row>
    <row r="14" customFormat="false" ht="14.25" hidden="false" customHeight="false" outlineLevel="0" collapsed="false">
      <c r="A14" s="242" t="s">
        <v>801</v>
      </c>
      <c r="B14" s="243"/>
      <c r="C14" s="243"/>
      <c r="D14" s="243"/>
      <c r="E14" s="243"/>
      <c r="F14" s="243"/>
      <c r="G14" s="243"/>
      <c r="H14" s="244"/>
      <c r="I14" s="244"/>
      <c r="J14" s="245" t="str">
        <f aca="false">IF(OR(H14="",I14=""),"",COUNTIF(H14:I14,"YES")/2*$C$7)</f>
        <v/>
      </c>
      <c r="K14" s="243"/>
      <c r="L14" s="243"/>
    </row>
    <row r="15" customFormat="false" ht="14.25" hidden="false" customHeight="false" outlineLevel="0" collapsed="false">
      <c r="A15" s="242" t="s">
        <v>802</v>
      </c>
      <c r="B15" s="243"/>
      <c r="C15" s="243"/>
      <c r="D15" s="243"/>
      <c r="E15" s="243"/>
      <c r="F15" s="243"/>
      <c r="G15" s="243"/>
      <c r="H15" s="244"/>
      <c r="I15" s="244"/>
      <c r="J15" s="245" t="str">
        <f aca="false">IF(OR(H15="",I15=""),"",COUNTIF(H15:I15,"YES")/2*$C$7)</f>
        <v/>
      </c>
      <c r="K15" s="243"/>
      <c r="L15" s="243"/>
    </row>
    <row r="16" customFormat="false" ht="14.25" hidden="false" customHeight="false" outlineLevel="0" collapsed="false">
      <c r="A16" s="242" t="s">
        <v>803</v>
      </c>
      <c r="B16" s="243"/>
      <c r="C16" s="243"/>
      <c r="D16" s="243"/>
      <c r="E16" s="243"/>
      <c r="F16" s="243"/>
      <c r="G16" s="243"/>
      <c r="H16" s="244"/>
      <c r="I16" s="244"/>
      <c r="J16" s="245" t="str">
        <f aca="false">IF(OR(H16="",I16=""),"",COUNTIF(H16:I16,"YES")/2*$C$7)</f>
        <v/>
      </c>
      <c r="K16" s="243"/>
      <c r="L16" s="243"/>
    </row>
    <row r="17" customFormat="false" ht="14.25" hidden="false" customHeight="false" outlineLevel="0" collapsed="false">
      <c r="A17" s="242" t="s">
        <v>804</v>
      </c>
      <c r="B17" s="243"/>
      <c r="C17" s="243"/>
      <c r="D17" s="243"/>
      <c r="E17" s="243"/>
      <c r="F17" s="243"/>
      <c r="G17" s="243"/>
      <c r="H17" s="244"/>
      <c r="I17" s="244"/>
      <c r="J17" s="245" t="str">
        <f aca="false">IF(OR(H17="",I17=""),"",COUNTIF(H17:I17,"YES")/2*$C$7)</f>
        <v/>
      </c>
      <c r="K17" s="243"/>
      <c r="L17" s="243"/>
    </row>
    <row r="18" customFormat="false" ht="14.25" hidden="false" customHeight="false" outlineLevel="0" collapsed="false">
      <c r="A18" s="242" t="s">
        <v>805</v>
      </c>
      <c r="B18" s="243"/>
      <c r="C18" s="243"/>
      <c r="D18" s="243"/>
      <c r="E18" s="243"/>
      <c r="F18" s="243"/>
      <c r="G18" s="243"/>
      <c r="H18" s="244"/>
      <c r="I18" s="244"/>
      <c r="J18" s="245" t="str">
        <f aca="false">IF(OR(H18="",I18=""),"",COUNTIF(H18:I18,"YES")/2*$C$7)</f>
        <v/>
      </c>
      <c r="K18" s="243"/>
      <c r="L18" s="243"/>
    </row>
    <row r="19" customFormat="false" ht="14.25" hidden="false" customHeight="false" outlineLevel="0" collapsed="false">
      <c r="A19" s="242" t="s">
        <v>806</v>
      </c>
      <c r="B19" s="243"/>
      <c r="C19" s="243"/>
      <c r="D19" s="243"/>
      <c r="E19" s="243"/>
      <c r="F19" s="243"/>
      <c r="G19" s="243"/>
      <c r="H19" s="244"/>
      <c r="I19" s="244"/>
      <c r="J19" s="245" t="str">
        <f aca="false">IF(OR(H19="",I19=""),"",COUNTIF(H19:I19,"YES")/2*$C$7)</f>
        <v/>
      </c>
      <c r="K19" s="243"/>
      <c r="L19" s="243"/>
    </row>
    <row r="20" customFormat="false" ht="14.25" hidden="false" customHeight="false" outlineLevel="0" collapsed="false">
      <c r="A20" s="242" t="s">
        <v>807</v>
      </c>
      <c r="B20" s="243"/>
      <c r="C20" s="243"/>
      <c r="D20" s="243"/>
      <c r="E20" s="243"/>
      <c r="F20" s="243"/>
      <c r="G20" s="243"/>
      <c r="H20" s="244"/>
      <c r="I20" s="244"/>
      <c r="J20" s="245" t="str">
        <f aca="false">IF(OR(H20="",I20=""),"",COUNTIF(H20:I20,"YES")/2*$C$7)</f>
        <v/>
      </c>
      <c r="K20" s="243"/>
      <c r="L20" s="243"/>
    </row>
    <row r="21" customFormat="false" ht="14.25" hidden="false" customHeight="false" outlineLevel="0" collapsed="false">
      <c r="A21" s="242" t="s">
        <v>808</v>
      </c>
      <c r="B21" s="243"/>
      <c r="C21" s="243"/>
      <c r="D21" s="243"/>
      <c r="E21" s="243"/>
      <c r="F21" s="243"/>
      <c r="G21" s="243"/>
      <c r="H21" s="244"/>
      <c r="I21" s="244"/>
      <c r="J21" s="245" t="str">
        <f aca="false">IF(OR(H21="",I21=""),"",COUNTIF(H21:I21,"YES")/2*$C$7)</f>
        <v/>
      </c>
      <c r="K21" s="243"/>
      <c r="L21" s="243"/>
    </row>
    <row r="22" customFormat="false" ht="14.25" hidden="false" customHeight="false" outlineLevel="0" collapsed="false">
      <c r="A22" s="242" t="s">
        <v>809</v>
      </c>
      <c r="B22" s="243"/>
      <c r="C22" s="243"/>
      <c r="D22" s="243"/>
      <c r="E22" s="243"/>
      <c r="F22" s="243"/>
      <c r="G22" s="243"/>
      <c r="H22" s="244"/>
      <c r="I22" s="244"/>
      <c r="J22" s="245" t="str">
        <f aca="false">IF(OR(H22="",I22=""),"",COUNTIF(H22:I22,"YES")/2*$C$7)</f>
        <v/>
      </c>
      <c r="K22" s="243"/>
      <c r="L22" s="243"/>
    </row>
    <row r="23" customFormat="false" ht="14.25" hidden="false" customHeight="false" outlineLevel="0" collapsed="false">
      <c r="A23" s="242" t="s">
        <v>810</v>
      </c>
      <c r="B23" s="243"/>
      <c r="C23" s="243"/>
      <c r="D23" s="243"/>
      <c r="E23" s="243"/>
      <c r="F23" s="243"/>
      <c r="G23" s="243"/>
      <c r="H23" s="244"/>
      <c r="I23" s="244"/>
      <c r="J23" s="245" t="str">
        <f aca="false">IF(OR(H23="",I23=""),"",COUNTIF(H23:I23,"YES")/2*$C$7)</f>
        <v/>
      </c>
      <c r="K23" s="243"/>
      <c r="L23" s="243"/>
    </row>
    <row r="24" customFormat="false" ht="14.25" hidden="false" customHeight="false" outlineLevel="0" collapsed="false">
      <c r="A24" s="242" t="s">
        <v>811</v>
      </c>
      <c r="B24" s="243"/>
      <c r="C24" s="243"/>
      <c r="D24" s="243"/>
      <c r="E24" s="243"/>
      <c r="F24" s="243"/>
      <c r="G24" s="243"/>
      <c r="H24" s="244"/>
      <c r="I24" s="244"/>
      <c r="J24" s="245" t="str">
        <f aca="false">IF(OR(H24="",I24=""),"",COUNTIF(H24:I24,"YES")/2*$C$7)</f>
        <v/>
      </c>
      <c r="K24" s="243"/>
      <c r="L24" s="243"/>
    </row>
    <row r="25" customFormat="false" ht="14.25" hidden="false" customHeight="false" outlineLevel="0" collapsed="false">
      <c r="A25" s="242" t="s">
        <v>812</v>
      </c>
      <c r="B25" s="243"/>
      <c r="C25" s="243"/>
      <c r="D25" s="243"/>
      <c r="E25" s="243"/>
      <c r="F25" s="243"/>
      <c r="G25" s="243"/>
      <c r="H25" s="244"/>
      <c r="I25" s="244"/>
      <c r="J25" s="245" t="str">
        <f aca="false">IF(OR(H25="",I25=""),"",COUNTIF(H25:I25,"YES")/2*$C$7)</f>
        <v/>
      </c>
      <c r="K25" s="243"/>
      <c r="L25" s="243"/>
    </row>
    <row r="26" customFormat="false" ht="14.25" hidden="false" customHeight="false" outlineLevel="0" collapsed="false">
      <c r="A26" s="242" t="s">
        <v>813</v>
      </c>
      <c r="B26" s="243"/>
      <c r="C26" s="243"/>
      <c r="D26" s="243"/>
      <c r="E26" s="243"/>
      <c r="F26" s="243"/>
      <c r="G26" s="243"/>
      <c r="H26" s="244"/>
      <c r="I26" s="244"/>
      <c r="J26" s="245" t="str">
        <f aca="false">IF(OR(H26="",I26=""),"",COUNTIF(H26:I26,"YES")/2*$C$7)</f>
        <v/>
      </c>
      <c r="K26" s="243"/>
      <c r="L26" s="243"/>
    </row>
    <row r="27" customFormat="false" ht="14.25" hidden="false" customHeight="false" outlineLevel="0" collapsed="false">
      <c r="A27" s="242" t="s">
        <v>814</v>
      </c>
      <c r="B27" s="243"/>
      <c r="C27" s="243"/>
      <c r="D27" s="243"/>
      <c r="E27" s="243"/>
      <c r="F27" s="243"/>
      <c r="G27" s="243"/>
      <c r="H27" s="244"/>
      <c r="I27" s="244"/>
      <c r="J27" s="245" t="str">
        <f aca="false">IF(OR(H27="",I27=""),"",COUNTIF(H27:I27,"YES")/2*$C$7)</f>
        <v/>
      </c>
      <c r="K27" s="243"/>
      <c r="L27" s="243"/>
    </row>
    <row r="28" customFormat="false" ht="14.25" hidden="false" customHeight="false" outlineLevel="0" collapsed="false">
      <c r="A28" s="242" t="s">
        <v>815</v>
      </c>
      <c r="B28" s="243"/>
      <c r="C28" s="243"/>
      <c r="D28" s="243"/>
      <c r="E28" s="243"/>
      <c r="F28" s="243"/>
      <c r="G28" s="243"/>
      <c r="H28" s="244"/>
      <c r="I28" s="244"/>
      <c r="J28" s="245" t="str">
        <f aca="false">IF(OR(H28="",I28=""),"",COUNTIF(H28:I28,"YES")/2*$C$7)</f>
        <v/>
      </c>
      <c r="K28" s="243"/>
      <c r="L28" s="243"/>
    </row>
    <row r="29" customFormat="false" ht="14.25" hidden="false" customHeight="false" outlineLevel="0" collapsed="false">
      <c r="A29" s="242" t="s">
        <v>816</v>
      </c>
      <c r="B29" s="243"/>
      <c r="C29" s="243"/>
      <c r="D29" s="243"/>
      <c r="E29" s="243"/>
      <c r="F29" s="243"/>
      <c r="G29" s="243"/>
      <c r="H29" s="244"/>
      <c r="I29" s="244"/>
      <c r="J29" s="245" t="str">
        <f aca="false">IF(OR(H29="",I29=""),"",COUNTIF(H29:I29,"YES")/2*$C$7)</f>
        <v/>
      </c>
      <c r="K29" s="243"/>
      <c r="L29" s="243"/>
    </row>
    <row r="30" customFormat="false" ht="14.25" hidden="false" customHeight="false" outlineLevel="0" collapsed="false">
      <c r="A30" s="242" t="s">
        <v>817</v>
      </c>
      <c r="B30" s="243"/>
      <c r="C30" s="243"/>
      <c r="D30" s="243"/>
      <c r="E30" s="243"/>
      <c r="F30" s="243"/>
      <c r="G30" s="243"/>
      <c r="H30" s="244"/>
      <c r="I30" s="244"/>
      <c r="J30" s="245" t="str">
        <f aca="false">IF(OR(H30="",I30=""),"",COUNTIF(H30:I30,"YES")/2*$C$7)</f>
        <v/>
      </c>
      <c r="K30" s="243"/>
      <c r="L30" s="243"/>
    </row>
    <row r="31" customFormat="false" ht="14.25" hidden="false" customHeight="false" outlineLevel="0" collapsed="false">
      <c r="A31" s="242" t="s">
        <v>818</v>
      </c>
      <c r="B31" s="243"/>
      <c r="C31" s="243"/>
      <c r="D31" s="243"/>
      <c r="E31" s="243"/>
      <c r="F31" s="243"/>
      <c r="G31" s="243"/>
      <c r="H31" s="244"/>
      <c r="I31" s="244"/>
      <c r="J31" s="245" t="str">
        <f aca="false">IF(OR(H31="",I31=""),"",COUNTIF(H31:I31,"YES")/2*$C$7)</f>
        <v/>
      </c>
      <c r="K31" s="243"/>
      <c r="L31" s="243"/>
    </row>
    <row r="32" customFormat="false" ht="14.25" hidden="false" customHeight="false" outlineLevel="0" collapsed="false">
      <c r="A32" s="242" t="s">
        <v>819</v>
      </c>
      <c r="B32" s="243"/>
      <c r="C32" s="243"/>
      <c r="D32" s="243"/>
      <c r="E32" s="243"/>
      <c r="F32" s="243"/>
      <c r="G32" s="243"/>
      <c r="H32" s="244"/>
      <c r="I32" s="244"/>
      <c r="J32" s="245" t="str">
        <f aca="false">IF(OR(H32="",I32=""),"",COUNTIF(H32:I32,"YES")/2*$C$7)</f>
        <v/>
      </c>
      <c r="K32" s="243"/>
      <c r="L32" s="243"/>
    </row>
    <row r="33" customFormat="false" ht="14.25" hidden="false" customHeight="false" outlineLevel="0" collapsed="false">
      <c r="A33" s="242" t="s">
        <v>17</v>
      </c>
      <c r="B33" s="243" t="s">
        <v>67</v>
      </c>
      <c r="C33" s="243" t="s">
        <v>1411</v>
      </c>
      <c r="D33" s="243" t="s">
        <v>1412</v>
      </c>
      <c r="E33" s="243" t="s">
        <v>1413</v>
      </c>
      <c r="F33" s="243" t="s">
        <v>492</v>
      </c>
      <c r="G33" s="243" t="s">
        <v>68</v>
      </c>
      <c r="H33" s="244" t="s">
        <v>1111</v>
      </c>
      <c r="I33" s="244" t="s">
        <v>1111</v>
      </c>
      <c r="J33" s="245" t="n">
        <f aca="false">IF(OR(H33="",I33=""),"",COUNTIF(H33:I33,"YES")/2*$C$7)</f>
        <v>10</v>
      </c>
      <c r="K33" s="243" t="s">
        <v>1414</v>
      </c>
      <c r="L33" s="243"/>
    </row>
    <row r="34" customFormat="false" ht="14.25" hidden="false" customHeight="false" outlineLevel="0" collapsed="false">
      <c r="A34" s="242" t="s">
        <v>820</v>
      </c>
      <c r="B34" s="243"/>
      <c r="C34" s="243"/>
      <c r="D34" s="243"/>
      <c r="E34" s="243"/>
      <c r="F34" s="243"/>
      <c r="G34" s="243"/>
      <c r="H34" s="244"/>
      <c r="I34" s="244"/>
      <c r="J34" s="245" t="str">
        <f aca="false">IF(OR(H34="",I34=""),"",COUNTIF(H34:I34,"YES")/2*$C$7)</f>
        <v/>
      </c>
      <c r="K34" s="243"/>
      <c r="L34" s="243"/>
    </row>
    <row r="35" customFormat="false" ht="14.25" hidden="false" customHeight="false" outlineLevel="0" collapsed="false">
      <c r="A35" s="242" t="s">
        <v>821</v>
      </c>
      <c r="B35" s="243"/>
      <c r="C35" s="243"/>
      <c r="D35" s="243"/>
      <c r="E35" s="243"/>
      <c r="F35" s="243"/>
      <c r="G35" s="243"/>
      <c r="H35" s="244"/>
      <c r="I35" s="244"/>
      <c r="J35" s="245" t="str">
        <f aca="false">IF(OR(H35="",I35=""),"",COUNTIF(H35:I35,"YES")/2*$C$7)</f>
        <v/>
      </c>
      <c r="K35" s="243"/>
      <c r="L35" s="243"/>
    </row>
    <row r="36" customFormat="false" ht="14.25" hidden="false" customHeight="false" outlineLevel="0" collapsed="false">
      <c r="A36" s="242" t="s">
        <v>822</v>
      </c>
      <c r="B36" s="243"/>
      <c r="C36" s="243"/>
      <c r="D36" s="243"/>
      <c r="E36" s="243"/>
      <c r="F36" s="243"/>
      <c r="G36" s="243"/>
      <c r="H36" s="244"/>
      <c r="I36" s="244"/>
      <c r="J36" s="245" t="str">
        <f aca="false">IF(OR(H36="",I36=""),"",COUNTIF(H36:I36,"YES")/2*$C$7)</f>
        <v/>
      </c>
      <c r="K36" s="243"/>
      <c r="L36" s="243"/>
    </row>
    <row r="37" customFormat="false" ht="14.25" hidden="false" customHeight="false" outlineLevel="0" collapsed="false">
      <c r="A37" s="242" t="s">
        <v>823</v>
      </c>
      <c r="B37" s="243"/>
      <c r="C37" s="243"/>
      <c r="D37" s="243"/>
      <c r="E37" s="243"/>
      <c r="F37" s="243"/>
      <c r="G37" s="243"/>
      <c r="H37" s="244"/>
      <c r="I37" s="244"/>
      <c r="J37" s="245" t="str">
        <f aca="false">IF(OR(H37="",I37=""),"",COUNTIF(H37:I37,"YES")/2*$C$7)</f>
        <v/>
      </c>
      <c r="K37" s="243"/>
      <c r="L37" s="243"/>
    </row>
    <row r="38" customFormat="false" ht="14.25" hidden="false" customHeight="false" outlineLevel="0" collapsed="false">
      <c r="A38" s="242" t="s">
        <v>824</v>
      </c>
      <c r="B38" s="243"/>
      <c r="C38" s="243"/>
      <c r="D38" s="243"/>
      <c r="E38" s="243"/>
      <c r="F38" s="243"/>
      <c r="G38" s="243"/>
      <c r="H38" s="244"/>
      <c r="I38" s="244"/>
      <c r="J38" s="245" t="str">
        <f aca="false">IF(OR(H38="",I38=""),"",COUNTIF(H38:I38,"YES")/2*$C$7)</f>
        <v/>
      </c>
      <c r="K38" s="243"/>
      <c r="L38" s="243"/>
    </row>
    <row r="39" customFormat="false" ht="14.25" hidden="false" customHeight="false" outlineLevel="0" collapsed="false">
      <c r="A39" s="242" t="s">
        <v>825</v>
      </c>
      <c r="B39" s="243"/>
      <c r="C39" s="243"/>
      <c r="D39" s="243"/>
      <c r="E39" s="243"/>
      <c r="F39" s="243"/>
      <c r="G39" s="243"/>
      <c r="H39" s="244"/>
      <c r="I39" s="244"/>
      <c r="J39" s="245" t="str">
        <f aca="false">IF(OR(H39="",I39=""),"",COUNTIF(H39:I39,"YES")/2*$C$7)</f>
        <v/>
      </c>
      <c r="K39" s="243"/>
      <c r="L39" s="243"/>
    </row>
    <row r="40" customFormat="false" ht="14.25" hidden="false" customHeight="false" outlineLevel="0" collapsed="false">
      <c r="A40" s="242" t="s">
        <v>826</v>
      </c>
      <c r="B40" s="243"/>
      <c r="C40" s="243"/>
      <c r="D40" s="243"/>
      <c r="E40" s="243"/>
      <c r="F40" s="243"/>
      <c r="G40" s="243"/>
      <c r="H40" s="244"/>
      <c r="I40" s="244"/>
      <c r="J40" s="245" t="str">
        <f aca="false">IF(OR(H40="",I40=""),"",COUNTIF(H40:I40,"YES")/2*$C$7)</f>
        <v/>
      </c>
      <c r="K40" s="243"/>
      <c r="L40" s="243"/>
    </row>
    <row r="41" customFormat="false" ht="14.25" hidden="false" customHeight="false" outlineLevel="0" collapsed="false">
      <c r="A41" s="242" t="s">
        <v>827</v>
      </c>
      <c r="B41" s="243"/>
      <c r="C41" s="243"/>
      <c r="D41" s="243"/>
      <c r="E41" s="243"/>
      <c r="F41" s="243"/>
      <c r="G41" s="243"/>
      <c r="H41" s="244"/>
      <c r="I41" s="244"/>
      <c r="J41" s="245" t="str">
        <f aca="false">IF(OR(H41="",I41=""),"",COUNTIF(H41:I41,"YES")/2*$C$7)</f>
        <v/>
      </c>
      <c r="K41" s="243"/>
      <c r="L41" s="243"/>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387</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single window clearance process in place for  development projects that are in conformity with municipal/city plans?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38" t="s">
        <v>1095</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1106</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IF(H13="YES",$C$7,IF(H13="NO",0,""))</f>
        <v/>
      </c>
      <c r="J13" s="243"/>
    </row>
    <row r="14" customFormat="false" ht="14.25" hidden="false" customHeight="false" outlineLevel="0" collapsed="false">
      <c r="A14" s="242" t="s">
        <v>801</v>
      </c>
      <c r="B14" s="243"/>
      <c r="C14" s="243"/>
      <c r="D14" s="243"/>
      <c r="E14" s="243"/>
      <c r="F14" s="243"/>
      <c r="G14" s="243"/>
      <c r="H14" s="244"/>
      <c r="I14" s="245" t="str">
        <f aca="false">IF(H14="YES",$C$7,IF(H14="NO",0,""))</f>
        <v/>
      </c>
      <c r="J14" s="243"/>
    </row>
    <row r="15" customFormat="false" ht="14.25" hidden="false" customHeight="false" outlineLevel="0" collapsed="false">
      <c r="A15" s="242" t="s">
        <v>802</v>
      </c>
      <c r="B15" s="243"/>
      <c r="C15" s="243"/>
      <c r="D15" s="243"/>
      <c r="E15" s="243"/>
      <c r="F15" s="243"/>
      <c r="G15" s="243"/>
      <c r="H15" s="244"/>
      <c r="I15" s="245" t="str">
        <f aca="false">IF(H15="YES",$C$7,IF(H15="NO",0,""))</f>
        <v/>
      </c>
      <c r="J15" s="243"/>
    </row>
    <row r="16" customFormat="false" ht="14.25" hidden="false" customHeight="false" outlineLevel="0" collapsed="false">
      <c r="A16" s="242" t="s">
        <v>803</v>
      </c>
      <c r="B16" s="243"/>
      <c r="C16" s="243"/>
      <c r="D16" s="243"/>
      <c r="E16" s="243"/>
      <c r="F16" s="243"/>
      <c r="G16" s="243"/>
      <c r="H16" s="244"/>
      <c r="I16" s="245" t="str">
        <f aca="false">IF(H16="YES",$C$7,IF(H16="NO",0,""))</f>
        <v/>
      </c>
      <c r="J16" s="243"/>
    </row>
    <row r="17" customFormat="false" ht="14.25" hidden="false" customHeight="false" outlineLevel="0" collapsed="false">
      <c r="A17" s="242" t="s">
        <v>804</v>
      </c>
      <c r="B17" s="243"/>
      <c r="C17" s="243"/>
      <c r="D17" s="243"/>
      <c r="E17" s="243"/>
      <c r="F17" s="243"/>
      <c r="G17" s="243"/>
      <c r="H17" s="244"/>
      <c r="I17" s="245" t="str">
        <f aca="false">IF(H17="YES",$C$7,IF(H17="NO",0,""))</f>
        <v/>
      </c>
      <c r="J17" s="243"/>
    </row>
    <row r="18" customFormat="false" ht="14.25" hidden="false" customHeight="false" outlineLevel="0" collapsed="false">
      <c r="A18" s="242" t="s">
        <v>805</v>
      </c>
      <c r="B18" s="243"/>
      <c r="C18" s="243"/>
      <c r="D18" s="243"/>
      <c r="E18" s="243"/>
      <c r="F18" s="243"/>
      <c r="G18" s="243"/>
      <c r="H18" s="244"/>
      <c r="I18" s="245" t="str">
        <f aca="false">IF(H18="YES",$C$7,IF(H18="NO",0,""))</f>
        <v/>
      </c>
      <c r="J18" s="243"/>
    </row>
    <row r="19" customFormat="false" ht="14.25" hidden="false" customHeight="false" outlineLevel="0" collapsed="false">
      <c r="A19" s="242" t="s">
        <v>806</v>
      </c>
      <c r="B19" s="243"/>
      <c r="C19" s="243"/>
      <c r="D19" s="243"/>
      <c r="E19" s="243"/>
      <c r="F19" s="243"/>
      <c r="G19" s="243"/>
      <c r="H19" s="244"/>
      <c r="I19" s="245" t="str">
        <f aca="false">IF(H19="YES",$C$7,IF(H19="NO",0,""))</f>
        <v/>
      </c>
      <c r="J19" s="243"/>
    </row>
    <row r="20" customFormat="false" ht="14.25" hidden="false" customHeight="false" outlineLevel="0" collapsed="false">
      <c r="A20" s="242" t="s">
        <v>807</v>
      </c>
      <c r="B20" s="243"/>
      <c r="C20" s="243"/>
      <c r="D20" s="243"/>
      <c r="E20" s="243"/>
      <c r="F20" s="243"/>
      <c r="G20" s="243"/>
      <c r="H20" s="244"/>
      <c r="I20" s="245" t="str">
        <f aca="false">IF(H20="YES",$C$7,IF(H20="NO",0,""))</f>
        <v/>
      </c>
      <c r="J20" s="243"/>
    </row>
    <row r="21" customFormat="false" ht="14.25" hidden="false" customHeight="false" outlineLevel="0" collapsed="false">
      <c r="A21" s="242" t="s">
        <v>808</v>
      </c>
      <c r="B21" s="243"/>
      <c r="C21" s="243"/>
      <c r="D21" s="243"/>
      <c r="E21" s="243"/>
      <c r="F21" s="243"/>
      <c r="G21" s="243"/>
      <c r="H21" s="244"/>
      <c r="I21" s="245" t="str">
        <f aca="false">IF(H21="YES",$C$7,IF(H21="NO",0,""))</f>
        <v/>
      </c>
      <c r="J21" s="243"/>
    </row>
    <row r="22" customFormat="false" ht="14.25" hidden="false" customHeight="false" outlineLevel="0" collapsed="false">
      <c r="A22" s="242" t="s">
        <v>809</v>
      </c>
      <c r="B22" s="243"/>
      <c r="C22" s="243"/>
      <c r="D22" s="243"/>
      <c r="E22" s="243"/>
      <c r="F22" s="243"/>
      <c r="G22" s="243"/>
      <c r="H22" s="244"/>
      <c r="I22" s="245" t="str">
        <f aca="false">IF(H22="YES",$C$7,IF(H22="NO",0,""))</f>
        <v/>
      </c>
      <c r="J22" s="243"/>
    </row>
    <row r="23" customFormat="false" ht="14.25" hidden="false" customHeight="false" outlineLevel="0" collapsed="false">
      <c r="A23" s="242" t="s">
        <v>810</v>
      </c>
      <c r="B23" s="243"/>
      <c r="C23" s="243"/>
      <c r="D23" s="243"/>
      <c r="E23" s="243"/>
      <c r="F23" s="243"/>
      <c r="G23" s="243"/>
      <c r="H23" s="244"/>
      <c r="I23" s="245" t="str">
        <f aca="false">IF(H23="YES",$C$7,IF(H23="NO",0,""))</f>
        <v/>
      </c>
      <c r="J23" s="243"/>
    </row>
    <row r="24" customFormat="false" ht="14.25" hidden="false" customHeight="false" outlineLevel="0" collapsed="false">
      <c r="A24" s="242" t="s">
        <v>811</v>
      </c>
      <c r="B24" s="243"/>
      <c r="C24" s="243"/>
      <c r="D24" s="243"/>
      <c r="E24" s="243"/>
      <c r="F24" s="243"/>
      <c r="G24" s="243"/>
      <c r="H24" s="244"/>
      <c r="I24" s="245" t="str">
        <f aca="false">IF(H24="YES",$C$7,IF(H24="NO",0,""))</f>
        <v/>
      </c>
      <c r="J24" s="243"/>
    </row>
    <row r="25" customFormat="false" ht="14.25" hidden="false" customHeight="false" outlineLevel="0" collapsed="false">
      <c r="A25" s="242" t="s">
        <v>812</v>
      </c>
      <c r="B25" s="243"/>
      <c r="C25" s="243"/>
      <c r="D25" s="243"/>
      <c r="E25" s="243"/>
      <c r="F25" s="243"/>
      <c r="G25" s="243"/>
      <c r="H25" s="244"/>
      <c r="I25" s="245" t="str">
        <f aca="false">IF(H25="YES",$C$7,IF(H25="NO",0,""))</f>
        <v/>
      </c>
      <c r="J25" s="243"/>
    </row>
    <row r="26" customFormat="false" ht="14.25" hidden="false" customHeight="false" outlineLevel="0" collapsed="false">
      <c r="A26" s="242" t="s">
        <v>813</v>
      </c>
      <c r="B26" s="243"/>
      <c r="C26" s="243"/>
      <c r="D26" s="243"/>
      <c r="E26" s="243"/>
      <c r="F26" s="243"/>
      <c r="G26" s="243"/>
      <c r="H26" s="244"/>
      <c r="I26" s="245" t="str">
        <f aca="false">IF(H26="YES",$C$7,IF(H26="NO",0,""))</f>
        <v/>
      </c>
      <c r="J26" s="243"/>
    </row>
    <row r="27" customFormat="false" ht="14.25" hidden="false" customHeight="false" outlineLevel="0" collapsed="false">
      <c r="A27" s="242" t="s">
        <v>814</v>
      </c>
      <c r="B27" s="243"/>
      <c r="C27" s="243"/>
      <c r="D27" s="243"/>
      <c r="E27" s="243"/>
      <c r="F27" s="243"/>
      <c r="G27" s="243"/>
      <c r="H27" s="244"/>
      <c r="I27" s="245" t="str">
        <f aca="false">IF(H27="YES",$C$7,IF(H27="NO",0,""))</f>
        <v/>
      </c>
      <c r="J27" s="243"/>
    </row>
    <row r="28" customFormat="false" ht="14.25" hidden="false" customHeight="false" outlineLevel="0" collapsed="false">
      <c r="A28" s="242" t="s">
        <v>815</v>
      </c>
      <c r="B28" s="243"/>
      <c r="C28" s="243"/>
      <c r="D28" s="243"/>
      <c r="E28" s="243"/>
      <c r="F28" s="243"/>
      <c r="G28" s="243"/>
      <c r="H28" s="244"/>
      <c r="I28" s="245" t="str">
        <f aca="false">IF(H28="YES",$C$7,IF(H28="NO",0,""))</f>
        <v/>
      </c>
      <c r="J28" s="243"/>
    </row>
    <row r="29" customFormat="false" ht="14.25" hidden="false" customHeight="false" outlineLevel="0" collapsed="false">
      <c r="A29" s="242" t="s">
        <v>816</v>
      </c>
      <c r="B29" s="243"/>
      <c r="C29" s="243"/>
      <c r="D29" s="243"/>
      <c r="E29" s="243"/>
      <c r="F29" s="243"/>
      <c r="G29" s="243"/>
      <c r="H29" s="244"/>
      <c r="I29" s="245" t="str">
        <f aca="false">IF(H29="YES",$C$7,IF(H29="NO",0,""))</f>
        <v/>
      </c>
      <c r="J29" s="243"/>
    </row>
    <row r="30" customFormat="false" ht="14.25" hidden="false" customHeight="false" outlineLevel="0" collapsed="false">
      <c r="A30" s="242" t="s">
        <v>817</v>
      </c>
      <c r="B30" s="243"/>
      <c r="C30" s="243"/>
      <c r="D30" s="243"/>
      <c r="E30" s="243"/>
      <c r="F30" s="243"/>
      <c r="G30" s="243"/>
      <c r="H30" s="244"/>
      <c r="I30" s="245" t="str">
        <f aca="false">IF(H30="YES",$C$7,IF(H30="NO",0,""))</f>
        <v/>
      </c>
      <c r="J30" s="243"/>
    </row>
    <row r="31" customFormat="false" ht="14.25" hidden="false" customHeight="false" outlineLevel="0" collapsed="false">
      <c r="A31" s="242" t="s">
        <v>818</v>
      </c>
      <c r="B31" s="243"/>
      <c r="C31" s="243"/>
      <c r="D31" s="243"/>
      <c r="E31" s="243"/>
      <c r="F31" s="243"/>
      <c r="G31" s="243"/>
      <c r="H31" s="244"/>
      <c r="I31" s="245" t="str">
        <f aca="false">IF(H31="YES",$C$7,IF(H31="NO",0,""))</f>
        <v/>
      </c>
      <c r="J31" s="243"/>
    </row>
    <row r="32" customFormat="false" ht="14.25" hidden="false" customHeight="false" outlineLevel="0" collapsed="false">
      <c r="A32" s="242" t="s">
        <v>819</v>
      </c>
      <c r="B32" s="243"/>
      <c r="C32" s="243"/>
      <c r="D32" s="243"/>
      <c r="E32" s="243"/>
      <c r="F32" s="243"/>
      <c r="G32" s="243"/>
      <c r="H32" s="244"/>
      <c r="I32" s="245" t="str">
        <f aca="false">IF(H32="YES",$C$7,IF(H32="NO",0,""))</f>
        <v/>
      </c>
      <c r="J32" s="243"/>
    </row>
    <row r="33" customFormat="false" ht="14.25" hidden="false" customHeight="false" outlineLevel="0" collapsed="false">
      <c r="A33" s="242" t="s">
        <v>17</v>
      </c>
      <c r="B33" s="243"/>
      <c r="C33" s="243"/>
      <c r="D33" s="243"/>
      <c r="E33" s="243"/>
      <c r="F33" s="243"/>
      <c r="G33" s="243"/>
      <c r="H33" s="244"/>
      <c r="I33" s="245" t="str">
        <f aca="false">IF(H33="YES",$C$7,IF(H33="NO",0,""))</f>
        <v/>
      </c>
      <c r="J33" s="243" t="s">
        <v>1415</v>
      </c>
    </row>
    <row r="34" customFormat="false" ht="14.25" hidden="false" customHeight="false" outlineLevel="0" collapsed="false">
      <c r="A34" s="242" t="s">
        <v>820</v>
      </c>
      <c r="B34" s="243"/>
      <c r="C34" s="243"/>
      <c r="D34" s="243"/>
      <c r="E34" s="243"/>
      <c r="F34" s="243"/>
      <c r="G34" s="243"/>
      <c r="H34" s="244"/>
      <c r="I34" s="245" t="str">
        <f aca="false">IF(H34="YES",$C$7,IF(H34="NO",0,""))</f>
        <v/>
      </c>
      <c r="J34" s="243"/>
    </row>
    <row r="35" customFormat="false" ht="14.25" hidden="false" customHeight="false" outlineLevel="0" collapsed="false">
      <c r="A35" s="242" t="s">
        <v>821</v>
      </c>
      <c r="B35" s="243"/>
      <c r="C35" s="243"/>
      <c r="D35" s="243"/>
      <c r="E35" s="243"/>
      <c r="F35" s="243"/>
      <c r="G35" s="243"/>
      <c r="H35" s="244"/>
      <c r="I35" s="245" t="str">
        <f aca="false">IF(H35="YES",$C$7,IF(H35="NO",0,""))</f>
        <v/>
      </c>
      <c r="J35" s="243"/>
    </row>
    <row r="36" customFormat="false" ht="14.25" hidden="false" customHeight="false" outlineLevel="0" collapsed="false">
      <c r="A36" s="242" t="s">
        <v>822</v>
      </c>
      <c r="B36" s="243"/>
      <c r="C36" s="243"/>
      <c r="D36" s="243"/>
      <c r="E36" s="243"/>
      <c r="F36" s="243"/>
      <c r="G36" s="243"/>
      <c r="H36" s="244"/>
      <c r="I36" s="245" t="str">
        <f aca="false">IF(H36="YES",$C$7,IF(H36="NO",0,""))</f>
        <v/>
      </c>
      <c r="J36" s="243"/>
    </row>
    <row r="37" customFormat="false" ht="14.25" hidden="false" customHeight="false" outlineLevel="0" collapsed="false">
      <c r="A37" s="242" t="s">
        <v>823</v>
      </c>
      <c r="B37" s="243"/>
      <c r="C37" s="243"/>
      <c r="D37" s="243"/>
      <c r="E37" s="243"/>
      <c r="F37" s="243"/>
      <c r="G37" s="243"/>
      <c r="H37" s="244"/>
      <c r="I37" s="245" t="str">
        <f aca="false">IF(H37="YES",$C$7,IF(H37="NO",0,""))</f>
        <v/>
      </c>
      <c r="J37" s="243"/>
    </row>
    <row r="38" customFormat="false" ht="14.25" hidden="false" customHeight="false" outlineLevel="0" collapsed="false">
      <c r="A38" s="242" t="s">
        <v>824</v>
      </c>
      <c r="B38" s="243"/>
      <c r="C38" s="243"/>
      <c r="D38" s="243"/>
      <c r="E38" s="243"/>
      <c r="F38" s="243"/>
      <c r="G38" s="243"/>
      <c r="H38" s="244"/>
      <c r="I38" s="245" t="str">
        <f aca="false">IF(H38="YES",$C$7,IF(H38="NO",0,""))</f>
        <v/>
      </c>
      <c r="J38" s="243"/>
    </row>
    <row r="39" customFormat="false" ht="14.25" hidden="false" customHeight="false" outlineLevel="0" collapsed="false">
      <c r="A39" s="242" t="s">
        <v>825</v>
      </c>
      <c r="B39" s="243"/>
      <c r="C39" s="243"/>
      <c r="D39" s="243"/>
      <c r="E39" s="243"/>
      <c r="F39" s="243"/>
      <c r="G39" s="243"/>
      <c r="H39" s="244"/>
      <c r="I39" s="245" t="str">
        <f aca="false">IF(H39="YES",$C$7,IF(H39="NO",0,""))</f>
        <v/>
      </c>
      <c r="J39" s="243"/>
    </row>
    <row r="40" customFormat="false" ht="14.25" hidden="false" customHeight="false" outlineLevel="0" collapsed="false">
      <c r="A40" s="242" t="s">
        <v>826</v>
      </c>
      <c r="B40" s="243"/>
      <c r="C40" s="243"/>
      <c r="D40" s="243"/>
      <c r="E40" s="243"/>
      <c r="F40" s="243"/>
      <c r="G40" s="243"/>
      <c r="H40" s="244"/>
      <c r="I40" s="245" t="str">
        <f aca="false">IF(H40="YES",$C$7,IF(H40="NO",0,""))</f>
        <v/>
      </c>
      <c r="J40" s="243"/>
    </row>
    <row r="41" customFormat="false" ht="14.25" hidden="false" customHeight="false" outlineLevel="0" collapsed="false">
      <c r="A41" s="242" t="s">
        <v>827</v>
      </c>
      <c r="B41" s="243"/>
      <c r="C41" s="243"/>
      <c r="D41" s="243"/>
      <c r="E41" s="243"/>
      <c r="F41" s="243"/>
      <c r="G41" s="243"/>
      <c r="H41" s="244"/>
      <c r="I41" s="245" t="str">
        <f aca="false">IF(H41="YES",$C$7,IF(H41="NO",0,""))</f>
        <v/>
      </c>
      <c r="J41" s="243"/>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1" min="8" style="0" width="22"/>
    <col collapsed="false" customWidth="true" hidden="false" outlineLevel="0" max="12" min="12" style="0" width="14"/>
    <col collapsed="false" customWidth="true" hidden="false" outlineLevel="0" max="13" min="13" style="0" width="45"/>
  </cols>
  <sheetData>
    <row r="1" customFormat="false" ht="14.25" hidden="false" customHeight="false" outlineLevel="0" collapsed="false">
      <c r="A1" s="234" t="s">
        <v>1090</v>
      </c>
      <c r="B1" s="234" t="s">
        <v>390</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an effective system to prevent approval of plans that are not in conformity with municipal/city plan?</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there is a system with all of the following aspects:1. An approval authority for projects at each level, as defined under the T&amp;CP Act or allied Act and/or the MPC Act2. A defined process for rejection and/or variance approvals for plans that are not in conformity with the SDP, as provided under the T&amp;CP Act or allied Act and/or the MPC Act3. A registry of public projects (bus terminals, metro stations, railway stations, protected heritage buildings) and private projects. Evidence can be present on ULG/Development Authority websites4. Disclosure of all approvals, denials and variance approvals in the public domain. Evidence can be present on ULG/Development Authority websites Score 10 only if all four of the above aspects are metScore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7" t="s">
        <v>1416</v>
      </c>
    </row>
    <row r="11" customFormat="false" ht="28.5" hidden="false" customHeight="true" outlineLevel="0" collapsed="false">
      <c r="H11" s="238" t="s">
        <v>1095</v>
      </c>
      <c r="I11" s="238" t="s">
        <v>1095</v>
      </c>
      <c r="J11" s="238" t="s">
        <v>1095</v>
      </c>
      <c r="K11" s="238" t="s">
        <v>1095</v>
      </c>
      <c r="L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1417</v>
      </c>
      <c r="I12" s="241" t="s">
        <v>1418</v>
      </c>
      <c r="J12" s="241" t="s">
        <v>1419</v>
      </c>
      <c r="K12" s="241" t="s">
        <v>1420</v>
      </c>
      <c r="L12" s="239" t="s">
        <v>1103</v>
      </c>
      <c r="M12" s="241" t="s">
        <v>1104</v>
      </c>
    </row>
    <row r="13" customFormat="false" ht="14.25" hidden="false" customHeight="false" outlineLevel="0" collapsed="false">
      <c r="A13" s="242" t="s">
        <v>800</v>
      </c>
      <c r="B13" s="243"/>
      <c r="C13" s="243"/>
      <c r="D13" s="243"/>
      <c r="E13" s="243"/>
      <c r="F13" s="243"/>
      <c r="G13" s="243"/>
      <c r="H13" s="244"/>
      <c r="I13" s="244"/>
      <c r="J13" s="244"/>
      <c r="K13" s="244"/>
      <c r="L13" s="245" t="str">
        <f aca="false">IF(OR(H13="",I13="",J13="",K13=""),"",IF(COUNTIF(H13:K13,"YES")=4,$C$7,0))</f>
        <v/>
      </c>
      <c r="M13" s="243"/>
    </row>
    <row r="14" customFormat="false" ht="14.25" hidden="false" customHeight="false" outlineLevel="0" collapsed="false">
      <c r="A14" s="242" t="s">
        <v>801</v>
      </c>
      <c r="B14" s="243"/>
      <c r="C14" s="243"/>
      <c r="D14" s="243"/>
      <c r="E14" s="243"/>
      <c r="F14" s="243"/>
      <c r="G14" s="243"/>
      <c r="H14" s="244"/>
      <c r="I14" s="244"/>
      <c r="J14" s="244"/>
      <c r="K14" s="244"/>
      <c r="L14" s="245" t="str">
        <f aca="false">IF(OR(H14="",I14="",J14="",K14=""),"",IF(COUNTIF(H14:K14,"YES")=4,$C$7,0))</f>
        <v/>
      </c>
      <c r="M14" s="243"/>
    </row>
    <row r="15" customFormat="false" ht="14.25" hidden="false" customHeight="false" outlineLevel="0" collapsed="false">
      <c r="A15" s="242" t="s">
        <v>802</v>
      </c>
      <c r="B15" s="243"/>
      <c r="C15" s="243"/>
      <c r="D15" s="243"/>
      <c r="E15" s="243"/>
      <c r="F15" s="243"/>
      <c r="G15" s="243"/>
      <c r="H15" s="244"/>
      <c r="I15" s="244"/>
      <c r="J15" s="244"/>
      <c r="K15" s="244"/>
      <c r="L15" s="245" t="str">
        <f aca="false">IF(OR(H15="",I15="",J15="",K15=""),"",IF(COUNTIF(H15:K15,"YES")=4,$C$7,0))</f>
        <v/>
      </c>
      <c r="M15" s="243"/>
    </row>
    <row r="16" customFormat="false" ht="14.25" hidden="false" customHeight="false" outlineLevel="0" collapsed="false">
      <c r="A16" s="242" t="s">
        <v>803</v>
      </c>
      <c r="B16" s="243"/>
      <c r="C16" s="243"/>
      <c r="D16" s="243"/>
      <c r="E16" s="243"/>
      <c r="F16" s="243"/>
      <c r="G16" s="243"/>
      <c r="H16" s="244"/>
      <c r="I16" s="244"/>
      <c r="J16" s="244"/>
      <c r="K16" s="244"/>
      <c r="L16" s="245" t="str">
        <f aca="false">IF(OR(H16="",I16="",J16="",K16=""),"",IF(COUNTIF(H16:K16,"YES")=4,$C$7,0))</f>
        <v/>
      </c>
      <c r="M16" s="243"/>
    </row>
    <row r="17" customFormat="false" ht="14.25" hidden="false" customHeight="false" outlineLevel="0" collapsed="false">
      <c r="A17" s="242" t="s">
        <v>804</v>
      </c>
      <c r="B17" s="243"/>
      <c r="C17" s="243"/>
      <c r="D17" s="243"/>
      <c r="E17" s="243"/>
      <c r="F17" s="243"/>
      <c r="G17" s="243"/>
      <c r="H17" s="244"/>
      <c r="I17" s="244"/>
      <c r="J17" s="244"/>
      <c r="K17" s="244"/>
      <c r="L17" s="245" t="str">
        <f aca="false">IF(OR(H17="",I17="",J17="",K17=""),"",IF(COUNTIF(H17:K17,"YES")=4,$C$7,0))</f>
        <v/>
      </c>
      <c r="M17" s="243"/>
    </row>
    <row r="18" customFormat="false" ht="14.25" hidden="false" customHeight="false" outlineLevel="0" collapsed="false">
      <c r="A18" s="242" t="s">
        <v>805</v>
      </c>
      <c r="B18" s="243"/>
      <c r="C18" s="243"/>
      <c r="D18" s="243"/>
      <c r="E18" s="243"/>
      <c r="F18" s="243"/>
      <c r="G18" s="243"/>
      <c r="H18" s="244"/>
      <c r="I18" s="244"/>
      <c r="J18" s="244"/>
      <c r="K18" s="244"/>
      <c r="L18" s="245" t="str">
        <f aca="false">IF(OR(H18="",I18="",J18="",K18=""),"",IF(COUNTIF(H18:K18,"YES")=4,$C$7,0))</f>
        <v/>
      </c>
      <c r="M18" s="243"/>
    </row>
    <row r="19" customFormat="false" ht="14.25" hidden="false" customHeight="false" outlineLevel="0" collapsed="false">
      <c r="A19" s="242" t="s">
        <v>806</v>
      </c>
      <c r="B19" s="243"/>
      <c r="C19" s="243"/>
      <c r="D19" s="243"/>
      <c r="E19" s="243"/>
      <c r="F19" s="243"/>
      <c r="G19" s="243"/>
      <c r="H19" s="244"/>
      <c r="I19" s="244"/>
      <c r="J19" s="244"/>
      <c r="K19" s="244"/>
      <c r="L19" s="245" t="str">
        <f aca="false">IF(OR(H19="",I19="",J19="",K19=""),"",IF(COUNTIF(H19:K19,"YES")=4,$C$7,0))</f>
        <v/>
      </c>
      <c r="M19" s="243"/>
    </row>
    <row r="20" customFormat="false" ht="14.25" hidden="false" customHeight="false" outlineLevel="0" collapsed="false">
      <c r="A20" s="242" t="s">
        <v>807</v>
      </c>
      <c r="B20" s="243"/>
      <c r="C20" s="243"/>
      <c r="D20" s="243"/>
      <c r="E20" s="243"/>
      <c r="F20" s="243"/>
      <c r="G20" s="243"/>
      <c r="H20" s="244"/>
      <c r="I20" s="244"/>
      <c r="J20" s="244"/>
      <c r="K20" s="244"/>
      <c r="L20" s="245" t="str">
        <f aca="false">IF(OR(H20="",I20="",J20="",K20=""),"",IF(COUNTIF(H20:K20,"YES")=4,$C$7,0))</f>
        <v/>
      </c>
      <c r="M20" s="243"/>
    </row>
    <row r="21" customFormat="false" ht="14.25" hidden="false" customHeight="false" outlineLevel="0" collapsed="false">
      <c r="A21" s="242" t="s">
        <v>808</v>
      </c>
      <c r="B21" s="243"/>
      <c r="C21" s="243"/>
      <c r="D21" s="243"/>
      <c r="E21" s="243"/>
      <c r="F21" s="243"/>
      <c r="G21" s="243"/>
      <c r="H21" s="244"/>
      <c r="I21" s="244"/>
      <c r="J21" s="244"/>
      <c r="K21" s="244"/>
      <c r="L21" s="245" t="str">
        <f aca="false">IF(OR(H21="",I21="",J21="",K21=""),"",IF(COUNTIF(H21:K21,"YES")=4,$C$7,0))</f>
        <v/>
      </c>
      <c r="M21" s="243"/>
    </row>
    <row r="22" customFormat="false" ht="14.25" hidden="false" customHeight="false" outlineLevel="0" collapsed="false">
      <c r="A22" s="242" t="s">
        <v>809</v>
      </c>
      <c r="B22" s="243"/>
      <c r="C22" s="243"/>
      <c r="D22" s="243"/>
      <c r="E22" s="243"/>
      <c r="F22" s="243"/>
      <c r="G22" s="243"/>
      <c r="H22" s="244"/>
      <c r="I22" s="244"/>
      <c r="J22" s="244"/>
      <c r="K22" s="244"/>
      <c r="L22" s="245" t="str">
        <f aca="false">IF(OR(H22="",I22="",J22="",K22=""),"",IF(COUNTIF(H22:K22,"YES")=4,$C$7,0))</f>
        <v/>
      </c>
      <c r="M22" s="243"/>
    </row>
    <row r="23" customFormat="false" ht="14.25" hidden="false" customHeight="false" outlineLevel="0" collapsed="false">
      <c r="A23" s="242" t="s">
        <v>810</v>
      </c>
      <c r="B23" s="243"/>
      <c r="C23" s="243"/>
      <c r="D23" s="243"/>
      <c r="E23" s="243"/>
      <c r="F23" s="243"/>
      <c r="G23" s="243"/>
      <c r="H23" s="244"/>
      <c r="I23" s="244"/>
      <c r="J23" s="244"/>
      <c r="K23" s="244"/>
      <c r="L23" s="245" t="str">
        <f aca="false">IF(OR(H23="",I23="",J23="",K23=""),"",IF(COUNTIF(H23:K23,"YES")=4,$C$7,0))</f>
        <v/>
      </c>
      <c r="M23" s="243"/>
    </row>
    <row r="24" customFormat="false" ht="14.25" hidden="false" customHeight="false" outlineLevel="0" collapsed="false">
      <c r="A24" s="242" t="s">
        <v>811</v>
      </c>
      <c r="B24" s="243"/>
      <c r="C24" s="243"/>
      <c r="D24" s="243"/>
      <c r="E24" s="243"/>
      <c r="F24" s="243"/>
      <c r="G24" s="243"/>
      <c r="H24" s="244"/>
      <c r="I24" s="244"/>
      <c r="J24" s="244"/>
      <c r="K24" s="244"/>
      <c r="L24" s="245" t="str">
        <f aca="false">IF(OR(H24="",I24="",J24="",K24=""),"",IF(COUNTIF(H24:K24,"YES")=4,$C$7,0))</f>
        <v/>
      </c>
      <c r="M24" s="243"/>
    </row>
    <row r="25" customFormat="false" ht="14.25" hidden="false" customHeight="false" outlineLevel="0" collapsed="false">
      <c r="A25" s="242" t="s">
        <v>812</v>
      </c>
      <c r="B25" s="243"/>
      <c r="C25" s="243"/>
      <c r="D25" s="243"/>
      <c r="E25" s="243"/>
      <c r="F25" s="243"/>
      <c r="G25" s="243"/>
      <c r="H25" s="244"/>
      <c r="I25" s="244"/>
      <c r="J25" s="244"/>
      <c r="K25" s="244"/>
      <c r="L25" s="245" t="str">
        <f aca="false">IF(OR(H25="",I25="",J25="",K25=""),"",IF(COUNTIF(H25:K25,"YES")=4,$C$7,0))</f>
        <v/>
      </c>
      <c r="M25" s="243"/>
    </row>
    <row r="26" customFormat="false" ht="14.25" hidden="false" customHeight="false" outlineLevel="0" collapsed="false">
      <c r="A26" s="242" t="s">
        <v>813</v>
      </c>
      <c r="B26" s="243"/>
      <c r="C26" s="243"/>
      <c r="D26" s="243"/>
      <c r="E26" s="243"/>
      <c r="F26" s="243"/>
      <c r="G26" s="243"/>
      <c r="H26" s="244"/>
      <c r="I26" s="244"/>
      <c r="J26" s="244"/>
      <c r="K26" s="244"/>
      <c r="L26" s="245" t="str">
        <f aca="false">IF(OR(H26="",I26="",J26="",K26=""),"",IF(COUNTIF(H26:K26,"YES")=4,$C$7,0))</f>
        <v/>
      </c>
      <c r="M26" s="243"/>
    </row>
    <row r="27" customFormat="false" ht="14.25" hidden="false" customHeight="false" outlineLevel="0" collapsed="false">
      <c r="A27" s="242" t="s">
        <v>814</v>
      </c>
      <c r="B27" s="243"/>
      <c r="C27" s="243"/>
      <c r="D27" s="243"/>
      <c r="E27" s="243"/>
      <c r="F27" s="243"/>
      <c r="G27" s="243"/>
      <c r="H27" s="244"/>
      <c r="I27" s="244"/>
      <c r="J27" s="244"/>
      <c r="K27" s="244"/>
      <c r="L27" s="245" t="str">
        <f aca="false">IF(OR(H27="",I27="",J27="",K27=""),"",IF(COUNTIF(H27:K27,"YES")=4,$C$7,0))</f>
        <v/>
      </c>
      <c r="M27" s="243"/>
    </row>
    <row r="28" customFormat="false" ht="14.25" hidden="false" customHeight="false" outlineLevel="0" collapsed="false">
      <c r="A28" s="242" t="s">
        <v>815</v>
      </c>
      <c r="B28" s="243"/>
      <c r="C28" s="243"/>
      <c r="D28" s="243"/>
      <c r="E28" s="243"/>
      <c r="F28" s="243"/>
      <c r="G28" s="243"/>
      <c r="H28" s="244"/>
      <c r="I28" s="244"/>
      <c r="J28" s="244"/>
      <c r="K28" s="244"/>
      <c r="L28" s="245" t="str">
        <f aca="false">IF(OR(H28="",I28="",J28="",K28=""),"",IF(COUNTIF(H28:K28,"YES")=4,$C$7,0))</f>
        <v/>
      </c>
      <c r="M28" s="243"/>
    </row>
    <row r="29" customFormat="false" ht="14.25" hidden="false" customHeight="false" outlineLevel="0" collapsed="false">
      <c r="A29" s="242" t="s">
        <v>816</v>
      </c>
      <c r="B29" s="243"/>
      <c r="C29" s="243"/>
      <c r="D29" s="243"/>
      <c r="E29" s="243"/>
      <c r="F29" s="243"/>
      <c r="G29" s="243"/>
      <c r="H29" s="244"/>
      <c r="I29" s="244"/>
      <c r="J29" s="244"/>
      <c r="K29" s="244"/>
      <c r="L29" s="245" t="str">
        <f aca="false">IF(OR(H29="",I29="",J29="",K29=""),"",IF(COUNTIF(H29:K29,"YES")=4,$C$7,0))</f>
        <v/>
      </c>
      <c r="M29" s="243"/>
    </row>
    <row r="30" customFormat="false" ht="14.25" hidden="false" customHeight="false" outlineLevel="0" collapsed="false">
      <c r="A30" s="242" t="s">
        <v>817</v>
      </c>
      <c r="B30" s="243"/>
      <c r="C30" s="243"/>
      <c r="D30" s="243"/>
      <c r="E30" s="243"/>
      <c r="F30" s="243"/>
      <c r="G30" s="243"/>
      <c r="H30" s="244"/>
      <c r="I30" s="244"/>
      <c r="J30" s="244"/>
      <c r="K30" s="244"/>
      <c r="L30" s="245" t="str">
        <f aca="false">IF(OR(H30="",I30="",J30="",K30=""),"",IF(COUNTIF(H30:K30,"YES")=4,$C$7,0))</f>
        <v/>
      </c>
      <c r="M30" s="243"/>
    </row>
    <row r="31" customFormat="false" ht="14.25" hidden="false" customHeight="false" outlineLevel="0" collapsed="false">
      <c r="A31" s="242" t="s">
        <v>818</v>
      </c>
      <c r="B31" s="243"/>
      <c r="C31" s="243"/>
      <c r="D31" s="243"/>
      <c r="E31" s="243"/>
      <c r="F31" s="243"/>
      <c r="G31" s="243"/>
      <c r="H31" s="244"/>
      <c r="I31" s="244"/>
      <c r="J31" s="244"/>
      <c r="K31" s="244"/>
      <c r="L31" s="245" t="str">
        <f aca="false">IF(OR(H31="",I31="",J31="",K31=""),"",IF(COUNTIF(H31:K31,"YES")=4,$C$7,0))</f>
        <v/>
      </c>
      <c r="M31" s="243"/>
    </row>
    <row r="32" customFormat="false" ht="14.25" hidden="false" customHeight="false" outlineLevel="0" collapsed="false">
      <c r="A32" s="242" t="s">
        <v>819</v>
      </c>
      <c r="B32" s="243"/>
      <c r="C32" s="243"/>
      <c r="D32" s="243"/>
      <c r="E32" s="243"/>
      <c r="F32" s="243"/>
      <c r="G32" s="243"/>
      <c r="H32" s="244"/>
      <c r="I32" s="244"/>
      <c r="J32" s="244"/>
      <c r="K32" s="244"/>
      <c r="L32" s="245" t="str">
        <f aca="false">IF(OR(H32="",I32="",J32="",K32=""),"",IF(COUNTIF(H32:K32,"YES")=4,$C$7,0))</f>
        <v/>
      </c>
      <c r="M32" s="243"/>
    </row>
    <row r="33" customFormat="false" ht="14.25" hidden="false" customHeight="false" outlineLevel="0" collapsed="false">
      <c r="A33" s="242" t="s">
        <v>17</v>
      </c>
      <c r="B33" s="243" t="s">
        <v>313</v>
      </c>
      <c r="C33" s="243" t="s">
        <v>1421</v>
      </c>
      <c r="D33" s="243" t="s">
        <v>1422</v>
      </c>
      <c r="E33" s="243" t="s">
        <v>1423</v>
      </c>
      <c r="F33" s="243" t="s">
        <v>1424</v>
      </c>
      <c r="G33" s="243" t="s">
        <v>314</v>
      </c>
      <c r="H33" s="244" t="s">
        <v>1111</v>
      </c>
      <c r="I33" s="244" t="s">
        <v>1111</v>
      </c>
      <c r="J33" s="244"/>
      <c r="K33" s="244"/>
      <c r="L33" s="245" t="str">
        <f aca="false">IF(OR(H33="",I33="",J33="",K33=""),"",IF(COUNTIF(H33:K33,"YES")=4,$C$7,0))</f>
        <v/>
      </c>
      <c r="M33" s="243" t="s">
        <v>1425</v>
      </c>
    </row>
    <row r="34" customFormat="false" ht="14.25" hidden="false" customHeight="false" outlineLevel="0" collapsed="false">
      <c r="A34" s="242" t="s">
        <v>820</v>
      </c>
      <c r="B34" s="243"/>
      <c r="C34" s="243"/>
      <c r="D34" s="243"/>
      <c r="E34" s="243"/>
      <c r="F34" s="243"/>
      <c r="G34" s="243"/>
      <c r="H34" s="244"/>
      <c r="I34" s="244"/>
      <c r="J34" s="244"/>
      <c r="K34" s="244"/>
      <c r="L34" s="245" t="str">
        <f aca="false">IF(OR(H34="",I34="",J34="",K34=""),"",IF(COUNTIF(H34:K34,"YES")=4,$C$7,0))</f>
        <v/>
      </c>
      <c r="M34" s="243"/>
    </row>
    <row r="35" customFormat="false" ht="14.25" hidden="false" customHeight="false" outlineLevel="0" collapsed="false">
      <c r="A35" s="242" t="s">
        <v>821</v>
      </c>
      <c r="B35" s="243"/>
      <c r="C35" s="243"/>
      <c r="D35" s="243"/>
      <c r="E35" s="243"/>
      <c r="F35" s="243"/>
      <c r="G35" s="243"/>
      <c r="H35" s="244"/>
      <c r="I35" s="244"/>
      <c r="J35" s="244"/>
      <c r="K35" s="244"/>
      <c r="L35" s="245" t="str">
        <f aca="false">IF(OR(H35="",I35="",J35="",K35=""),"",IF(COUNTIF(H35:K35,"YES")=4,$C$7,0))</f>
        <v/>
      </c>
      <c r="M35" s="243"/>
    </row>
    <row r="36" customFormat="false" ht="14.25" hidden="false" customHeight="false" outlineLevel="0" collapsed="false">
      <c r="A36" s="242" t="s">
        <v>822</v>
      </c>
      <c r="B36" s="243"/>
      <c r="C36" s="243"/>
      <c r="D36" s="243"/>
      <c r="E36" s="243"/>
      <c r="F36" s="243"/>
      <c r="G36" s="243"/>
      <c r="H36" s="244"/>
      <c r="I36" s="244"/>
      <c r="J36" s="244"/>
      <c r="K36" s="244"/>
      <c r="L36" s="245" t="str">
        <f aca="false">IF(OR(H36="",I36="",J36="",K36=""),"",IF(COUNTIF(H36:K36,"YES")=4,$C$7,0))</f>
        <v/>
      </c>
      <c r="M36" s="243"/>
    </row>
    <row r="37" customFormat="false" ht="14.25" hidden="false" customHeight="false" outlineLevel="0" collapsed="false">
      <c r="A37" s="242" t="s">
        <v>823</v>
      </c>
      <c r="B37" s="243"/>
      <c r="C37" s="243"/>
      <c r="D37" s="243"/>
      <c r="E37" s="243"/>
      <c r="F37" s="243"/>
      <c r="G37" s="243"/>
      <c r="H37" s="244"/>
      <c r="I37" s="244"/>
      <c r="J37" s="244"/>
      <c r="K37" s="244"/>
      <c r="L37" s="245" t="str">
        <f aca="false">IF(OR(H37="",I37="",J37="",K37=""),"",IF(COUNTIF(H37:K37,"YES")=4,$C$7,0))</f>
        <v/>
      </c>
      <c r="M37" s="243"/>
    </row>
    <row r="38" customFormat="false" ht="14.25" hidden="false" customHeight="false" outlineLevel="0" collapsed="false">
      <c r="A38" s="242" t="s">
        <v>824</v>
      </c>
      <c r="B38" s="243"/>
      <c r="C38" s="243"/>
      <c r="D38" s="243"/>
      <c r="E38" s="243"/>
      <c r="F38" s="243"/>
      <c r="G38" s="243"/>
      <c r="H38" s="244"/>
      <c r="I38" s="244"/>
      <c r="J38" s="244"/>
      <c r="K38" s="244"/>
      <c r="L38" s="245" t="str">
        <f aca="false">IF(OR(H38="",I38="",J38="",K38=""),"",IF(COUNTIF(H38:K38,"YES")=4,$C$7,0))</f>
        <v/>
      </c>
      <c r="M38" s="243"/>
    </row>
    <row r="39" customFormat="false" ht="14.25" hidden="false" customHeight="false" outlineLevel="0" collapsed="false">
      <c r="A39" s="242" t="s">
        <v>825</v>
      </c>
      <c r="B39" s="243"/>
      <c r="C39" s="243"/>
      <c r="D39" s="243"/>
      <c r="E39" s="243"/>
      <c r="F39" s="243"/>
      <c r="G39" s="243"/>
      <c r="H39" s="244"/>
      <c r="I39" s="244"/>
      <c r="J39" s="244"/>
      <c r="K39" s="244"/>
      <c r="L39" s="245" t="str">
        <f aca="false">IF(OR(H39="",I39="",J39="",K39=""),"",IF(COUNTIF(H39:K39,"YES")=4,$C$7,0))</f>
        <v/>
      </c>
      <c r="M39" s="243"/>
    </row>
    <row r="40" customFormat="false" ht="14.25" hidden="false" customHeight="false" outlineLevel="0" collapsed="false">
      <c r="A40" s="242" t="s">
        <v>826</v>
      </c>
      <c r="B40" s="243"/>
      <c r="C40" s="243"/>
      <c r="D40" s="243"/>
      <c r="E40" s="243"/>
      <c r="F40" s="243"/>
      <c r="G40" s="243"/>
      <c r="H40" s="244"/>
      <c r="I40" s="244"/>
      <c r="J40" s="244"/>
      <c r="K40" s="244"/>
      <c r="L40" s="245" t="str">
        <f aca="false">IF(OR(H40="",I40="",J40="",K40=""),"",IF(COUNTIF(H40:K40,"YES")=4,$C$7,0))</f>
        <v/>
      </c>
      <c r="M40" s="243"/>
    </row>
    <row r="41" customFormat="false" ht="14.25" hidden="false" customHeight="false" outlineLevel="0" collapsed="false">
      <c r="A41" s="242" t="s">
        <v>827</v>
      </c>
      <c r="B41" s="243"/>
      <c r="C41" s="243"/>
      <c r="D41" s="243"/>
      <c r="E41" s="243"/>
      <c r="F41" s="243"/>
      <c r="G41" s="243"/>
      <c r="H41" s="244"/>
      <c r="I41" s="244"/>
      <c r="J41" s="244"/>
      <c r="K41" s="244"/>
      <c r="L41" s="245" t="str">
        <f aca="false">IF(OR(H41="",I41="",J41="",K41=""),"",IF(COUNTIF(H41:K41,"YES")=4,$C$7,0))</f>
        <v/>
      </c>
      <c r="M41" s="243"/>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396</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Does the law mandate a system for monitoring ongoing construction/projects for possible violations?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or the allied Act, and Municipal Act for provisions for the following:1. Authority to inspect ongoing construction/projects.2. Stage-wise inspections or monitoring during construction, including, where applicable, commencement, plinth, intermediate stages and/or completion.3. Power to issue notices or stop-work directions where unauthorised or non-conforming construction is identified. Score 5 if all three of the aspects are met. 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1416</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1426</v>
      </c>
      <c r="I12" s="241" t="s">
        <v>1427</v>
      </c>
      <c r="J12" s="241" t="s">
        <v>1428</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IF(OR(H13="",I13="",J13=""),"",IF(COUNTIF(H13:J13,"YES")=3,$C$7,0))</f>
        <v/>
      </c>
      <c r="L13" s="243"/>
    </row>
    <row r="14" customFormat="false" ht="14.25" hidden="false" customHeight="false" outlineLevel="0" collapsed="false">
      <c r="A14" s="242" t="s">
        <v>801</v>
      </c>
      <c r="B14" s="243"/>
      <c r="C14" s="243"/>
      <c r="D14" s="243"/>
      <c r="E14" s="243"/>
      <c r="F14" s="243"/>
      <c r="G14" s="243"/>
      <c r="H14" s="244"/>
      <c r="I14" s="244"/>
      <c r="J14" s="244"/>
      <c r="K14" s="245" t="str">
        <f aca="false">IF(OR(H14="",I14="",J14=""),"",IF(COUNTIF(H14:J14,"YES")=3,$C$7,0))</f>
        <v/>
      </c>
      <c r="L14" s="243"/>
    </row>
    <row r="15" customFormat="false" ht="14.25" hidden="false" customHeight="false" outlineLevel="0" collapsed="false">
      <c r="A15" s="242" t="s">
        <v>802</v>
      </c>
      <c r="B15" s="243"/>
      <c r="C15" s="243"/>
      <c r="D15" s="243"/>
      <c r="E15" s="243"/>
      <c r="F15" s="243"/>
      <c r="G15" s="243"/>
      <c r="H15" s="244"/>
      <c r="I15" s="244"/>
      <c r="J15" s="244"/>
      <c r="K15" s="245" t="str">
        <f aca="false">IF(OR(H15="",I15="",J15=""),"",IF(COUNTIF(H15:J15,"YES")=3,$C$7,0))</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IF(OR(H16="",I16="",J16=""),"",IF(COUNTIF(H16:J16,"YES")=3,$C$7,0))</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IF(OR(H17="",I17="",J17=""),"",IF(COUNTIF(H17:J17,"YES")=3,$C$7,0))</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IF(OR(H18="",I18="",J18=""),"",IF(COUNTIF(H18:J18,"YES")=3,$C$7,0))</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IF(OR(H19="",I19="",J19=""),"",IF(COUNTIF(H19:J19,"YES")=3,$C$7,0))</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IF(OR(H20="",I20="",J20=""),"",IF(COUNTIF(H20:J20,"YES")=3,$C$7,0))</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IF(OR(H21="",I21="",J21=""),"",IF(COUNTIF(H21:J21,"YES")=3,$C$7,0))</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IF(OR(H22="",I22="",J22=""),"",IF(COUNTIF(H22:J22,"YES")=3,$C$7,0))</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IF(OR(H23="",I23="",J23=""),"",IF(COUNTIF(H23:J23,"YES")=3,$C$7,0))</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IF(OR(H24="",I24="",J24=""),"",IF(COUNTIF(H24:J24,"YES")=3,$C$7,0))</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IF(OR(H25="",I25="",J25=""),"",IF(COUNTIF(H25:J25,"YES")=3,$C$7,0))</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IF(OR(H26="",I26="",J26=""),"",IF(COUNTIF(H26:J26,"YES")=3,$C$7,0))</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IF(OR(H27="",I27="",J27=""),"",IF(COUNTIF(H27:J27,"YES")=3,$C$7,0))</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IF(OR(H28="",I28="",J28=""),"",IF(COUNTIF(H28:J28,"YES")=3,$C$7,0))</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IF(OR(H29="",I29="",J29=""),"",IF(COUNTIF(H29:J29,"YES")=3,$C$7,0))</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IF(OR(H30="",I30="",J30=""),"",IF(COUNTIF(H30:J30,"YES")=3,$C$7,0))</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IF(OR(H31="",I31="",J31=""),"",IF(COUNTIF(H31:J31,"YES")=3,$C$7,0))</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IF(OR(H32="",I32="",J32=""),"",IF(COUNTIF(H32:J32,"YES")=3,$C$7,0))</f>
        <v/>
      </c>
      <c r="L32" s="243"/>
    </row>
    <row r="33" customFormat="false" ht="14.25" hidden="false" customHeight="false" outlineLevel="0" collapsed="false">
      <c r="A33" s="242" t="s">
        <v>17</v>
      </c>
      <c r="B33" s="243" t="s">
        <v>313</v>
      </c>
      <c r="C33" s="243" t="s">
        <v>1429</v>
      </c>
      <c r="D33" s="243" t="s">
        <v>1430</v>
      </c>
      <c r="E33" s="243" t="s">
        <v>1431</v>
      </c>
      <c r="F33" s="243" t="s">
        <v>1432</v>
      </c>
      <c r="G33" s="243" t="s">
        <v>314</v>
      </c>
      <c r="H33" s="244" t="s">
        <v>1111</v>
      </c>
      <c r="I33" s="244" t="s">
        <v>1111</v>
      </c>
      <c r="J33" s="244" t="s">
        <v>1111</v>
      </c>
      <c r="K33" s="245" t="n">
        <f aca="false">IF(OR(H33="",I33="",J33=""),"",IF(COUNTIF(H33:J33,"YES")=3,$C$7,0))</f>
        <v>5</v>
      </c>
      <c r="L33" s="243" t="s">
        <v>1433</v>
      </c>
    </row>
    <row r="34" customFormat="false" ht="14.25" hidden="false" customHeight="false" outlineLevel="0" collapsed="false">
      <c r="A34" s="242" t="s">
        <v>820</v>
      </c>
      <c r="B34" s="243"/>
      <c r="C34" s="243"/>
      <c r="D34" s="243"/>
      <c r="E34" s="243"/>
      <c r="F34" s="243"/>
      <c r="G34" s="243"/>
      <c r="H34" s="244"/>
      <c r="I34" s="244"/>
      <c r="J34" s="244"/>
      <c r="K34" s="245" t="str">
        <f aca="false">IF(OR(H34="",I34="",J34=""),"",IF(COUNTIF(H34:J34,"YES")=3,$C$7,0))</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IF(OR(H35="",I35="",J35=""),"",IF(COUNTIF(H35:J35,"YES")=3,$C$7,0))</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IF(OR(H36="",I36="",J36=""),"",IF(COUNTIF(H36:J36,"YES")=3,$C$7,0))</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IF(OR(H37="",I37="",J37=""),"",IF(COUNTIF(H37:J37,"YES")=3,$C$7,0))</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IF(OR(H38="",I38="",J38=""),"",IF(COUNTIF(H38:J38,"YES")=3,$C$7,0))</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IF(OR(H39="",I39="",J39=""),"",IF(COUNTIF(H39:J39,"YES")=3,$C$7,0))</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IF(OR(H40="",I40="",J40=""),"",IF(COUNTIF(H40:J40,"YES")=3,$C$7,0))</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IF(OR(H41="",I41="",J41=""),"",IF(COUNTIF(H41:J41,"YES")=3,$C$7,0))</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4" t="s">
        <v>1090</v>
      </c>
      <c r="B1" s="234" t="s">
        <v>401</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Has a system for monitoring ongoing construction/projects for possible violations been implemented?</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36" t="n">
        <f aca="false">VLOOKUP($B$1,'UPD Questions_290926 '!$E$1:$N$300,MATCH($A$7,'UPD Questions_290926 '!$E$1:$N$1,0),0)</f>
        <v>5</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ULG/Development Authority websites whether the monitoring process includes all of the following:1.Online self-assessment/reporting of construction progress, including uploading photographs and requisite compliance documents2. Periodic ground surveys/inspections of approved projects, covering either all projects or a defined sample3. Public disclosure of monitoring information, including compliance numbers/status, violations registered and action taken. Score 5 if all three elements are operational.Score 0 otherwise.</v>
      </c>
    </row>
    <row r="10" customFormat="false" ht="30"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37" t="s">
        <v>1416</v>
      </c>
    </row>
    <row r="11" customFormat="false" ht="28.5" hidden="false" customHeight="true" outlineLevel="0" collapsed="false">
      <c r="H11" s="238" t="s">
        <v>1095</v>
      </c>
      <c r="I11" s="238" t="s">
        <v>1095</v>
      </c>
      <c r="J11" s="238" t="s">
        <v>1095</v>
      </c>
      <c r="K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1434</v>
      </c>
      <c r="I12" s="241" t="s">
        <v>1435</v>
      </c>
      <c r="J12" s="241" t="s">
        <v>1436</v>
      </c>
      <c r="K12" s="239" t="s">
        <v>1103</v>
      </c>
      <c r="L12" s="241" t="s">
        <v>1104</v>
      </c>
    </row>
    <row r="13" customFormat="false" ht="14.25" hidden="false" customHeight="false" outlineLevel="0" collapsed="false">
      <c r="A13" s="242" t="s">
        <v>800</v>
      </c>
      <c r="B13" s="243"/>
      <c r="C13" s="243"/>
      <c r="D13" s="243"/>
      <c r="E13" s="243"/>
      <c r="F13" s="243"/>
      <c r="G13" s="243"/>
      <c r="H13" s="244"/>
      <c r="I13" s="244"/>
      <c r="J13" s="244"/>
      <c r="K13" s="245" t="str">
        <f aca="false">IF(OR(H13="",I13="",J13=""),"",IF(COUNTIF(H13:J13,"YES")=3,$C$7,0))</f>
        <v/>
      </c>
      <c r="L13" s="243"/>
    </row>
    <row r="14" customFormat="false" ht="14.25" hidden="false" customHeight="false" outlineLevel="0" collapsed="false">
      <c r="A14" s="242" t="s">
        <v>801</v>
      </c>
      <c r="B14" s="243"/>
      <c r="C14" s="243"/>
      <c r="D14" s="243"/>
      <c r="E14" s="243"/>
      <c r="F14" s="243"/>
      <c r="G14" s="243"/>
      <c r="H14" s="244"/>
      <c r="I14" s="244"/>
      <c r="J14" s="244"/>
      <c r="K14" s="245" t="str">
        <f aca="false">IF(OR(H14="",I14="",J14=""),"",IF(COUNTIF(H14:J14,"YES")=3,$C$7,0))</f>
        <v/>
      </c>
      <c r="L14" s="243"/>
    </row>
    <row r="15" customFormat="false" ht="14.25" hidden="false" customHeight="false" outlineLevel="0" collapsed="false">
      <c r="A15" s="242" t="s">
        <v>802</v>
      </c>
      <c r="B15" s="243"/>
      <c r="C15" s="243"/>
      <c r="D15" s="243"/>
      <c r="E15" s="243"/>
      <c r="F15" s="243"/>
      <c r="G15" s="243"/>
      <c r="H15" s="244"/>
      <c r="I15" s="244"/>
      <c r="J15" s="244"/>
      <c r="K15" s="245" t="str">
        <f aca="false">IF(OR(H15="",I15="",J15=""),"",IF(COUNTIF(H15:J15,"YES")=3,$C$7,0))</f>
        <v/>
      </c>
      <c r="L15" s="243"/>
    </row>
    <row r="16" customFormat="false" ht="14.25" hidden="false" customHeight="false" outlineLevel="0" collapsed="false">
      <c r="A16" s="242" t="s">
        <v>803</v>
      </c>
      <c r="B16" s="243"/>
      <c r="C16" s="243"/>
      <c r="D16" s="243"/>
      <c r="E16" s="243"/>
      <c r="F16" s="243"/>
      <c r="G16" s="243"/>
      <c r="H16" s="244"/>
      <c r="I16" s="244"/>
      <c r="J16" s="244"/>
      <c r="K16" s="245" t="str">
        <f aca="false">IF(OR(H16="",I16="",J16=""),"",IF(COUNTIF(H16:J16,"YES")=3,$C$7,0))</f>
        <v/>
      </c>
      <c r="L16" s="243"/>
    </row>
    <row r="17" customFormat="false" ht="14.25" hidden="false" customHeight="false" outlineLevel="0" collapsed="false">
      <c r="A17" s="242" t="s">
        <v>804</v>
      </c>
      <c r="B17" s="243"/>
      <c r="C17" s="243"/>
      <c r="D17" s="243"/>
      <c r="E17" s="243"/>
      <c r="F17" s="243"/>
      <c r="G17" s="243"/>
      <c r="H17" s="244"/>
      <c r="I17" s="244"/>
      <c r="J17" s="244"/>
      <c r="K17" s="245" t="str">
        <f aca="false">IF(OR(H17="",I17="",J17=""),"",IF(COUNTIF(H17:J17,"YES")=3,$C$7,0))</f>
        <v/>
      </c>
      <c r="L17" s="243"/>
    </row>
    <row r="18" customFormat="false" ht="14.25" hidden="false" customHeight="false" outlineLevel="0" collapsed="false">
      <c r="A18" s="242" t="s">
        <v>805</v>
      </c>
      <c r="B18" s="243"/>
      <c r="C18" s="243"/>
      <c r="D18" s="243"/>
      <c r="E18" s="243"/>
      <c r="F18" s="243"/>
      <c r="G18" s="243"/>
      <c r="H18" s="244"/>
      <c r="I18" s="244"/>
      <c r="J18" s="244"/>
      <c r="K18" s="245" t="str">
        <f aca="false">IF(OR(H18="",I18="",J18=""),"",IF(COUNTIF(H18:J18,"YES")=3,$C$7,0))</f>
        <v/>
      </c>
      <c r="L18" s="243"/>
    </row>
    <row r="19" customFormat="false" ht="14.25" hidden="false" customHeight="false" outlineLevel="0" collapsed="false">
      <c r="A19" s="242" t="s">
        <v>806</v>
      </c>
      <c r="B19" s="243"/>
      <c r="C19" s="243"/>
      <c r="D19" s="243"/>
      <c r="E19" s="243"/>
      <c r="F19" s="243"/>
      <c r="G19" s="243"/>
      <c r="H19" s="244"/>
      <c r="I19" s="244"/>
      <c r="J19" s="244"/>
      <c r="K19" s="245" t="str">
        <f aca="false">IF(OR(H19="",I19="",J19=""),"",IF(COUNTIF(H19:J19,"YES")=3,$C$7,0))</f>
        <v/>
      </c>
      <c r="L19" s="243"/>
    </row>
    <row r="20" customFormat="false" ht="14.25" hidden="false" customHeight="false" outlineLevel="0" collapsed="false">
      <c r="A20" s="242" t="s">
        <v>807</v>
      </c>
      <c r="B20" s="243"/>
      <c r="C20" s="243"/>
      <c r="D20" s="243"/>
      <c r="E20" s="243"/>
      <c r="F20" s="243"/>
      <c r="G20" s="243"/>
      <c r="H20" s="244"/>
      <c r="I20" s="244"/>
      <c r="J20" s="244"/>
      <c r="K20" s="245" t="str">
        <f aca="false">IF(OR(H20="",I20="",J20=""),"",IF(COUNTIF(H20:J20,"YES")=3,$C$7,0))</f>
        <v/>
      </c>
      <c r="L20" s="243"/>
    </row>
    <row r="21" customFormat="false" ht="14.25" hidden="false" customHeight="false" outlineLevel="0" collapsed="false">
      <c r="A21" s="242" t="s">
        <v>808</v>
      </c>
      <c r="B21" s="243"/>
      <c r="C21" s="243"/>
      <c r="D21" s="243"/>
      <c r="E21" s="243"/>
      <c r="F21" s="243"/>
      <c r="G21" s="243"/>
      <c r="H21" s="244"/>
      <c r="I21" s="244"/>
      <c r="J21" s="244"/>
      <c r="K21" s="245" t="str">
        <f aca="false">IF(OR(H21="",I21="",J21=""),"",IF(COUNTIF(H21:J21,"YES")=3,$C$7,0))</f>
        <v/>
      </c>
      <c r="L21" s="243"/>
    </row>
    <row r="22" customFormat="false" ht="14.25" hidden="false" customHeight="false" outlineLevel="0" collapsed="false">
      <c r="A22" s="242" t="s">
        <v>809</v>
      </c>
      <c r="B22" s="243"/>
      <c r="C22" s="243"/>
      <c r="D22" s="243"/>
      <c r="E22" s="243"/>
      <c r="F22" s="243"/>
      <c r="G22" s="243"/>
      <c r="H22" s="244"/>
      <c r="I22" s="244"/>
      <c r="J22" s="244"/>
      <c r="K22" s="245" t="str">
        <f aca="false">IF(OR(H22="",I22="",J22=""),"",IF(COUNTIF(H22:J22,"YES")=3,$C$7,0))</f>
        <v/>
      </c>
      <c r="L22" s="243"/>
    </row>
    <row r="23" customFormat="false" ht="14.25" hidden="false" customHeight="false" outlineLevel="0" collapsed="false">
      <c r="A23" s="242" t="s">
        <v>810</v>
      </c>
      <c r="B23" s="243"/>
      <c r="C23" s="243"/>
      <c r="D23" s="243"/>
      <c r="E23" s="243"/>
      <c r="F23" s="243"/>
      <c r="G23" s="243"/>
      <c r="H23" s="244"/>
      <c r="I23" s="244"/>
      <c r="J23" s="244"/>
      <c r="K23" s="245" t="str">
        <f aca="false">IF(OR(H23="",I23="",J23=""),"",IF(COUNTIF(H23:J23,"YES")=3,$C$7,0))</f>
        <v/>
      </c>
      <c r="L23" s="243"/>
    </row>
    <row r="24" customFormat="false" ht="14.25" hidden="false" customHeight="false" outlineLevel="0" collapsed="false">
      <c r="A24" s="242" t="s">
        <v>811</v>
      </c>
      <c r="B24" s="243"/>
      <c r="C24" s="243"/>
      <c r="D24" s="243"/>
      <c r="E24" s="243"/>
      <c r="F24" s="243"/>
      <c r="G24" s="243"/>
      <c r="H24" s="244"/>
      <c r="I24" s="244"/>
      <c r="J24" s="244"/>
      <c r="K24" s="245" t="str">
        <f aca="false">IF(OR(H24="",I24="",J24=""),"",IF(COUNTIF(H24:J24,"YES")=3,$C$7,0))</f>
        <v/>
      </c>
      <c r="L24" s="243"/>
    </row>
    <row r="25" customFormat="false" ht="14.25" hidden="false" customHeight="false" outlineLevel="0" collapsed="false">
      <c r="A25" s="242" t="s">
        <v>812</v>
      </c>
      <c r="B25" s="243"/>
      <c r="C25" s="243"/>
      <c r="D25" s="243"/>
      <c r="E25" s="243"/>
      <c r="F25" s="243"/>
      <c r="G25" s="243"/>
      <c r="H25" s="244"/>
      <c r="I25" s="244"/>
      <c r="J25" s="244"/>
      <c r="K25" s="245" t="str">
        <f aca="false">IF(OR(H25="",I25="",J25=""),"",IF(COUNTIF(H25:J25,"YES")=3,$C$7,0))</f>
        <v/>
      </c>
      <c r="L25" s="243"/>
    </row>
    <row r="26" customFormat="false" ht="14.25" hidden="false" customHeight="false" outlineLevel="0" collapsed="false">
      <c r="A26" s="242" t="s">
        <v>813</v>
      </c>
      <c r="B26" s="243"/>
      <c r="C26" s="243"/>
      <c r="D26" s="243"/>
      <c r="E26" s="243"/>
      <c r="F26" s="243"/>
      <c r="G26" s="243"/>
      <c r="H26" s="244"/>
      <c r="I26" s="244"/>
      <c r="J26" s="244"/>
      <c r="K26" s="245" t="str">
        <f aca="false">IF(OR(H26="",I26="",J26=""),"",IF(COUNTIF(H26:J26,"YES")=3,$C$7,0))</f>
        <v/>
      </c>
      <c r="L26" s="243"/>
    </row>
    <row r="27" customFormat="false" ht="14.25" hidden="false" customHeight="false" outlineLevel="0" collapsed="false">
      <c r="A27" s="242" t="s">
        <v>814</v>
      </c>
      <c r="B27" s="243"/>
      <c r="C27" s="243"/>
      <c r="D27" s="243"/>
      <c r="E27" s="243"/>
      <c r="F27" s="243"/>
      <c r="G27" s="243"/>
      <c r="H27" s="244"/>
      <c r="I27" s="244"/>
      <c r="J27" s="244"/>
      <c r="K27" s="245" t="str">
        <f aca="false">IF(OR(H27="",I27="",J27=""),"",IF(COUNTIF(H27:J27,"YES")=3,$C$7,0))</f>
        <v/>
      </c>
      <c r="L27" s="243"/>
    </row>
    <row r="28" customFormat="false" ht="14.25" hidden="false" customHeight="false" outlineLevel="0" collapsed="false">
      <c r="A28" s="242" t="s">
        <v>815</v>
      </c>
      <c r="B28" s="243"/>
      <c r="C28" s="243"/>
      <c r="D28" s="243"/>
      <c r="E28" s="243"/>
      <c r="F28" s="243"/>
      <c r="G28" s="243"/>
      <c r="H28" s="244"/>
      <c r="I28" s="244"/>
      <c r="J28" s="244"/>
      <c r="K28" s="245" t="str">
        <f aca="false">IF(OR(H28="",I28="",J28=""),"",IF(COUNTIF(H28:J28,"YES")=3,$C$7,0))</f>
        <v/>
      </c>
      <c r="L28" s="243"/>
    </row>
    <row r="29" customFormat="false" ht="14.25" hidden="false" customHeight="false" outlineLevel="0" collapsed="false">
      <c r="A29" s="242" t="s">
        <v>816</v>
      </c>
      <c r="B29" s="243"/>
      <c r="C29" s="243"/>
      <c r="D29" s="243"/>
      <c r="E29" s="243"/>
      <c r="F29" s="243"/>
      <c r="G29" s="243"/>
      <c r="H29" s="244"/>
      <c r="I29" s="244"/>
      <c r="J29" s="244"/>
      <c r="K29" s="245" t="str">
        <f aca="false">IF(OR(H29="",I29="",J29=""),"",IF(COUNTIF(H29:J29,"YES")=3,$C$7,0))</f>
        <v/>
      </c>
      <c r="L29" s="243"/>
    </row>
    <row r="30" customFormat="false" ht="14.25" hidden="false" customHeight="false" outlineLevel="0" collapsed="false">
      <c r="A30" s="242" t="s">
        <v>817</v>
      </c>
      <c r="B30" s="243"/>
      <c r="C30" s="243"/>
      <c r="D30" s="243"/>
      <c r="E30" s="243"/>
      <c r="F30" s="243"/>
      <c r="G30" s="243"/>
      <c r="H30" s="244"/>
      <c r="I30" s="244"/>
      <c r="J30" s="244"/>
      <c r="K30" s="245" t="str">
        <f aca="false">IF(OR(H30="",I30="",J30=""),"",IF(COUNTIF(H30:J30,"YES")=3,$C$7,0))</f>
        <v/>
      </c>
      <c r="L30" s="243"/>
    </row>
    <row r="31" customFormat="false" ht="14.25" hidden="false" customHeight="false" outlineLevel="0" collapsed="false">
      <c r="A31" s="242" t="s">
        <v>818</v>
      </c>
      <c r="B31" s="243"/>
      <c r="C31" s="243"/>
      <c r="D31" s="243"/>
      <c r="E31" s="243"/>
      <c r="F31" s="243"/>
      <c r="G31" s="243"/>
      <c r="H31" s="244"/>
      <c r="I31" s="244"/>
      <c r="J31" s="244"/>
      <c r="K31" s="245" t="str">
        <f aca="false">IF(OR(H31="",I31="",J31=""),"",IF(COUNTIF(H31:J31,"YES")=3,$C$7,0))</f>
        <v/>
      </c>
      <c r="L31" s="243"/>
    </row>
    <row r="32" customFormat="false" ht="14.25" hidden="false" customHeight="false" outlineLevel="0" collapsed="false">
      <c r="A32" s="242" t="s">
        <v>819</v>
      </c>
      <c r="B32" s="243"/>
      <c r="C32" s="243"/>
      <c r="D32" s="243"/>
      <c r="E32" s="243"/>
      <c r="F32" s="243"/>
      <c r="G32" s="243"/>
      <c r="H32" s="244"/>
      <c r="I32" s="244"/>
      <c r="J32" s="244"/>
      <c r="K32" s="245" t="str">
        <f aca="false">IF(OR(H32="",I32="",J32=""),"",IF(COUNTIF(H32:J32,"YES")=3,$C$7,0))</f>
        <v/>
      </c>
      <c r="L32" s="243"/>
    </row>
    <row r="33" customFormat="false" ht="14.25" hidden="false" customHeight="false" outlineLevel="0" collapsed="false">
      <c r="A33" s="242" t="s">
        <v>17</v>
      </c>
      <c r="B33" s="243"/>
      <c r="C33" s="243"/>
      <c r="D33" s="243"/>
      <c r="E33" s="243"/>
      <c r="F33" s="243"/>
      <c r="G33" s="243"/>
      <c r="H33" s="244"/>
      <c r="I33" s="244"/>
      <c r="J33" s="244"/>
      <c r="K33" s="245" t="str">
        <f aca="false">IF(OR(H33="",I33="",J33=""),"",IF(COUNTIF(H33:J33,"YES")=3,$C$7,0))</f>
        <v/>
      </c>
      <c r="L33" s="243" t="s">
        <v>1437</v>
      </c>
    </row>
    <row r="34" customFormat="false" ht="14.25" hidden="false" customHeight="false" outlineLevel="0" collapsed="false">
      <c r="A34" s="242" t="s">
        <v>820</v>
      </c>
      <c r="B34" s="243"/>
      <c r="C34" s="243"/>
      <c r="D34" s="243"/>
      <c r="E34" s="243"/>
      <c r="F34" s="243"/>
      <c r="G34" s="243"/>
      <c r="H34" s="244"/>
      <c r="I34" s="244"/>
      <c r="J34" s="244"/>
      <c r="K34" s="245" t="str">
        <f aca="false">IF(OR(H34="",I34="",J34=""),"",IF(COUNTIF(H34:J34,"YES")=3,$C$7,0))</f>
        <v/>
      </c>
      <c r="L34" s="243"/>
    </row>
    <row r="35" customFormat="false" ht="14.25" hidden="false" customHeight="false" outlineLevel="0" collapsed="false">
      <c r="A35" s="242" t="s">
        <v>821</v>
      </c>
      <c r="B35" s="243"/>
      <c r="C35" s="243"/>
      <c r="D35" s="243"/>
      <c r="E35" s="243"/>
      <c r="F35" s="243"/>
      <c r="G35" s="243"/>
      <c r="H35" s="244"/>
      <c r="I35" s="244"/>
      <c r="J35" s="244"/>
      <c r="K35" s="245" t="str">
        <f aca="false">IF(OR(H35="",I35="",J35=""),"",IF(COUNTIF(H35:J35,"YES")=3,$C$7,0))</f>
        <v/>
      </c>
      <c r="L35" s="243"/>
    </row>
    <row r="36" customFormat="false" ht="14.25" hidden="false" customHeight="false" outlineLevel="0" collapsed="false">
      <c r="A36" s="242" t="s">
        <v>822</v>
      </c>
      <c r="B36" s="243"/>
      <c r="C36" s="243"/>
      <c r="D36" s="243"/>
      <c r="E36" s="243"/>
      <c r="F36" s="243"/>
      <c r="G36" s="243"/>
      <c r="H36" s="244"/>
      <c r="I36" s="244"/>
      <c r="J36" s="244"/>
      <c r="K36" s="245" t="str">
        <f aca="false">IF(OR(H36="",I36="",J36=""),"",IF(COUNTIF(H36:J36,"YES")=3,$C$7,0))</f>
        <v/>
      </c>
      <c r="L36" s="243"/>
    </row>
    <row r="37" customFormat="false" ht="14.25" hidden="false" customHeight="false" outlineLevel="0" collapsed="false">
      <c r="A37" s="242" t="s">
        <v>823</v>
      </c>
      <c r="B37" s="243"/>
      <c r="C37" s="243"/>
      <c r="D37" s="243"/>
      <c r="E37" s="243"/>
      <c r="F37" s="243"/>
      <c r="G37" s="243"/>
      <c r="H37" s="244"/>
      <c r="I37" s="244"/>
      <c r="J37" s="244"/>
      <c r="K37" s="245" t="str">
        <f aca="false">IF(OR(H37="",I37="",J37=""),"",IF(COUNTIF(H37:J37,"YES")=3,$C$7,0))</f>
        <v/>
      </c>
      <c r="L37" s="243"/>
    </row>
    <row r="38" customFormat="false" ht="14.25" hidden="false" customHeight="false" outlineLevel="0" collapsed="false">
      <c r="A38" s="242" t="s">
        <v>824</v>
      </c>
      <c r="B38" s="243"/>
      <c r="C38" s="243"/>
      <c r="D38" s="243"/>
      <c r="E38" s="243"/>
      <c r="F38" s="243"/>
      <c r="G38" s="243"/>
      <c r="H38" s="244"/>
      <c r="I38" s="244"/>
      <c r="J38" s="244"/>
      <c r="K38" s="245" t="str">
        <f aca="false">IF(OR(H38="",I38="",J38=""),"",IF(COUNTIF(H38:J38,"YES")=3,$C$7,0))</f>
        <v/>
      </c>
      <c r="L38" s="243"/>
    </row>
    <row r="39" customFormat="false" ht="14.25" hidden="false" customHeight="false" outlineLevel="0" collapsed="false">
      <c r="A39" s="242" t="s">
        <v>825</v>
      </c>
      <c r="B39" s="243"/>
      <c r="C39" s="243"/>
      <c r="D39" s="243"/>
      <c r="E39" s="243"/>
      <c r="F39" s="243"/>
      <c r="G39" s="243"/>
      <c r="H39" s="244"/>
      <c r="I39" s="244"/>
      <c r="J39" s="244"/>
      <c r="K39" s="245" t="str">
        <f aca="false">IF(OR(H39="",I39="",J39=""),"",IF(COUNTIF(H39:J39,"YES")=3,$C$7,0))</f>
        <v/>
      </c>
      <c r="L39" s="243"/>
    </row>
    <row r="40" customFormat="false" ht="14.25" hidden="false" customHeight="false" outlineLevel="0" collapsed="false">
      <c r="A40" s="242" t="s">
        <v>826</v>
      </c>
      <c r="B40" s="243"/>
      <c r="C40" s="243"/>
      <c r="D40" s="243"/>
      <c r="E40" s="243"/>
      <c r="F40" s="243"/>
      <c r="G40" s="243"/>
      <c r="H40" s="244"/>
      <c r="I40" s="244"/>
      <c r="J40" s="244"/>
      <c r="K40" s="245" t="str">
        <f aca="false">IF(OR(H40="",I40="",J40=""),"",IF(COUNTIF(H40:J40,"YES")=3,$C$7,0))</f>
        <v/>
      </c>
      <c r="L40" s="243"/>
    </row>
    <row r="41" customFormat="false" ht="14.25" hidden="false" customHeight="false" outlineLevel="0" collapsed="false">
      <c r="A41" s="242" t="s">
        <v>827</v>
      </c>
      <c r="B41" s="243"/>
      <c r="C41" s="243"/>
      <c r="D41" s="243"/>
      <c r="E41" s="243"/>
      <c r="F41" s="243"/>
      <c r="G41" s="243"/>
      <c r="H41" s="244"/>
      <c r="I41" s="244"/>
      <c r="J41" s="244"/>
      <c r="K41" s="245" t="str">
        <f aca="false">IF(OR(H41="",I41="",J41=""),"",IF(COUNTIF(H41:J41,"YES")=3,$C$7,0))</f>
        <v/>
      </c>
      <c r="L41" s="243"/>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1"/>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15" activeCellId="0" sqref="B15"/>
    </sheetView>
  </sheetViews>
  <sheetFormatPr defaultColWidth="8.5703125" defaultRowHeight="14.25" customHeight="false" zeroHeight="false" outlineLevelRow="0" outlineLevelCol="0"/>
  <cols>
    <col collapsed="false" customWidth="true" hidden="false" outlineLevel="0" max="1" min="1" style="0" width="21"/>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4" t="s">
        <v>1090</v>
      </c>
      <c r="B1" s="234" t="s">
        <v>404</v>
      </c>
      <c r="C1" s="235" t="s">
        <v>1091</v>
      </c>
    </row>
    <row r="2" customFormat="false" ht="14.25" hidden="false" customHeight="false" outlineLevel="0" collapsed="false">
      <c r="A2" s="234" t="s">
        <v>415</v>
      </c>
      <c r="B2" s="234"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5" t="s">
        <v>1092</v>
      </c>
    </row>
    <row r="3" customFormat="false" ht="14.25" hidden="false" customHeight="false" outlineLevel="0" collapsed="false">
      <c r="A3" s="234" t="s">
        <v>416</v>
      </c>
      <c r="B3" s="234"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false" outlineLevel="0" collapsed="false">
      <c r="A4" s="234" t="s">
        <v>417</v>
      </c>
      <c r="B4" s="234"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Corrective action</v>
      </c>
    </row>
    <row r="5" customFormat="false" ht="14.25" hidden="false" customHeight="false" outlineLevel="0" collapsed="false">
      <c r="A5" s="234" t="s">
        <v>418</v>
      </c>
      <c r="B5" s="234"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4" t="s">
        <v>0</v>
      </c>
      <c r="B6" s="234"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provisions to penalise violating plans?</v>
      </c>
      <c r="C6" s="235" t="s">
        <v>1093</v>
      </c>
    </row>
    <row r="7" customFormat="false" ht="14.25" hidden="false" customHeight="false" outlineLevel="0" collapsed="false">
      <c r="A7" s="234" t="s">
        <v>419</v>
      </c>
      <c r="B7" s="234"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36" t="n">
        <f aca="false">VLOOKUP($B$1,'UPD Questions_290926 '!$E$1:$N$300,MATCH($A$7,'UPD Questions_290926 '!$E$1:$N$1,0),0)</f>
        <v>10</v>
      </c>
    </row>
    <row r="8" customFormat="false" ht="14.25" hidden="false" customHeight="false" outlineLevel="0" collapsed="false">
      <c r="A8" s="234" t="s">
        <v>420</v>
      </c>
      <c r="B8" s="234"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4" t="s">
        <v>421</v>
      </c>
      <c r="B9" s="87"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mentions the penal provisions under the following heads (at least five of the below to mark as 'Yes'):1. DCR (Development Control Regulations) violations:                                  a. Zoning/ land useb. Permitted uses (including change in building use eg; dwelling to commercial use; warehouse to office space etc.)c. Setbacks (setbacks are the minimum space required between the plot boundary and building), d. Building height (maximum permissible height according to the location)e. Floor Area Ratio (FAR)/ Floor Space Index (FSI)f. Parking g. Heritage conservation (violations occur if such areas/structures are recognised to be of historical importance)i. Environmental conservationetc2. Building code violations: (at plan approval stage, these codes dictate the following details)a. Fire norms (primarily important at both plan approval level and again at Occupancy Certificate (OC) level)b. Provision of lifts and staircasesc. Corridor lengthd. Earthquake/flood/tsunami/flood resistance (in disaster prone areas)e. Plot access (the points of entry/exit to your building/plot in accordance with the road)f. Loading/ unloading bays (for commercial and industrial buildings, service access, safety etc. as detailed out by building code)etc3. NOC violationsa. Fire safetyb. Water supply and sewerage (absence of rainwater harvesting systems, discharge of waste into any public land, alley, waterbody, sidewalk etc.)c. Electricity (particularly for large-scale/commercial buildings)d. Pollutione. Solid waste managementf. Height (near airports)4. Encroachment of land5. Building refurbishment without permit/ approvals (addition/demolition/remodeling etc.)6. Urban design regulations vioations (includes signages, dispaly boards, streetscapes, pedestrian circulation, open areas, plazas, arcades etc.)</v>
      </c>
    </row>
    <row r="10" customFormat="false" ht="89.25" hidden="false" customHeight="true" outlineLevel="0" collapsed="false">
      <c r="A10" s="234" t="s">
        <v>422</v>
      </c>
      <c r="B10" s="87"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give the text of the provisions in the scorer comment's column in the scoresheet</v>
      </c>
      <c r="H10" s="237" t="s">
        <v>1438</v>
      </c>
    </row>
    <row r="11" customFormat="false" ht="64.5" hidden="false" customHeight="true" outlineLevel="0" collapsed="false">
      <c r="H11" s="238" t="s">
        <v>1312</v>
      </c>
      <c r="I11" s="239" t="s">
        <v>1096</v>
      </c>
    </row>
    <row r="12" customFormat="false" ht="60" hidden="false" customHeight="true" outlineLevel="0" collapsed="false">
      <c r="A12" s="240" t="s">
        <v>1097</v>
      </c>
      <c r="B12" s="240" t="s">
        <v>1098</v>
      </c>
      <c r="C12" s="240" t="s">
        <v>1099</v>
      </c>
      <c r="D12" s="240" t="s">
        <v>1100</v>
      </c>
      <c r="E12" s="240" t="s">
        <v>1101</v>
      </c>
      <c r="F12" s="240" t="s">
        <v>1102</v>
      </c>
      <c r="G12" s="240" t="s">
        <v>12</v>
      </c>
      <c r="H12" s="241" t="s">
        <v>1439</v>
      </c>
      <c r="I12" s="239" t="s">
        <v>1103</v>
      </c>
      <c r="J12" s="241" t="s">
        <v>1104</v>
      </c>
    </row>
    <row r="13" customFormat="false" ht="14.25" hidden="false" customHeight="false" outlineLevel="0" collapsed="false">
      <c r="A13" s="242" t="s">
        <v>800</v>
      </c>
      <c r="B13" s="243"/>
      <c r="C13" s="243"/>
      <c r="D13" s="243"/>
      <c r="E13" s="243"/>
      <c r="F13" s="243"/>
      <c r="G13" s="243"/>
      <c r="H13" s="244"/>
      <c r="I13" s="245" t="str">
        <f aca="false">IF(H13="","",MIN(H13*$C$7/5,$C$7))</f>
        <v/>
      </c>
      <c r="J13" s="243"/>
    </row>
    <row r="14" customFormat="false" ht="14.25" hidden="false" customHeight="false" outlineLevel="0" collapsed="false">
      <c r="A14" s="242" t="s">
        <v>801</v>
      </c>
      <c r="B14" s="243"/>
      <c r="C14" s="243"/>
      <c r="D14" s="243"/>
      <c r="E14" s="243"/>
      <c r="F14" s="243"/>
      <c r="G14" s="243"/>
      <c r="H14" s="244"/>
      <c r="I14" s="245" t="str">
        <f aca="false">IF(H14="","",MIN(H14*$C$7/5,$C$7))</f>
        <v/>
      </c>
      <c r="J14" s="243"/>
    </row>
    <row r="15" customFormat="false" ht="14.25" hidden="false" customHeight="false" outlineLevel="0" collapsed="false">
      <c r="A15" s="242" t="s">
        <v>802</v>
      </c>
      <c r="B15" s="243"/>
      <c r="C15" s="243"/>
      <c r="D15" s="243"/>
      <c r="E15" s="243"/>
      <c r="F15" s="243"/>
      <c r="G15" s="243"/>
      <c r="H15" s="244"/>
      <c r="I15" s="245" t="str">
        <f aca="false">IF(H15="","",MIN(H15*$C$7/5,$C$7))</f>
        <v/>
      </c>
      <c r="J15" s="243"/>
    </row>
    <row r="16" customFormat="false" ht="14.25" hidden="false" customHeight="false" outlineLevel="0" collapsed="false">
      <c r="A16" s="242" t="s">
        <v>803</v>
      </c>
      <c r="B16" s="243"/>
      <c r="C16" s="243"/>
      <c r="D16" s="243"/>
      <c r="E16" s="243"/>
      <c r="F16" s="243"/>
      <c r="G16" s="243"/>
      <c r="H16" s="244"/>
      <c r="I16" s="245" t="str">
        <f aca="false">IF(H16="","",MIN(H16*$C$7/5,$C$7))</f>
        <v/>
      </c>
      <c r="J16" s="243"/>
    </row>
    <row r="17" customFormat="false" ht="14.25" hidden="false" customHeight="false" outlineLevel="0" collapsed="false">
      <c r="A17" s="242" t="s">
        <v>804</v>
      </c>
      <c r="B17" s="243"/>
      <c r="C17" s="243"/>
      <c r="D17" s="243"/>
      <c r="E17" s="243"/>
      <c r="F17" s="243"/>
      <c r="G17" s="243"/>
      <c r="H17" s="244"/>
      <c r="I17" s="245" t="str">
        <f aca="false">IF(H17="","",MIN(H17*$C$7/5,$C$7))</f>
        <v/>
      </c>
      <c r="J17" s="243"/>
    </row>
    <row r="18" customFormat="false" ht="14.25" hidden="false" customHeight="false" outlineLevel="0" collapsed="false">
      <c r="A18" s="242" t="s">
        <v>805</v>
      </c>
      <c r="B18" s="243"/>
      <c r="C18" s="243"/>
      <c r="D18" s="243"/>
      <c r="E18" s="243"/>
      <c r="F18" s="243"/>
      <c r="G18" s="243"/>
      <c r="H18" s="244"/>
      <c r="I18" s="245" t="str">
        <f aca="false">IF(H18="","",MIN(H18*$C$7/5,$C$7))</f>
        <v/>
      </c>
      <c r="J18" s="243"/>
    </row>
    <row r="19" customFormat="false" ht="14.25" hidden="false" customHeight="false" outlineLevel="0" collapsed="false">
      <c r="A19" s="242" t="s">
        <v>806</v>
      </c>
      <c r="B19" s="243"/>
      <c r="C19" s="243"/>
      <c r="D19" s="243"/>
      <c r="E19" s="243"/>
      <c r="F19" s="243"/>
      <c r="G19" s="243"/>
      <c r="H19" s="244"/>
      <c r="I19" s="245" t="str">
        <f aca="false">IF(H19="","",MIN(H19*$C$7/5,$C$7))</f>
        <v/>
      </c>
      <c r="J19" s="243"/>
    </row>
    <row r="20" customFormat="false" ht="14.25" hidden="false" customHeight="false" outlineLevel="0" collapsed="false">
      <c r="A20" s="242" t="s">
        <v>807</v>
      </c>
      <c r="B20" s="243"/>
      <c r="C20" s="243"/>
      <c r="D20" s="243"/>
      <c r="E20" s="243"/>
      <c r="F20" s="243"/>
      <c r="G20" s="243"/>
      <c r="H20" s="244"/>
      <c r="I20" s="245" t="str">
        <f aca="false">IF(H20="","",MIN(H20*$C$7/5,$C$7))</f>
        <v/>
      </c>
      <c r="J20" s="243"/>
    </row>
    <row r="21" customFormat="false" ht="14.25" hidden="false" customHeight="false" outlineLevel="0" collapsed="false">
      <c r="A21" s="242" t="s">
        <v>808</v>
      </c>
      <c r="B21" s="243"/>
      <c r="C21" s="243"/>
      <c r="D21" s="243"/>
      <c r="E21" s="243"/>
      <c r="F21" s="243"/>
      <c r="G21" s="243"/>
      <c r="H21" s="244"/>
      <c r="I21" s="245" t="str">
        <f aca="false">IF(H21="","",MIN(H21*$C$7/5,$C$7))</f>
        <v/>
      </c>
      <c r="J21" s="243"/>
    </row>
    <row r="22" customFormat="false" ht="14.25" hidden="false" customHeight="false" outlineLevel="0" collapsed="false">
      <c r="A22" s="242" t="s">
        <v>809</v>
      </c>
      <c r="B22" s="243"/>
      <c r="C22" s="243"/>
      <c r="D22" s="243"/>
      <c r="E22" s="243"/>
      <c r="F22" s="243"/>
      <c r="G22" s="243"/>
      <c r="H22" s="244"/>
      <c r="I22" s="245" t="str">
        <f aca="false">IF(H22="","",MIN(H22*$C$7/5,$C$7))</f>
        <v/>
      </c>
      <c r="J22" s="243"/>
    </row>
    <row r="23" customFormat="false" ht="14.25" hidden="false" customHeight="false" outlineLevel="0" collapsed="false">
      <c r="A23" s="242" t="s">
        <v>810</v>
      </c>
      <c r="B23" s="243"/>
      <c r="C23" s="243"/>
      <c r="D23" s="243"/>
      <c r="E23" s="243"/>
      <c r="F23" s="243"/>
      <c r="G23" s="243"/>
      <c r="H23" s="244"/>
      <c r="I23" s="245" t="str">
        <f aca="false">IF(H23="","",MIN(H23*$C$7/5,$C$7))</f>
        <v/>
      </c>
      <c r="J23" s="243"/>
    </row>
    <row r="24" customFormat="false" ht="14.25" hidden="false" customHeight="false" outlineLevel="0" collapsed="false">
      <c r="A24" s="242" t="s">
        <v>811</v>
      </c>
      <c r="B24" s="243"/>
      <c r="C24" s="243"/>
      <c r="D24" s="243"/>
      <c r="E24" s="243"/>
      <c r="F24" s="243"/>
      <c r="G24" s="243"/>
      <c r="H24" s="244"/>
      <c r="I24" s="245" t="str">
        <f aca="false">IF(H24="","",MIN(H24*$C$7/5,$C$7))</f>
        <v/>
      </c>
      <c r="J24" s="243"/>
    </row>
    <row r="25" customFormat="false" ht="14.25" hidden="false" customHeight="false" outlineLevel="0" collapsed="false">
      <c r="A25" s="242" t="s">
        <v>812</v>
      </c>
      <c r="B25" s="243"/>
      <c r="C25" s="243"/>
      <c r="D25" s="243"/>
      <c r="E25" s="243"/>
      <c r="F25" s="243"/>
      <c r="G25" s="243"/>
      <c r="H25" s="244"/>
      <c r="I25" s="245" t="str">
        <f aca="false">IF(H25="","",MIN(H25*$C$7/5,$C$7))</f>
        <v/>
      </c>
      <c r="J25" s="243"/>
    </row>
    <row r="26" customFormat="false" ht="14.25" hidden="false" customHeight="false" outlineLevel="0" collapsed="false">
      <c r="A26" s="242" t="s">
        <v>813</v>
      </c>
      <c r="B26" s="243"/>
      <c r="C26" s="243"/>
      <c r="D26" s="243"/>
      <c r="E26" s="243"/>
      <c r="F26" s="243"/>
      <c r="G26" s="243"/>
      <c r="H26" s="244"/>
      <c r="I26" s="245" t="str">
        <f aca="false">IF(H26="","",MIN(H26*$C$7/5,$C$7))</f>
        <v/>
      </c>
      <c r="J26" s="243"/>
    </row>
    <row r="27" customFormat="false" ht="14.25" hidden="false" customHeight="false" outlineLevel="0" collapsed="false">
      <c r="A27" s="242" t="s">
        <v>814</v>
      </c>
      <c r="B27" s="243"/>
      <c r="C27" s="243"/>
      <c r="D27" s="243"/>
      <c r="E27" s="243"/>
      <c r="F27" s="243"/>
      <c r="G27" s="243"/>
      <c r="H27" s="244"/>
      <c r="I27" s="245" t="str">
        <f aca="false">IF(H27="","",MIN(H27*$C$7/5,$C$7))</f>
        <v/>
      </c>
      <c r="J27" s="243"/>
    </row>
    <row r="28" customFormat="false" ht="14.25" hidden="false" customHeight="false" outlineLevel="0" collapsed="false">
      <c r="A28" s="242" t="s">
        <v>815</v>
      </c>
      <c r="B28" s="243"/>
      <c r="C28" s="243"/>
      <c r="D28" s="243"/>
      <c r="E28" s="243"/>
      <c r="F28" s="243"/>
      <c r="G28" s="243"/>
      <c r="H28" s="244"/>
      <c r="I28" s="245" t="str">
        <f aca="false">IF(H28="","",MIN(H28*$C$7/5,$C$7))</f>
        <v/>
      </c>
      <c r="J28" s="243"/>
    </row>
    <row r="29" customFormat="false" ht="14.25" hidden="false" customHeight="false" outlineLevel="0" collapsed="false">
      <c r="A29" s="242" t="s">
        <v>816</v>
      </c>
      <c r="B29" s="243"/>
      <c r="C29" s="243"/>
      <c r="D29" s="243"/>
      <c r="E29" s="243"/>
      <c r="F29" s="243"/>
      <c r="G29" s="243"/>
      <c r="H29" s="244"/>
      <c r="I29" s="245" t="str">
        <f aca="false">IF(H29="","",MIN(H29*$C$7/5,$C$7))</f>
        <v/>
      </c>
      <c r="J29" s="243"/>
    </row>
    <row r="30" customFormat="false" ht="14.25" hidden="false" customHeight="false" outlineLevel="0" collapsed="false">
      <c r="A30" s="242" t="s">
        <v>817</v>
      </c>
      <c r="B30" s="243"/>
      <c r="C30" s="243"/>
      <c r="D30" s="243"/>
      <c r="E30" s="243"/>
      <c r="F30" s="243"/>
      <c r="G30" s="243"/>
      <c r="H30" s="244"/>
      <c r="I30" s="245" t="str">
        <f aca="false">IF(H30="","",MIN(H30*$C$7/5,$C$7))</f>
        <v/>
      </c>
      <c r="J30" s="243"/>
    </row>
    <row r="31" customFormat="false" ht="14.25" hidden="false" customHeight="false" outlineLevel="0" collapsed="false">
      <c r="A31" s="242" t="s">
        <v>818</v>
      </c>
      <c r="B31" s="243"/>
      <c r="C31" s="243"/>
      <c r="D31" s="243"/>
      <c r="E31" s="243"/>
      <c r="F31" s="243"/>
      <c r="G31" s="243"/>
      <c r="H31" s="244"/>
      <c r="I31" s="245" t="str">
        <f aca="false">IF(H31="","",MIN(H31*$C$7/5,$C$7))</f>
        <v/>
      </c>
      <c r="J31" s="243"/>
    </row>
    <row r="32" customFormat="false" ht="14.25" hidden="false" customHeight="false" outlineLevel="0" collapsed="false">
      <c r="A32" s="242" t="s">
        <v>819</v>
      </c>
      <c r="B32" s="243"/>
      <c r="C32" s="243"/>
      <c r="D32" s="243"/>
      <c r="E32" s="243"/>
      <c r="F32" s="243"/>
      <c r="G32" s="243"/>
      <c r="H32" s="244"/>
      <c r="I32" s="245" t="str">
        <f aca="false">IF(H32="","",MIN(H32*$C$7/5,$C$7))</f>
        <v/>
      </c>
      <c r="J32" s="243"/>
    </row>
    <row r="33" customFormat="false" ht="14.25" hidden="false" customHeight="false" outlineLevel="0" collapsed="false">
      <c r="A33" s="242" t="s">
        <v>17</v>
      </c>
      <c r="B33" s="243" t="s">
        <v>313</v>
      </c>
      <c r="C33" s="243" t="s">
        <v>1440</v>
      </c>
      <c r="D33" s="243" t="s">
        <v>1441</v>
      </c>
      <c r="E33" s="243"/>
      <c r="F33" s="243" t="s">
        <v>1442</v>
      </c>
      <c r="G33" s="243" t="s">
        <v>314</v>
      </c>
      <c r="H33" s="244"/>
      <c r="I33" s="245" t="str">
        <f aca="false">IF(H33="","",MIN(H33*$C$7/5,$C$7))</f>
        <v/>
      </c>
      <c r="J33" s="243" t="s">
        <v>1443</v>
      </c>
    </row>
    <row r="34" customFormat="false" ht="14.25" hidden="false" customHeight="false" outlineLevel="0" collapsed="false">
      <c r="A34" s="242" t="s">
        <v>820</v>
      </c>
      <c r="B34" s="243"/>
      <c r="C34" s="243"/>
      <c r="D34" s="243"/>
      <c r="E34" s="243"/>
      <c r="F34" s="243"/>
      <c r="G34" s="243"/>
      <c r="H34" s="244"/>
      <c r="I34" s="245" t="str">
        <f aca="false">IF(H34="","",MIN(H34*$C$7/5,$C$7))</f>
        <v/>
      </c>
      <c r="J34" s="243"/>
    </row>
    <row r="35" customFormat="false" ht="14.25" hidden="false" customHeight="false" outlineLevel="0" collapsed="false">
      <c r="A35" s="242" t="s">
        <v>821</v>
      </c>
      <c r="B35" s="243"/>
      <c r="C35" s="243"/>
      <c r="D35" s="243"/>
      <c r="E35" s="243"/>
      <c r="F35" s="243"/>
      <c r="G35" s="243"/>
      <c r="H35" s="244"/>
      <c r="I35" s="245" t="str">
        <f aca="false">IF(H35="","",MIN(H35*$C$7/5,$C$7))</f>
        <v/>
      </c>
      <c r="J35" s="243"/>
    </row>
    <row r="36" customFormat="false" ht="14.25" hidden="false" customHeight="false" outlineLevel="0" collapsed="false">
      <c r="A36" s="242" t="s">
        <v>822</v>
      </c>
      <c r="B36" s="243"/>
      <c r="C36" s="243"/>
      <c r="D36" s="243"/>
      <c r="E36" s="243"/>
      <c r="F36" s="243"/>
      <c r="G36" s="243"/>
      <c r="H36" s="244"/>
      <c r="I36" s="245" t="str">
        <f aca="false">IF(H36="","",MIN(H36*$C$7/5,$C$7))</f>
        <v/>
      </c>
      <c r="J36" s="243"/>
    </row>
    <row r="37" customFormat="false" ht="14.25" hidden="false" customHeight="false" outlineLevel="0" collapsed="false">
      <c r="A37" s="242" t="s">
        <v>823</v>
      </c>
      <c r="B37" s="243"/>
      <c r="C37" s="243"/>
      <c r="D37" s="243"/>
      <c r="E37" s="243"/>
      <c r="F37" s="243"/>
      <c r="G37" s="243"/>
      <c r="H37" s="244"/>
      <c r="I37" s="245" t="str">
        <f aca="false">IF(H37="","",MIN(H37*$C$7/5,$C$7))</f>
        <v/>
      </c>
      <c r="J37" s="243"/>
    </row>
    <row r="38" customFormat="false" ht="14.25" hidden="false" customHeight="false" outlineLevel="0" collapsed="false">
      <c r="A38" s="242" t="s">
        <v>824</v>
      </c>
      <c r="B38" s="243"/>
      <c r="C38" s="243"/>
      <c r="D38" s="243"/>
      <c r="E38" s="243"/>
      <c r="F38" s="243"/>
      <c r="G38" s="243"/>
      <c r="H38" s="244"/>
      <c r="I38" s="245" t="str">
        <f aca="false">IF(H38="","",MIN(H38*$C$7/5,$C$7))</f>
        <v/>
      </c>
      <c r="J38" s="243"/>
    </row>
    <row r="39" customFormat="false" ht="14.25" hidden="false" customHeight="false" outlineLevel="0" collapsed="false">
      <c r="A39" s="242" t="s">
        <v>825</v>
      </c>
      <c r="B39" s="243"/>
      <c r="C39" s="243"/>
      <c r="D39" s="243"/>
      <c r="E39" s="243"/>
      <c r="F39" s="243"/>
      <c r="G39" s="243"/>
      <c r="H39" s="244"/>
      <c r="I39" s="245" t="str">
        <f aca="false">IF(H39="","",MIN(H39*$C$7/5,$C$7))</f>
        <v/>
      </c>
      <c r="J39" s="243"/>
    </row>
    <row r="40" customFormat="false" ht="14.25" hidden="false" customHeight="false" outlineLevel="0" collapsed="false">
      <c r="A40" s="242" t="s">
        <v>826</v>
      </c>
      <c r="B40" s="243"/>
      <c r="C40" s="243"/>
      <c r="D40" s="243"/>
      <c r="E40" s="243"/>
      <c r="F40" s="243"/>
      <c r="G40" s="243"/>
      <c r="H40" s="244"/>
      <c r="I40" s="245" t="str">
        <f aca="false">IF(H40="","",MIN(H40*$C$7/5,$C$7))</f>
        <v/>
      </c>
      <c r="J40" s="243"/>
    </row>
    <row r="41" customFormat="false" ht="14.25" hidden="false" customHeight="false" outlineLevel="0" collapsed="false">
      <c r="A41" s="242" t="s">
        <v>827</v>
      </c>
      <c r="B41" s="243"/>
      <c r="C41" s="243"/>
      <c r="D41" s="243"/>
      <c r="E41" s="243"/>
      <c r="F41" s="243"/>
      <c r="G41" s="243"/>
      <c r="H41" s="244"/>
      <c r="I41" s="245" t="str">
        <f aca="false">IF(H41="","",MIN(H41*$C$7/5,$C$7))</f>
        <v/>
      </c>
      <c r="J41" s="243"/>
    </row>
  </sheetData>
  <dataValidations count="1">
    <dataValidation allowBlank="true" error="Please enter a valid value (see note above the column)." errorStyle="stop" errorTitle="Invalid entry" operator="greaterThanOrEqual" showDropDown="false" showErrorMessage="true" showInputMessage="false" sqref="H13:H41"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2026-09-22T20:15:05Z</dcterms:created>
  <dc:creator>openpyxl</dc:creator>
  <dc:description/>
  <dc:language>en-IN</dc:language>
  <cp:lastModifiedBy/>
  <dcterms:modified xsi:type="dcterms:W3CDTF">2026-10-13T06:03:37Z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0x010100D65FC0E5BB0F4546AE12BE9A8815662A</vt:lpwstr>
  </property>
  <property fmtid="{D5CDD505-2E9C-101B-9397-08002B2CF9AE}" pid="3" name="Department">
    <vt:lpwstr>167;#Advocacy_Research|085511b0-7144-4788-869f-9a4533588176</vt:lpwstr>
  </property>
  <property fmtid="{D5CDD505-2E9C-101B-9397-08002B2CF9AE}" pid="4" name="Document Type">
    <vt:lpwstr/>
  </property>
  <property fmtid="{D5CDD505-2E9C-101B-9397-08002B2CF9AE}" pid="5" name="Document_x0020_Type">
    <vt:lpwstr/>
  </property>
  <property fmtid="{D5CDD505-2E9C-101B-9397-08002B2CF9AE}" pid="6" name="MediaServiceImageTags">
    <vt:lpwstr/>
  </property>
  <property fmtid="{D5CDD505-2E9C-101B-9397-08002B2CF9AE}" pid="7" name="Program">
    <vt:lpwstr/>
  </property>
</Properties>
</file>