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25.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5.xml" ContentType="application/vnd.openxmlformats-officedocument.spreadsheetml.worksheet+xml"/>
  <Override PartName="/xl/worksheets/sheet28.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69.xml" ContentType="application/vnd.openxmlformats-officedocument.spreadsheetml.worksheet+xml"/>
  <Override PartName="/xl/worksheets/sheet8.xml" ContentType="application/vnd.openxmlformats-officedocument.spreadsheetml.worksheet+xml"/>
  <Override PartName="/xl/worksheets/sheet60.xml" ContentType="application/vnd.openxmlformats-officedocument.spreadsheetml.worksheet+xml"/>
  <Override PartName="/xl/worksheets/sheet13.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79.xml" ContentType="application/vnd.openxmlformats-officedocument.spreadsheetml.worksheet+xml"/>
  <Override PartName="/xl/worksheets/sheet2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21.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35.xml" ContentType="application/vnd.openxmlformats-officedocument.spreadsheetml.worksheet+xml"/>
  <Override PartName="/xl/worksheets/sheet29.xml" ContentType="application/vnd.openxmlformats-officedocument.spreadsheetml.worksheet+xml"/>
  <Override PartName="/xl/worksheets/sheet37.xml" ContentType="application/vnd.openxmlformats-officedocument.spreadsheetml.worksheet+xml"/>
  <Override PartName="/xl/worksheets/sheet24.xml" ContentType="application/vnd.openxmlformats-officedocument.spreadsheetml.worksheet+xml"/>
  <Override PartName="/xl/worksheets/sheet22.xml" ContentType="application/vnd.openxmlformats-officedocument.spreadsheetml.worksheet+xml"/>
  <Override PartName="/xl/worksheets/sheet2.xml" ContentType="application/vnd.openxmlformats-officedocument.spreadsheetml.worksheet+xml"/>
  <Override PartName="/xl/worksheets/sheet38.xml" ContentType="application/vnd.openxmlformats-officedocument.spreadsheetml.worksheet+xml"/>
  <Override PartName="/xl/worksheets/sheet36.xml" ContentType="application/vnd.openxmlformats-officedocument.spreadsheetml.worksheet+xml"/>
  <Override PartName="/xl/worksheets/sheet3.xml" ContentType="application/vnd.openxmlformats-officedocument.spreadsheetml.worksheet+xml"/>
  <Override PartName="/xl/worksheets/sheet77.xml" ContentType="application/vnd.openxmlformats-officedocument.spreadsheetml.worksheet+xml"/>
  <Override PartName="/xl/worksheets/sheet40.xml" ContentType="application/vnd.openxmlformats-officedocument.spreadsheetml.worksheet+xml"/>
  <Override PartName="/xl/worksheets/sheet42.xml" ContentType="application/vnd.openxmlformats-officedocument.spreadsheetml.worksheet+xml"/>
  <Override PartName="/xl/worksheets/sheet32.xml" ContentType="application/vnd.openxmlformats-officedocument.spreadsheetml.worksheet+xml"/>
  <Override PartName="/xl/worksheets/sheet46.xml" ContentType="application/vnd.openxmlformats-officedocument.spreadsheetml.worksheet+xml"/>
  <Override PartName="/xl/worksheets/sheet43.xml" ContentType="application/vnd.openxmlformats-officedocument.spreadsheetml.worksheet+xml"/>
  <Override PartName="/xl/worksheets/sheet63.xml" ContentType="application/vnd.openxmlformats-officedocument.spreadsheetml.worksheet+xml"/>
  <Override PartName="/xl/worksheets/sheet48.xml" ContentType="application/vnd.openxmlformats-officedocument.spreadsheetml.worksheet+xml"/>
  <Override PartName="/xl/worksheets/sheet50.xml" ContentType="application/vnd.openxmlformats-officedocument.spreadsheetml.worksheet+xml"/>
  <Override PartName="/xl/worksheets/sheet72.xml" ContentType="application/vnd.openxmlformats-officedocument.spreadsheetml.worksheet+xml"/>
  <Override PartName="/xl/worksheets/sheet65.xml" ContentType="application/vnd.openxmlformats-officedocument.spreadsheetml.worksheet+xml"/>
  <Override PartName="/xl/worksheets/sheet51.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19.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62.xml" ContentType="application/vnd.openxmlformats-officedocument.spreadsheetml.worksheet+xml"/>
  <Override PartName="/xl/worksheets/sheet5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78.xml" ContentType="application/vnd.openxmlformats-officedocument.spreadsheetml.worksheet+xml"/>
  <Override PartName="/xl/worksheets/sheet61.xml" ContentType="application/vnd.openxmlformats-officedocument.spreadsheetml.worksheet+xml"/>
  <Override PartName="/xl/worksheets/sheet71.xml" ContentType="application/vnd.openxmlformats-officedocument.spreadsheetml.worksheet+xml"/>
  <Override PartName="/xl/worksheets/sheet66.xml" ContentType="application/vnd.openxmlformats-officedocument.spreadsheetml.worksheet+xml"/>
  <Override PartName="/xl/worksheets/sheet53.xml" ContentType="application/vnd.openxmlformats-officedocument.spreadsheetml.worksheet+xml"/>
  <Override PartName="/xl/worksheets/sheet59.xml" ContentType="application/vnd.openxmlformats-officedocument.spreadsheetml.worksheet+xml"/>
  <Override PartName="/xl/worksheets/sheet9.xml" ContentType="application/vnd.openxmlformats-officedocument.spreadsheetml.worksheet+xml"/>
  <Override PartName="/xl/worksheets/sheet67.xml" ContentType="application/vnd.openxmlformats-officedocument.spreadsheetml.worksheet+xml"/>
  <Override PartName="/xl/worksheets/sheet70.xml" ContentType="application/vnd.openxmlformats-officedocument.spreadsheetml.worksheet+xml"/>
  <Override PartName="/xl/worksheets/sheet15.xml" ContentType="application/vnd.openxmlformats-officedocument.spreadsheetml.worksheet+xml"/>
  <Override PartName="/xl/worksheets/sheet39.xml" ContentType="application/vnd.openxmlformats-officedocument.spreadsheetml.worksheet+xml"/>
  <Override PartName="/xl/worksheets/sheet6.xml" ContentType="application/vnd.openxmlformats-officedocument.spreadsheetml.worksheet+xml"/>
  <Override PartName="/xl/worksheets/sheet41.xml" ContentType="application/vnd.openxmlformats-officedocument.spreadsheetml.worksheet+xml"/>
  <Override PartName="/xl/worksheets/sheet76.xml" ContentType="application/vnd.openxmlformats-officedocument.spreadsheetml.worksheet+xml"/>
  <Override PartName="/xl/worksheets/sheet12.xml" ContentType="application/vnd.openxmlformats-officedocument.spreadsheetml.worksheet+xml"/>
  <Override PartName="/xl/worksheets/sheet73.xml" ContentType="application/vnd.openxmlformats-officedocument.spreadsheetml.worksheet+xml"/>
  <Override PartName="/xl/worksheets/sheet68.xml" ContentType="application/vnd.openxmlformats-officedocument.spreadsheetml.worksheet+xml"/>
  <Override PartName="/xl/worksheets/sheet44.xml" ContentType="application/vnd.openxmlformats-officedocument.spreadsheetml.worksheet+xml"/>
  <Override PartName="/xl/worksheets/sheet74.xml" ContentType="application/vnd.openxmlformats-officedocument.spreadsheetml.worksheet+xml"/>
  <Override PartName="/xl/worksheets/sheet82.xml" ContentType="application/vnd.openxmlformats-officedocument.spreadsheetml.worksheet+xml"/>
  <Override PartName="/xl/worksheets/sheet75.xml" ContentType="application/vnd.openxmlformats-officedocument.spreadsheetml.worksheet+xml"/>
  <Override PartName="/xl/worksheets/sheet54.xml" ContentType="application/vnd.openxmlformats-officedocument.spreadsheetml.worksheet+xml"/>
  <Override PartName="/xl/worksheets/sheet64.xml" ContentType="application/vnd.openxmlformats-officedocument.spreadsheetml.worksheet+xml"/>
  <Override PartName="/xl/worksheets/sheet45.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47.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res (start here)" sheetId="1" state="visible" r:id="rId3"/>
    <sheet name="UPD Questions_290926 " sheetId="2" state="visible" r:id="rId4"/>
    <sheet name="UPD_SUMMARY_RAW" sheetId="3" state="visible" r:id="rId5"/>
    <sheet name="UPD Questions_240926  (2)" sheetId="4" state="hidden" r:id="rId6"/>
    <sheet name="Sheet1" sheetId="5" state="hidden" r:id="rId7"/>
    <sheet name="UPD Questions_230926 " sheetId="6" state="hidden" r:id="rId8"/>
    <sheet name="UPD1" sheetId="7" state="visible" r:id="rId9"/>
    <sheet name="UPD2" sheetId="8" state="visible" r:id="rId10"/>
    <sheet name="UPD3a" sheetId="9" state="visible" r:id="rId11"/>
    <sheet name="UPD3b" sheetId="10" state="visible" r:id="rId12"/>
    <sheet name="UPD3c" sheetId="11" state="visible" r:id="rId13"/>
    <sheet name="UPD4" sheetId="12" state="visible" r:id="rId14"/>
    <sheet name="UPD5a" sheetId="13" state="visible" r:id="rId15"/>
    <sheet name="UPD5b" sheetId="14" state="visible" r:id="rId16"/>
    <sheet name="UPD5c" sheetId="15" state="visible" r:id="rId17"/>
    <sheet name="UPD6" sheetId="16" state="visible" r:id="rId18"/>
    <sheet name="UPD7a" sheetId="17" state="visible" r:id="rId19"/>
    <sheet name="UPD7b" sheetId="18" state="visible" r:id="rId20"/>
    <sheet name="UPD8" sheetId="19" state="visible" r:id="rId21"/>
    <sheet name="UPD9" sheetId="20" state="visible" r:id="rId22"/>
    <sheet name="UPD10" sheetId="21" state="visible" r:id="rId23"/>
    <sheet name="UPD11a" sheetId="22" state="visible" r:id="rId24"/>
    <sheet name="UPD11b" sheetId="23" state="visible" r:id="rId25"/>
    <sheet name="UPD12" sheetId="24" state="visible" r:id="rId26"/>
    <sheet name="UPD13a" sheetId="25" state="visible" r:id="rId27"/>
    <sheet name="UPD13b" sheetId="26" state="visible" r:id="rId28"/>
    <sheet name="UPD13c" sheetId="27" state="visible" r:id="rId29"/>
    <sheet name="UPD13d" sheetId="28" state="visible" r:id="rId30"/>
    <sheet name="UPD13e" sheetId="29" state="visible" r:id="rId31"/>
    <sheet name="UPD13f" sheetId="30" state="visible" r:id="rId32"/>
    <sheet name="UPD14a" sheetId="31" state="visible" r:id="rId33"/>
    <sheet name="UPD14b" sheetId="32" state="visible" r:id="rId34"/>
    <sheet name="UPD14c" sheetId="33" state="visible" r:id="rId35"/>
    <sheet name="UPD15" sheetId="34" state="visible" r:id="rId36"/>
    <sheet name="UPD16a" sheetId="35" state="visible" r:id="rId37"/>
    <sheet name="UPD16b" sheetId="36" state="visible" r:id="rId38"/>
    <sheet name="UPD17" sheetId="37" state="visible" r:id="rId39"/>
    <sheet name="UPD18" sheetId="38" state="visible" r:id="rId40"/>
    <sheet name="UPD19a" sheetId="39" state="visible" r:id="rId41"/>
    <sheet name="UPD19b" sheetId="40" state="visible" r:id="rId42"/>
    <sheet name="UPD20a" sheetId="41" state="visible" r:id="rId43"/>
    <sheet name="UPD20b" sheetId="42" state="visible" r:id="rId44"/>
    <sheet name="UPD20c" sheetId="43" state="visible" r:id="rId45"/>
    <sheet name="UPD21" sheetId="44" state="visible" r:id="rId46"/>
    <sheet name="UPD22" sheetId="45" state="visible" r:id="rId47"/>
    <sheet name="UPD23a" sheetId="46" state="visible" r:id="rId48"/>
    <sheet name="UPD23b" sheetId="47" state="visible" r:id="rId49"/>
    <sheet name="UPD23c" sheetId="48" state="visible" r:id="rId50"/>
    <sheet name="UPD24a" sheetId="49" state="visible" r:id="rId51"/>
    <sheet name="UPD24b" sheetId="50" state="visible" r:id="rId52"/>
    <sheet name="UPD24c" sheetId="51" state="visible" r:id="rId53"/>
    <sheet name="UPD25a" sheetId="52" state="visible" r:id="rId54"/>
    <sheet name="UPD25b" sheetId="53" state="visible" r:id="rId55"/>
    <sheet name="UPD25c" sheetId="54" state="visible" r:id="rId56"/>
    <sheet name="UPD26a" sheetId="55" state="visible" r:id="rId57"/>
    <sheet name="UPD26b" sheetId="56" state="visible" r:id="rId58"/>
    <sheet name="UPD26c" sheetId="57" state="visible" r:id="rId59"/>
    <sheet name="UPD27a" sheetId="58" state="visible" r:id="rId60"/>
    <sheet name="UPD27b" sheetId="59" state="visible" r:id="rId61"/>
    <sheet name="UPD28a" sheetId="60" state="visible" r:id="rId62"/>
    <sheet name="UPD28b" sheetId="61" state="visible" r:id="rId63"/>
    <sheet name="UPD28c" sheetId="62" state="visible" r:id="rId64"/>
    <sheet name="UPD28d" sheetId="63" state="visible" r:id="rId65"/>
    <sheet name="UPD29a" sheetId="64" state="visible" r:id="rId66"/>
    <sheet name="UPD29b" sheetId="65" state="visible" r:id="rId67"/>
    <sheet name="UPD30a" sheetId="66" state="visible" r:id="rId68"/>
    <sheet name="UPD30b" sheetId="67" state="visible" r:id="rId69"/>
    <sheet name="UPD31" sheetId="68" state="visible" r:id="rId70"/>
    <sheet name="UPD32a" sheetId="69" state="visible" r:id="rId71"/>
    <sheet name="UPD32b" sheetId="70" state="visible" r:id="rId72"/>
    <sheet name="UPD32c" sheetId="71" state="visible" r:id="rId73"/>
    <sheet name="UPD32d" sheetId="72" state="visible" r:id="rId74"/>
    <sheet name="UPD32e" sheetId="73" state="visible" r:id="rId75"/>
    <sheet name="UPD33a" sheetId="74" state="visible" r:id="rId76"/>
    <sheet name="UPD33b" sheetId="75" state="visible" r:id="rId77"/>
    <sheet name="UPD34" sheetId="76" state="visible" r:id="rId78"/>
    <sheet name="UPD35" sheetId="77" state="visible" r:id="rId79"/>
    <sheet name="UPD36" sheetId="78" state="visible" r:id="rId80"/>
    <sheet name="UPD37" sheetId="79" state="visible" r:id="rId81"/>
    <sheet name="UPD38a" sheetId="80" state="visible" r:id="rId82"/>
    <sheet name="UPD38b" sheetId="81" state="visible" r:id="rId83"/>
    <sheet name="UPD39" sheetId="82" state="visible" r:id="rId84"/>
  </sheets>
  <definedNames>
    <definedName function="false" hidden="true" localSheetId="0" name="_xlnm._FilterDatabase" vbProcedure="false">'Scores (start here)'!$A$1:$R$153</definedName>
    <definedName function="false" hidden="true" localSheetId="3" name="_xlnm._FilterDatabase" vbProcedure="false">'UPD Questions_240926  (2)'!$A$1:$N$109</definedName>
    <definedName function="false" hidden="true" localSheetId="1" name="_xlnm._FilterDatabase" vbProcedure="false">'UPD Questions_290926 '!$A$1:$N$106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<sst xmlns="http://schemas.openxmlformats.org/spreadsheetml/2006/main" count="10488" uniqueCount="1862">
  <si>
    <t xml:space="preserve">Question</t>
  </si>
  <si>
    <t xml:space="preserve">Row</t>
  </si>
  <si>
    <t xml:space="preserve">Question text</t>
  </si>
  <si>
    <t xml:space="preserve">AI score</t>
  </si>
  <si>
    <t xml:space="preserve">Max score</t>
  </si>
  <si>
    <t xml:space="preserve">★ Your score</t>
  </si>
  <si>
    <t xml:space="preserve">★ Your comments</t>
  </si>
  <si>
    <t xml:space="preserve">Agrees with AI?</t>
  </si>
  <si>
    <t xml:space="preserve">Final score</t>
  </si>
  <si>
    <t xml:space="preserve">Score used</t>
  </si>
  <si>
    <t xml:space="preserve">Status</t>
  </si>
  <si>
    <t xml:space="preserve">Step 2 status</t>
  </si>
  <si>
    <t xml:space="preserve">Step 2 answer</t>
  </si>
  <si>
    <t xml:space="preserve">Citation</t>
  </si>
  <si>
    <t xml:space="preserve">Link</t>
  </si>
  <si>
    <t xml:space="preserve">Quote</t>
  </si>
  <si>
    <t xml:space="preserve">AI's reasoning</t>
  </si>
  <si>
    <t xml:space="preserve">Why left for a person</t>
  </si>
  <si>
    <t xml:space="preserve">UPD1</t>
  </si>
  <si>
    <t xml:space="preserve">Bangalore</t>
  </si>
  <si>
    <t xml:space="preserve">Is there a provision for a State Spatial Planning Board which is mandated with planning policies and reforms for the state?</t>
  </si>
  <si>
    <t xml:space="preserve">10</t>
  </si>
  <si>
    <t xml:space="preserve">Left for a person</t>
  </si>
  <si>
    <t xml:space="preserve">Partially Answered</t>
  </si>
  <si>
    <t xml:space="preserve">ANSWER: Partly answered. The Karnataka Town and Country Planning Act, 1961 does provide for a State Town-Planning Board. But section 4 only enables it: the State Government "may" set it up by notification. It is not a "shall" provision. Under the methodology, a "may" provision earns Part A only if the Board has actually been set up by a government notification or order, or this is shown on an official state department website. No such notification, order or website is in the Citation Sheet, so Part A cannot be decided. If Part A were met, Part B would be supported: s.4 gives the Board a stated mandate to advise the State on planning and development and to set principles and policies for the State as a whole. | EVIDENCE: (1) KTCP Act 1961, s.4 (ULG-02, PRS compilation, p.21-22): "The State Government may, by notification, constitute a State Town-Planning Board for the State ... for advising the State Government regarding planning and development and for determining principles and policies for achieving the balanced development of the State as a whole." (2) s.2(1a): "'Board' means the State Town Planning Board constituted under this Act". (3) The Act also says the State Government must consult "the Board" before amalgamating or sub-dividing planning areas (s.4A(3)), framing schemes for funds and assets (s.4A(5), s.4B(2)(ii)) and setting up Planning Authorities (s.4C(1)). These sections assume a Board exists, but they do not prove it was ever set up. (4) s.3 makes appointing a D</t>
  </si>
  <si>
    <t xml:space="preserve">The Karnataka Town and Country Planning Act, 1961 (Karnataka Act 11 of 1963), PRS compilation with amendments up to Act 38 of 2015 [ULG-02]</t>
  </si>
  <si>
    <t xml:space="preserve">https://prsindia.org/files/bills_acts/acts_states/karnataka/1963/1963KR11.pdf</t>
  </si>
  <si>
    <t xml:space="preserve">4. State Town-Planning Board. —The State Government may, by notification, constitute a State Town-Planning Board for the State with such members and in such manner as may be prescribed for advising the State Government regarding planning and development and for determining principles and policies for achieving the balanced development of the State as a whole.</t>
  </si>
  <si>
    <t xml:space="preserve">Part A is left blank because the evidence is not found, not because the Board is absent. Section 4 of the Karnataka Town and Country Planning (KTCP) Act 1961 (ULG-02, PRS compilation, amended up to Act 38 of 2015) only enables a State Town-Planning Board: the State Government "may, by notification, constitute" it. It is not a 'shall' provision. The methodology says a 'may' provision earns Part A only if a government notification or order, or an official department or planning-body website, shows the Board was actually set up. No such notification, order or web page is in the Citation Sheet. Other sections require consulting "the Board": s.4A(3) and (5), s.4B(2)(ii) and s.4C(1). Section 2(1a) defines the Board as "constituted under this Act". These sections assume a Board exists but do not prove it was set up, so they are not enough. I did not score NO, because there is no affirmative absence: the Board may well exist and the sheet simply lacks the proof.
What I checked: KTCP Act sections 2(1a), 3, 4, 4A-4H and 51 (ULG-02). Section 3 (the Director of Town Planning, a 'shall' duty) is an official, not a board. Section 51 Joint Town Planning Boards are local bodies, not a state-level body. I also checked the KTCP Amendment Bill 2025 (ULG-03). It creates a Commissionerate and Commissioner (new ss.2A-2B) and makes the Greater Bengaluru Authority the planning authority (new s.81-G). It leaves s.4 unchanged and does not say the Board exists. It is also a Bill: its commencement depends on a notification, which is not in the sheet. I found nothing relevant in the Greater Bengaluru Governance Act 2024 (ULG-01), the GBG Amendment Bill (ULG-05), the BBMP Act 2020 (ULG-19), the BDA Act (ULG-04), the BMLTA Act (ULG-18) or the BMRDA pages (ULG-10/20/21). A sheet-wide search for 'State Town Planning Board' returned only ULG-02.
Part B = YES. Section 4 explicitly gives the Board the job of "advising the State Government regarding planning and development and for determining principles and policies for achieving the balanced development of the State as a whole". That is a state-level planning-policy mandate. The word 'reforms' is not used, but under the scorer notes the Board's functions match the intent of the question. Per the column, Part B counts only if Part A = YES.
To confirm: find the notification or GO constituting the State Town-Planning Board under s.4, or the official department web page showing it. Also find the KTCP Rules that set its membership. If either is found, Part A = YES and the score would be 10/10. Also check the official law department or gazette text and any amendments after 2015 (the Act text here is a PRS republication, a secondary source).</t>
  </si>
  <si>
    <t xml:space="preserve">The citation didn't settle every input. "Part A: State planning board provided / constituted" left blank: the Citation Sheet doesn't decide it.</t>
  </si>
  <si>
    <t xml:space="preserve">Surat</t>
  </si>
  <si>
    <t xml:space="preserve">Insufficient Evidence</t>
  </si>
  <si>
    <t xml:space="preserve">Step 2 found no evidence: a source needs to be found and added. Step 2 found no evidence (Insufficient Evidence). Source needed: A readable consolidated text of the Gujarat Town Planning and Urban Development Act, 1976 (official Legislative and Parliamentary Affairs Department or UD&amp;UHD copy), checked section by section for any state town planning or spatial planning board. If the Act only says the government 'may' set one up, a Gujarat government notification or order constituting it, or the UD&amp;UHD / Chief Town Planner page describing it and its functions.</t>
  </si>
  <si>
    <t xml:space="preserve">UPD2</t>
  </si>
  <si>
    <t xml:space="preserve">Is there a provision for the establishment of Planning Authorities for notified new towns or special developments?</t>
  </si>
  <si>
    <t xml:space="preserve">Scored by AI</t>
  </si>
  <si>
    <t xml:space="preserve">Answered — Verified Source</t>
  </si>
  <si>
    <t xml:space="preserve">ANSWER: Yes. Karnataka's town planning law, the Karnataka Town and Country Planning (KTCP) Act, 1961, lets the State Government notify any area in the state as a Local Planning Area under s.4A(1). Once it has done so, s.4C(1) lets it set up a 'Planning Authority' for that area by gazette notification. The Act can also extend an existing planning area to cover an adjacent area. Every Planning Authority must then prepare a master plan for its area within two years of the area being declared (s.9(1)). The provision covers any newly notified area. The Act has no separate 'new town' or 'special development' authority clause. The power to set up an authority is discretionary ('may'), not a duty. | EVIDENCE: (1) KTCP Act 1961 (ULG-02, PRS text with amendments up to Act 38 of 2015), Chapter IA. s.4A(1): 'The State Government may by notification declare any area in the State to be a Local Planning Area for the purposes of this Act, or include within such local planning area, any area adjacent thereto'. s.4A(2): the notification must define the area's limits. s.4A(3): areas can be amalgamated or sub-divided after consulting the State Town-Planning Board. s.4C(1): 'As soon as may be, after declaration of a local planning area, the State Government in consultation with the Board, may, by notification in the official Gazette, constitute ... an authority to be called the "Planning Authority" of that area'. s.4C(2)-(3): the authority is a body corporate, with a Chairman and a Town Planning </t>
  </si>
  <si>
    <t xml:space="preserve">As soon as may be, after declaration of a local planning area, the State Government in consultation with the Board, may, by notification in the official Gazette, constitute for the purposes of the performance of the functions assigned to it, an authority to be called the “Planning Authority” of that area, having jurisdiction over that area.</t>
  </si>
  <si>
    <t xml:space="preserve">I checked the Step 2 answer against the text of ULG-02 and the source supports it. The source is the KTCP Act 1961, Karnataka Act 11 of 1963, in a PRS compilation with amendments up to Act 38 of 2015. Three provisions decide the answer. s.4A(1) says 'The State Government may by notification declare any area in the State to be a Local Planning Area for the purposes of this Act, or include within such local planning area, any area adjacent thereto'. s.4C(1) lets the State set up a 'Planning Authority' for that area by Gazette notification, as a body corporate with set membership (s.4C(2)-(3)). s.9(1), substituted by Act 1 of 2005, says 'Every planning authority shall ... not later than two years from the date of declaration of the local planning area, prepare and publish ... a master plan for such area'. Taken together, the Act provides for setting up a Planning Authority for any newly notified area. It also covers the methodology's other route: an adjacent area added to an existing planning area must be planned by that area's authority. On that basis the answer is YES. Points for a reviewer: (1) s.4C uses 'may', so setting up an authority is discretionary. The methodology only asks whether a provision exists, so this still counts as YES. (2) The Act has no clause naming 'new towns' or 'special developments'. The general power to notify a new Local Planning Area and set up its authority is what meets the test. (3) ULG-02 is a PRS compilation, a secondary source. Amendments after 2015 are not in the Citation Sheet. The 2025 KTCP Amendment Bill (ULG-03) is not shown to be enacted, so I did not rely on it. (4) The KTCP Rules and the Karnataka Urban Development Authorities Act 1987 are not in the Citation Sheet. They are not needed for a YES. Context only, not used for scoring: ULG-01 (GBA Act 2024) makes GBA the Planning Authority under the KTCP Act for the Greater Bengaluru Area, and ULG-04 (BDA Act s.67, which inserted KTCP s.81-B) does the same for BDA in the City of Bangalore.</t>
  </si>
  <si>
    <t xml:space="preserve">ANSWER: Very likely yes, but the provision itself cannot be read in the Citation Sheet. Three official sources say that the Gujarat Town Planning and Urban Development Act, 1976 (GTPUD Act) lets the State constitute Area Development Authorities (s.5) and Urban Development Authorities (s.22) for areas declared as development areas. The development plan for such an area is prepared by that authority or by an officer the State authorises. However, the Citation Sheet copy of the Act (ULG-01, PRS) has no readable text for the principal Act (pages 2-86 are blank or scanned). So the actual wording of ss.3, 5 and 22 (the trigger, 'shall' or 'may', and whether new towns or special developments are covered) cannot be quoted or checked. | EVIDENCE: (1) Comprehensive General Development Control Regulations 2017 (CGDCR), Table 1.1, a binding state notification of the Urban Development and Urban Housing Department (ULG-14, p.1-2, and the same in ULG-05). It groups bodies as category D1 'Urban Development Authority (Constituted under Section 22 of The Gujarat Town Planning and Urban Development Act, 1976)', which includes Surat Urban Development Authority (SUDA), and category D2 'Urban/ Area Development Authority (Constituted under Section 22 or 5...)'. Category D3 covers Area Development Authorities 'Constituted under Section 5' (e.g. Bhuj, Bhachau, Rapar, Anjar). (2) GTPUD Rules 1979 (ULG-04): r.3 has an 'authorized Officer' appointed under s.9(2) prepare the draft development plan 'withi</t>
  </si>
  <si>
    <t xml:space="preserve">Comprehensive General Development Control Regulations (CGDCR) 2017, Part I: Procedure Regulations (UD&amp;UHD, Government of Gujarat). This copy is hosted on the Rajkot Municipal Corporation website [ULG-14]</t>
  </si>
  <si>
    <t xml:space="preserve">https://rmc.gov.in/rmcwebsite/docs/All_TPS/TP_34/CGDCR_2017_PART_1_PROCEDURE_REGULATIONS.pdf</t>
  </si>
  <si>
    <t xml:space="preserve">D5(4) Area Development Authority (Constituted under Section 5 of The Gujarat Town Planning and Urban Development Act, 1976 (Special Project Areas) viz.:Alang Area Development Authority (AlADA)</t>
  </si>
  <si>
    <t xml:space="preserve">Why YES: Under the methodology, the question is whether the state town planning law (here the Gujarat Town Planning and Urban Development Act, 1976, the GTPUD Act) provides for setting up a planning authority for notified new areas or special developments. I checked the Step 2 answer against the sources and it holds up. The evidence is the CGDCR 2017 (ULG-14, the same text as ULG-05). This is a binding Gujarat UD&amp;UHD notification made under GTPUD Act s.116A/122. Its Table 1.1 records the state government's statement of the legal basis for bodies that already exist. Category D5 is Area Development Authorities 'Constituted under Section 5' of the GTPUD Act for 'Special Project Areas' (Alang, Ambaji, Shamlaji, Khambhaliya). This fits 'special developments' directly. Other categories are D1, D2 and D4 (Urban Development Authorities under s.22, including SUDA), D3 (Section 5 Area Development Authorities in Seismic Zone V) and D7A/D7B (authorities designated under s.6). 
Other sources point the same way. (1) The GTPUD (Amendment) Act 2017, appended in ULG-01 (p.90), amends ss.7(2) and 23(2) so that the State 'may' delegate 'the powers and functions of the Area Development Authorities' and 'of the Urban Development Authorities' to local authorities. This shows that both kinds of authority are created by the Act. (2) GTPUD Rules 1979 (ULG-04) rr.3 and 5 refer to the 'area declared as development area' and the 'area development authority or ... the authorized officer'. So where no authority is constituted, an authorised officer prepares the plan, which also fits the methodology's alternative test. (3) SUDA's DP 2035 report (ULG-06, p.13) says the 1976 Act 'made the provision for formation of Urban / Area Development Authorities' for growth beyond municipal limits.
What to check (why confidence is low): The operative text of GTPUD Act ss.3, 5 and 22 cannot be read in ULG-01 (PRS copy; the principal Act's pages are scanned or blank). So I could not quote the exact trigger ('development area' or 'urban development area' declared by notification) or the verb ('may' or 'shall'). The YES rests on a binding state regulation and on amendment and Rules text that refer to these sections, not on the sections themselves. A reviewer should get readable official text of ss.3, 5 and 22 to confirm. Also confirm that UPD2 scores YES = 10 and NO = 0; the methodology does not state bands. I did not check the Gujarat Special Investment Region Act or the GIDC Act 1962 because they are not in the Citation Sheet. They are not needed for YES, since the GTPUD Act provision is enough.</t>
  </si>
  <si>
    <t xml:space="preserve">UPD3a</t>
  </si>
  <si>
    <t xml:space="preserve">Does the Act require three levels of spatial plans for cities: Metropolitan/Regional, Municipal and Ward(s) /Local &gt;:&lt; Metropolitan/ Regional Plan</t>
  </si>
  <si>
    <t xml:space="preserve">10 &gt;:&lt; 3.33</t>
  </si>
  <si>
    <t xml:space="preserve">ANSWER: Yes. Karnataka law requires a metropolitan plan for Bengaluru. Clause (2)(c) of the Greater Bengaluru Governance Act, 2024 uses 'shall' twice. The State Government must set up a Bengaluru Metropolitan Planning Committee (BMPC), with membership as laid down in Article 243ZE of the Constitution, for an area at least as large as the Greater Bengaluru Area. A named planning body must then prepare a draft development plan for the Greater Bengaluru Area as a whole. On the regional side, the official BMRDA website lists preparing a structure plan for the Bangalore Metropolitan Region as one of the functions the Authority 'shall' have. Who prepares what: the metropolitan draft development plan is assigned to the 'Bengaluru Metropolitan Planning Authority' (this is the Act's wording, inside the BMPC clause). The Chief Commissioner of the Greater Bengaluru Authority (GBA) is the BMPC's Member Secretary, and the Chief Minister chairs it. BMRDA, a state body, prepares the regional structure plan. Separately, the GBA is the KTCP 'Planning Authority' for the Greater Bengaluru Area and must make its master plan. | EVIDENCE: (1) ULG-01, Greater Bengaluru Governance Act, 2024, chapter on GBA functions, sub-section (2) 'Planning Functions', clause (c) (the section number is probably 14; this is only a location note): 'The State Government shall constitute the Bengaluru Metropolitan Planning Committee (BMPC)... The Bengaluru Metropolitan Planning Authority shall prepare a draft developm</t>
  </si>
  <si>
    <t xml:space="preserve">The Greater Bengaluru Governance Act, 2024 (Karnataka Act No. 36 of 2025), as enacted, PRS copy of the Gazette text (DPAL notification dated 24.04.2025) [ULG-01]</t>
  </si>
  <si>
    <t xml:space="preserve">https://prsindia.org/files/bills_acts/acts_states/karnataka/2025/Act36of2025KA.pdf</t>
  </si>
  <si>
    <t xml:space="preserve">The Chief Commissioner of the Greater Bengaluru Authority shall be its Member Secretary. The Bengaluru Metropolitan Planning Authority shall prepare a draft development plan for the Greater Bengaluru Area as a whole</t>
  </si>
  <si>
    <t xml:space="preserve">Scored YES. Bengaluru is a metropolitan city. In the Greater Bengaluru Governance Act, 2024 (Karnataka Act 36 of 2025), the 'Planning Functions' sub-section, clause (2)(c), says the State Government 'shall constitute' the Bengaluru Metropolitan Planning Committee (BMPC). The BMPC covers an area 'including but not limited to the Greater Bengaluru Area', and its membership follows Article 243ZE. The same clause says a draft development plan for the Greater Bengaluru Area as a whole 'shall' be prepared. Both duties use 'shall', so this is a binding requirement for a metropolitan plan, not a 'may'. The methodology lets us count a metropolitan authority Act as evidence. Section 103(1)(b) of the same Act backs this up: Ward Development Plans must be drawn up 'in accordance with the plans prepared by the Bengaluru Metropolitan Planning Committee'.
On the regional side, the official BMRDA Functions page (ULG-10) says the Authority's functions 'shall be' to 'prepare a structure plan' for the Bangalore Metropolitan Region. This is only the website's restatement of the BMRDA Act, 1985. The Act's own text is not in the Citation Sheet, so it is supporting evidence only.
I checked the source against the Step 2 answer and it supports it. The YES rests on the GBA Act provision.
Caveats for the reviewer:
(1) Drafting mismatch: the clause sets up the 'BMPC' but gives the plan-preparing duty to the 'Bengaluru Metropolitan Planning Authority', a body the excerpt never creates. The duty is mandatory either way. A reviewer should check the official Gazette text, because ULG-01 is a PRS copy.
(2) The mandated plan covers the Greater Bengaluru Area 'as a whole', not the wider BMRDA region.
(3) I could not confirm the commencement date or the GBA era from the Sheet.
(4) ULG-02 (KTCP Act) was not fully searched for a regional-plan chapter. This does not affect a YES that already rests on a binding provision.
I scored only the Metropolitan/Regional sub-question (SQ, max 3.33).</t>
  </si>
  <si>
    <t xml:space="preserve">ANSWER: The sources show that Gujarat law provides for a metropolitan-level development plan covering Surat. The Gujarat Metropolitan Planning Committees Act, 2008 (MPC Act) plans for a draft development plan that the Metropolitan Planning Committee submits to the State Government. Once the State sanctions it, that plan binds every authority in the metropolitan area. However, the section of the MPC Act that actually requires ("shall") the Committee to prepare the plan is not in the Citation Sheet. The sheet only has the 2019 amending Act, which assumes such a plan will exist. So I cannot confirm that a metropolitan or regional plan is mandatory. | EVIDENCE: (1) Gujarat Act No. 14 of 2019 (Gujarat Local Authorities and Town Planning Laws (Amendment) Act, 2019), printed in the PRS copy of the Town Planning and Urban Development Act, 1976 (TPUD Act). Clause 9 adds new s.10A to the MPC Act: "The State Government may, on receipt of the draft development plan submitted by the Metropolitan Planning Committee... either (a) sanction or refuse to sanction... or (b) return the draft development plan to the metropolitan planning committee". s.10A(3): the final development plan "shall be binding on the concerned all authorities functioning in the metropolitan area". s.10C(3)(a): an officer appointed by the State shall "assist the metropolitan planning committee in the preparation of the development plan under the Act". These sections deal with sanctioning and assisting the plan. They do n</t>
  </si>
  <si>
    <t xml:space="preserve">The Gujarat Town Planning and Urban Development Act, 1976 (Act 27 of 1976), with amendments appended (PRS Legislative Research copy) [ULG-01]</t>
  </si>
  <si>
    <t xml:space="preserve">https://prsindia.org/files/bills_acts/acts_states/gujarat/1976/1976Gujarat27.pdf</t>
  </si>
  <si>
    <t xml:space="preserve">(a) assist the metropolitan planning committee in the preparation of the development plan under the Act;</t>
  </si>
  <si>
    <t xml:space="preserve">The Answer is left blank because the Citation Sheet does not show whether a metropolitan plan is mandatory. A 'NO' would need affirmative absence, and that is not possible here.
What the sources show: Gujarat law does provide for a metropolitan-level development plan. The 2019 amending Act (Guj. 14 of 2019) is appended to the PRS copy of the Gujarat Town Planning and Urban Development Act, 1976 (TPUD Act) in ULG-01. It inserts the following into the Gujarat Metropolitan Planning Committees Act, 2008 (MPC Act):
- s.10A(1): the State Government 'may', on receipt of the draft development plan submitted by the Metropolitan Planning Committee, sanction it, refuse it, or return it.
- s.10A(3): the final plan 'shall be binding on the concerned all authorities functioning in the metropolitan area'.
- s.10C(3)(a): a State-appointed officer shall assist the Committee 'in the preparation of the development plan under the Act'.
The same Act also amends the TPUD Act. It adds a proviso to s.9(1) and a new s.19A, which say the local development plan 'shall include' the spatial proposals of the sanctioned MPC plan.
These provisions only cover sanctioning (and s.10A(1) uses 'may'), the plan's binding effect, and help with preparing it. They assume a metropolitan plan will exist. None of them is itself a 'shall prepare' duty.
The provision that would decide this question is not in the Citation Sheet: the MPC Act, 2008's own section requiring the Committee to prepare a draft development plan for the metropolitan area.
What I checked:
- ULG-01: appended amendments only. The main TPUD Act text could not be found in what I could read, and searches turned up no regional plan provision.
- ULG-02: the 2019 Bill, with the same wording.
- ULG-03: the GPMC Act, 1949. It covers re-development plans only.
- ULG-04: the TPUD Rules, 1979. They cover the authority's development plan, not a metropolitan or regional plan.
- ULG-05/14/15/16: the CGDCR 2017.
- ULG-06: SUDA DP 2035. This is context only. It says the Surat Metropolitan area was declared under the MPC Act on 11/03/2016, and that as of 2017 the MPC development plan was 'not in place'.
- ULG-09: the NITI Aayog plan, which is non-statutory.
- Searches for 'regional plan' and 'Metropolitan Planning Committee shall prepare draft development plan' found no mandate.
Other caveats:
- The 2019 Act comes into force on a date the State notifies, and no commencement notification is in the sheet.
- ULG-01 is a secondary PRS republication.
ACTION: The research team should add the official text of the Gujarat MPC Act, 2008 (Guj. 18 of 2008) and check whether it says the MPC 'shall' prepare a draft development plan for the metropolitan area. If it does, and Surat's declared metropolitan area falls under it, 'YES' would likely be right. Otherwise this needs checking against the full TPUD Act text for any regional plan mandate.</t>
  </si>
  <si>
    <t xml:space="preserve">The citation didn't settle every input. "Answer" left blank: the Citation Sheet doesn't decide it.</t>
  </si>
  <si>
    <t xml:space="preserve">UPD3b</t>
  </si>
  <si>
    <t xml:space="preserve">Does the Act require three levels of spatial plans for cities: Metropolitan/Regional, Municipal and Ward(s) /Local &gt;:&lt; Municipal/city plan</t>
  </si>
  <si>
    <t xml:space="preserve">ANSWER: Yes. Section 9(1) of the Karnataka Town and Country Planning Act, 1961 says every planning authority 'shall' prepare and publish a master plan for its area. This is the city-level spatial plan. The deadline is two years from the date the local planning area is declared, and the plan goes to the State Government, through the Director, for provisional approval. If the authority misses the deadline, s.9(2) lets the State authorise the Director to prepare the plan and recover the cost from the authority. So the plan is required whoever the planning authority is. For Bengaluru, the Greater Bengaluru Governance Act, 2024 names the Greater Bengaluru Authority (GBA) as that planning authority for the Greater Bengaluru Area. Before that, KTCP s.81-B and BDA Act s.67 named the Bangalore Development Authority (BDA). The State approves the plan; the city body prepares it. | EVIDENCE: (1) KTCP Act (PRS compilation, amended up to Act 38 of 2015). s.2(3-b), inserted by Act 1 of 2005, defines a master plan as 'a plan for the development or re-development of the area within the jurisdiction of a planning authority'. s.9(1), substituted w.e.f. 14.2.2005: 'Every planning authority shall, as soon as may be, carry out a survey ... and shall, not later than two years from the date of declaration of the local planning area, prepare and publish ... a master plan'. s.9(2) is the Director fallback. s.10(1): the planning authority 'shall' declare its intention to prepare the plan and invite pub</t>
  </si>
  <si>
    <t xml:space="preserve">Every planning authority shall, as soon as may be, carry out a survey of the area within its jurisdiction and shall, not later than two years from the date of declaration of the local planning area, prepare and publish in the prescribed manner a master plan for such area and submit it to the State Government, through the Director, for provisional approval.</t>
  </si>
  <si>
    <t xml:space="preserve">UPD3b asks whether the state planning law requires a municipal/city plan. The answer is YES. Section 9(1) of the Karnataka Town and Country Planning Act, 1961 (PRS compilation, amended up to Act 38 of 2015; s.9 is in its 2005 substituted form) says every planning authority 'shall' prepare and publish a master plan for its area within two years of the local planning area being declared. Section 2(3-b), inserted by Act 1 of 2005, defines a master plan as 'a plan for the development or re-development of the area within the jurisdiction of a planning authority'. That is the city-level spatial plan.
Other provisions back this up:
- s.9(2): if the planning authority misses the deadline, the State may authorise the Director to prepare the plan and recover the cost from the authority.
- s.10(1): the authority 'shall' declare its intention to prepare the plan.
- s.12: 'The Master Plan shall consist of' set contents, such as land-use zoning and the street pattern.
- s.13-B: a master plan is also required for any area added to the authority's jurisdiction.
So the plan is mandatory ('shall'), not discretionary ('may'). Revision under s.13-D is discretionary unless the State directs it, but that does not affect whether a city plan must exist.
Applying this to Bengaluru: KTCP s.81-B (inserted by BDA Act s.67) names the Bangalore Development Authority (BDA) as the planning authority. The Greater Bengaluru Governance Act, 2024 (ULG-01, 'Planning Functions' provision) makes the Greater Bengaluru Authority (GBA) the 'Planning Authority' under KTCP for the Greater Bengaluru Area. I checked this against the Step 2 answer and the source text; I did not re-read ULG-01 here. The State approves the plan, but the planning authority must prepare it.
What a person should check:
- When the GBA designation took effect, and whether the KTCP Amendment Bill 2025 (ULG-03) was enacted. Neither changes the answer, because s.9 binds whichever body is the planning authority.
- The text relied on is a PRS compilation, not the Gazette copy.
- The planning authority (BDA, now GBA) is a development or metropolitan authority, not the municipal council itself. The methodology lets a development authority Act count as evidence, so this should not matter.
One point for scoring: the sheet gives a max of 3.33 but no rubric bands, so YES is treated as full marks for this sub-question (3 x 3.33 for UPD3). The metropolitan and ward levels belong to UPD3a and UPD3c and are not assessed here.</t>
  </si>
  <si>
    <t xml:space="preserve">ANSWER: Very likely yes, but this is not confirmed from the operative text of the Act. The Gujarat Town Planning and Urban Development Act, 1976 (GTPUD Act) and its 1979 Rules set up a mandatory development plan, which works as the city's master plan for Surat. Surat Urban Development Authority (SUDA) prepares it for an area that includes Surat Municipal Corporation (SMC), and the State Government sanctions it. SMC itself does not prepare or approve the city-wide plan. Several 'shall' provisions require this plan, but the wording of the mandate in Act s.9(1) (whether it says 'shall', and any deadline) and in s.21 (revision) is not in the Citation Sheet text I could read. | EVIDENCE: (1) GTPUD Rules, 1979 (ULG-04): r.3 says 'The authorized Officer shall prepare and submit the draft development plan after carrying out the survey of the area within the jurisdiction of the area development authority'. Under its heading, r.3 applies to the officer appointed under s.9(2). r.5(1) says the area development authority or authorized officer 'shall' publish the draft 'after a draft development plan is prepared and submitted to the State Government under section 9'. Form A refers to the authority having 'prepared and submitted a draft development plan... under section 9'. (2) GTPUD Act amendments appended to the PRS copy (ULG-01): Gujarat Act 14 of 2019 adds a proviso to s.9(1): 'the development plan shall include the proposals, with regard to spatial planning, of the development plan san</t>
  </si>
  <si>
    <t xml:space="preserve">Gujarat Bill No. 21 of 2019: The Gujarat Local Authorities and Town Planning Laws (Amendment) Bill, 2019 (Gujarat Government Gazette Extra No.21, Part V) [ULG-02]</t>
  </si>
  <si>
    <t xml:space="preserve">https://prsindia.org/files/bills_acts/bills_states/gujarat/2019/BillNo21of2019Gujarat.pdf</t>
  </si>
  <si>
    <t xml:space="preserve">Although all three Tp Act, Mpc Act &amp; Dpc Aet mandates toprepare the development plans</t>
  </si>
  <si>
    <t xml:space="preserve">I answered YES. This is the city/municipal-plan sub-question (SQ, max 3.33), which asks whether the T&amp;CP Act requires a city plan; the methodology lets the development authority Act count as evidence. In Gujarat the GTPUD Act, 1976 is both the T&amp;CP Act and the Urban Development Authority Act. Several instruments in the Citation Sheet, read together, support a mandatory development plan, which works as the city's master plan:
(1) ULG-02 is the State Government's official Gazette text of the 2019 Bill. Its Statement of Objects and Reasons says the appropriate authorities under the TP Act 'are required to prepare the draft development plan'. It also says 'all three Tp Act, Mpc Act &amp; Dpc Act mandates to prepare the development plans' (the quote above copies the source's OCR spelling exactly, e.g. 'Aet', 'toprepare').
(2) ULG-01 (PRS copy) shows the 2019 amendment Act adding a proviso to s.9(1): 'the development plan shall include the proposals, with regard to spatial planning...'. It also adds s.19A: 'the appropriate authority shall include in the development plan...'. Both treat the s.9 development plan as a required instrument.
(3) ULG-04, the GTPUD Rules 1979, r.3: 'The authorized Officer shall prepare and submit the draft development plan after carrying out the survey of the area within the jurisdiction of the area development authority'. r.5(1) refers to the draft 'prepared and submitted to the State Government under section 9'.
(4) ULG-06, SUDA's DP-2035 report, is a description of the law, not the law. It says the plan was submitted under s.9 and 'as per section 21 of the Act, the development plan is to be revised once in 10 years'. Plans came into force in 1986 and 2004, and the draft DP-2035 was submitted on 9-5-2016.
I checked the Step 2 answer against these sources. It is right that the operative text of s.9(1) and s.21 is not readable in ULG-01: only the appended amendment Acts came back again when I re-read it.
Things a person should check:
(a) The 'shall' and any deadline in s.9(1), and the 10-year revision duty in s.21, are confirmed only indirectly. The evidence is the Government's own Statement of Objects and Reasons, the 2019 proviso and the Rules, not the operative section text. A reviewer may want the consolidated Act text.
(b) The plan is prepared by the appropriate authority for its development area. For Surat that is SUDA, whose area includes the SMC area, and the State Government sanctions it. SMC (the ULG) does not itself prepare a city-wide plan. ULG-03, the GPMC Act s.284F, covers only re-development plans for declared areas. I scored YES because the methodology expressly allows evidence from the development authority Act; confirm the rubric accepts a SUDA plan covering the city as the 'municipal/city plan'.
Confidence is medium because the answer rests on 2+ instruments read together and on the PRS copy.</t>
  </si>
  <si>
    <t xml:space="preserve">UPD3c</t>
  </si>
  <si>
    <t xml:space="preserve">Does the Act require three levels of spatial plans for cities: Metropolitan/Regional, Municipal and Ward(s) /Local &gt;:&lt; Ward(s)/local plan</t>
  </si>
  <si>
    <t xml:space="preserve">ANSWER: The Karnataka Town and Country Planning Act text in the Citation Sheet does not appear to require a third tier of plan at zone, ward or local-area level. Under the Act as amended, the statutory plan is the Master Plan for the whole local planning area (ss.9-13D). The Act's only plan below that level is the Town Planning Scheme (s.26), which is optional ('may') and implements the Master Plan, so the methodology excludes it. The city government's own law, the Greater Bengaluru Governance Act 2024 (s.103(1)(b)), requires an annual Ward Development Plan. That plan is a ward budget and priority list of projects, not a spatial plan, and it sits in the municipal law, not the T&amp;CP Act. So it does not count as a zonal/ward/local area plan mandate. Because some layers of the law are missing from the sheet, this is recorded as 'not found', not as a confirmed absence. | EVIDENCE: (1) KTCP Act 1961, PRS compilation, 2005 amending Act s.4 (new s.9(1)): 'Every planning authority shall ... prepare and publish in the prescribed manner a master plan for such area'. s.2(3-b): Master Plan 'means a plan for the development or re-development of the area within the jurisdiction of a planning authority'. s.12(1): the Master Plan covers 'the entire planning area' and includes 'zoning of land use ... together with Zoning Regulations'. These are zoning regulations inside the Master Plan, not separate zonal plans. The Outline Development Plan and Comprehensive Development Plan tiers (ss.19-23, 2</t>
  </si>
  <si>
    <t xml:space="preserve">I have left 'Answer' blank because the evidence shows no ward or local plan in the Act text, but it does not prove one is absent from every layer of the law. A NO would score 0, and that needs every relevant instrument to have been read. The KTCP Rules, the official gazette copy and any amendments made between 2020 and 2025 are not in the Citation Sheet. My provisional finding is NO. If a reviewer confirms those missing layers add nothing, the Answer should be NO.
What I checked in ULG-02 (the KTCP Act 1961, a PRS secondary copy with amending Acts up to 2015 and the 2020 amendment appended):
(1) The list of sections and Chapter III. Act 1 of 2005 replaced the Outline Development Plan and the Comprehensive Development Plan with a single Master Plan for 'such area', meaning the whole local planning area (s.9(1), which says 'shall'). That Act also deleted ss.19-23 and 25.
(2) s.12(1). The Master Plan covers 'the entire planning area' and includes 'zoning of land use ... together with Zoning Regulations'. These are land-use zones inside the one plan, not a separate zonal plan level.
(3) s.13-A. The Interim Master Plan is a stop-gap Master Plan, not a lower level of plan.
(4) s.26(1). A Planning Authority 'may' make town planning schemes to carry out the Master Plan. This is optional, and the methodology excludes TPSs anyway.
(5) The Act provides for no zonal, ward or local area plan. Nothing in the metropolitan, municipal and ward set of three levels appears as a requirement.
I also read ULG-03, the KTCP and certain other laws (Amendment) Bill 2025. It only makes the GBA the planning authority for the Greater Bengaluru Area, sets up a Commissionerate and adds s.81-G. It adds no plan level.
The Ward Development Plans in the city government's own laws (GBA Act 2024 s.103(1)(b), ULG-01; BBMP Act 2020 s.2(65), ULG-19) are in municipal law, not the T&amp;CP Act. Under the GBA Act it is an annual priority list for allocating funds, so it does not count as a T&amp;CP ward plan.
Still missing: the KTCP plan-preparation Rules, an official or current consolidated text of the Act (only the PRS copy is in the sheet), and any amendments between 2020 and 2025.
Scorers' note: no zonal, ward or local-area plan requirement was found in the KTCP Act. The only plan below the Master Plan is the optional Town Planning Scheme, which is excluded.</t>
  </si>
  <si>
    <t xml:space="preserve">ANSWER: I can't tell from the Citation Sheet whether Gujarat's planning law requires a zone- or ward-level plan. The Gujarat Town Planning and Urban Development (GTPUD) Act, 1976, as amended in 2017, does create a 'Local Area Plan' (LAP). It adds LAPs to the functions of area and urban development authorities, and the State Government sanctions them under section 76A. But the operative text of s.76A(1)-(6) is not in the Sheet. That is the part that would say who must prepare an LAP, for which areas, and whether it is 'shall' or 'may'. Nothing seen ties LAPs to zones or wards. The mandate type found is a 'Local Area Plan' (an area/zone-specific plan), not a ward plan. | EVIDENCE: (1) GTPUD Act, 2017 amendment (Gazette Ex. 13-04-2017, in ULG-01 p.90): in s.7(1)(ii) for area development authorities and s.23(1)(ii) for urban development authorities (SUDA is constituted under this Act), the words "or Local Area Plan" are inserted after "town planning schemes". The original wording of those clauses was not seen, so I can't tell whether this is a duty or a power. The same amendment adds s.76A(7)-(8), p.90-91: "Where the State Government sanctions the Local Area Plan under clause (a) of sub-section (6), it shall state in the notification" where the plan can be inspected and when its liabilities come into force; (8) covers eviction and enforcement. These show state sanction, but not a duty to prepare. (2) Gujarat Local Authorities and Town Planning Laws (Amendment) Act, 2019 (ULG-01 p</t>
  </si>
  <si>
    <t xml:space="preserve">in sub-section (1), in clause (ii), after the words "town planning schemes", the words "or Local Area Plan" shall be inserted;</t>
  </si>
  <si>
    <t xml:space="preserve">I left the Answer blank because the Citation Sheet does not contain the provision that would decide it.
1) What the evidence shows. The 2017 amendment to the GTPUD Act (ULG-01, pp. 90-91) adds the words 'or Local Area Plan' after 'town planning schemes' in s.7(1)(ii) and s.23(1)(ii). Those clauses list the functions of area and urban development authorities. The amendment also adds s.76A(7)-(8). Under these, when the State Government sanctions a Local Area Plan (LAP) under s.76A(6)(a), it must say where the plan can be inspected and when its liabilities take effect; (8) covers eviction and enforcement. So the T&amp;CP Act does recognise a sub-development-plan instrument, the LAP.
2) What is missing. The text of s.76A(1)-(6) is not in the Sheet. That is the part that would say who prepares an LAP, for which areas, and whether preparation is mandatory ('shall') or optional ('may'). I searched ULG-01 three times for it, and also searched the whole Sheet, and could not find it. The original wording of s.7(1)(ii) and s.23(1)(ii) is not available either, so I cannot tell whether the authority must do these things or only may.
3) Why not YES. Being listed as a function, plus State sanction under s.76A(6)-(7), shows that LAPs exist. It does not show a mandate for a third tier of plan at zone or ward level. Nothing I saw ties LAPs to zones or wards, or requires them across the whole city.
4) Why not NO. A NO needs affirmative absence, and the decisive section is unread.
5) Other sources checked:
- 2019 Amendment Act (ULG-01, pp. 93-98; ULG-02 is its Bill): links the development plan to the Metropolitan and District Planning Committee plans (s.19A; s.10A-10C of those Acts). These are upper tiers only.
- GTPUD Rules, 1979 (ULG-04): written before LAPs existed. No LAP or zonal-plan rule seen.
- CGDCR 2017 (ULG-05/14), reg. 2.66: defines an LAP as 'a plan prepared for a specific area or a zone by the competent authority'. The LAP mandates for the CBD and transit-oriented zones apply to AUDA only. In any case these are regulations, not the Act.
- Gujarat Provincial Municipal Corporations Act s.284E-F (ULG-03): re-development plans, which the Corporation may make at its discretion. Not a third tier.
- SUDA Development Plan 2035 (ULG-06): implemented through town planning (TP) schemes, which the methodology excludes.
Plan type to note in comments: Local Area Plan (an area- or zone-specific plan prepared by the appropriate authority and sanctioned by the State under GTPUD s.76A). It is not a ward plan.
For the reviewer:
(a) Get GTPUD s.76A(1)-(6), inserted by a pre-2017 amendment, from the Gujarat Legislative and Parliamentary Affairs Department or the Urban Development and Urban Housing Department (UD&amp;UHD), to confirm 'shall' versus 'may' and the area coverage.
(b) Decide whether an LAP sanctioned by the State for a specific area counts as a 'zone/ward level' third tier under UPD3c.
Version relied on: GTPUD Act as amended up to Gujarat Act 14 of 2019 (PRS copy). The Step 2 answer's description of the evidence matches the source.</t>
  </si>
  <si>
    <t xml:space="preserve">UPD4</t>
  </si>
  <si>
    <t xml:space="preserve">Is the planning boundary of the municipal/city plan aligned with political and administrative boundaries?</t>
  </si>
  <si>
    <t xml:space="preserve">ANSWER: The Citation Sheet does not settle this. By law, the planning area should match the city government's area. Section 14(2)(a) of the Greater Bengaluru Governance Act makes the Greater Bengaluru Authority (GBA) the Planning Authority under the Karnataka Town and Country Planning (KTCP) Act for 'the areas comprising of the Greater Bengaluru Area'. Section 15(1) makes GBA responsible for the master plan of that same area. That area is also the GBA's own area and contains its City Corporations (s.4, s.5). Read together, these point to a planning area coterminous with the city government. But none of the documents the question says decide it are in the Sheet: no master plan in force for the GBA area, no notification declaring its planning area, no plan map, and no s.3 notification fixing the Greater Bengaluru Area. The only plan described is the Bangalore Development Authority's (BDA) Revised Master Plan 2015 (RMP 2015), and only in a secondary source. That plan covers the Bengaluru Metropolitan Area (BMA): BBMP plus 251 villages, about 1,294 sq km, which is larger than the BBMP area. Nothing in the Sheet shows whether those 251 villages are included whole or split. | EVIDENCE: (1) GBA Act 2024 (Karnataka Act 36 of 2025), city government's law: s.14(2)(a), GBA 'shall be the Planning Authority ... for the areas comprising of the Greater Bengaluru Area'. s.14(2)(d): development regulations 'shall be applied uniformly across the Greater Bengaluru Area'. s.15(1): GBA 'shall be </t>
  </si>
  <si>
    <t xml:space="preserve">(a) the Greater Bengaluru Authority shall be the “Planning Authority” as defined under the Karnataka Town and Country Planning Act, 1961, for the areas comprising of the Greater Bengaluru Area;</t>
  </si>
  <si>
    <t xml:space="preserve">I left the answer blank because the documents that decide this question are not in the Citation Sheet. The method says the primary source is the notification or text defining the planning area, plus the plan map. The Sheet has no master plan in force for Bengaluru, no notification declaring a planning area and no plan map. It also lacks the s.3 notification declaring the Greater Bengaluru Area and the s.7(3) final notification setting City Corporation boundaries. I checked the Step 2 answer against the sources and agree that it is only partly answered.
What the law says: GBA Act 2024 s.14(2)(a) makes GBA the Planning Authority under the KTCP Act 'for the areas comprising of the Greater Bengaluru Area'. It applies 'notwithstanding anything contained in any other law'. s.15(1) makes GBA responsible for the master plan for that area, and that same area holds the City Corporations (s.4, s.5). Read together, the law points to a planning area that matches the city government's area. That would score YES (10). But this is the legal design only. It does not show where the boundary of the plan in force actually runs.
Competing arrangement:
- KTCP Act (ULG-02, PRS compilation to 2015) s.2(7)(a)(i) and s.81-B still make BDA the Planning Authority for the City of Bangalore. The same wording appears in BDA Act s.67 (ULG-04), whose 2026 amendment (Act 42 of 2026) changes only s.10 and s.38D, not planning jurisdiction.
- The KTCP amendment Bill 2025 (ULG-03) would split planning between GBA (the Greater Bengaluru Area) and BDA (the BMA excluding the Greater Bengaluru Area). The Sheet does not show it was enacted or brought into force.
- BCAP 2023 (ULG-16) is a secondary, BBMP-era source. It describes the BDA plan area (the BMA) as BBMP plus 251 villages, about 1,294 sq km. If BDA's RMP 2015 is still 'the city plan', the test is whether those 251 villages are included whole. The Sheet does not show the village list or a map.
- GBA Act s.7(1) and the s.7(4) proviso allow parts of local bodies to be included. That concerns the outer boundary of the Greater Bengaluru Area, not proof that the plan boundary splits a unit.
Why not NO: a NO (score 0) needs affirmative evidence that the boundary splits a unit, and there is none. Absence cannot be confirmed either, because the plan and notification are not in the Sheet.
What I checked: ULG-01 (s.3, s.4, s.5, s.7, s.14(2), s.15, s.26), ULG-02, ULG-03, ULG-04 (s.67 and Act 42 of 2026), ULG-16 and ULG-20, plus a search of the whole Sheet for the local planning area, master plan and villages.
A person needs to:
(a) decide which plan is the operative municipal/city plan: BDA's RMP 2015 or a GBA master plan;
(b) get the planning-area notification and map, or the RMP 2015 approval notification with its village list, and check the 251 villages are whole;
(c) get the s.3 Greater Bengaluru Area notification;
(d) confirm whether the KTCP amendment of 2025 has been enacted.</t>
  </si>
  <si>
    <t xml:space="preserve">Human Verification Required</t>
  </si>
  <si>
    <t xml:space="preserve">ANSWER: Probably not aligned, but this can't be scored on current evidence. The city plan for Surat is the Development Plan 2035 of the Surat Urban Development Authority (SUDA), a state development authority. SMC is the Surat Municipal Corporation. SUDA's February 2017 plan report defines the planning area in two ways that split existing units. First, it covers 'Surat Municipal Corporation (except Moje: Khajod)': Khajod village was moved to a separate Khajod Urban Development Authority, so part of the city government's own area sits outside the plan. Second, it includes 3 villages only in part (Velanja in Kamrej taluka; Sandhiyer and Paria in Olpad taluka). Both match the methodology's Score 0 condition ('planning boundary bisects the ULG or other administrative/local-government units'). However, the final plan was only sanctioned on 08.10.2020. The planning-area definition in that sanctioned plan, and the current SMC boundary, are not in the Citation Sheet. So the 2017 position can't be confirmed as the current one. | EVIDENCE: (1) ULG-06, SUDA DP 2035 report, 22.02.2017, ch.21.1 'Exclusion of villages' (p.216-217 of the report). The state used GTPUD Act s.22(2A) to split off SUDA's area and form Khajod UDA (notification GH/V/144 of 2016, 19.07.2016): 'Thus, Khajod village of Chorayasi Taluks was deleted from the jurisdiction of SUDA.' Notification GH/V/199 of 2016 (24.10.2016) took out 54 villages, '50 wholly and 4 partly'. Asnabad was corrected back in, leaving '53 village</t>
  </si>
  <si>
    <t xml:space="preserve">Step 2 found no evidence: a source needs to be found and added. Step 2 found no evidence (Human Verification Required). Source needed: The Gujarat UD&amp;UHD notification sanctioning SUDA's Final Development Plan (GH/V/157 of 2020, dated 08.10.2020), with its schedule and plan map of the development area. The current s.22 notifications defining SUDA's development area, including whether Khajod is still outside SUDA and whether Velanja, Sandhiyer and Paria are still only partly included. The current SMC boundary notification.</t>
  </si>
  <si>
    <t xml:space="preserve">UPD5a</t>
  </si>
  <si>
    <t xml:space="preserve">Is there a clear decentralised procedure for approvals of each level of plans? &gt;:&lt; Does the law mandate that the metropolitan/regional plan be approved by the state government?</t>
  </si>
  <si>
    <t xml:space="preserve">ANSWER: Not determined from the Citation Sheet. The two metropolitan-planning provisions in the sheet do not say the state must approve the metropolitan plan. Under both, the Metropolitan Planning Committee prepares a draft development plan, and the older law says it is forwarded to the State Government. Approval is not mentioned. The Bengaluru Metropolitan Region Development Authority (BMRDA) Act, 1985 is the regional-planning law for the Revised Structure Plan 2031 (RSP 2031), but its text is not in the sheet. So whether state approval of the regional plan is mandatory cannot be confirmed or ruled out. | EVIDENCE: (1) Greater Bengaluru Governance (GBA) Act 2024 (Kar. Act 36 of 2025), the planning-functions sub-section (2)(c), within the section just before s.15: 'The State Government shall constitute the Bengaluru Metropolitan Planning Committee (BMPC)... The Bengaluru Metropolitan Planning Authority shall prepare a draft development plan for the Greater Bengaluru Area as a whole and discharge responsibilities as enshrined in Article 243ZE'. There is no state approval step. (2) BBMP Act 2020 s.367(6)-(8): the Metropolitan Planning Committee (MPC) 'shall prepare a draft development plan for the Bengaluru metropolitan area as a whole'; s.367(8) 'The Chairman of the Metropolitan Planning Committee shall forward the development plan, as recommended by such Committee, to the State Government'. The verb is 'forward', not 'approve'. The BBMP Act may have been superseded by the GBA</t>
  </si>
  <si>
    <t xml:space="preserve">The Bruhat Bengaluru Mahanagara Palike Act, 2020 (Karnataka Act No. 53 of 2020), PRS republished text with Amendments 1, 2 and 29 of 2022 [ULG-19]</t>
  </si>
  <si>
    <t xml:space="preserve">https://prsindia.org/files/bills_acts/acts_states/karnataka/2020/Act%2053%20of%202020%20Karnataka.pdf</t>
  </si>
  <si>
    <t xml:space="preserve">(8) The Chairman of the Metropolitan Planning Committee shall forward the development plan, as recommended by such Committee, to the State Government.</t>
  </si>
  <si>
    <t xml:space="preserve">I left the Answer blank: the evidence is not found, not absent. The law that would decide this, the Bangalore Metropolitan Region Development Authority (BMRDA) Act 1985 and any rules made under it, is not in the Citation Sheet. That is the regional-planning law for the Structure Plan (Revised Structure Plan 2031). Without it I cannot answer YES, and I cannot show affirmative absence for a NO.
What I checked:
(1) ULG-19, BBMP Act 2020 s.367. Under s.367(6) the Metropolitan Planning Committee 'shall prepare a draft development plan'. Under s.367(8) the Chairman 'shall forward' the plan to the State Government. The verb is 'forward'. No approval by the state is stated, and this section may have been superseded by the GBA Act.
(2) ULG-01, GBA Act 2024 (Kar. Act 36 of 2025), planning-functions clause (2)(c). It sets up the Bengaluru Metropolitan Planning Committee (BMPC), chaired by the Chief Minister, under Article 243ZE. The Committee prepares a draft development plan for the Greater Bengaluru Area. The text I read has no state-approval step.
(3) ULG-02, KTCP Act 1961 (PRS text, amended to 2015). Sections 13 and 13-B require state approval of a Master Plan prepared by a local Planning Authority. That is a local plan, not a metropolitan or regional plan. My searches found no regional-plan approval provision in this Act. The Act was not read in full.
(4) ULG-03, KTCP Amendment Bill 2025. This is a bill, not shown to be enacted. It changes which body is the planning authority (GBA or BDA) but has no regional-plan approval provision.
(5) ULG-10, BMRDA Functions page. It lists the function 'to prepare a structure plan' and says nothing about approval.
(6) ULG-18, BMLTA Act. Its state approval in s.21(4) covers only the Comprehensive Mobility Plan, which is not the metropolitan/regional plan.
The Step 2 'Partially Answered / not determined' result holds up against the sources.
For the reviewer:
(a) Add the BMRDA Act 1985 sections on preparing and approving the Structure Plan, from an official Karnataka source, and any BMRDA rules.
(b) Confirm which instrument counts as Bengaluru's 'metropolitan/regional plan'.
(c) Check whether rules prescribe a BMPC procedure that includes state approval.</t>
  </si>
  <si>
    <t xml:space="preserve">ANSWER: Probably yes, but this is not confirmed. The amended Gujarat Metropolitan Planning Committees Act, 2008 (MPC Act) makes the State Government the only body that can sanction the metropolitan development plan. It can sanction it, refuse it or send it back for changes. The plan becomes the 'final development plan', binding on all authorities in the metropolitan area, only once the State sanctions it. However, the operative verb is 'may', not 'shall'. Also, nothing in the Citation Sheet shows that the 2019 amendment inserting this provision has come into force. | EVIDENCE: (1) MPC Act s.10A, inserted by clause 9 of the Gujarat Local Authorities and Town Planning Laws (Amendment) Act, 2019 (Gazette Ex. 19-08-2019, PRS copy ULG-01 p.97). s.10A(1): '(a) sanction or refuse to sanction the draft development plan ... or (b) return the draft development plan to the metropolitan planning committee or the authorized officer ... for modifying the plan as it may direct'. s.10A(2): 'The sanction accorded under clause (a) of sub section (1), shall be called the final development plan', which comes into force on the date the State notifies. s.10A(3): binding on 'all authorities functioning in the metropolitan area'. The opening words of MPC s.10A(1) are cut off in both copies. The Bill's Memorandum Regarding Delegated Legislation (ULG-02 p.9, clause 9) confirms that it 'empowers the State Government, by notification in the Official Gazette, either sanction or refuse to sanction the dra</t>
  </si>
  <si>
    <t xml:space="preserve">(a) sanction or refuse to sanction the draft development plan so received for the whole of the area covered by the plan or separately for any part thereof, either without modification, or subject to such modification, as it may consider proper; or (b) return the draft development plan to the metropolitan planning committee or the authorized officer, as the case may be, for modifying the plan as it may direct.</t>
  </si>
  <si>
    <t xml:space="preserve">Answer: YES, with low confidence and points for a person to check.
(1) The metropolitan plan. MPC Act s.10A(1), inserted by Gujarat Act 14 of 2019, says: 'The State Government may, on receipt of the draft development plan submitted by the Metropolitan Planning Committee, by notification in the Official Gazette, either' (a) sanction or refuse to sanction it, or (b) return it for changes. The OCR of this opening line in ULG-01 p.97 is garbled but readable. Under s.10A(2), only the plan the State sanctions becomes the 'final development plan', and it comes into force on a date the State notifies. Under s.10A(3), only that plan binds all authorities in the metropolitan area. Variations also need State sanction (s.10B), and the State's decision on disputes is final (s.10C(2)). The word 'may' sets the State's choice of outcome: sanction, refuse or return. It does not make State approval optional. No other body can sanction the plan, and no plan becomes final without the State. So I read this as State approval being required by law. A person should confirm this reading of 'may'.
(2) A second route via the development authority plan (GTPUD Act). If Surat's regional plan is taken to be the SUDA development plan, State approval is again required:
- GTPUD Rules 1979 r.3 (ULG-04): the officer 'shall submit the same to the State Government through the Chief Town Planner'.
- Rule 5 refers to the plan 'submitted to the State Government under section 9'.
- Gazette Ex. No.124 of 24-03-2025 (ULG-17) shows the SUDA Final Development Plan 'was sanctioned under Government Notification ... dated 08.10.2020', and its variation is made by the State under GTPUD s.19(1).
(3) Points to check:
- (a) s.1(2) of the 2019 amending Act says it comes into force on a date the State notifies. No commencement notification is in the Citation Sheet, so it is not proven that MPC s.10A is in force. The GTPUD route in point 2 does not depend on this.
- (b) The MPC amendment text exists only as a PRS republication (ULG-01, ULG-02), which is a secondary source.
- (c) The GTPUD Act's own sanctioning section (s.17) and the original 2008 MPC Act text are not in the Citation Sheet.
- (d) The Surat Metropolitan Area was declared under the MPC Act on 11/03/2016 (ULG-06). A person should confirm whether the MPC plan or the SUDA plan is the 'metropolitan/regional plan' for Surat.
(4) Step 2 answer. I agree with its reading of the source. Its quote is accurate.
Period: MPC Act as amended in 2019 (commencement not established); SUDA plan sanctioned 08.10.2020; variation notice 24-03-2025.</t>
  </si>
  <si>
    <t xml:space="preserve">UPD5b</t>
  </si>
  <si>
    <t xml:space="preserve">Is there a clear decentralised procedure for approvals of each level of plans? &gt;:&lt; Does the law mandate that the municipal/city plan be approved by the MPC (Metropolitan Planning Committee)  for metropolitan cities or by DPC (District Planning Committee) for non-metropolitan cities?</t>
  </si>
  <si>
    <t xml:space="preserve">ANSWER: Probably not, but this is not confirmed. None of the laws in the Citation Sheet says the Metropolitan Planning Committee (MPC) must approve Bengaluru's city plan (the Master Plan). The Karnataka Town and Country Planning Act (KTCP Act) gives final approval of the Master Plan to the State Government. The Greater Bengaluru Governance Act makes the Greater Bengaluru Authority (GBA) the Planning Authority. It also sets up a Bengaluru Metropolitan Planning Committee (BMPC), but only to prepare a draft development plan for the whole area. It gives the BMPC no power to approve the GBA's Master Plan. | EVIDENCE: (1) KTCP Act 1961, PRS compilation with amendments up to Act 38 of 2015. s.9(1): the Planning Authority 'shall ... prepare and publish ... a master plan ... and submit it to the State Government, through the Director, for provisional approval'. s.13(1)-(3): the State Government may modify the plan and return it for public comments, then 'shall, in consultation with the Director, give its final approval to the plan'. s.13(4): the Planning Authority publishes the plan 'as finally approved by the State Government'. s.13-D: revisions follow the same steps in ss.9-12. The extracts read have no MPC or District Planning Committee step. (2) Greater Bengaluru Governance Act, 2024 (Karnataka Act 36 of 2025). s.14(2)(a): GBA 'shall be the "Planning Authority" as defined under the Karnataka Town and Country Planning Act, 1961' for the Greater Bengaluru Area. s.14(2)(c): the State</t>
  </si>
  <si>
    <t xml:space="preserve">The State Government, after receiving the plan and the reports and the recommendations for modifications from the Planning Authority, shall, in consultation with the Director, give its final approval to the plan and the reports with such modifications as the Director may advice in the light of the comments and the recommendations of the Planning authority or otherwise.</t>
  </si>
  <si>
    <t xml:space="preserve">I left 'Answer' blank. The evidence strongly points to NO, but a NO scores 0, and a 0 needs proof that every legal layer was checked and found silent. The Citation Sheet does not let me show that.
What the sources say:
(1) KTCP Act 1961 (ULG-02, PRS compilation, amendments up to Act 38 of 2015). Under s.9(1) the Planning Authority 'shall' send the master plan 'to the State Government, through the Director, for provisional approval'. Under s.13(3) the State Government 'shall... give its final approval'. Under s.13(4) the plan is published 'as finally approved by the State Government'. Under s.81-C, plans in the Bangalore Metropolitan Region go 'to the State Government through the Bangalore Metropolitan Region Development Authority for approval'. BMRDA is a development authority, not the Metropolitan Planning Committee (MPC). None of the text I read has an MPC or District Planning Committee approval step.
(2) GBA Act 2024 (ULG-01). Under s.14(2)(a) GBA is the Planning Authority under the KTCP Act. Under s.14(2)(c) the State 'shall constitute' the BMPC. The Act then says the 'Bengaluru Metropolitan Planning Authority shall prepare a draft development plan for the Greater Bengaluru Area as a whole' (wording exactly as written). That is a power to prepare, not to approve the GBA Master Plan. Under s.15(1) GBA 'shall be responsible to make master plan'. Under s.103(1)(b) ward plans must conform to BMPC plans, which is not an approval power.
(3) KTCP Amendment Bill 2025 (ULG-03, passed by the Assembly; enactment not shown). It adds s.81-G (GBA as local planning authority) and the Commissionerate. It does not change s.13 and adds no MPC approval.
(4) GBA (Amendment) Bill 2025 (ULG-05) only amends ss.8 and 14(1). No planning-approval change.
Bengaluru is a metropolitan city, so the methodology's 'approval by the State' fallback does not apply. Approval by the State would mean NO.
Why blank, not NO: the Citation Sheet does not contain the KTCP Rules, a consolidated KTCP text with amendments after 2015 (2016–2024), any rules or notification under GBA s.14(2)(c) setting BMPC functions, or the BMRDA Act 1985. Without these, the absence of an MPC approval step cannot be confirmed across every layer.
Action for the research team: add these instruments. If none of them requires MPC or BMPC approval of the GBA Master Plan, enter NO (score 0).</t>
  </si>
  <si>
    <t xml:space="preserve">ANSWER: Probably not, but this cannot be confirmed. Nothing found in the Citation Sheet says the Surat city/municipal plan must be approved by the Surat Metropolitan Planning Committee (MPC). What the sources show is approval by the State Government. (1) The development plan under the Gujarat Town Planning and Urban Development Act, 1976 (GTPUDA) is sanctioned by the State Government. For the Surat Municipal Corporation (SMC) area, that plan is prepared by the Surat Urban Development Authority (SUDA), not by the city government. (2) The MPC's own metropolitan development plan is also sanctioned by the State Government. (3) The link between the two plans runs the other way: the GTPUDA plan must take in the spatial proposals of the plan sanctioned under the MPC Act. The MPC does not approve the city plan. | EVIDENCE: (a) GTPUDA 1976 as amended in 2019 (ULG-01, pp.94-97, Amendment Act 2019 in Gazette Ex. 19-08-2019). New proviso to s.9(1): the development plan 'shall include the proposals, with regard to spatial planning, of the development plan sanctioned under the Gujarat Metropolitan Planning Committees Act, 2008'. New s.19A: 'the appropriate authority shall include in the development plan ... the proposals with regard to spatial planning, of the development plan to which sanction is accorded under ... section 10A of the Gujarat Metropolitan Planning Committees Act, 2008'. The 2019 amendment also deleted from s.12(1) the words 'which would be in conformity with the developmen</t>
  </si>
  <si>
    <t xml:space="preserve">Step 2 found no evidence: a source needs to be found and added. Step 2 found no evidence (Human Verification Required). Source needed: The full consolidated text of the Gujarat Metropolitan Planning Committees Act, 2008 (Guj. 18 of 2008), especially its MPC functions and plan-preparation sections. Also the readable original text of GTPUDA 1976 ss.9-17 (preparation, submission and sanction of the development plan). Both are needed to confirm that no provision requires MPC approval of the city/municipal plan, before a 0 can be scored.</t>
  </si>
  <si>
    <t xml:space="preserve">UPD5c</t>
  </si>
  <si>
    <t xml:space="preserve">Is there a clear decentralised procedure for approvals of each level of plans? &gt;:&lt; Does the law mandate that the ward(s)/local plan be approved by the ULG?</t>
  </si>
  <si>
    <t xml:space="preserve">ANSWER: Probably not, but this is not confirmed. The Karnataka Town and Country Planning (KTCP) Act text I could read provides for no zonal or ward plan that the city government approves. The only local-level plan in the Act is the town planning scheme. The Planning Authority prepares it and the State Government sanctions it. The city-wide Master Plan is also finally approved by the State Government. The Greater Bengaluru Authority (GBA) is made the KTCP 'Planning Authority' for the Greater Bengaluru Area. That makes it the body that prepares plans, not the body that approves them. The Greater Bengaluru Governance (GBG) Act does have a 'Ward Development Plan', which the Ward Committee submits to the City Corporation. But that plan is a yearly priority list of projects for allotting funds, not a statutory zonal or ward land-use plan. The provision also says 'submit … for allotment of funds', not 'approve'. I cannot give a confirmed 'No' (score 0) because the KTCP Rules and the zoning regulations are not in the Citation Sheet, and the full Acts could not be searched for 'local area plan' or 'zonal plan'. | EVIDENCE: (1) KTCP Act, s.34(1)-(3): the Planning Authority considers objections and submits the draft town planning scheme 'to the State Government through the Director and shall at the same time apply for its sanction'. The State Government 'may by notification … either sanction such scheme with or without modifications … or refuse to give sanction'. (2) KTCP Act, s.9(1): t</t>
  </si>
  <si>
    <t xml:space="preserve">After receiving such application and after making such inquiry as it may think fit, the State Government, in consultation with the Director, may by notification, within six months from the date of its submission, either sanction such scheme with or without modifications and subject to such conditions as it may think fit to impose, or refuse to give sanction.</t>
  </si>
  <si>
    <t xml:space="preserve">I left Answer blank because the Citation Sheet does not show the provision is absent. The evidence points toward NO.
What the Karnataka Town and Country Planning (KTCP) Act (ULG-02, PRS compilation to Act 38 of 2015) says:
- The only local-level plan in the Act text read is the town planning scheme. Under s.34(2)-(3) the Planning Authority submits it and the State Government sanctions it. Under s.45(1) the State also sanctions the final scheme.
- The Master Plan gets final approval from the State Government (s.13(3)).
- An Interim Master Plan, even for 'any part' of the area, follows the same s.13 State approval route (s.13-A(1)).
- A Master Plan for an additional area also goes to the State for sanction (s.13-B).
- I found no zonal, ward or local area plan in the Act that the city government approves.
Other instruments checked:
- **KTCP Amendment Bill, 2025 (ULG-03):** it makes the Greater Bengaluru Authority (GBA) the Planning Authority (s.2(7)(a)(i), new s.81-G) and adds a Commissionerate. It contains no ward or zonal plan approved by the city government. It is also a Bill whose commencement is still to be notified.
- **Greater Bengaluru Governance (GBG) Act, 2024 (ULG-01), Planning Functions (2)(a)-(c):** the GBA is the KTCP Planning Authority, which prepares plans and does not approve them. The Bengaluru Metropolitan Planning Committee (BMPC), chaired by the Chief Minister, prepares the draft development plan for the area as a whole.
- **GBG Act s.2(79) 'Ward development plan':** this is a budget plan 'prepared by the Ward Committee for the allotment of budget to it by the City Corporation'. It is not a statutory spatial ward or zonal plan. The law also says 'submit', not 'approve'.
- **GBG Act, Ward Action Plan and s.279 Ward Micro Plan:** these are solid waste management plans, not spatial plans.
Why NO cannot be entered (no affirmative absence): the KTCP Rules, the zoning regulations for the Greater Bengaluru Area and any planning rules under the GBG Act are not in the Citation Sheet. I also saw the KTCP Act only as excerpts, so I could not search its full text for 'zonal plan' or 'local area plan'.
For the reviewer:
1. If you accept that the scope is the T&amp;CP Act alone, the provisions read support NO. Every plan type there is approved by the State Government, not the city government.
2. Confirm that the GBG Act's budget-type Ward Development Plan should not count as a 'ward plan'.
Period: KTCP Act as amended to 2015; GBG Act as enacted (notification of 24.04.2025), GBA era.</t>
  </si>
  <si>
    <t xml:space="preserve">ANSWER: No, as far as the Gujarat law in the Citation Sheet shows. The planning law gives final approval of local plans to the State Government, not to Surat's city government (ULG). Local Area Plans are sanctioned by the State Government by notification in the Official Gazette. Draft Town Planning Schemes are sanctioned under s.48(2) 'in line with the notification of the Government'. I found no provision that requires the ULG (Surat Municipal Corporation, from its name in the DP-2035 report) to approve a ward, zonal or local plan as the approving body. However, I could not read every relevant provision, so I have not proposed a 0. | EVIDENCE: (1) Gujarat Town Planning and Urban Development (GTPUD) Act 1976 (ULG-01, PRS copy, as amended): s.76A(7), added by the amendment published in the Gujarat Gazette Ex. of 13-04-2017, reads: 'Where the State Government sanctions the Local Area Plan under clause (a) of sub-section (6), it shall state in the notification-' the place of public inspection and the date the plan comes into force. The same amendment added 'or Local Area Plan' to ss.7(1)(ii) and 23(1)(ii), the functions of area and urban development authorities. It also replaced ss.7(2) and 23(2): the State Government 'may' delegate an authority's powers to a local authority. That is a discretionary delegation, not a requirement for ULG approval. It also added a proviso to s.49(1)(b) referring to the 'Draft Town Planning Scheme sanctioned under sub-section (2) of section 48 and i</t>
  </si>
  <si>
    <t xml:space="preserve">Where the State Government sanctions the Local Area Plan under clause (a) of sub-section (6), it shall state in the notification-</t>
  </si>
  <si>
    <t xml:space="preserve">I left the Answer blank. Every source I could read says the State Government, not Surat Municipal Corporation (SMC), gives final approval to local plans. That points to NO, but I could not show affirmative absence, so a NO cannot be entered yet.
What the sources show:
(1) GTPUD Act s.76A(7), inserted in 2017 (ULG-01, p.90-91): Local Area Plans are sanctioned by the State Government under s.76A(6)(a), by notification. The same amendment adds a proviso to s.49(1)(b) that refers to a 'Draft Town Planning Scheme sanctioned under sub-section (2) of section 48 and in line with the notification of the Government'. The amended ss.7(2) and 23(2) say the State 'may' delegate a development authority's powers to the local authority. That is optional, not a requirement for SMC approval.
(2) GTPUD Rules 1979 (ULG-04): rules 16-18 give SMC, as the 'appropriate authority', the job of passing the resolution declaring a scheme (s.41) and of making and publishing the draft scheme (s.42). Rule 36(2) has the State Government sanction amendments to scheme regulations. I found no rule that makes SMC the approving body.
(3) DP-2035 report (ULG-06, p.44): 'draft schemes of SMC were sanctioned by the State Government in March, 2016'.
(4) CGDCR Part II (ULG-15): the authority prepares local area plans 'and seek approval of it from the government'.
(5) Municipal Act s.284F (GPMC Act, ULG-03): the Commissioner prepares a re-development plan 'with the approval of the Corporation'. It goes 'first to the Corporation and then to the State Government for approval'. The Corporation's approval is a middle step for a special re-development area, the State gives final approval, and the provision is in the Municipal Act, not the planning Act the method names. A reviewer should still decide whether ASICS counts it.
Why no NO: the text of GTPUD s.76A(1)-(6) (how Local Area Plans are prepared and processed) and ss.41-48 (how Town Planning Schemes are declared, made and sanctioned) could not be found in ULG-01. Repeated reads of the PRS copy returned only the amendment Acts appended at the end. So I cannot rule out a step in the Act where the ULG must approve a plan. Under the affirmative-absence rule, a NO, which scores 0, cannot be entered yet.
The Step 2 answer is consistent with what the sources say.
REVIEWER: read GTPUD s.76A(1)-(6) and ss.41-48 in full. If they confirm that the State sanctions and that SMC only declares, prepares and submits, enter NO.
Versions read: GTPUD Act as amended in 2017 and by Gujarat Act 14 of 2019; GTPUD Rules 1979; GPMC Act as modified up to 30-11-2017; CGDCR notified 12-10-2017.</t>
  </si>
  <si>
    <t xml:space="preserve">UPD6</t>
  </si>
  <si>
    <t xml:space="preserve">Does the Act clearly define the objectives/contents of each level of spatial plan?</t>
  </si>
  <si>
    <t xml:space="preserve">ANSWER: Only partly. The Karnataka Town and Country Planning Act, 1961 (KTCP Act), in the PRS compilation amended up to Act 38 of 2015, sets out both the purpose and the contents of the city-level Master Plan in Section 12. For Town Planning Schemes, which are local-level plans, it gives a purpose and a list of contents in Section 26, but the wording is discretionary ('may make provisions for any of the following'). Nothing in the Act's Arrangement of Sections deals with a metropolitan or regional plan, so the Act as compiled does not define that level. Whether a Town Planning Scheme counts as the methodology's 'ward(s)/local plan' needs to be confirmed. | EVIDENCE: (1) Metropolitan/regional plan: the KTCP Act's Arrangement of Sections (Chapters I to XI: present land use, master plan, enforcement, town planning schemes, town planning officer, finance, land acquisition and others) has no regional or metropolitan plan chapter. Outside the KTCP Act, the Greater Bengaluru Governance Act, 2024, at the planning-functions provision (s.14(2)(c), section number is a location note only), says the State shall set up the Bengaluru Metropolitan Planning Committee (BMPC). That provision also says the 'Bengaluru Metropolitan Planning Authority shall prepare a draft development plan for the Greater Bengaluru Area as a whole and discharge responsibilities as enshrined in Article 243ZE'. It only points to Article 243ZE and lists no objectives or contents, and in any case it is not part of the </t>
  </si>
  <si>
    <t xml:space="preserve">The Master Plan shall consist of a series of maps and documents indicating the manner in which the development and improvement of the entire planning area within the jurisdiction of the Planning Authority are to be carried out and regulated, such plan shall include proposals for the following, namely:-</t>
  </si>
  <si>
    <t xml:space="preserve">Source: KTCP Act 1961, PRS compilation amended up to Act 38 of 2015 (a secondary copy). The Greater Bengaluru Authority (GBA) is the Planning Authority for the Greater Bengaluru Area: GBG Act s.14(2)(a) in ULG-01, and the proposed s.81-G in the 2025 Amendment Bill (ULG-03). Inputs, one by one. (1) MUNICIPAL/CITY = YES. s.12(1) sets the objective: maps and documents showing how 'the development and improvement of the entire planning area ... are to be carried out and regulated'. It also lists mandatory contents ('shall include proposals for' items (a) to (g)): land-use zoning with Zoning Regulations, street pattern and traffic circulation, parks, open spaces and public buildings, future expansion areas, reservations and land for acquisition, areas of special control, and stages of implementation. s.12(2) requires reports and zone regulations, and s.12(3) requires heritage buildings and precincts. I checked this against the source and it supports the Step 2 finding. (2) WARD/LOCAL = YES, but a reviewer should confirm. s.26(1) gives the objective of a town planning scheme: 'for the purpose of implementing the proposals in the Master Plan', for 'the area within its jurisdiction or any part thereof', so it is a sub-city, local-level spatial plan. s.26(2) lists its possible contents: layout or re-layout, reclamation, streets, buildings, reservations for roads, open spaces, schools, markets and so on, drainage, lighting, water supply, heritage, and building and use restrictions. That list uses 'may make provisions for any of the following'. But s.32 makes the contents of the draft scheme mandatory: it 'shall contain the following particulars', items (a) to (g). The methodology only asks that the Act 'broadly mention what each level of spatial plan should cover', and these sections do that for the local level. CAVEAT: this rests on treating a town planning scheme as the 'ward(s)/local plan'. The KTCP Act has no ward-level spatial plan. The GBG Act s.103(1)(b) Ward Development Plan is a budget-priority list, sits outside the T&amp;CP Act, and was not credited. If reviewers decide a town planning scheme does not count as a local plan, change this input to NO, which leaves 3.33. (3) METROPOLITAN/REGIONAL = blank (not found, not affirmatively absent). The KTCP Arrangement of Sections, as compiled to 2015, has no regional or metropolitan plan chapter. The 2025 KTCP Amendment Bill (ULG-03) only adds the Commissionerate (s.2A/2B), the planning-area definitions and s.81-G, with no regional plan contents. However, amendments between 2016 and 2024 and the KTCP Rules are not in the Citation Sheet, so a 0 cannot be confirmed. Two related sources do not count because they are outside the T&amp;CP Act: GBG Act s.14(2)(c), which on the Metropolitan Planning Committee only refers to Article 243ZE and lists no contents, and the BMRDA Act 1985 Structure Plan, which is not in the Sheet. If the current consolidated KTCP Act confirms there is no regional plan, the input would be NO, giving 6.67 in total. Things to check: the current official consolidated KTCP Act (rather than the PRS copy) and any post-2015 amendments.</t>
  </si>
  <si>
    <t xml:space="preserve">The citation didn't settle every input. "Objectives/contents: Metropolitan/regional plan" left blank: the Citation Sheet doesn't decide it.</t>
  </si>
  <si>
    <t xml:space="preserve">Step 2 found no evidence: a source needs to be found and added. Step 2 found no evidence (Insufficient Evidence). Source needed: A readable official copy of the GTPUD Act 1976 as amended, specifically s.12 (contents of the draft development plan), the town planning scheme contents section (around s.40) and s.76A (Local Area Plan). Also the Gujarat Metropolitan Planning Committees Act, 2008, specifically the provisions on what the metropolitan development plan must contain and aim to do, ideally from the Gujarat Legislative and Parliamentary Affairs Department or the Urban Development and Urban Housing Department (UD&amp;UHD).</t>
  </si>
  <si>
    <t xml:space="preserve">UPD7a</t>
  </si>
  <si>
    <t xml:space="preserve">Does the city have a functional MPC/DPC? &gt;:&lt; Does the law provide for the constitution of an MPC/DPC?</t>
  </si>
  <si>
    <t xml:space="preserve">10 &gt;:&lt; 5</t>
  </si>
  <si>
    <t xml:space="preserve">ANSWER: Part A (mandate in law): YES. Bengaluru is a metropolitan city, so the MPC applies. The city government's current law is the Greater Bengaluru Governance Act, 2024. Section 14(2)(c) says the State Government 'shall constitute' the Bengaluru Metropolitan Planning Committee (BMPC), composed as Article 243ZE of the Constitution requires. Part B (state rules for the MPC applicable to the city): NOT FOUND. The Citation Sheet has no rules on how the MPC is constituted. The Act leaves the remaining members of the BMPC 'as prescribed', which means rules are expected, but none are in the sheet. | EVIDENCE: (1) GBA Act 2024 (Karnataka Act 36 of 2025), s.14(2)(c): 'The State Government shall constitute the Bengaluru Metropolitan Planning Committee (BMPC) for area including but not limited to the Greater Bengaluru Area and with composition as per Article 243 ZE ... chaired by the Chief Minister and comprise of other members as prescribed. The Chief Commissioner of the Greater Bengaluru Authority shall be its Member Secretary.' Section 103(1)(b) also refers to 'plans prepared by the Bengaluru Metropolitan Planning Committee'. (2) BBMP Act 2020, s.367(1) (the earlier, BBMP-era law): 'The Government shall constitute a Metropolitan Planning Committee for the Bengaluru Metropolitan Area'. Under it, the elected members are chosen 'in the prescribed manner' (s.367(2)(a)) and the chairman 'in such manner as may be prescribed' (s.367(5)). GBA Act s.361(1) repeals the BBMP Act 2020 'and Ru</t>
  </si>
  <si>
    <t xml:space="preserve">The State Government shall constitute the Bengaluru Metropolitan Planning Committee (BMPC) for area including but not limited to the Greater Bengaluru Area and with composition as per Article 243 ZE of the Constitution of India. The BMPC shall be chaired by the Chief Minister and comprise of other members as prescribed.</t>
  </si>
  <si>
    <t xml:space="preserve">Bengaluru is a metropolitan city, so the question is about a Metropolitan Planning Committee (MPC), not a district one.
Part A is YES. The city's own municipal law, the Greater Bengaluru Governance Act, 2024 (Karnataka Act 36 of 2025), was checked in its enacted text (PRS copy of the Gazette text, DPAL notification dated 24.04.2025; GBA era). Section 14(2)(c) uses mandatory wording: the State Government 'shall constitute' the Bengaluru Metropolitan Planning Committee (BMPC), with a composition following Article 243ZE of the Constitution. This is enough for Part A. The earlier BBMP Act 2020 (ULG-19), s.367(1), also said 'The Government shall constitute a Metropolitan Planning Committee', but that Act has been repealed by GBA Act s.361.
One wording point: s.14(2)(c) says a 'Bengaluru Metropolitan Planning Authority' prepares the draft development plan, a different name from the committee. This is recorded exactly as written.
Part B is left blank because the rules were not found. That is different from finding that they do not exist. Section 14(2)(c) says the other members of the BMPC are to be 'as prescribed', so rules are expected. However, the Citation Sheet has none of the following:
- any Karnataka MPC rules made under the GBA Act;
- any notification constituting the BMPC;
- any MPC rules made under BBMP Act s.367 or the KMC Act 1976.
Rules of that last kind could still be in force under GBA Act s.360 (transitory provisions) or the provisos to s.361 (repeal and savings). Searches of the following found no MPC rules: ULG-01, ULG-02 (KTCP Act 1961), ULG-03 (KTCP Amendment Bill 2025), ULG-04 (BDA Act), ULG-18 (BMLTA Act) and ULG-19 (BBMP Act). Since the sheet does not contain the instrument, affirmative absence cannot be shown, so Part B cannot be scored NO (0).
A person needs to check whether Karnataka has notified rules on the constitution of, or election to, the MPC under the GBA Act. If not, they should check whether earlier MPC rules under BBMP Act s.367 or the KMC Act 1976 stay in force under s.360. The GBA Act commencement date is also unverified.
If Part A is accepted, it gives 2.5 of the 5 points. No total is given because Part B is open.</t>
  </si>
  <si>
    <t xml:space="preserve">The citation didn't settle every input. "Part B: MPC/DPC rules notified" left blank: the Citation Sheet doesn't decide it.</t>
  </si>
  <si>
    <t xml:space="preserve">ANSWER: Partly answered. Surat is a metropolitan city, so the question is about an MPC. Part A: Gujarat has a separate law for MPCs, the Gujarat Metropolitan Planning Committees Act, 2008 (Guj. 18 of 2008). It is in force, and an official 2017 report from the Surat Urban Development Authority (SUDA) says a Surat Metropolitan Area was declared and a Metropolitan Planning Committee formed under it by State notification of 11/03/2016. However, the text of that Act, including the section that requires an MPC to be set up, is not in the Citation Sheet. No such duty was found in the parts read of the Municipal Corporations Act (GPMC Act, 1949) or the Town and Country Planning Act (GTPUD Act, 1976). Part B: no Rules for the MPC under the 2008 Act, and no notification applying such Rules to Surat, are in the Citation Sheet. | EVIDENCE: (1) GTPUD Act 1976 with amendments (ULG-01, PRS copy), Gujarat Act No. 14 of 2019, pp.93-97: the long title says it amends 'the Gujarat Metropolitan Planning Committees Act, 2008, the Gujarat District Planning Committees Act, 2008 and the Gujarat Town Planning and Urban Development Act, 1976'. s.8 inserts s.2(a-1) into the MPC Act. s.9 inserts ss.10A-10C: the State Government 'may' sanction the draft development plan 'submitted by the Metropolitan Planning Committee', and 'Every Metropolitan planning committee shall carry out such directions...'. In the GTPUD Act, the new s.9(1) proviso and s.19A require the appropriate authority's development plan to </t>
  </si>
  <si>
    <t xml:space="preserve">Development Plan 2035 (report, 22 February 2017), Surat Urban Development Authority [ULG-06]</t>
  </si>
  <si>
    <t xml:space="preserve">https://www.sudaonline.org/wp-content/uploads/2017/03/SUDA-DP-2035-report-final-22.02.2017.pdf</t>
  </si>
  <si>
    <t xml:space="preserve">It is also necessary to mention that the State Government h as framed The Gujarat Metropolitan Planning Committees Act, 2008 ( Guj. 18 of 2008) and has also come into force. By the notification dated 11/03/2016, the Surat Metropolitan area has been declared under the said Act, 2008 which includes the SMC and Sachin  Municipality area.</t>
  </si>
  <si>
    <t xml:space="preserve">Surat is a metropolitan city, so this question is about an MPC (Metropolitan Planning Committee). PART A = YES. The evidence is an official State planning law that provides for MPCs and was used for Surat. (1) ULG-06 is the SUDA Development Plan 2035 report of 22 Feb 2017. It says the Gujarat Metropolitan Planning Committees Act, 2008 (Guj. 18 of 2008) is in force. It also says that a State notification of 11/03/2016 declared the Surat Metropolitan Area under that Act and constituted the Metropolitan Committee for Surat, apart from its elected members. (2) ULG-02 is Bill No. 21 of 2019, a PRS copy of the Gazette. Its Statement of Objects says the MPC Act and the DPC Act 'are in force in the State of Gujarat'. It adds that s.10 of each Act requires the committees to prepare draft development plans. (3) ULG-01 and ULG-02 contain Gujarat Act 14 of 2019. It inserts ss.10A-10C into the MPC Act ('Every Metropolitan planning committee shall carry out such directions...'). It also inserts a proviso to s.9(1) and a new s.19A into the GTPUD Act, tying the development plans of appropriate authorities to the plan sanctioned under the MPC Act. Taken together, these show that Gujarat law provides for constituting an MPC and that one was constituted for Surat. Points a reviewer should confirm: (a) The methodology asks for a mandate 'in the Municipal or T&amp;CP Act'. Gujarat puts it in a separate MPC Act (a State planning law). I have treated that as meeting the intent; please confirm. (b) The text of the MPC Act's own constitution section is not in the Citation Sheet. So I cannot quote its exact verb ('shall' or 'may') or its section number. The support comes from SUDA's account of the 2016 notification and from the 2019 amending text. (c) The 11/03/2016 notification itself is not in the sheet. If the reviewer decides that Part A needs the Act's own constitution section, change Part A to blank. PART B = blank (NOT FOUND, not absent). I searched the Citation Sheet for Rules under the Gujarat MPC Act 2008, and for any notification applying such Rules to Surat, and found neither. What I checked: ULG-01 (GTPUD Act 1976 with amendments; amendment Act pp.93-98), ULG-02 (Bill 21 of 2019), ULG-03 (GPMC Act 1949 as of 30 Nov 2017; no MPC/DPC provision found), ULG-04 (GTPUD Rules 1979; development plans and TP schemes only), ULG-05, ULG-14, ULG-15 and ULG-16 (CGDCR 2017; development control only), and ULG-06. The MPC Act text, any MPC Rules (e.g. on electing members) and the 2016 notifications are not in the sheet, so absence cannot be confirmed. The research team should add the Gujarat MPC Act 2008 text, any MPC Rules with their Gazette notification, and the 11/03/2016 notifications. Other limits: the 2019 amending Act comes into force on a date the State notifies, and that date is not in the sheet. ULG-01 and ULG-02 are PRS republications (secondary copies).</t>
  </si>
  <si>
    <t xml:space="preserve">UPD7b</t>
  </si>
  <si>
    <t xml:space="preserve">Does the city have a functional MPC/DPC? &gt;:&lt; Have they met at least once in the past two years?</t>
  </si>
  <si>
    <t xml:space="preserve">Step 2 found no evidence: a source needs to be found and added. Step 2 found no evidence (Insufficient Evidence). Source needed: Dated evidence that the MPC/BMPC met between about Sept 2024 and Sept 2026: minutes, agendas, resolutions or meeting notices from the MPC/BMPC (Member Secretary: GBA Chief Commissioner) or the Urban Development Department, Karnataka. Also needed: the government order setting up the BMPC under GBA Act s.14(2)(c) and its membership rules, or an RTI reply listing the dates of MPC meetings.</t>
  </si>
  <si>
    <t xml:space="preserve">Step 2 found no evidence: a source needs to be found and added. Step 2 found no evidence (Insufficient Evidence). Source needed: Any of these, dated within the past two years, would answer this: minutes, agendas or resolutions of the Surat Metropolitan Planning Committee (or of the Surat District Planning Committee, if that is the applicable body); a Gujarat UD&amp;UHD Department notification or webpage recording MPC meetings; or an RTI reply from the MPC's member-secretary or the UD&amp;UHD Department listing meeting dates.</t>
  </si>
  <si>
    <t xml:space="preserve">UPD8</t>
  </si>
  <si>
    <t xml:space="preserve">Does the city (million-plus) have a Metropolitan Authority?</t>
  </si>
  <si>
    <t xml:space="preserve">ANSWER: A state law sets up a metropolitan-level authority for Bengaluru, but the Citation Sheet does not show that it has actually been constituted. The Greater Bengaluru Governance Act, 2024 (Karnataka Act 36 of 2025) creates the Greater Bengaluru Authority (GBA). The Act says the State Government 'shall' constitute it by notification, makes it a body corporate, and makes it the Planning Authority under the Karnataka Town and Country Planning (KTCP) Act. That meets the 'established by law' part of the test. The 'constituted for the city' part is not shown. The Sheet does not contain the notification bringing the Act into force (s.1(3)) or the notification constituting the GBA (s.9(1)). | EVIDENCE: (1) GBA Act, 2024, Preamble: 'it is expedient to establish the Greater Bengaluru Authority'. s.1(3): the Act 'shall come into force on such date as the Government may by notification appoint'. s.2(3): 'Authority' means the GBA 'created under this Act'. s.9(1): 'the Government shall, by notification, constitute an Authority for the Greater Bengaluru Area called the Greater Bengaluru Authority', within 120 days of commencement. s.9(2): body corporate with perpetual succession. s.9(3): members include the Chief Minister as Chairperson, the minister for Bengaluru Development, the Mayors of the City Corporations, and the heads of BDA, BWSSB, BMTC, etc. s.8(3): the GBA 'shall discharge the role of coordinator among all the City Corporations and other agencies in the Greater Bengaluru Ar</t>
  </si>
  <si>
    <t xml:space="preserve">the Government shall, by notification, constitute an Authority for the Greater Bengaluru Area called the Greater Bengaluru Authority.</t>
  </si>
  <si>
    <t xml:space="preserve">I left 'Answer' blank. The law creating the authority is in the Sheet, but nothing in the Sheet shows the authority has actually been set up (constituted) for the city. The methodology needs both to give 10.
(1) Created by law: shown. The Greater Bengaluru Governance Act, 2024 (Karnataka Act 36 of 2025; gazette text 24.04.2025 in the PRS copy, ULG-01) says in s.9(1) that the Government 'shall, by notification, constitute' the Greater Bengaluru Authority (GBA) within 120 days of the Act starting. s.9(2) makes the GBA a body corporate. s.8(3) makes it the coordinator of all agencies in the Greater Bengaluru Area. s.14(2)(a) makes it the 'Planning Authority' under the Karnataka Town and Country Planning (KTCP) Act, 1961, 'notwithstanding anything contained in any other law'.
(2) Set up for the city: not shown. The Act only starts on a date the Government sets by notification (s.1(3)), and the GBA comes into being only through the s.9(1) notification. Neither notification is in the Sheet. I checked these later laws and found no constitution notice or date:
- ULG-01's appended amending Acts: Act 60/2025 (12.09.2025) and Act 1/2026 (07.01.2026). They change GBA functions and add members under s.9(3), and replace s.9(5).
- ULG-05: the Amendment Bill and its Statement of Objects.
- ULG-03: the KTCP Amendment Bill 2025. Its new s.81-G would apply 'with effect from the date Greater Bengaluru Authority is constituted'. It is a Bill, and it has not been shown to be enacted.
- ULG-18: BMLTA Amendment Act 10/2026. It refers to 'City Corporations under the jurisdiction of the Greater Bengaluru Authority'.
- ULG-04: BDA Act, including Act 42/2026. It does not mention the GBA.
These later laws strongly suggest the GBA is up and running. But they are laws, not the s.9(1) notice, and treating them as proof would be inference. I checked the Step 2 answer against the sources and agree with it. Research-team dates for the GBA are guidance only and are not verified, so I did not use them.
Why not NO: the law exists, so the absence needed for NO cannot be shown. Why not NA: Bengaluru is a million-plus metropolitan city.
For a person to check:
- Get the s.9(1) gazette notification constituting the GBA, and the s.1(3) commencement notification. If they exist, Answer = YES (10).
- Confirm the GBA, not BMRDA, is the intended metropolitan authority. The methodology names the GBA, and the BMRDA Act is not in the Sheet.
Era: GBA-era.</t>
  </si>
  <si>
    <t xml:space="preserve">ANSWER: Cannot be scored from the Citation Sheet. Surat has two bodies that work above the level of the city government, but neither clearly matches the 'metropolitan authority' that UPD8 describes. (1) A Surat Metropolitan Planning Committee under the Gujarat Metropolitan Planning Committees Act, 2008 (Guj. 18 of 2008). A 2017 SUDA report says the Surat Metropolitan area was declared on 11/03/2016, covering only the Surat Municipal Corporation (SMC) and Sachin Municipality, and that the Committee was constituted the same day 'except for the elected members'. This is a planning committee, not a metropolitan governance or development authority like the Greater Bengaluru Authority (GBA) example. (2) The Surat Urban Development Authority (SUDA), a statutory urban development authority under section 22 of the Gujarat Town Planning and Urban Development Act, 1976. It was constituted by notification dated 30.01.1978 and covers SMC plus surrounding villages (1351 sq km after the 2015 extension, later reduced). It is a regional planning and development authority, not a metropolitan-level authority set up by a dedicated Act. A third body, the Surat Regional Economic Development Authority (SREDA), is only a proposal in NITI Aayog's 2024 Economic Master Plan; no law establishes it. | EVIDENCE: ULG-06 (SUDA Development Plan 2035 report, Feb 2017), p.19 [report p.2]: the Surat Metropolitan area was declared under the Gujarat MPC Act, 2008 on 11/03/2016, and 'The Metropolitan Committee for</t>
  </si>
  <si>
    <t xml:space="preserve">By the notification dated 11/03/2016, the Surat Metropolitan area has been declared under the said Act, 2008 which includes the SMC and Sachin  Municipality area. The Metropolitan Committee for Surat was also constituted by the notification of the State Government dt. 11/03/2016 except for the elected members.</t>
  </si>
  <si>
    <t xml:space="preserve">I left 'Answer' blank for a person to decide. NA does not apply: Surat is a million-plus city. ULG-06 Table 1 gives SMC's 2011 population as about 44.67 lakh, so the question applies. YES and NO are both unsafe on this Citation Sheet. Points for checking: (1) BODY TYPE. The only body called 'metropolitan' is the Surat Metropolitan Planning Committee (MPC) under the Gujarat Metropolitan Planning Committees Act, 2008 (Guj. 18 of 2008). Per ULG-06 (a 2017 SUDA report, not the notification itself), it was declared and constituted on 11/03/2016 'except for the elected members'. It covers only SMC and Sachin Municipality. Its job is planning: the MPC Act s.10A-10C, inserted by Gujarat Act 14 of 2019 (ULG-01, gazette pp.14-4 to 14-6, and ULG-02), say the State 'may' sanction its draft plan and the MPC 'shall carry out such directions' of the State. That makes it a planning committee under State control, not a metropolitan authority like the methodology's example, the Greater Bengaluru Authority under a dedicated Act. SUDA is an urban development authority set up by notification dated 30.01.1978 under GTPUD Act 1976 s.22(1), (2) and (4). Nothing in the sheet calls it a metropolitan-level authority. SREDA (ULG-09, NITI Aayog 2024) is only a proposal. Whether an MPC (or SUDA) counts as a 'metropolitan authority' for UPD8 is a methodology call that needs confirming. (2) CONSTITUTION. Even if the MPC counts, it was constituted without its elected members as of 2016-17. No later notification completing it is in the sheet. (3) NO WOULD NEED AFFIRMATIVE ABSENCE, AND I DON'T HAVE IT. I checked: ULG-01 (GTPUD Act 1976 plus amendments up to Act 14 of 2019); ULG-02 (Bill 21 of 2019); ULG-03 (GPMC Act 1949 as modified to 2017: only definition s.2(34A) 'Metropolitan area' per Art. 243P, and no metropolitan authority provision in the parts read); ULG-06; ULG-09; and a sheet-wide search for 'metropolitan authority Surat'. But these are not in the sheet: the full text of the Gujarat MPC Act 2008, the 11/03/2016 notifications, and any later GO. So I cannot rule out a metropolitan authority. Next steps: get the MPC Act 2008 and the 2016 notifications, and confirm whether an MPC qualifies. If it does, and the MPC is fully constituted, YES may be right. If it does not, NO needs the absence check finished. Period: MPC declared 2016 (per 2017 report); MPC Act amended 2019; SUDA from 1978. era=n/a.</t>
  </si>
  <si>
    <t xml:space="preserve">UPD9</t>
  </si>
  <si>
    <t xml:space="preserve">Does the law mandate participation of all parastatals/ agencies /ULGs in creation of Spatial plans (metro/municipal/ward)?</t>
  </si>
  <si>
    <t xml:space="preserve">ANSWER: Only in part. The law does require local bodies and the main parastatals to take part in the body that prepares the city-level master plan. For Bengaluru that body is the Greater Bengaluru Authority (GBA), which is the Planning Authority. The GBA Act says the GBA shall be the 'Planning Authority' under the KTCP Act, and that its members shall include the Mayors of the City Corporations and the heads of BDA, BWSSB, BMTC, BMRCL and BESCOM. Under the KTCP Act, any Planning Authority set up under s.4C must include representatives of local bodies. At metropolitan level, the GBA Act says the State shall set up a Bengaluru Metropolitan Planning Committee (BMPC) whose make-up follows Art. 243ZE. Its other members are only 'as prescribed', and the Rules that prescribe them are not in the Citation Sheet. I found no provision requiring agency participation in ward-level spatial plans. I also found no required advisory council with civic-agency members to advise on drawing up the plan. So the 'all three levels' test and the advisory-council test are not shown to be met, and no score is proposed. | EVIDENCE: (1) GBA Act 2024 s.14(2)(a): 'the Greater Bengaluru Authority shall be the "Planning Authority" as defined under the Karnataka Town and Country Planning Act, 1961, for the areas comprising of the Greater Bengaluru Area'. s.9(3): 'The Greater Bengaluru Authority shall consist of the following members', including (f) the City Corporation Mayors, (g) Commissioner BDA, (h) Chairma</t>
  </si>
  <si>
    <t xml:space="preserve">the Greater Bengaluru Authority shall be the “Planning Authority” as defined under the Karnataka Town and Country Planning Act, 1961, for the areas comprising of the Greater Bengaluru Area;</t>
  </si>
  <si>
    <t xml:space="preserve">I left the Answer blank. The Citation Sheet shows that some conditions of the 10-point test are met, but it cannot settle all of them. A YES is not supported, and a NO cannot be shown by affirmative absence.
WHAT SUPPORTS PARTICIPATION:
(1) City/master-plan level. Under GBA Act 2024 (ULG-01) s.14(2)(a), the GBA 'shall be' the Planning Authority under the KTCP Act. Under s.9(3), the GBA 'shall consist of' the City Corporation Mayors and the heads of BDA, BWSSB, BMTC and BMRCL, among others. Under s.15(1), the GBA 'shall be responsible to make master plan' and the City Corporations 'shall incorporate' its plan. KTCP s.81-G (inserted by ULG-03, LA Bill 55 of 2025) also makes the GBA the local planning authority. ULG-03 is a Bill as passed by the Assembly; I did not check whether it has been enacted or notified. Separately, KTCP s.4C(3)(iii) (ULG-02) requires every Planning Authority to include 'representatives of local bodies', but it lists no parastatals.
(2) Metropolitan level. Under s.14(2)(c), the State 'shall constitute' the BMPC 'with composition as per Article 243 ZE'. Its other members are 'as prescribed', and those Rules are not in the Citation Sheet. The same clause names a 'Bengaluru Metropolitan Planning Authority' as the body that prepares the draft plan. This looks like a drafting error for BMPC; a reviewer should check it.
WHAT IS UNRESOLVED:
(a) Ward level. The only ward-level plan I found is the Ward Development Plan under GBA Act s.103. The Step 2 answer describes it as a priority list of projects for funding, not a spatial plan; I did not re-read s.103 myself. I found no provision requiring agencies to take part in ward-level spatial plans.
(b) Advisory council with civic-agency members. GBA Act s.18 creates Sectoral Expert Committees made up of 'domain experts', not representatives of civic agencies. KTCP s.4F says a Planning Authority 'may associate with itself' advisers, which is optional, not a mandate. KTCP s.4 does set up a State Board, which s.4C and s.4A say must be consulted. However, I could not read its composition or functions in ULG-02, even after repeated searches.
(c) Rules layer missing. The KTCP Rules, the BMPC Rules and any GBA planning regulations are not in the Citation Sheet.
WHAT I CHECKED:
- ULG-01: s.9, s.14, s.15, s.18
- ULG-02: s.4A to 4C, s.4F, s.74, s.82
- ULG-03: whole Bill
- Step 2's review of ULG-04, ULG-18 and ULG-19 (the BBMP Act MPC provision in ULG-19 has probably been superseded).
The methodology is ambiguous on two points, so a reviewer should decide them:
(i) Does membership of the Planning Authority, created by the GBA Act rather than the KTCP Act, count as participation in creating spatial plans?
(ii) Must both the three-level condition and the advisory-council condition be met to score 10?
If the reviewer finds that KTCP s.4 and the Rules contain no advisory council with civic-agency members, the likely result is NO (score 0).</t>
  </si>
  <si>
    <t xml:space="preserve">ANSWER: Not determined. The parts of the law I could read do not show a provision requiring all parastatals, agencies or city governments to take part in making spatial plans at metro, municipal or ward level. They also do not show a required advisory council with civic-agency members. I could not read the key sections of the Gujarat Town Planning and Urban Development Act, 1976 (GTPUDA): who sits on the Urban Development Authority (UDA), how the draft plan is prepared (s.9) and how it is published (s.13). The Gujarat Metropolitan Planning Committees Act, 2008 (MPC Act) is also missing apart from its 2019 amendments. So this is 'not found', not an absence, and there is no score. | EVIDENCE: (1) GTPUDA 1976, PRS copy (ULG-01). Only the appended amendments could be read. (a) The 2019 amendment adds a proviso to s.9(1): the development plan 'shall include the proposals, with regard to spatial planning, of the development plan sanctioned under the Gujarat Metropolitan Planning Committees Act, 2008 or the Gujarat District Planning Committees Act, 2008'. (b) New s.19A: the appropriate authority 'shall include' the MPC/DPC spatial proposals by varying its plan. This requires plans to be consistent, not agencies to take part. (c) The 2017 amendment to ss.7(2) and 23(2) says the State 'may' hand authority powers to the local authority. That is a discretionary delegation, not participation in making the plan. (2) MPC Act ss.10A–10B, inserted by Gujarat Act 14 of 2019 (ULG-01, pp.96–97)</t>
  </si>
  <si>
    <t xml:space="preserve">(3) A final development plan which has come into force shall be binding on the concerned all authorities functioning in the metropolitan area.</t>
  </si>
  <si>
    <t xml:space="preserve">I left the answer blank because the citation sheet does not contain the main legal text needed to answer this question. Without it, the evidence is 'not found', which is different from proven absence. The Step 2 finding of 'not determined' is correct when checked against the source.
What the readable text actually says:
(1) MPC Act s.10A(3), inserted in 2019: the final development plan 'shall be binding on the concerned all authorities functioning in the metropolitan area'. This makes the finished plan binding on all authorities. It does not require them to take part in preparing it.
(2) GTPUD Act s.9(1) proviso and s.19A, inserted in 2019: the development plan 'shall include' the spatial-planning proposals of the plan sanctioned under the MPC or DPC Act. This only requires the plans to be consistent with each other. It is not a participation requirement.
(3) GTPUD Act ss.7(2) and 23(2), as amended in 2017: the State 'may' delegate authority powers to the local authority. This is optional ('may'), and it is about delegating powers, not taking part in plan-making.
(4) MPC Act s.10B(1)-(2): for a variation, objections are invited 'from any person', and the MPC is consulted. A notice to the general public is not consultation with the city government or with parastatals.
(5) Bill 21 of 2019 (ULG-02, p.7), statement of objects: says the MPC and DPC Acts require plans to be made 'in regard to' plans prepared by municipalities and panchayats. This is explanatory text, not an operative section, and the MPC Act's own section is not in the sheet.
(6) GTPUD Rules 1979 (ULG-04): Form A invites objections from the public. I found no advisory council.
(7) CGDCR 2017 (ULG-05, ULG-14 to ULG-16): the committees it sets up deal with development permission and heritage, not with plan-making.
(8) GPMC Act s.284F (ULG-03): notices to utilities, but for objections only and only for redevelopment plans.
(9) SUDA's Development Plan 2035 (ULG-06, p.183) records meetings with village sarpanchs. That is practice, not law, so it cannot score a Law/Policy question.
What I checked: I read ULG-01 three times, looking for UDA constitution (s.22), s.9 and s.13. Only the appended 2017 and 2019 amendments came back. I also searched the whole sheet for consultation with local authorities, advisory committees, MPC composition and consultation with municipalities. None of these searches found an operative provision.
Missing evidence: the readable operative text of the GTPUD Act 1976 is not in the sheet. That includes s.2(iii), ss.9-13 (how the draft plan is prepared and published) and ss.22-23 (who sits on the UDA, and whether it includes local-authority members). The full Gujarat MPC Act 2008 is also missing, including its composition section and any requirement to consult municipalities or agencies (the 'in regard to' wording). The DPC Act 2008 and the notification constituting the Surat MPC are missing too, and there is nothing on ward-level plans.
What a person should do: add official text of these instruments, then decide YES or NO. If the MPC Act contains a binding 'shall consult / have regard to plans of municipalities' clause, or the UDA or MPC composition includes ULG and agency representatives, that could support YES. NO can only be entered once all of these have been read and nothing is found.</t>
  </si>
  <si>
    <t xml:space="preserve">UPD10</t>
  </si>
  <si>
    <t xml:space="preserve">Does the law mandate public participation in preparation of the municipal plan through Area Sabhas / Ward Sabhas and other means?</t>
  </si>
  <si>
    <t xml:space="preserve">ANSWER: Part B (other means) is met. The Karnataka Town and Country Planning Act, 1961 (KTCP Act) requires the Planning Authority to ask the public for suggestions when it declares it will prepare a Master Plan, and later to publish the plan inviting public comments, which it 'shall consider'. The Greater Bengaluru Governance Act, 2024 (GBG Act) makes the Greater Bengaluru Authority (GBA) the Planning Authority for the Greater Bengaluru Area, so these duties fall on GBA. Part A (ward committees / Area Sabhas) is NOT FOUND, but not confirmed absent. In the KTCP Act text I read, ward committees, Ward Sabhas and Area Sabhas take no part in preparing the Master Plan. The only participation duty through a Ward Sabha in Bengaluru's law is in the GBG Act, and it covers the annual Ward Development Plan, not the city Master Plan. Other layers were not read, so a 0 for Part A cannot be justified yet. | EVIDENCE: (1) KTCP Act s.10(1), as substituted by Act 1 of 2005: the Planning Authority 'shall publish a notice of such declaration in the Official Gazette and also in one or more local newspaper in the prescribed manner calling suggestions from the public within a period of sixty days'. (2) KTCP Act s.13(1): the plan is returned to the Planning Authority, 'which shall thereupon publish, by notification, the plan and the reports inviting public comments within sixty days'. s.13(2): if a member of the public sends comments, 'the Planning authority shall consider such comments and resubmit</t>
  </si>
  <si>
    <t xml:space="preserve">The planning authority shall publish a notice of such declaration in the Official Gazette and also in one or more local newspaper in the prescribed manner calling suggestions from the public within a period of sixty days</t>
  </si>
  <si>
    <t xml:space="preserve">SCORE: Part B can be filled. Part A stays blank, so the total score is open. It would be 5 if Part A is confirmed NO, or 10 if YES.
PART B = YES. The Karnataka Town and Country Planning (KTCP) Act has two mandatory public-input steps for the Master Plan:
- s.10(1): the Planning Authority 'shall publish a notice' 'calling suggestions from the public within a period of sixty days'. s.10(2): the Planning Authority 'shall consider such suggestion'.
- s.13(1): the Planning Authority 'shall thereupon publish, by notification, the plan and the reports inviting public comments within sixty days'. s.13(2): it 'shall consider such comments' and resubmit with recommended changes.
Both use 'shall', and both are open to every member of the public. The methodology credits these under Part B even though no specific method is required.
WHO THE DUTIES FALL ON:
- Greater Bengaluru Governance (GBG) Act (ULG-01), Planning Functions sub-section (2)(a): the Greater Bengaluru Authority (GBA) 'shall be the "Planning Authority" as defined under the Karnataka Town and Country Planning Act, 1961'.
- The 2025 KTCP Amendment Bill (ULG-03) would add a new s.81-G with the same effect. It is still a Bill: it comes into force only on a date the State notifies, and it says nothing about participation.
PART A = BLANK. This is 'not found', not proven absent. What I checked:
- KTCP Act s.6, 7, 9, 10, 12, 13 and 13-A (ULG-02): none mentions ward committees, Ward Sabhas or Area Sabhas in preparing the Master Plan.
- The 2020 Second Amendment (Act 47 of 2020, appended in ULG-02):
  - It requires ward-level land-use maps and their display 'in the offices of the local authorities and the ward offices'.
  - It adds to s.13(1) that the plan 'shall be forwarded to the local authorities within the local planning area'.
  - That is display at offices and forwarding to the local authority, not a ward committee or Area Sabha process.
  - However, the rest of the s.13(1) insertion is cut off in the saved text, so I could not confirm all of its wording.
- GBG Act (ULG-01):
  - s.103(1)(b)-(c): the Ward Sabha's role covers only the annual Ward Development Plan, which is a budget priority list. That is not the city Master Plan.
  - The clause on the Bengaluru Metropolitan Planning Committee's draft development plan (Planning Functions (2)(c)) is cut off at 'and disc...', so I could not read whether it requires consulting ward committees.
- ULG-03 (2025 Bill): it deals only with the Commissionerate and the Planning Authority's jurisdiction. It has no participation provisions.
- The KTCP Rules, which set the 'prescribed manner' for these notices, are not in the Citation Sheet.
The 0 for Part A cannot be given until a reviewer checks three things: the full s.13(1) text from the 2020 amendment, the full GBG Act Bengaluru Metropolitan Planning Committee clause, and the KTCP Rules.
PERIOD: KTCP Act as compiled by PRS up to Act 38 of 2015, plus Act 47 of 2020. GBG Act as enacted (notified 24.04.2025). Era: GBA era.
I agree with the Step 2 answer and checked it against the source text.</t>
  </si>
  <si>
    <t xml:space="preserve">The citation didn't settle every input. "Part A: Formal platforms (ward committees / area sabhas)" left blank: the Citation Sheet doesn't decide it.</t>
  </si>
  <si>
    <t xml:space="preserve">ANSWER: Part B (other means) is met. Under the Gujarat Town Planning and Urban Development Act, 1976 (GTPUD Act), as carried out by Rule 5 of the 1979 Rules, the draft development plan must be published, and objections and suggestions from any member of the public must be invited within two months and considered. For Surat, Surat Urban Development Authority (SUDA) prepares this plan, and its area includes the Surat Municipal Corporation (SMC) area. Part A (ward committees or area sabhas) is not determined. The sheet has no provision requiring ward committees or area sabhas to take part in preparing the plan. But this is 'not found', not a proven absence, because the main text of the Act could not be read and the Ward Committee rules are not in the sheet. | EVIDENCE: (1) GTPUD Rules 1979 (ULG-04), r.5(1): the area development authority or authorised officer 'shall' publish the draft development plan through a notice in the Official Gazette and in one or more Gujarati newspapers (Form A), and the notice is also pasted at the authority's head office and other prominent places. r.5(2): the notice 'shall in pursuance of the provisions of section 13' announce that, if any member of the public sends written objections or suggestions within two months, the authority 'shall consider' them and 'may modify' the plan. r.6(1) (as amended by Notification dated 22-01-87): if the authority makes extensive or substantial changes, these are republished and objections and suggestions from the p</t>
  </si>
  <si>
    <t xml:space="preserve">Gujarat Town Planning and Urban Development Rules, 1979 (copy hosted by Surat Urban Development Authority) [ULG-04]</t>
  </si>
  <si>
    <t xml:space="preserve">https://www.sudaonline.org/wp-content/uploads/2013/08/GTPUD-Rules-1979.pdf</t>
  </si>
  <si>
    <t xml:space="preserve">Every notice published under sub -rule (1) shall in pursuance of the provisions of section 13 announce that i f within two months from the date of publication of the notice in the Official Gazette any member of the public communicates in writing to the area development authority or as the case may be to the authorized officer, his objections or suggestions with re spect to the development plan, the development authority or as the case may be the authorized officer shall consider such objections or suggestions and may modify such plan as it/he thinks fit.</t>
  </si>
  <si>
    <t xml:space="preserve">PART B = YES. I checked the Step 2 answer against the source. Under ULG-04, the GTPUD Rules 1979 (made under the Gujarat Town Planning and Urban Development Act, 1976): r.5(1) says the authority 'shall' publish the draft development plan in the Official Gazette and in Gujarati newspapers. r.5(2) says the notice 'shall', 'in pursuance of the provisions of section 13', invite written objections or suggestions from any member of the public within two months. The authority 'shall consider' them. Only modifying the plan is discretionary ('may modify'). Form A is issued 'in pursuance of sub-section (1) of section 13 of the said Act' and says objections and suggestions 'from any person … shall be considered'. Under r.6(1) and (2), substantial modifications made by the authority or by the State are republished for public objections, which 'shall be considered' before sanction. This fits the methodology's footnote: a provision for consolidating suggestions and objections counts as 'other means'. The Act's own s.13 text cannot be read in ULG-01: the PRS copy's pages 2-86 are scanned with no text layer. So the YES rests on the Rules, which state they implement the mandate in s.13. The reviewer should confirm that the Rules are enough to show the Act 'mandates' this. That is why confidence is medium-to-low. This is a general notice to the public, not ward-level consultation. PART A = blank (not found; absence not proven). I found no provision requiring ward committees or area sabhas to take part in preparing the development plan in: GTPUD Rules r.3, r.5 and r.6; the readable GTPUD amendment Acts (6 of 2017, 22 of 2017, 14 of 2019 in ULG-01 and Bill 21 of 2019 in ULG-02); the 2019 amendments to the MPC and DPC Acts (ss.10A-10C, which provide only 'any person' objections to variations); and GPMC Act s.29A (ULG-03, Wards Committees, whose functions are left to State rules under s.29A(8)). A search across the whole Citation Sheet for 'ward committee area sabha development plan participation' returned nothing relevant. But I cannot record affirmative absence. The main text of the GTPUD Act, including ss.9-17, is unreadable. The Wards Committee rules under GPMC s.29A(8) are not in the sheet. The full text of the Gujarat Metropolitan Planning Committees Act, 2008 is not in the sheet. A human should check these three instruments. If none of them has a provision, Part A = NO and the total is 5; if a provision is found, the total is 10. Period: GTPUD Act 1976 as amended up to Act 14 of 2019; Rules 1979 with the 1987 amendment; GPMC Act as modified up to 30-11-2017.</t>
  </si>
  <si>
    <t xml:space="preserve">UPD11a</t>
  </si>
  <si>
    <t xml:space="preserve">Is there public scrutiny for (including objections and responses) municipal/city plan? &gt;:&lt; Does the law mandate public scrutiny for (including objections and responses) municipal/city plan through Area Sabhas / Ward Sabhas and other means?</t>
  </si>
  <si>
    <t xml:space="preserve">ANSWER: Part B (other means) is met. The Karnataka Town and Country Planning Act (KTCP Act) requires the Master Plan to be published for public comment, and the Planning Authority must consider those comments and send the plan back with recommended changes. Part A (Ward Committees / Area Sabhas) is NOT FOUND for the city plan. The Act sections read do not mention ward committees, ward sabhas or area sabhas. The city's own law, the Greater Bengaluru Governance Act (GBA Act), uses a Ward Sabha only for the Annual Ward Development Plan, not for the Master Plan. I could not show the absence for every layer, because the KTCP Rules are not in the Citation Sheet and one GBA Act planning clause could not be read in full. So Part A is undetermined, not 0. | EVIDENCE: (1) KTCP Act s.13(1), as substituted by Act 1 of 2005: after provisional approval, the Planning Authority 'shall thereupon publish, by notification, the plan and the reports inviting public comments within sixty days of such publication'. (2) s.13(2): 'the Planning authority shall consider such comments and resubmit the plan and the reports to the State Government ... with recommendations for such modifications'. This is a mandatory scrutiny, objection and response step for the city plan, so it meets Part B. (3) s.13(3)-(4): the State Government gives final approval 'in the light of the comments'. The approved plan is published and kept open for public inspection. (4) s.13-A(1): the s.13 procedure also applies to Interim </t>
  </si>
  <si>
    <t xml:space="preserve">If within sixty days of the publication under sub-section (1), any member of the public communicates in writing to the Planning Authority any comments on the plan and the reports, the Planning authority shall consider such comments and resubmit the plan and the reports to the State Government, through the Director with recommendations for such modifications in the plan and reports as it considers necessary in the light of the public comments made on the plan and reports.</t>
  </si>
  <si>
    <t xml:space="preserve">PART B = YES. The KTCP Act requires the Planning Authority to publicise the Master Plan and to answer what the public says. Under s.13(1), the plan returned by the State Government 'shall thereupon publish, by notification, the plan and the reports inviting public comments within sixty days'. Under s.13(2), the Planning Authority 'shall consider such comments and resubmit' the plan with recommended changes 'in the light of the public comments'. Section 10(1)-(2) adds a mandatory earlier step: the declaration of intention is published 'calling suggestions from the public within a period of sixty days', and the Planning Authority 'shall consider such suggestion'. Under s.13-A(1), the s.13 procedure also applies to Interim Master Plans. All of these are 'shall' duties covering scrutiny, comments and the response, so Part B is met (2.5). For Bengaluru, GBA Act s.14(2)(a) (ULG-01) makes the Greater Bengaluru Authority (GBA) the 'Planning Authority' under the KTCP Act for the Greater Bengaluru Area. ULG-03, a 2025 amendment Bill (inserting s.81-G), says the same, but it is the Bill as passed by the Assembly and I have not confirmed it is in force.
PART A = BLANK (not found; affirmative absence not shown). What I checked: (1) KTCP Act ss.9, 10, 12, 13 and 13-A (ULG-02). No ward committee, ward sabha or area sabha appears in the Master Plan procedure. (2) ULG-03, the KTCP Amendment Bill 2025. It covers the Commissionerate and the GBA as Planning Authority. It has no participation provisions. (3) BDA Act ss.17-18 (ULG-04). These cover development schemes, with representations from 'the Corporation' and notices to affected owners. That is not ward-level scrutiny of the Master Plan, and since the GBA was set up the BDA is no longer the Planning Authority for the Greater Bengaluru Area. (4) GBA Act s.103(1)(b)-(c) (ULG-01). The Ward Sabha meets only 'for providing inputs for the formulation of the Annual Ward Development Plan', which is a budget priority list. It is not scrutiny of the Master Plan. Section 103(1)(d) lets the Ward Committee call general meetings on any issue, but that is a general power, not a requirement to scrutinise the city plan. I did not use the BBMP Act 2020 (ULG-19), which had Area Sabhas: it is a BBMP-era law that the GBA Act replaced.
Why Part A is blank and not NO: (a) The GBA Act clause on the Bengaluru Metropolitan Planning Committee's draft development plan (s.14(2)(c)) is cut off at 'shall prepare a draft development plan ... and disc...' in every excerpt I could get, so I could not check it for a ward-level consultation step. (b) The KTCP Rules, which set the 'prescribed manner' of publication under ss.9, 10 and 13(4), are not in the Citation Sheet. A reviewer should read the full s.14(2)(c) and the KTCP Rules. If neither requires ward committee or area sabha scrutiny, Part A = NO (0) and the total = 2.5/5. If either does, Part A = YES and the total = 5/5.
Other notes: The Step 2 answer is consistent with the source. The KTCP text I used goes only to 2015 (PRS compilation, a secondary source), and later amendments are not in the Citation Sheet.</t>
  </si>
  <si>
    <t xml:space="preserve">ANSWER: Part B (other means): yes. The Gujarat planning framework requires the public to be able to examine the development plan and send objections, which must be considered. Under Rules 1979 r.5, the authority shall publish the draft development plan in the Official Gazette and in Gujarati newspapers and put notices up at its office. Any member of the public may send written objections or suggestions within two months, and the authority 'shall consider' them. Rule 6 adds a second round of notice and objections when the draft is changed substantially, first by the planning authority and then by the State Government. Part A (Ward Committees / Area Sabhas): not found. The Rules give only gazette, newspaper and posted notices. No part of the Citation Sheet I read ties plan scrutiny to Ward Committees or Area Sabhas. But the main sections of the Town Planning Act, the Ward Committees' functions under the Municipal Corporations Act, and any Area Sabha law were not all available or read, so I cannot treat this as a confirmed absence. Note on who plans: the Surat development plan is prepared by the Surat Urban Development Authority (SUDA) and sanctioned by the State Government. The Surat Municipal Corporation (SMC) prepares Town Planning Schemes. | EVIDENCE: (1) Gujarat Town Planning and Urban Development Rules, 1979 (ULG-04): r.5(1): the authority 'shall... cause the development plan also published by means of a notice in the Official Gazette, and in one or more Gujarati newspaper</t>
  </si>
  <si>
    <t xml:space="preserve">PART B = YES (worth 2.50). The Gujarat Town Planning and Urban Development Rules, 1979 (ULG-04) set out a public scrutiny process for the draft development plan under GTPUD Act s.13. Under r.5(1), the plan 'shall' be published by notice in the Official Gazette and in Gujarati newspapers, and copies are pasted at the head office and at prominent places. Under r.5(2), any member of the public may send objections or suggestions in writing within two months, and the authority 'shall consider' them. Rule 6 adds another round of notice and objections when the planning authority or the State Government makes substantial changes. Form A says objections received 'from any person' 'shall be considered'. This is a binding rule ('shall'), so it meets Part B ('other means', including scrutiny or objections where no mode is specified). I checked this against the source text, and the Step 2 answer is supported. Two limits: changing the plan after objections is only 'may modify', and no written reply to each objector is required. The methodology only asks for scrutiny including objections and responses, and mandatory consideration meets that. The Act's own s.13 text is not readable in the PRS copy (ULG-01). In that copy, the 2019 amendments (new s.10B in the MPC Act / DPC Act) also require Gazette notice inviting objections 'from any person' on changes to a final development plan. PART A = blank (not found; absence not confirmed). The Rules 1979 provide only Gazette, newspaper and posted notices. Ward Committees and Area Sabhas are not mentioned in r.5, r.6 or r.17-18. A search of the Citation Sheet for 'ward committee area sabha' found no provision tying plan scrutiny to ward-level forums. But GPMC Act s.29A(8) (ULG-03) says the State Government 'shall by rules define the functions and duties of the Wards Committee'. Those Ward Committee rules are not in the Citation Sheet, and neither is any Gujarat Area Sabha / Community Participation law or the full main text of GTPUD Act s.13-17. So affirmative absence cannot be shown, and NO cannot be entered. What I checked: ULG-04 (Rules r.3-6, r.16-18, Forms A/B); ULG-01 (amendments of 2017 and 2019, including MPC/DPC s.10B); ULG-03 (s.29A, s.284F); a sheet-wide search for ward committee / area sabha. A reviewer should get the Gujarat Wards Committee rules made under GPMC s.29A(8). If those rules give Ward Committees no role in scrutinising plans, Part A = NO, and the total would be 2.50 out of 5. Scope note: the statutory development plan for Surat is prepared by SUDA and sanctioned by the State, not by SMC. The reviewer should confirm that this counts as the 'municipal/city plan' for the question. GPMC s.284F re-development plans also have notice and objections (the Commissioner 'shall' publish notice; the Standing Committee 'may' modify).</t>
  </si>
  <si>
    <t xml:space="preserve">UPD11b</t>
  </si>
  <si>
    <t xml:space="preserve">Is there public scrutiny for (including objections and responses) municipal/city plan? &gt;:&lt; Was the public scrutiny undertaken for (including objections and responses) municipal/city plan?</t>
  </si>
  <si>
    <t xml:space="preserve">Step 2 found no evidence: a source needs to be found and added. Step 2 found no evidence (Insufficient Evidence). Source needed: Any of the following, from BDA, GBA or a city corporation, or from the Karnataka eGazette: (a) the Gazette or newspaper notice publishing the draft master plan (RMP 2015, or the draft RMP 2041 / Greater Bengaluru Area plan) and inviting public comments under s.13(1) of the Town and Country Planning Act, or the s.10(1) notice of intention calling for suggestions; (b) a record of objections received and how they were dealt with (a report on objections, hearing minutes, or the Planning Authority's recommendations to the State under s.13(2)); (c) the final approved master plan or approval GO describing the public scrutiny; (d) dated official consultation notices or minutes on the BDA or GBA website.</t>
  </si>
  <si>
    <t xml:space="preserve">ANSWER: Yes. Surat's city plan is the Development Plan 2035 of the Surat Urban Development Authority (SUDA). SUDA, not the municipal corporation, prepared it under the Gujarat Town Planning and Urban Development Act, 1976, and it covers the Surat Municipal Corporation area. The draft went through public scrutiny. It was published in the Official Gazette under s.13 on 10 May 2016 and in a Gujarati daily on 11 May 2016, inviting suggestions and objections from the public for two months. The State Government then told SUDA to submit the plan together with the suggestions and objections received. SUDA also held separate stakeholder consultations: about 60 committee meetings, meetings with sarpanchs of 95 villages, and a 22.04.2016 meeting with MPs, MLAs and the SMC Mayor that produced 136 recorded suggestions. | EVIDENCE: ULG-06 (SUDA Development Plan 2035 report, 22 Feb 2017), Ch.21, p.216: the draft was 'published in the Official G azette the on 10 th May 2016 under section 13 for inviting public opinion'. The newspaper notice of 11 May 2016 invited 'suggestions and objections from the general public'. Under s.14, SUDA 'has to submit the Draft Development Plan - 2035 to the State Government along with opinion on such objections and suggestions'. Ch.21, p.217: by letter dated 21.11.2016, UD&amp;UHD told SUDA to submit the draft 'along with the sugge stions and objections received for the proposals on the Draft Development plan - 2035 published u/s 13'. Ch.16 (pp.165-167), Stakeholde</t>
  </si>
  <si>
    <t xml:space="preserve">As per the statutory requirement the same was published in the Official G azette the on 10 th May 2016 under section 13 for inviting public opinion. The notice was also issued in the prescribed manner in the Gujarati daily on 11th May, 2016 inviting suggestions and objections from the general public within the statutory time limi ts of two months.</t>
  </si>
  <si>
    <t xml:space="preserve">This sub-question asks about implementation: was public scrutiny actually carried out? The methodology says to score 5 if there is evidence of public scrutiny in the Development Authority's or ULG's material, including the plan itself. I checked the Step 2 answer against ULG-06 (SUDA Development Plan 2035 report, dated 22 Feb 2017), and the report supports it.
What the report shows:
(1) The draft DP 2035 was published in the Official Gazette under s.13 on 10 May 2016. A notice in a Gujarati daily on 11 May 2016 invited suggestions and objections from the public within two months (p.216).
(2) Under s.14, SUDA had to submit the draft to the State Government together with its opinion on those objections and suggestions (p.216).
(3) In a letter dated 21.11.2016, UD&amp;UHD told SUDA to submit the draft 'along with the suggestions and objections received for the proposals on the Draft Development plan - 2035 published u/s 13' (p.217). This shows objections were actually received, not just invited.
(4) Ch.16 records stakeholder consultation: about 60 committee meetings, meetings with sarpanchs of 95 villages, institutional consultations, and a 22.04.2016 meeting with MPs, MLAs and the SMC Mayor at which 136 suggestions were tabulated (pp.165-167).
On that basis the answer is YES (5 points).
Points for the reviewer:
(a) SUDA prepared the plan, not the Surat Municipal Corporation. SUDA is a state development authority and its plan covers the SMC area. The methodology allows 'Development Authority/ULG websites (as applicable)', but please confirm that the SUDA DP counts as the municipal/city plan for this ULG.
(b) For the 'responses' part, the evidence is only the s.14 duty to give an opinion on objections and the state's direction to forward the objections received. The Citation Sheet has no itemised register of objections with a response to each.
(c) The Citation Sheet also does not contain the original 2016 s.13 gazette notice, the newspaper notice, or the 08.10.2020 sanction notification. The practice evidence is SUDA's own account in the report, an official A2-type source.
(d) Period: draft published May 2016; report dated Feb 2017. ULG-17 (2025) shows the plan is still current and that a s.19(1) variation is open for objections, but that is the state's own process. Era: n/a.</t>
  </si>
  <si>
    <t xml:space="preserve">UPD12</t>
  </si>
  <si>
    <t xml:space="preserve">Does the law mandate periodic review and revision of the notified municipal/city plan, including corresponding revisions to the Development Control Regulations (DCRs)?</t>
  </si>
  <si>
    <t xml:space="preserve">ANSWER: Only in part. Section 13-D of the Karnataka Town and Country Planning Act (KTCP Act) gives a revision timeline ('at least once in every ten years') and names the body responsible (the Planning Authority, or the State Government by direction). Revision is not mandatory, though: the Planning Authority 'may' revise, and 'shall' only 'if directed so by the State Government'. When a revision does happen, sections 9 to 12 apply to it. Section 12 makes Zoning Regulations, zone-wise regulations and building-line, height and FAR controls part of the Master Plan, so a revised plan has to carry revised development regulations. Under the Greater Bengaluru Governance Act (GBG Act), the Greater Bengaluru Authority (GBA) is the Planning Authority for the Greater Bengaluru Area. | EVIDENCE: (1) KTCP Act s.13-D 'Revision of Master Plan' (inserted by Amendment Act 2004; PRS compilation p.34-35 and p.119): 'At least once in every ten years ... the Planning Authority may and if directed so by the State Government shall, carryout a fresh survey ... with a view to revising the existing Master Plan and the provisions of section 9 to section 12 (both inclusive) shall mutatis mutandis apply in respect of such revision'. (2) KTCP Act s.12(1)(a): the Master Plan 'shall include proposals for ... zoning of land use ... together with Zoning Regulations'. s.12(1)(f): areas of special control subject to regulations on 'building line, height of the building, floor area ratio'. s.12(2)(iii): 'regulati</t>
  </si>
  <si>
    <t xml:space="preserve">At least once in every ten years from the date on which the Master Plan has come into force, subject to the provisions of section 13-C, the Planning Authority may and if directed so by the State Government shall, carryout a fresh survey of the area within its jurisdiction, with a view to revising the existing Master Plan and the provisions of  section 9 to section 12 (both inclusive) shall mutatis mutandis apply in respect of such revision of the Master Plan.</t>
  </si>
  <si>
    <t xml:space="preserve">The inputs add up to 7.5 of 10 (C2 + C3 + C4 at 2.5 each). I checked the Step 2 answer against the source text, and it holds.
C1, periodic review mandated = NO: This NO rests on a provision I found and read, not on a gap in the evidence. Under KTCP Act s.13-D the Planning Authority 'may' revise the plan. It 'shall' revise only 'if directed so by the State Government'. The law therefore allows periodic revision but does not require it. The methodology also says that ten-year wording about revision should not count for C1. Other provisions I checked do not create a periodic duty either:
- s.13-B proviso: 'shall revise', but only when an additional area is added or the State directs. That is triggered by an event, not periodic.
- s.13-E: the State Government 'may' amend regulations. Discretionary.
- GBG Act 2024 (ULG-01), Planning Functions sub-section (2)(a): makes the GBA the Planning Authority under the KTCP Act. Its s.315(l) only lets the GBA make regulations on Master Plan contents. Neither sets up a revision cycle.
- 2025 KTCP Amendment Bill (ULG-03): inserts s.81-G and amends s.2(7) and s.81-B. It does not touch s.13-D.
The KTCP Rules are not in the Citation Sheet, so I could not check them. The methodology points to the State Town Planning Act.
C2, timeline = YES: s.13-D says 'At least once in every ten years from the date on which the Master Plan has come into force'.
C3, responsible authority = YES: s.13-D names the 'Planning Authority', with the State Government able to direct it. Under GBG Act Planning Functions (2)(a), the GBA is the Planning Authority for the Greater Bengaluru Area. ULG-03 would make this explicit through s.81-G, but there is no evidence it has been enacted.
C4, matching DCR revision = YES, by reading two sections together: s.13-D says ss.9 to 12 'shall mutatis mutandis apply' to a revision. Under s.12(1)(a) the Master Plan 'shall include proposals for ... zoning of land use ... together with Zoning Regulations'. Under s.12(1)(f) it covers regulations on building line, height and FAR. Under s.12(2)(iii), 'regulations in respect of each land use zone to enforce the provisions of such plan' must be published with the plan. A revised plan must therefore come with revised zoning regulations.
For the reviewer to check:
(a) Whether the s.12 Zoning Regulations count as 'DCRs' under the rubric. The Act never uses the words 'Development Control Regulations'. If they do not count, the score drops to 5.
(b) Whether C2 and C3 can be credited even though revision is not mandatory (C1 not met).
(c) Whether s.13-D was amended after the PRS compilation (amendments up to Act 38 of 2015). The PRS copy is a secondary source, so an official consolidated text should be checked.</t>
  </si>
  <si>
    <t xml:space="preserve">ANSWER: Not established from the Act's own text. The only source in the Citation Sheet that addresses this is SUDA's Development Plan 2035 report. It says section 21 of the Gujarat Town Planning and Urban Development Act, 1976 (GTPUD Act) requires the development plan to be revised once in 10 years. This would suggest a fixed revision timeline, with the area development authority (here the Surat Urban Development Authority, SUDA) preparing the revision and the State Government sanctioning it. I could not read section 21 itself, so I cannot confirm its wording ('shall' or 'may'), the responsible authority, or whether it also requires the regulations (DCRs) to be revised. I found no source in the Sheet that requires the DCRs to be revised after a plan revision. | EVIDENCE: (1) ULG-06, SUDA Development Plan 2035 report (22-02-2017), p.40 (also p.30): 'As per the provisions of section 21 of the Act, the development plan is to be revised once in 10 years'. It records the plan history: first plan in force 1986, revised plan in force 15-09-2004, then DP-2035. This is a planning body describing the law, not the statute. (2) ULG-01, GTPUD Act 1976 (PRS copy with amendments): the passages I could retrieve were only the 2017 and 2019 amending Acts. The 2019 Act inserted s.19A: the appropriate authority 'shall include' the spatial proposals of District/Metropolitan Planning Committee plans 'by varying the development plan under section 19'. The text of s.21 did not come up in any search.</t>
  </si>
  <si>
    <t xml:space="preserve">As per the provisions of section 21 of the Act, the development plan is to be revised once in 10 years</t>
  </si>
  <si>
    <t xml:space="preserve">I left all four inputs blank. The deciding provision, s.21 of the Gujarat Town Planning and Urban Development Act 1976 (GTPUD Act), cannot be read anywhere in the Citation Sheet.
(1) ULG-01 (PRS copy of the GTPUD Act): I read it from the start. The principal Act is on pages 2-86, and those pages are a scan with no readable text; they came back empty. The only readable text is the amending Acts: Act 6 of 2017 (s.51), Act 22 of 2017 (ss.7, 23, 49, 52, 76A, 119) and Act 14 of 2019 (ss.9, 12, new s.19A, plus the DPC/MPC Acts). None of these amends or restates s.21. So the verb ('shall' or 'may'), the timeline, the responsible authority and any link to the regulations cannot be checked against the statute. This is a VERIFICATION-LIMIT, not a negative finding.
(2) ULG-06 (SUDA Development Plan 2035 report, 2017) is the only source. It says three times (pp.30, 40, 203) that under s.21 'the development plan is to be revised once in 10 years'. That is a planning body summarising the law, not the law itself. I don't treat it as enough to say the Act mandates a review, sets a timeline or names an authority.
There is also a methodology question for a human to decide. Component 1 says a provision 'alluding to the revision or creation of a new plan say after ten years' shall not be considered. So even a confirmed 'revise at least once in ten years' rule may not earn component 1, though it would still count toward the timeline component (component 2).
(3) Corresponding DCR revision: I can't record NO. Affirmative absence isn't met because the s.21 text, which may refer to 'development plan and regulations', was not readable. What I checked:
- ULG-04 (GTPUD Rules 1979): r.6/7 cover sanction of the draft development plan 'and the regulations' under ss.16-17, and r.36 covers variation of TP scheme regulations. I found no periodic-revision rule.
- ULG-05 / ULG-14 (CGDCR 2017): my searches found no clause tying DCR revision to plan revision.
- ULG-17 (Gazette, 24 March 2025): a one-off variation under s.19(1), not a periodic review.
- ULG-03 (Gujarat Provincial Municipal Corporations Act 1949): I found no periodic city-plan revision.
Note: Surat's development plan is prepared by SUDA (the Surat Urban Development Authority) and sanctioned by the State Government; Surat Municipal Corporation is not the planning authority.
ACTION: add a readable official copy of the GTPUD Act 1976 (the UD&amp;UHD or Legislative Department text) to the Sheet, then re-score from s.21 and any related provision on the regulations.</t>
  </si>
  <si>
    <t xml:space="preserve">The citation didn't settle every input. "Periodic review &amp; revision mandated" left blank: the Citation Sheet doesn't decide it. "Review/revision timeline specified" left blank: the Citation Sheet doesn't decide it. "Responsible authority specified" left blank: the Citation Sheet doesn't decide it. "Corresponding DCR revision required" left blank: the Citation Sheet doesn't decide it.</t>
  </si>
  <si>
    <t xml:space="preserve">UPD13a</t>
  </si>
  <si>
    <t xml:space="preserve">Does the T&amp;CP Act mandate the planning for:   &gt;:&lt; a) Water Supply/ Sewerage, Sanitation and Solid Waste Management</t>
  </si>
  <si>
    <t xml:space="preserve">10 &gt;:&lt; 1.67</t>
  </si>
  <si>
    <t xml:space="preserve">ANSWER: Only one of the three components has any support in the Citation Sheet, and even that one has a mismatch. (3) Solid waste: the Greater Bengaluru Governance Act requires a block-level solid waste management plan. Section 279 says the City Corporation 'shall' create one for every block in a ward. But the Act names the Greater Bengaluru Authority (GBA) as the Planning Authority, not the City Corporations, and these are ward/block operating plans rather than a city-level SWM plan or a part of the master plan. (1) Water supply/sewerage and (2) City sanitation: none of the sheet's sources makes such a plan, or such a part of the master plan, mandatory for the planning authority. However, some relevant instruments are not in the sheet, so this is 'not found' rather than a confirmed absence. | EVIDENCE: Karnataka Town and Country Planning Act (KTCP) s.12(1), what a Master Plan must contain (Act 1 of 2005 text): 'such plan shall include proposals for' (a) land-use zoning, (b) street pattern and traffic, (c) parks, public buildings and civic uses, (d) future development areas, (e) land reserved for government, the Planning Authority or 'public utility undertaking', (f) special control areas and (g) stages. Water supply, sewerage, sanitation and solid waste are not listed. s.12(3) adds heritage only. KTCP s.26(2), town planning schemes: a scheme 'may make provisions for' (f) drainage inclusive of sewerage and sewage disposal and (h) water supply. This is optional ('may') and doe</t>
  </si>
  <si>
    <t xml:space="preserve">The City Corporation shall create a solid waste management plan for every block in a Ward</t>
  </si>
  <si>
    <t xml:space="preserve">I left all three inputs blank. The Step 2 answer matches the sources, and I checked it again.
(1) Water supply/sewerage, and (2) City sanitation: no 'shall' provision found.
- KTCP Act s.12(1) (ULG-02, PRS text with amendments up to Act 38 of 2015, s.12 as substituted by Act 1 of 2005) says the Master Plan 'shall include proposals for' items (a)-(g). These are zoning, streets/traffic, parks and civic uses, future expansion, land reserved for government or a 'public utility undertaking', special control areas, and stages. Water supply, sewerage, sanitation and SWM are not listed. Reserving land for a utility is not a requirement to plan the service. s.12(3) covers heritage only.
- KTCP s.26(2)(f) (drainage/sewerage) and s.26(2)(h) (water supply) say a town planning scheme 'may make provisions for' these. That is a 'may' provision, so it does not count.
- BDA Act s.16(1)(c) (ULG-04) requires drainage and water supply, but only inside development schemes that are themselves optional under s.15(1) ('may'). Sanitary arrangements under s.16(2)(c) are 'may'. ULG-03 (KTCP Amendment Bill 2025) makes the Greater Bengaluru Authority (GBA) the Planning Authority for the Greater Bengaluru Area (new s.81-G, revised s.2(7)) and moves BDA outside that area. So BDA schemes no longer cover this ULG. The Bill does not change s.12's list of contents.
- GBA Act s.15(1) requires only a 'master plan and mobility plans'. s.14(4) is coordination of BWSSB and the solid waste corporation, not a plan. s.103(1)(h)-(j) are ward committee maintenance duties, and their recommendations are advisory (s.103(4)).
- I searched the sheet again for water supply, sanitation or sewerage plan duties and found none.
- Why not NO: not every relevant instrument is in the Citation Sheet. Missing are the KTCP Rules, any KTCP amendments after 2015 other than ULG-03, the GBA Act Rules, the BWSSB Act 1964, and the BMRDA Act. So this is 'not found', not confirmed absence. A 0 needs affirmative absence, so I cannot enter NO.
(3) SWM: there is a 'shall' provision, but whether it fits the rubric needs a reviewer's call.
- GBA Act s.279(1) says the City Corporation 'shall create a solid waste management plan for every block in a Ward'. s.278(2) says ward committees 'shall prepare Ward action plan' for SWM.
- Problem 1: the methodology wants a mandate on 'the planning authority'. Under s.14(2)(a), GBA is the Planning Authority, not the City Corporations.
- Problem 2: these are block/ward operating micro plans (collection times, vehicles, street sweeping, staff), not a city-level SWM plan or an SWM part of the master plan.
- Following the Step 2 request for confirmation, I left this blank rather than guess. If the reviewer accepts a duty on the City Corporations (part of the ULG) and ward/block micro plans as an 'SWM Plan', enter YES (0.55). Otherwise NO can only be confirmed once the missing instruments above have been read.
Period: GBA era. GBA Act as enacted (Karnataka Act 36 of 2025, DPAL notification 24.04.2025). ULG-19 (BBMP Act 2020 s.293) is the earlier BBMP-era version of the same provision and was not relied on.</t>
  </si>
  <si>
    <t xml:space="preserve">The citation didn't settle every input. "Water supply / sewerage" left blank: the Citation Sheet doesn't decide it. "City sanitation" left blank: the Citation Sheet doesn't decide it. "Solid waste management" left blank: the Citation Sheet doesn't decide it.</t>
  </si>
  <si>
    <t xml:space="preserve">ANSWER: Not determined, so no score. The only Citation Sheet passage on what a development plan must contain is a paraphrase of Section 12(2) of the Gujarat Town Planning and Urban Development Act, 1976 (GTPUD Act) in SUDA's Development Plan 2035 report. It says the draft development plan 'shall provide for all or any of' a list of purposes. One item is 'proposals for water supply, drainage, sewage disposal'. I could not read the Act's own Section 12 text. 'All or any' also lets the planning authority choose which items to include. So I cannot confirm a binding duty for any of the three components: (1) water supply/sewerage, (2) sanitation, (3) solid waste management. Solid waste does not appear in the clauses I could read, (a) to (f); clause (g) and later clauses were cut off. | EVIDENCE: (i) ULG-06, SUDA Development Plan 2035 report (22 Feb 2017), p.195-196, s.19.11.5: 'As per provisions of section 12(2) of the Act, the draft development plan shall provide for all or any of the following public purposes', including '(c) proposals for water supply, drainage, sewage disposal, other public utility amenities and services...' and '(f) proposals for flood control and prevention of river pollution'. This is the planning authority describing the Act, not the Act itself. SUDA's report (p.16) also lists 'Solid Waste Management' and 'Utility services for water supply, sewerage, drainage' as parts it planned for. That is practice, not a legal mandate. (ii) ULG-01, GTPUD Act 1976 (PRS c</t>
  </si>
  <si>
    <t xml:space="preserve">As per provisions of section 12(2) of the Act, the draft development plan shall provide for all or any of  the following public purposes:</t>
  </si>
  <si>
    <t xml:space="preserve">All three inputs are left blank. Nothing has been scored. Reasons: (1) The only primary instrument that could carry the mandate is GTPUD Act 1976 Section 12 (ULG-01, PRS copy). Its principal-Act pages (PDF pp.2-86) come back with no text at all; they look like scanned images. Only the appended amending Acts can be read: 6 of 2017, 22 of 2017 and 14 of 2019. The 2019 Act changes s.9(1) and s.12(1) and adds s.19A, which requires spatial proposals from the plans of the Metropolitan or District Planning Committee. None of these amendments sets content for water, sanitation or solid waste. So the Act's own Section 12 text was not read. (2) The only text of s.12(2) is SUDA's paraphrase in the DP 2035 report (ULG-06). That is a secondary account by the planning authority, not the Act. The paraphrase says 'shall provide for all or any of the following'. 'All or any' arguably makes this a menu the authority can pick from, and the methodology does not count optional provisions. Even if it does count as a mandate, clause (c) covers water supply, drainage and sewage disposal. That would support Water supply / sewerage. Whether it also covers 'City sanitation' is a judgement call. Solid waste or refuse does not appear in clauses (a) to (f). Clause (g) and the later clauses are cut off in what could be read, so absence cannot be confirmed. (3) Other instruments checked: GTPUD Rules 1979 (ULG-04). The parts I could read cover the layout plan (r.13), the s.39 documents, Forms C to P and budget forms. I found no list of development plan contents. GPMC Act 1949 (ULG-03): s.63 makes sewage, rubbish and solid waste management services an obligatory duty of the Corporation. That is a duty to provide services, not a duty to plan, so it is not credited. CGDCR 2017 (ULG-05, ULG-14 to ULG-16): building-level rules only. DP 2035 p.16 shows that SUDA did plan for water supply, sewerage and solid waste management. That is practice, not a legal mandate. (4) Because the s.12 Act text was not read and the clauses from (g) onward are missing, a 'NO' would not meet the affirmative-absence test, and a 'YES' would rest only on a secondary paraphrase with ambiguous wording. FOR HUMAN REVIEWER: get a readable official text of GTPUD Act s.12(2), for example from the UD&amp;UHD or Legislative Department, or a gazette copy. Then decide three things: (a) whether 'shall provide for all or any of' counts as a mandate; (b) whether 'sewage disposal' or 'drainage' satisfies the sanitation component; (c) whether any later clause mentions refuse or solid waste. I could not read the end of clause list (g) onward because I hit the tool-call limit.</t>
  </si>
  <si>
    <t xml:space="preserve">UPD13b</t>
  </si>
  <si>
    <t xml:space="preserve">Does the T&amp;CP Act mandate the planning for:   &gt;:&lt; b) Disaster Resilience</t>
  </si>
  <si>
    <t xml:space="preserve">ANSWER: The Karnataka Town and Country Planning Act does not require a disaster management or resilience part in the master plan. One law does require a disaster plan. Section 270(3) of the Greater Bengaluru Governance Act, 2024 says each City Corporation 'shall' prepare a Disaster Management Plan or a Fire Hazard Response and Mitigation Plan every year, after previous publication, and publish it in the Official Gazette. That duty falls on the City Corporations. It does not fall on the Greater Bengaluru Authority (GBA), which the same Act makes the planning authority. It is also a separate yearly plan, not part of the master plan. So whether this meets the test of 'mandate the planning authority' or a 'disaster component of the municipal/city plan' depends on how the method is read, and I have not scored it. | EVIDENCE: (1) Karnataka Town and Country Planning Act, 1961 (ULG-02, PRS compilation with amendments up to Act 38 of 2015). Section 12(1), contents of the master plan, lists clauses (a) to (g): land-use zoning with zoning regulations; street pattern; parks and open spaces; areas for future development; reservations for public purposes; areas of special control; and stages. Section 12(2) lists the reports to be sent with the plan, and section 12(3) covers heritage buildings and precincts. None of these mentions disaster, hazard, flood or resilience. Section 13-A(3) (interim master plan) and section 26(2) (town planning schemes, a 'may' list) also have no disaster provisi</t>
  </si>
  <si>
    <t xml:space="preserve">(3) The City Corporation shall prepare a Disaster Management Plan or Fire Hazard Response and Mitigation Plan every year as prescribed by the State Government after previous publication and publish the Plan in the Official Gazette.</t>
  </si>
  <si>
    <t xml:space="preserve">I left 'Answer' blank. A person needs to decide how to read the method; I have not guessed.
(1) What the planning law says. The Karnataka Town and Country Planning (KTCP) Act, 1961 is in the Citation Sheet as ULG-02, a PRS compilation with amendments up to Act 38 of 2015. I re-read it.
- Section 12(1), contents of the master plan, lists clauses (a) to (g): zoning, street pattern, parks and open spaces, future development, public-purpose reservations, special control areas and stages. None of them is about disaster, hazard, flood or resilience.
- Section 26(2) on town planning schemes uses 'may'. Clause (b), 'filling up or reclamation of low-lying, swamp or unhealthy areas', is optional and is not a disaster plan.
- The Bangalore Development Authority Act, 1976 (ULG-04, with amendments up to 42/2026) has no disaster or resilience planning provision in the passages I read. Those passages covered s.18-19 on schemes, s.51 on the Art Commission, s.69-70 on rules and regulations, and the 2020 amendment. That amendment only bars allotting land near storm water drains, tank beds and similar areas. That is a land-allotment limit, not a planning mandate.
(2) The only mandatory provision found is in an allied Act. Section 270(3) of the Greater Bengaluru Governance (GBA) Act, 2024 says the City Corporation 'shall prepare a Disaster Management Plan or Fire Hazard Response and Mitigation Plan every year'. I did not mark this YES, for three reasons:
- (a) The method asks for a duty on 'the planning authority'. The same Act's Planning Functions provision makes the Greater Bengaluru Authority (GBA) the Planning Authority under the KTCP Act, not the City Corporations. Section 17 gives the GBA a Climate Action Cell to 'formulate and implement' the Bengaluru Climate Action and Resilience Plan (BCAP). But that duty is to set up a cell, and the BCAP is a climate plan, not a statutory disaster plan or a part of the master plan.
- (b) The duty is worded 'or'. A Fire Hazard Response and Mitigation Plan alone would satisfy it, and that is narrower than a disaster resilience plan.
- (c) It is a separate yearly plan, not a disaster part of the master or city plan.
If the reviewer accepts a 'shall' duty on the ULG (the City Corporation) under an allied municipal Act as meeting the test, the answer should be YES (1.67).
(3) Why I cannot answer NO. Several layers are not in the Citation Sheet, so I cannot show the provision is absent:
- the KTCP Rules and Zoning Regulations
- KTCP amendments after 2015 (ULG-03 is a 2025 bill that has not been shown to be enacted)
- the BMRDA Act
- the Karnataka Urban Development Authorities Act
- any State rules prescribing the s.270(3) plan
The BCAP 2023 (ULG-16, actions UPGBD-2.1 and DM-2.6) recommends adding disaster and vulnerability content to the KTCP Act and the master plan. These are policy recommendations, not law. They hint that no mandate exists, but they do not prove it.
All legal texts here are PRS republications, not the official Gazette. The GBA Act's commencement date is not confirmed in the Citation Sheet.</t>
  </si>
  <si>
    <t xml:space="preserve">Step 2 found no evidence: a source needs to be found and added. Step 2 found no evidence (Insufficient Evidence). Source needed: Readable official text of the Gujarat Town Planning and Urban Development Act, 1976 as amended (s.12, contents of the development plan); the Gujarat State Disaster Management Act, 2003, for any duty on local authorities or planning authorities to prepare disaster plans; the Gujarat Metropolitan Planning Committees Act, 2008, for the contents of the metropolitan development plan; and a full read of the GPMC Act, 1949.</t>
  </si>
  <si>
    <t xml:space="preserve">UPD13c</t>
  </si>
  <si>
    <t xml:space="preserve">Does the T&amp;CP Act mandate the planning for:   &gt;:&lt; c) Comprehensive mobility</t>
  </si>
  <si>
    <t xml:space="preserve">ANSWER: Yes. Karnataka law makes mobility planning mandatory for Bengaluru through two instruments. (1) Under the Bengaluru Metropolitan Land Transport Authority (BMLTA) Act, 2022 (the allied Act), the BMLTA 'shall' prepare a Comprehensive Mobility Plan (CMP) for the Urban Mobility Region. The Act sets a time limit and what the plan must contain, and requires a revision at least every five years. Section 22 then says the Planning Authority 'shall' prepare the land use plan in its Master Plan taking the CMP into account 'in its entirety'. The Planning Authority must also consult the BMLTA, and the BMLTA must concur in the draft Master Plan. (2) Under the Karnataka Town and Country Planning (KTCP) Act, 1961, the Master Plan that every Planning Authority 'shall' prepare (s.9(1)) 'shall include' a complete street pattern and a traffic circulation pattern (s.12(1)(b)). That is a mandatory mobility part of the city plan. The Greater Bengaluru Authority (GBA) is the KTCP 'Planning Authority' for the Greater Bengaluru Area. So the city government's Master Plan must carry a mobility component and must line up with the CMP. The CMP itself is prepared by the BMLTA (a state body) and approved by the State Government. | EVIDENCE: BMLTA Act (ULG-18): s.21(1) 'The Authority shall notify its intent to prepare a Comprehensive Mobility Plan'; s.21(2) 'shall cause to prepare a Comprehensive Mobility Plan for the Urban Mobility Region within two years', listing required contents (a)-(m) such as </t>
  </si>
  <si>
    <t xml:space="preserve">The Bengaluru Metropolitan Land Transport Authority Act, 2022 (Karnataka Act No. 6 of 2023), PRS republished text with Amendment 10 of 2026 appended [ULG-18]</t>
  </si>
  <si>
    <t xml:space="preserve">https://prsindia.org/files/bills_acts/acts_states/karnataka/2023/Act6of2023Karnataka.pdf</t>
  </si>
  <si>
    <t xml:space="preserve">The Planning Authority  in  the  Urban Mobility Region shall prepare the land use plan as part of preparation or revision of Master Plan of the city or local planning area by taking into consideration the Comprehensive Mobility Plan in its entirety.</t>
  </si>
  <si>
    <t xml:space="preserve">The answer is YES because Karnataka law requires mobility planning to be done with 'shall', not 'may'. I checked the Step 2 answer against the source text and it holds. (1) Allied Act (ULG-18, the BMLTA Act 2022, Karnataka Act 6 of 2023). Section 21(1) says 'The Authority shall notify its intent to prepare a Comprehensive Mobility Plan'. Section 21(2) says it 'shall cause to prepare a Comprehensive Mobility Plan for the Urban Mobility Region' within two years, and lists what the plan must contain in items (a)-(m): road network, road hierarchy, public transport routes, footpaths and cycle tracks, and accessible mobility. Section 23 requires a revision 'at least once in every five years' ('shall'). Section 22(1) requires the Planning Authority to prepare the land-use part of the Master Plan taking the CMP 'in its entirety' ('shall'). Section 22(2)-(3) requires it to consult the BMLTA and send it the draft Master Plan for concurrence. (2) The KTCP Act itself (ULG-02, s.12(1), as substituted by Act 1 of 2005) says the Master Plan 'shall include proposals for ... (b) a complete street pattern ... and traffic circulation pattern, for meeting immediate and future requirements with proposals for improvements'. That is a required mobility part of the city plan. Either route meets the methodology: a required CMP, or a required mobility component in the municipal/city plan. Provisions I did not rely on because they say 'may': s.21(6) (review whenever necessary) and the proviso to s.23 (revising the plan alongside the Master Plan). Things a person should check: (a) both Acts are PRS secondary copies, not gazette copies; (b) the KTCP compilation stops at Act 38 of 2015, and I did not check whether Amendment Act 10 of 2026 to the BMLTA Act changes ss.21-23; (c) the CMP is prepared by the BMLTA, a state body, not by the city government, and the city government's own duty comes through KTCP s.12(1)(b) and BMLTA s.22, with the GBA being the KTCP Planning Authority under the GBG Act 2024 (ULG-01); (d) the notification declaring the Urban Mobility Region is not in the Citation Sheet. None of these changes the YES answer on the law.</t>
  </si>
  <si>
    <t xml:space="preserve">ANSWER: Not determined. None of the Citation Sheet sources requires anyone to prepare a Comprehensive Mobility Plan (CMP) for Surat. The closest provision is section 12(2) of the Gujarat Town Planning and Urban Development Act, 1976 (GTPUDA), which covers the development plan prepared by the Surat Urban Development Authority (SUDA). It is known here only from SUDA's own Development Plan 2035 report, which paraphrases it as saying the draft plan 'shall provide for all or any of' a list of public purposes. Item (b) on that list is transport and communications. The verb is 'shall', but 'all or any of' may let the authority pick which items to include. Item (b) also covers land for transport infrastructure, not a mobility plan. Whether it counts as a 'mandated mobility component' is a judgement call the methodology does not settle. I also could not confirm a zero. | EVIDENCE: (1) GTPUDA 1976, PRS copy (ULG-01): the pages I could read show only the amendment Acts. Gujarat Act 14 of 2019 adds a proviso to s.9(1): the development plan 'shall include the proposals, with regard to spatial planning' of a plan sanctioned under the Metropolitan Planning Committees Act 2008 (MPC Act) or the District Planning Committees Act. It also adds s.19A and amends s.12(1). None of this mentions mobility or transport. I could not read the original text of s.12 in this copy. (2) SUDA Development Plan 2035 report, 2017 (ULG-06), p.212-213: 'As per provisions of section 12(2) of the Act, the draft devel</t>
  </si>
  <si>
    <t xml:space="preserve">I left the Answer blank because the Citation Sheet does not support either YES or NO.
Why not YES:
- No source in the Sheet requires anyone to prepare a Comprehensive Mobility Plan (CMP).
- The closest wording is GTPUDA s.12(2). It is known here only from SUDA's own Development Plan 2035 report (ULG-06), which says the draft development plan 'shall provide for all or any of' a list of public purposes. Item (b) is 'transport and communications, such as roads, highways, railways, and airport'.
- 'All or any of' lets the authority choose which items to include, so including transport is in effect optional. The methodology says optional provisions are not credited.
- Item (b) is also about land for transport infrastructure. It is not a comprehensive mobility plan or mobility component.
- The 2019 amendment (ULG-01: s.9(1) proviso, s.12(1) change, new s.19A) only brings in the 'spatial planning' proposals of plans made under the Gujarat Metropolitan Planning Committees (MPC) Act or District Planning Committees Act. It says nothing about mobility.
- The GTPUD Rules 1979 (ULG-04) mention transport and roads only as map colours and as the index map of a town planning scheme. They do not require a mobility plan.
- The CGDCR 2017 duty to 'plan for proper access, circulation and mobility' (ULG-05) applies only to development in areas with no town planning scheme. It is a road network plan for those areas, not a city-level mobility plan.
- The Surat CMP of 2008 and the new one being prepared (ULG-07, ULG-06 p.201/216) show what happens in practice. They do not show a legal mandate.
Why not NO (affirmative absence is not established):
- The original GTPUDA s.12 text could not be read in ULG-01. That PRS copy shows only the appended amendment Acts, so the wording is known only from SUDA's paraphrase.
- Only the 2019 amendments (ss.10A-10C) of the MPC Act 2008 are in the Sheet, not the full Act.
- The whole Gujarat Provincial Municipal Corporations Act 1949 (ULG-03) has not been searched for transport or traffic planning duties.
- No Gujarat metro or urban transport authority law is in the Sheet.
What I checked: ULG-01, ULG-04, ULG-05, ULG-06, ULG-07, and a search of the whole Sheet for 'traffic and transportation plan mobility plan shall be prepared'.
For the reviewer:
- Get the primary GTPUDA s.12 text, the full MPC Act 2008 and the full GPMC Act 1949.
- If no mandatory mobility or CMP provision turns up, NO is the likely answer. 'All or any of' transport land reservation would not count under the 'may'/optional exclusion.
- Confirm whether s.12(2)(b) should count as a 'mobility component' under the methodology.</t>
  </si>
  <si>
    <t xml:space="preserve">UPD13d</t>
  </si>
  <si>
    <t xml:space="preserve">Does the T&amp;CP Act mandate the planning for:   &gt;:&lt; d) Sustainability/Climate/Environmental conservation</t>
  </si>
  <si>
    <t xml:space="preserve">ANSWER: Yes. The Greater Bengaluru Governance Act, 2024 is an allied Act that makes the Greater Bengaluru Authority (GBA) the Planning Authority under the Karnataka Town and Country Planning (KTCP) Act. It requires the GBA, through a Climate Action Cell it must set up, to formulate and implement a climate plan: the Bengaluru Climate Action and Resilience Plan (BCAP), together with plans for cutting greenhouse gas emissions. The verb is 'shall', not 'may', so this meets the 'mandate the planning authority to prepare a sustainability plan' test. The KTCP Act itself does not require a sustainability, climate or environmental-conservation part in the master plan. | EVIDENCE: (1) GBA Act (ULG-01), Planning Functions, sub-section (2)(a) of the section just before s.15 (probably s.14): 'the Greater Bengaluru Authority shall be the "Planning Authority" as defined under the Karnataka Town and Country Planning Act, 1961, for the areas comprising of the Greater Bengaluru Area'. Same provision, s.15(1): GBA 'shall be responsible to make master plan and mobility plans'. (2) GBA Act s.17(1): GBA 'shall, within one year of its constitution, establish a Climate Action Cell ... tasked with the responsibility to formulate and implement Bengaluru Climate Action and Resilience Plan and such other plans and strategies for mitigating Greenhouse Gas emissions'. s.17(2): the Cell 'shall spearhead initiatives' to get BCAP actions carried out on time. s.17(3): the Cell is headed by the Special Commiss</t>
  </si>
  <si>
    <t xml:space="preserve">The Greater Bengaluru Authority shall, within one year of its constitution, establish a Climate Action Cell, with the Chief Commissioner as the chairperson, tasked with the responsibility to formulate and implement Bengaluru Climate Action and Resilience Plan and such other plans and strategies for mitigating Greenhouse Gas emissions.</t>
  </si>
  <si>
    <t xml:space="preserve">I scored YES. The methodology accepts provisions in the T&amp;CP Act, a UDA Act or an allied Act that require the planning authority to prepare a sustainability plan. The Greater Bengaluru Governance Act, 2024 (Karnataka Act 36 of 2025) is such an allied Act. Under its Planning Functions provision (2)(a), 'the Greater Bengaluru Authority shall be the "Planning Authority" as defined under the Karnataka Town and Country Planning Act, 1961', and this applies 'notwithstanding anything contained in any other law'. Section 17(1) then says the GBA 'shall' set up a Climate Action Cell to 'formulate and implement' the Bengaluru Climate Action and Resilience Plan (BCAP) and plans to cut greenhouse gas emissions. Section 17(2) says the Cell 'shall' drive timely implementation of BCAP actions. The verb is 'shall', not 'may', so the planning authority is required to prepare a climate plan. I checked both provisions in the ULG-01 text and the Step 2 answer is supported.
Other instruments I checked:
- KTCP Act s.12 (Contents of Master Plan, as substituted by Act 1 of 2005; PRS text with amendments up to Act 38 of 2015). The required items are zoning, streets, parks and open spaces, and so on. There is no sustainability, climate or environmental-conservation requirement, so the second route (an environmental part inside the master plan) is not met under the KTCP Act.
- KTCP Act s.26(2)(e) and (i). Green belts and 'natural beauty' appear only as matters a town planning scheme 'may' cover, so they do not count.
- GBA Act s.315(l). The GBA 'may' make regulations on the chapters of the Master Plan. This is discretionary and was not relied on.
Points for a person to check:
(1) The GBA Act text is a PRS copy, which is a secondary source; the official Gazette copy should be confirmed.
(2) I could not confirm the section number of the Planning Functions provision from the excerpt.
(3) The 'Yes' rests on a separate climate plan required of the planning authority, not on a climate part inside the KTCP master plan.
(4) The KTCP Amendment Bill 2025 (ULG-03) and the GBA Amendment Bill 2025 (ULG-05) have not been shown to be enacted and were not relied on.
(5) No KTCP Rules or zoning regulations are in the Citation Sheet.
This question is about the law only. Whether the Cell or the BCAP exists in practice was not assessed.</t>
  </si>
  <si>
    <t xml:space="preserve">ANSWER: Not determined. The Citation Sheet has no primary text of the Gujarat Town Planning and Urban Development Act, 1976 (GTPUD Act) that makes a sustainability, climate or environmental-conservation part of Surat's development plan mandatory. The only lead is SUDA's own paraphrase of GTPUD Act s.12(2) in its Development Plan 2035 report. It says the draft development plan 'shall provide for all or any of' a list of purposes, one of which is '(f) proposals for flood control and prevention of river pollution'. Two problems: the wording 'all or any of' leaves the authority free to choose which items to include, so it may not be a firm mandate; and flood control and river pollution are environmental items but not a general sustainability, climate or conservation component. Under the Act, the plan is prepared by the Surat Urban Development Authority (SUDA), which is a development authority, not the city government, and sanctioned by the State Government. | EVIDENCE: (1) GTPUD Act 1976, PRS copy (ULG-01): the parts I could read were the 2017 amendment (ss.7, 23, 49, 52, 76A, 119) and Gujarat Act 14 of 2019. The 2019 Act adds a proviso to s.9(1) and a new s.19A requiring the development plan to include the spatial-planning proposals of the plan sanctioned under the Metropolitan Planning Committees (MPC) or District Planning Committees (DPC) Acts. It also deletes words from s.12(1). None of the text I read requires an environmental or sustainability component. The original s.12 w</t>
  </si>
  <si>
    <t xml:space="preserve">I left the answer blank. The Citation Sheet doesn't let me decide YES or NO.
(1) Only a secondary paraphrase of the key provision is available. The one passage on what a development plan must contain is SUDA's own restatement of Gujarat Town Planning and Urban Development Act (GTPUD Act) 1976 s.12(2) in its Development Plan 2035 report (ULG-06, pp.195-196). It says the plan 'shall provide for all or any of' a list of public purposes. Item (f) is 'proposals for flood control and prevention of river pollution'. I searched ULG-01 several times for the s.12 text (queries on 'contents of draft development plan', 'shall provide for all or any of', 'flood control and prevention of river pollution', and 'natural scenery / forest / natural resources'). It returned only appended amendments:
- Gujarat Act 2017, amending ss.7, 23, 49, 52, 76A and 119.
- Gujarat Act 14 of 2019. This adds a proviso to s.9(1) and a new s.19A requiring spatial-planning proposals from the Metropolitan Planning Committee (MPC) or District Planning Committee (DPC) plan to be included. It also deletes words from s.12(1). Neither touches environmental content.
The principal text of s.12 was never returned, so I couldn't check the exact verb or the full list of clauses against the Act.
(2) It's unclear how to apply the method. 'Shall provide for all or any of' leaves the authority free to choose which items go in. That works like the 'may'-type optional provision the Detailed Methodology excludes. Also, 'flood control and prevention of river pollution' is a narrow environmental item, not a general sustainability, climate or environmental-conservation component. A reviewer needs to decide both points.
(3) I can't record NO because absence isn't proven. The primary s.12 text is unread. The Gujarat MPC Act 2008 rules on plan contents aren't in the Sheet as a standalone text (only its 2019 amendment, ss.2 and 10A-10C, which is procedural). The Gujarat Provincial Municipal Corporations Act 1949 (ULG-03) was only partly read.
Other sources checked, none relevant:
- GTPUD Rules 1979 (ULG-04): r.3 covers how the plan is prepared; r.4 sets map colours. Neither is a content mandate.
- CGDCR 2017 (ULG-05, ULG-14, ULG-15, ULG-16): building and development-permission rules.
- NITI Aayog Economic Master Plan (ULG-09): a policy document, not law.
- Solar City Master Plan (ULG-19) and Disaster Management Plan (ULG-10): plans, not statutory mandates.
To decide, a reviewer needs: (a) the official primary text of GTPUD Act s.12 (from the Gujarat Legislative &amp; Parliamentary Affairs Department or UD&amp;UHD), to confirm the verb and whether any clause covers environment or natural-resource conservation; (b) a ruling on whether an 'all or any of' list counts as a mandate; (c) the GMPC Act 2008 provisions on what the development plan must contain.
For context, under the GTPUD Act the plan is prepared by the Surat Urban Development Authority (SUDA), not the Surat Municipal Corporation, and sanctioned by the State.</t>
  </si>
  <si>
    <t xml:space="preserve">UPD13e</t>
  </si>
  <si>
    <t xml:space="preserve">Does the T&amp;CP Act mandate the planning for:   &gt;:&lt; e) Heritage conservation</t>
  </si>
  <si>
    <t xml:space="preserve">ANSWER: Yes. Karnataka law requires every master plan to include heritage conservation. Under the Karnataka Town and Country Planning (KTCP) Act, 1961, s.12(3), every master plan 'shall' show heritage buildings and heritage precincts and 'shall' include regulations for conserving them. The Greater Bengaluru Governance Act, 2024 makes the Greater Bengaluru Authority (GBA) the 'Planning Authority' under the KTCP Act for the Greater Bengaluru Area. So this requirement applies to the master plan the GBA prepares. The GBA Act also adds its own binding heritage duties for the City Corporations. | EVIDENCE: (1) KTCP Act, 1961, PRS compilation with amendments up to Act 38 of 2015. s.12 (contents of the master plan) was replaced by Karnataka Act 1 of 2005, in force from 14.2.2005. s.12(3) reads: 'Master Plan shall indicate “Heritage Buildings” and “Heritage Precincts” and shall include the regulations made therein for conservation of the same'. s.2(1ea)/(1eb), inserted by the same Act, define a heritage building or precinct as one 'declared as such by the Planning Authority'. s.9(1): 'Every planning authority shall ... prepare and publish ... a master plan'. (2) Greater Bengaluru Governance Act, 2024 (Karnataka Act 36 of 2025), the 'Planning Functions' sub-section (appears to be s.14(2)(a)): 'Notwithstanding anything contained in any other law ... the Greater Bengaluru Authority shall be the “Planning Authority” as defined under the Karnataka Town and Country Planning Act, 1961, for t</t>
  </si>
  <si>
    <t xml:space="preserve">Master Plan shall indicate “Heritage Buildings” and “Heritage Precincts” and shall include the regulations made therein for conservation of the same.</t>
  </si>
  <si>
    <t xml:space="preserve">The answer is YES, which earns full marks for this sub-question (1.67). I checked the Step 2 answer against the text of ULG-02 and it holds up.
What the law says:
- Section 12(3) of the Karnataka Town and Country Planning (KTCP) Act, 1961 says the Master Plan 'shall indicate' Heritage Buildings and Heritage Precincts. It also says the plan 'shall include the regulations ... for conservation of the same'.
- This is a binding heritage-conservation part of the city master plan, which the methodology accepts in place of a separate heritage plan.
- The wording is 'shall', not 'may', so the rule against optional provisions does not apply.
- The quoted wording appears twice in ULG-02, word for word: in the consolidated s.12 text (page 32) and in the reproduced Amendment Act 1 of 2005 (page 117).
- Section 9(1) says every planning authority 'shall' prepare and publish a master plan.
- Section 13-D applies sections 9 to 12 to every revision of the master plan, so the heritage requirement also binds Revised Master Plans.
Why it applies to Bengaluru: the Step 2 evidence shows that the Greater Bengaluru Governance Act (GBA Act, ULG-01) makes the Greater Bengaluru Authority the 'Planning Authority' under the KTCP Act for the Greater Bengaluru Area. So section 12(3) governs its master plan. I did not re-read ULG-01; I relied on the Step 2 quote. The YES answer rests on section 12(3) alone.
Supporting provisions: the GBA Act's own heritage chapter (Chapter XXII, ss.296-301) adds binding duties: a heritage list, heritage regulations and a Heritage Conservation Committee. These support the answer but are not needed for it.
Things a reviewer should check:
1. ULG-02 is a PRS compilation, a secondary source, and only covers amendments up to Act 38 of 2015. Any later amendment to section 12 has not been checked against an official consolidated text. The KTCP Amendment Bill 2025 (ULG-03) is not shown to be enacted and does not touch section 12(3).
2. Step 2 inferred that the GBA planning-authority clause is section 14(2)(a); it should be confirmed against ULG-01.
Confidence is medium rather than high because the evidence is PRS-only text and the Bengaluru link needs two instruments read together (the KTCP Act and the GBA Act).</t>
  </si>
  <si>
    <t xml:space="preserve">Step 2 found no evidence: a source needs to be found and added. Step 2 found no evidence (Insufficient Evidence). Source needed: A readable official text of the Gujarat Town Planning and Urban Development Act, 1976, mainly s.12 (contents of the draft development plan), to see whether heritage preservation is a 'shall' item. The CGDCR 2017 heritage regulations chapter, to see whether it requires the competent authority to prepare a heritage list or conservation plan. The Gujarat Metropolitan Planning Committees Act, 2008, and any Gujarat heritage conservation law or GO.</t>
  </si>
  <si>
    <t xml:space="preserve">UPD13f</t>
  </si>
  <si>
    <t xml:space="preserve">Does the T&amp;CP Act mandate the planning for:   &gt;:&lt; f) Social Development</t>
  </si>
  <si>
    <t xml:space="preserve">ANSWER: None of the planning laws in the Citation Sheet requires the planning authority for Greater Bengaluru to prepare a social development plan. None requires a social development part of the city plan covering health, education and affordable housing. The Greater Bengaluru Authority (GBA) is now the Planning Authority under the Karnataka Town and Country Planning Act (KTCP Act). Section 12(1) of that Act says what the Master Plan must contain, and it is a land-use list. The only overlap is that land must be zoned for 'educational' purposes and areas reserved for 'public buildings and institutions'. Nothing in it covers public health or affordable housing. Whether educational land-use zoning counts as an 'Education' component of a social development plan is a methodology question. I have not decided it, so no score is proposed. | EVIDENCE: (1) KTCP Act 1961, s.12(1), as substituted by Act 1 of 2005: the Master Plan 'shall include proposals for' (a) 'zoning of land use for residential, commercial, industrial, agricultural, recreational, educational and other purposes together with Zoning Regulations'; (b) street pattern; (c) 'areas reserved for parks, playgrounds, and other recreational uses, public open spaces, public buildings and institutions…'; (d) to (g) future expansion, land reservation or acquisition, special control areas, phasing. s.12(2): survey and explanatory reports and zone regulations. s.12(3): heritage. No health, housing or social development item. s.26(2)</t>
  </si>
  <si>
    <t xml:space="preserve">such plan shall include proposals for the following, namely:- (a) zoning of land use for residential, commercial, industrial, agricultural, recreational, educational and other purposes together with Zoning Regulations;</t>
  </si>
  <si>
    <t xml:space="preserve">I left all three inputs blank. None can be scored YES, and none can be scored NO (0) because I could not show that no such requirement exists anywhere.
1. Planning law read in the Citation Sheet:
- KTCP Act 1961 (ULG-02, PRS compilation with amendments up to Act 38 of 2015). Section 12(1) is a mandatory ('shall include proposals for') list of land-use items: (a) zoning for residential, commercial, industrial, agricultural, recreational, educational and other purposes; (b) street pattern; (c) parks and areas for 'public buildings and institutions'; (d) to (g) future expansion, land reservation, special control areas and phasing. Sections 12(2) and 12(3) cover survey and explanatory reports, zone regulations and heritage. Nothing in s.12 requires a social development plan or a social development component. Public health and affordable housing are not mentioned.
- KTCP Amendment Bill 2025 (ULG-03, as passed by the Legislative Assembly). It does not change s.12. It only adds the Commissionerate (s.2A/2B) and makes GBA the planning authority (s.2(7), s.81-B and s.81-G). It comes into force on a date the government notifies, and that date is not in the sheet.
- GBA Act 2024 (ULG-01). Section 15(1) makes GBA responsible for master plans and mobility plans 'for the infrastructure development'. The section 18 Sectoral Expert Committee on Social Inclusion, Education, Health and Welfare is advisory only. The Bengaluru Metropolitan Planning Committee draft plan has no contents set out.
- BDA Act (ULG-04). Section 16(3) says schemes 'may' provide houses. That is optional and is excluded by the methodology.
- BBMP Act 2020 (ULG-19). Its housing and education items are municipal functions, not required plan contents.
- BMLTA Act (ULG-18). Section 21(2) concerns the Comprehensive Mobility Plan, which is a mobility plan, not a social development plan.
2. Education. The only overlap is mandatory zoning of land for 'educational' purposes under s.12(1)(a). The methodology asks for a mandated social development plan, or a social development component of the plan, that covers education. In my view a land-use zoning category is not that, so I would not credit YES. A person should confirm this reading.
3. Why NO cannot be scored. Several layers are not in the Citation Sheet:
- the KTCP Rules and any rules on Master Plan or zoning regulation contents;
- KTCP amendments after 2015 other than those noted;
- the BMRDA Act 1985;
- rules under the GBA Act;
- any state affordable housing law or rules that tie housing to the master plan.
The rules require that every relevant instrument has been read before a 0 is given. Because these layers were not available to read, absence is not shown, so the result is 'not found' rather than NO for all three components.
4. Please check:
(a) whether the KTCP Rules or zoning regulations require health, education or affordable housing contents in the plan;
(b) whether the methodology credits educational land-use zoning as an Education component;
(c) the date the KTCP Amendment 2025 took effect, and so when GBA became the planning authority.</t>
  </si>
  <si>
    <t xml:space="preserve">The citation didn't settle every input. "Public health" left blank: the Citation Sheet doesn't decide it. "Education" left blank: the Citation Sheet doesn't decide it. "Affordable housing" left blank: the Citation Sheet doesn't decide it.</t>
  </si>
  <si>
    <t xml:space="preserve">ANSWER: Not determined. None of the Citation Sheet sources shows a Gujarat provision that mandates a separate social development plan, or a social development component in the city plan that covers health, education and affordable housing. The nearest provision is section 12(2) of the Gujarat Town Planning and Urban Development Act, 1976 (GTPUDA), which governs the development plan prepared by the Surat Urban Development Authority (SUDA). I could not read that section in the Act itself. SUDA's Development Plan 2035 paraphrases it: the plan 'shall provide for all or any of' a list of public purposes, including reserving land for 'schools, colleges, and other educational institutions, medical and public health institutions'. This is a land-reservation clause. It is not a social development plan, and 'all or any' leaves each item to discretion. In the part of the list I could see, affordable housing is not named. | EVIDENCE: (1) GTPUDA 1976, PRS copy (ULG-01): pages 2-86, which hold the main Act, have no readable text, so I could not read section 12 directly. The readable amendments add only spatial-planning links. The 2019 amendment adds a proviso to s.9(1) and a new s.19A: the development plan 'shall include the proposals, with regard to spatial planning' of the plan sanctioned under the Gujarat Metropolitan Planning Committees Act (MPC Act) or the Gujarat District Planning Committees Act. They say nothing about health, education or housing. (2) SUDA Development Plan 2035, sec</t>
  </si>
  <si>
    <t xml:space="preserve">I left all three inputs blank because the Citation Sheet does not settle them.
(1) Public health and Education. The only provision I found is GTPUDA 1976 s.12(2), and only as a paraphrase in SUDA's Development Plan 2035 (ULG-06, s.19.11.5). It says the draft development plan 'shall provide for all or any of' a list of public purposes. Item (a) is 'reservation of land for public purposes, such as schools, colleges, and other educational institutions, medical and public health institutions'.
- This is a clause about reserving land in the land-use plan. It does not require a social development plan, or a social development component that plans for health and education.
- 'All or any of' leaves each item to the authority's choice, which works like 'may'. The methodology says to disregard 'may' provisions.
- I could not check the Act's own text. In the PRS copy (ULG-01), the pages holding the main Act cannot be read, and the readable amendments of 2017 and 2019 only add Local Area Plans and links to MPC/DPC spatial plans.
- So I cannot give YES. I also cannot give NO, because I have not read the Act's text of s.12.
(2) Affordable housing. The DP's paraphrase of s.12(2) lists items (a) to (g), and none of them is housing. Item (g) covers land for the Union, a State, a local authority or other statutory body. The paraphrase may not be complete, though, and the Act text cannot be read, so this is not affirmative absence.
- GPMC Act s.284F (ULG-03) requires housing for the poorer classes only in re-development plans for areas the Corporation chooses to declare. That is not a duty for the city plan.
- CGDCR 2017 (ULG-05/14/15) only defines terms and provides an affordable housing zone; it imposes no planning duty.
What I checked:
- ULG-01: GTPUDA PRS copy; s.12 cannot be read.
- ULG-04: GTPUD Rules 1979. The parts I saw cover publication, development permission, development charges and forms. I found no rule on plan content covering health, education or housing.
- ULG-06: DP 2035, s.19.11.5.
- ULG-03: GPMC Act.
- I also searched the whole sheet for housing for weaker sections and for social development plan.
The Gujarat MPC Act 2008 is not in the Citation Sheet.
For a reviewer:
- (a) Read the official text of GTPUDA s.12(2), as amended, to confirm the full list and whether any clause covers housing for weaker or economically weaker sections.
- (b) Decide whether 'shall provide for all or any of' counts as a mandate under the methodology.
- (c) Read the text of the Gujarat MPC Act 2008 and the DPC Act 2008.
Confidence is low: the source is a plan's paraphrase rather than the Act, and every input is blank.</t>
  </si>
  <si>
    <t xml:space="preserve">UPD14a</t>
  </si>
  <si>
    <t xml:space="preserve">Are the spatial plans at the Metropolitan/Regional, Municipal and Ward(s) /Local level notified? &gt;:&lt; Is there a Metropolitan/Regional Plan?</t>
  </si>
  <si>
    <r>
      <rPr>
        <sz val="11"/>
        <color theme="1"/>
        <rFont val="Calibri"/>
        <family val="2"/>
        <charset val="1"/>
      </rPr>
      <t xml:space="preserve">ANSWER: Probably yes. The Citation Sheet points to a regional plan for the Bengaluru Metropolitan Region, the Revised Structure Plan 2031 (RSP 2031). The Bengaluru Metropolitan Region Development Authority (BMRDA) prepared it under the BMRDA Act, 1985. The BMRDA website also links to a 'Structure Plan' page and a 'Reports' document. But the question bank requires proof of a NOTIFIED plan document, and maps alone do not count. Neither the plan text nor any government approval or gazette notice for RSP 2031 is in the Citation Sheet, so I cannot confirm it is notified. | EVIDENCE: (1) ULG-16, the Bengaluru Climate Action and Resilience Plan 2023 (BCAP; hosted on the BBMP domain apps.bbmpgov.in), p.87 lists among the governing frameworks the 'Revised Structure Plan, 2031 (RSP 2031) for Bengaluru Metropolitan Region, prepared under provisions of the BMRDA Act, 1985'. Its p.265 action UPGBD-2.2 says 'Revision of the BMRDA Structure Plan (RSP 2031) should align with the regional imperatives of CAP', with BMRDA as the lead agency. (2) ULG-20, the BMRDA official website (Local Planning Areas page), has menu links 'Structure Plan' and 'Reports' (St report.pdf). It describes the Bengaluru Metropolitan Region as covering Bengaluru Urban, Bengaluru Rural and Ramanagaram districts, about 8005 sq km, constituted on 01-02-1986 under the BMRDA Act 1985. (3) ULG-21, the BMRDA home page in Kannada, links '</t>
    </r>
    <r>
      <rPr>
        <sz val="11"/>
        <color theme="1"/>
        <rFont val="Noto Sans"/>
        <family val="2"/>
      </rPr>
      <t xml:space="preserve">ರಚನಾ ನಕ್ಷೆ</t>
    </r>
    <r>
      <rPr>
        <sz val="11"/>
        <color theme="1"/>
        <rFont val="Calibri"/>
        <family val="2"/>
        <charset val="1"/>
      </rPr>
      <t xml:space="preserve">' (structure plan) and a report, and has a section '</t>
    </r>
    <r>
      <rPr>
        <sz val="11"/>
        <color theme="1"/>
        <rFont val="Noto Sans"/>
        <family val="2"/>
      </rPr>
      <t xml:space="preserve">ಭೂ ಬಳಕೆ ಯೋಜನೆ </t>
    </r>
    <r>
      <rPr>
        <sz val="11"/>
        <color theme="1"/>
        <rFont val="Calibri"/>
        <family val="2"/>
        <charset val="1"/>
      </rPr>
      <t xml:space="preserve">- 2031' (Land </t>
    </r>
  </si>
  <si>
    <t xml:space="preserve">Bengaluru Climate Action and Resilience Plan (BCAP), 2023 – Full Report [ULG-16]</t>
  </si>
  <si>
    <t xml:space="preserve">https://apps.bbmpgov.in/bcap/PDF/BCAP_FullReport_091224.pdf</t>
  </si>
  <si>
    <t xml:space="preserve">Revised Structure Plan, 2031 (RSP 2031) for Bengaluru Metropolitan Region, prepared under provisions of the BMRDA Act, 1985</t>
  </si>
  <si>
    <t xml:space="preserve">I left the answer blank. The Citation Sheet shows that a metropolitan/regional plan exists, but not that it was notified, and the scorers' note requires a notified plan document (maps alone do not count). WHAT THE SHEET SHOWS: ULG-16 (BCAP 2023, BBMP era, about 2023) names the 'Revised Structure Plan, 2031 (RSP 2031) for Bengaluru Metropolitan Region, prepared under provisions of the BMRDA Act, 1985' among the frameworks that govern the city (p.87). Its action UPGBD-2.2 (p.265) asks BMRDA to revise RSP 2031. On the official BMRDA website, ULG-20 (Local Planning Areas page, captured 2026) links to 'Structure Plan' (https://bmrda.karnataka.gov.in/7/structure-plan/en) and 'Reports' (St report.pdf), and ULG-21 (BMRDA home page) links a structure plan, a report and 'Land Utilization Plan 2031'. Only the link labels were captured, not the documents. ULG-10 lists 'To prepare a structure plan' as a BMRDA function, which is a mandate, not proof of practice. WHY NOT YES: none of these sources contains the RSP 2031 plan document, a State Government approval, or a gazette notice. The only explicit mention is in a secondary city climate plan, and the methodology asks for a notified document. WHY NOT NO: the plan's existence is clearly indicated, so I cannot show affirmative absence. A 0 would be wrong. I checked ULG-01, ULG-02, ULG-10, ULG-16, ULG-19, ULG-20 and ULG-21, and searched the whole sheet for structure plan approval or notification. Nothing was found. VERIFICATION-LIMIT: the BMRDA 'Structure Plan' page and St report.pdf were not captured into the sheet. REVIEWER: open https://bmrda.karnataka.gov.in/7/structure-plan/en and St report.pdf (both linked from ULG-20). Confirm that the document is the RSP 2031 plan document (not just maps) and that the Government of Karnataka approved or notified it, and record the GO or notification number and date. If both are confirmed, the answer is YES (3.33). Era: BCAP evidence is BBMP era (about 2023); the BMRDA website was captured in 2026.</t>
  </si>
  <si>
    <t xml:space="preserve">ANSWER: Not determined. The Citation Sheet does not show a notified metropolitan or regional plan for Surat. There are two possible candidates, and neither meets the rule that the plan must be a notified document. (1) The SUDA Development Plan 2035 is a 2017 draft development plan for the Surat Urban Development Authority area. It is not a metropolitan or regional plan, and the sheet does not show that it was approved. (2) NITI Aayog's Economic Master Plan for the Surat Economic Region (2024) covers a 'city-region' of 6 districts, which is a possible synonym for a metropolitan region. It is a published NITI Aayog report, but the sheet has no evidence that it was notified or adopted. A score of 0 is also not possible, because the sheet does not show for certain that no such plan exists. | EVIDENCE: ULG-06 (SUDA Draft DP 2035 report, 22 Feb 2017), p.19: a State Government notification dated 11/03/2016 declared the Surat Metropolitan area under the Gujarat Metropolitan Planning Committees Act, 2008, covering SMC and Sachin Municipality. The Metropolitan Committee was constituted on the same date, except for its elected members. The report adds: 'The Draft Development Plan to be framed under the provisions of the Gujarat Metropolitan Planning Committees Act, 2008, is not in place as on today.' So DP 2035 was prepared under the Gujarat Town Planning and Urban Development Act, 1976 (submitted under s.9, to be published under s.13), for the SUDA area of SMC plus 195 villages (1351 s</t>
  </si>
  <si>
    <t xml:space="preserve">By the notification dated 11/03/2016, the Surat Metropolitan area has been declared under the said Act, 2008 which includes the SMC and Sachin  Municipality area. The Metropolitan Committee for Surat was also constituted by the notification of the State Government dt. 11/03/2016 except for the elected members. The Draft Development Plan to be framed under the provisions of the Gujarat Metropolitan Planning Committees Act, 2008, is not in place as on today.</t>
  </si>
  <si>
    <t xml:space="preserve">I left the Answer blank because the Citation Sheet supports neither YES nor NO. A reviewer needs to decide one point of interpretation, and some evidence is missing.
(1) Metropolitan plan. ULG-06 (SUDA Draft DP 2035 report, 22 Feb 2017) says the Surat Metropolitan Area was declared under the Gujarat Metropolitan Planning Committees Act, 2008 on 11/03/2016. It also says the plan to be made under that Act 'is not in place as on today'. That status is from Feb 2017. The sheet does not include the 2008 Act or any later notification of a metropolitan plan.
(2) Change from the Step 2 answer. ULG-17 (Gujarat Government Gazette Extra No.124, 24 Mar 2025) shows that the SUDA Development Plan has now been notified. The gazette states that the 'Final Development Plan of Surat Urban Development Authority was sanctioned under Government Notification, Urban Development and Urban Housing Department No.GH/V/157 of 2020/DVP-142018-5731-L, dated 08.10.2020'. So the SUDA DP is a notified document. It covers SMC plus 195 villages (1351 sq.km). The DP 2035 text also uses the words 'SUDA region' and 'urban growth in the region'.
Point to confirm: does this notified UDA development plan count as a 'metropolitan/regional plan'? The methodology does tell scorers to check the urban development authority's website, which leans towards counting it. Against that, the plan was made under the Gujarat Town Planning and Urban Development Act, 1976 as an urban-area development plan. ULG-06 itself treats it as separate from the metropolitan plan under the 2008 Act. 'UDA area' is not clearly a safe synonym for a metropolitan region. If the reviewer accepts the UDA plan, the answer becomes YES, based on ULG-17 plus ULG-06.
(3) Surat Economic Region plan. ULG-09 (NITI Aayog Economic Master Plan for the Surat Economic Region, Sept 2024) covers a 6-district 'city-region'. It is an economic plan, and nothing in the sheet shows it was notified. The scorer notes say a notified document is required, so on the current evidence it does not count.
(4) Why not NO. A 0 needs affirmative absence, and that is not shown. The sheet does not include the text of the 2008 Act, any Surat metropolitan plan notification after 2017, or the SUDA or SMPC plans pages.
Sources checked: ULG-06, ULG-17 and ULG-09, plus ULG-01 to ULG-05, ULG-10 and ULG-14 to ULG-15 as reviewed in Step 2 (no metropolitan or regional plan found in those). I also searched the whole sheet for 'metropolitan region plan Surat notified'.
One more check for the reviewer: the gazette also shows a separate Rule 9 issue. ULG-17 cites the 2020 sanction notification but is not that notification itself. It is a later notification proposing a change (variation) to the plan.</t>
  </si>
  <si>
    <t xml:space="preserve">UPD14b</t>
  </si>
  <si>
    <t xml:space="preserve">Are the spatial plans at the Metropolitan/Regional, Municipal and Ward(s) /Local level notified? &gt;:&lt; Is there Municipal/City Plan?</t>
  </si>
  <si>
    <t xml:space="preserve">ANSWER: The Citation Sheet suggests that Bengaluru has a city master plan, but it does not contain the notified plan itself. The plan is the Revised Master Plan 2015 (RMP 2015) for the Bengaluru Metropolitan Area, prepared under the Karnataka Town and Country Planning Act, 1961. The question requires a notified plan document taken from the website of the development authority, the city government or the Town and Country Planning Department. The sheet has no such document and no gazette notification for it, so existence cannot be confirmed to the required standard. | EVIDENCE: (1) ULG-16, Bengaluru Climate Action and Resilience Plan 2023, a BBMP-era plan prepared with WRI India and C40. Page 34 says city growth is 'largely guided by the Master Plan (the Revised Master Plan for Bangalore -2015), which is a statutory planning instrument'. Page 87 lists the 'Revised Master Plan, 2015 (RMP 2015) for the Bengaluru Metropolitan Area, prepared under the provisions of the KTCP Act, 1961'. Page 87, Table 7, says the revised master plan 'is under preparation (by BDA)', and page 277 says '*RMP 2041 under preparation'. Footnote 15 on page 49 says the draft RMP 2031 'is no longer in action'. (2) ULG-02, Karnataka Town and Country Planning Act 1961 (amended to 2015). Sections 9 to 13-D set out how a master plan is prepared, approved and revised. Section 13-D says a plan is revised 'At least once in every ten years', with 'may' becoming 'shall' if the State directs it. This is law, not evide</t>
  </si>
  <si>
    <t xml:space="preserve">The city’s spatial growth , land use , and development are largely guided by the Master Plan (the Revised Master Plan for Bangalore - 2015), which is a statutory planning instrument.</t>
  </si>
  <si>
    <t xml:space="preserve">I left the Answer blank because the Citation Sheet does not contain the notified plan, so the plan's existence cannot be confirmed to the required standard. That standard comes from the methodology and the scorer's note: 'Please ensure an existence of a notified document of the plan. Maps alone will not make the cut'. The plan document must also be found on the urban development authority site (BDA, or GBA now), the city government site or the Town and Country Planning Department site. Step 2 reached the same result, and I checked it against the sources.
What I found:
(a) ULG-16 is the BBMP-era Bengaluru Climate Action Plan (BCAP) from 2023. It only mentions the plan second-hand. Page 34 calls RMP 2015 'a statutory planning instrument'. Page 87 lists 'Revised Master Plan, 2015 (RMP 2015) for the Bengaluru Metropolitan Area, prepared under the provisions of the KTCP Act, 1961', and Table 7 says the revised plan is 'under preparation (by BDA)'. Pages 266-267 mark '*RMP 2041 under preparation'. Footnote 15 on page 49 says the draft RMP 2031 'is no longer in action'.
(b) ULG-02 is the KTCP Act, amended to 2015. Sections 9 to 13-D set out how a master plan is prepared, approved and revised. That is the law, not evidence that a plan has been notified.
(c) ULG-01 is the Greater Bengaluru Governance Act 2024. It makes GBA the planning authority, and its building-plan provisions refer to 'the master plan'. Again this is law only.
(d) ULG-04 (the BDA Act), ULG-20 and ULG-21 (BMRDA pages) and ULG-03 (the 2025 KTCP Amendment Bill) contain no notified Bengaluru master plan and no gazette notification for one.
Why neither score: 'NO' (0) is not justified, because the evidence points to a statutory plan existing, so there is no affirmative absence. 'YES' (3.33) is not justified, because no notified plan document or gazette notification is in the sheet.
For reviewers:
1. Add the notified RMP 2015 document or its gazette notification (the BDA/UDD approval, reportedly 2007), from the BDA, GBA or Town and Country Planning site.
2. Check whether RMP 2041 has been approved or notified.
3. Confirm that RMP 2015 is still the operative plan in the GBA era.
4. Capture a dated screenshot.</t>
  </si>
  <si>
    <t xml:space="preserve">ANSWER: Yes. Surat is covered by a notified city-level development plan: the Final Development Plan of the Surat Urban Development Authority (SUDA). The UD&amp;UHD Department of the Government of Gujarat sanctioned it by Notification No. GH/V/157 of 2020/DVP-142018-5731-L dated 08.10.2020, under the Gujarat Town Planning and Urban Development Act, 1976. It is still in force: the State proposed a variation to it in March 2025. SUDA prepared the plan and the State Government sanctioned it. SUDA's development area includes the area of the Surat Municipal Corporation (SMC). | EVIDENCE: (1) ULG-17, Gujarat Government Gazette Extraordinary No. 124, 24-03-2025, UD&amp;UHD Notification dated 20-03-2025 under s.19(1) of the GTPUD Act. It recites that 'the Final Development Plan of Surat Urban Development Authority was sanctioned under Government Notification ... dated 08.10.2020' and proposes a variation 'in the Final Development Plan of the said Authority'. This gazette copy is hosted on SUDA's website. (2) ULG-06, SUDA's Development Plan 2035 report (22-02-2017). The Draft Development Plan-2035 was prepared under the GTPUD Act 1976 and Rules 1979, submitted under s.9 and published under s.13 (published 10.05.2016). It states 'the jurisdiction of SUDA includes the area of SMC (326.52 sq.km.)'. Its revised-area table lists Surat Municipal Corporation (309.45 km2) within the 985 km2 SUDA development area. It also records earlier plans: DP 1986, and the revised DP that came into force on 15.09.</t>
  </si>
  <si>
    <t xml:space="preserve">Gujarat Government Gazette Extraordinary No. 124, 24 March 2025: UD&amp;UHD notification proposing a variation to the Final Development Plan of the Surat Urban Development Authority (GTPUD Act s.19(1)) [ULG-17]</t>
  </si>
  <si>
    <t xml:space="preserve">https://www.sudaonline.org/wp-content/uploads/2025/04/2.-24-03-2025_Gazette_Extraordinary_Extra-No.-124-_UDUHD_SUDA_us-19.pdf</t>
  </si>
  <si>
    <t xml:space="preserve">WHEREAS the Final Development Plan of Surat Urban Development Authority was sanctioned under Government Notification, Urban Development and Urban Housing Department</t>
  </si>
  <si>
    <t xml:space="preserve">Answer is YES because the sources show a notified city-level development plan. ULG-17 is a Gujarat Government Gazette notification dated 20/24-03-2025. It says the Final Development Plan of the Surat Urban Development Authority (SUDA) was sanctioned by UD&amp;UHD Notification No. GH/V/157 of 2020/DVP-142018-5731-L dated 08.10.2020, and it proposes a variation to that plan under s.19(1) of the GTPUD Act. So the plan is a notified document named a 'Development Plan', not just maps, and it was in force as of March 2025. ULG-17 is hosted on SUDA's website, which the methodology accepts as an urban development authority site. I checked that the plan covers the city in ULG-06 (SUDA Development Plan 2035 report, 22-02-2017). It says 'the jurisdiction of SUDA includes the area of SMC (326.52 sq.km.)'. It also says SUDA was set up in 1978 for a development area 'consisting of Surat Municipal Corporation and 148 villages'. The Step 2 answer matches the sources. Caveats for the reviewer: (1) The plan was prepared by SUDA and sanctioned by the State; it was not adopted by the SMC itself. The SQ methodology accepts a plan from the urban development authority, the city government or the T&amp;CP department. (2) The 08.10.2020 sanction notification and the sanctioned plan document itself are not in the Citation Sheet. We know they exist only from the recital in the 2025 gazette. The link between the 2020 sanctioned plan and the DP-2035 draft (published under s.13 on 10.05.2016) comes only from the order of events. (3) ULG-06 also says a development plan under the Metropolitan Planning Committees Act 2008 was 'not in place' in 2017. That is a different, metropolitan-level plan and is relevant to the MQ, not this SQ. Confidence is medium because two instruments have to be read together (the gazette recital and the jurisdiction coverage), and the primary sanction notification is not in the sheet. Reviewer should add the 08.10.2020 notification and capture a dated screenshot.</t>
  </si>
  <si>
    <t xml:space="preserve">UPD14c</t>
  </si>
  <si>
    <t xml:space="preserve">Are the spatial plans at the Metropolitan/Regional, Municipal and Ward(s) /Local level notified? &gt;:&lt; Is there a Ward(s) /Local area/ neighbourhood Plan?</t>
  </si>
  <si>
    <t xml:space="preserve">Step 2 found no evidence: a source needs to be found and added. Step 2 found no evidence (Insufficient Evidence). Source needed: Any current ward development plan, local area plan or zonal plan for the Greater Bengaluru Area. This could be annual ward development plans adopted by Ward Committees or city corporations under GBG Act s.103(1)(b), local area or zonal plans published by GBA as Planning Authority, or Transit Zone Plans notified by BDA or GBA. Each should be dated and published on an official GBA, city-corporation or UDD site.</t>
  </si>
  <si>
    <t xml:space="preserve">ANSWER: The Citation Sheet shows that Surat has micro-level local plans: Surat Municipal Corporation (SMC) has prepared Town Planning (TP) Schemes. One of them is the draft TP Scheme No. 59 (Unn) map, issued by SMC's Town Planning Department and marked 'STAGE :-- DRAFT SANCTIONED'. However, no source in the sheet uses the words the methodology asks for: 'ward development plan', 'zonal plan' or 'local area plan'. So whether a TP Scheme counts as a local area plan for this question has to be confirmed before a score is given. | EVIDENCE: (1) ULG-12 (TP Scheme No. 59 map, SMC): a spatial plan for one local area. Title block: 'DRAFT TOWN PLANNING SCHEME SURAT NO. 59(UNN) (SHOWING ORIGINAL &amp; FINAL PLOTS) PLAN NO. 3'. It is signed off through the Assistant, Deputy and Town Planner, the Deputy Commissioner (P &amp; D) and the Commissioner. It shows neighbourhood facilities such as 'WARD OFFICE', garden, school, health centre and housing for S.E.W.S. The words 'local area plan' do not appear on the map itself; the 'Local area plan' label comes only from the sheet's own description of the source. (2) ULG-06 (SUDA Development Plan 2035 report, 22 Feb 2017), p.13/26: 'SMC has prepared 129 TP schemes'. Table 11: SMC has 129 TP schemes covering 179 sq.km. The report says Development Plan proposals 'are implemented through the mechanism of Town Planning Schemes'. (3) ULG-11 (SUDA presentation, 2013), p.5: 'Two tier planning process as per GTP &amp; UD Act,1976'. The second tier is 'a MICRO LEVEL "</t>
  </si>
  <si>
    <t xml:space="preserve">Draft Town Planning Scheme Surat No. 59 (Umarwada/Un area) map, SMC [ULG-12]</t>
  </si>
  <si>
    <t xml:space="preserve">https://www.suratmunicipal.gov.in/Content/Documents/Departments/Draftschemes/TP59%20UNN/TP59%20UNN.pdf</t>
  </si>
  <si>
    <t xml:space="preserve">DRAFT TOWN PLANNING SCHEME SURAT NO. 59(UNN)</t>
  </si>
  <si>
    <t xml:space="preserve">I left the Answer blank. The evidence can't support YES under the wording test, and NO would need proof of absence that the sheet doesn't give.
1. What the sheet shows: SMC makes neighbourhood-scale spatial plans, called Town Planning (TP) Schemes. The TP Scheme No. 59 (Unn) map (ULG-12) comes from SMC's Town Planning Department, goes through the sign-off chain up to the Commissioner, and is marked 'STAGE :-- DRAFT SANCTIONED'. It shows local facilities such as a ward office, gardens, a school, a health centre and S.E.W.S. housing. The SUDA DP 2035 report (ULG-06, p.13, dated 22 Feb 2017) says 'SMC has prepared 129 TP schemes'. It also says SMC's draft schemes 'were sanctioned by the State Government in March, 2016'. It calls TP Schemes the 'micro level planning mechanism' and the 'primary tool' for carrying out the Development Plan.
2. Why not YES: The method says the document must 'mention the word ward development plan/zonal plan/local area plan'. The ULG-12 map does not use any of those words. I searched the whole sheet for 'local area plan', 'zonal plan' and 'ward development plan'. Nothing from SMC or SUDA about Surat uses those terms for a plan that actually exists. 'Local Area Plan' appears only in the CGDCR 2017 (ULG-05/ULG-15) as a rule for when such a plan is made. That is a legal framework, not proof a plan exists, and its CBD LAP clause names AUDA, not Surat. ULG-10's ward-level disaster management plan is not a ward development or land-use plan.
3. Why not NO: I checked ULG-12, ULG-06, ULG-05, ULG-15 and ULG-10, and ran sheet-wide searches. But the sheet does not hold all of SMC's planning documents: it has no list of TP Schemes or LAPs and no Town Planning Department index. So this result is 'not found', not proof of absence.
4. For the reviewer to decide: Does a Gujarat TP Scheme (prepared by SMC under the GTPUD Act 1976, about 100 ha, local-area scale, sanctioned by the State) count as a 'Local area/neighbourhood Plan' even without the exact words? If yes, YES (3.33) is well supported by ULG-12 and ULG-06 p.13. If no, look for an SMC document actually titled Local Area Plan before scoring.
Other limits: the TP 59 map is undated, and there is no evidence from 2024-26 on scheme status. The 'Local area plan' label on ULG-12 is the research team's own description, not words from the document.</t>
  </si>
  <si>
    <t xml:space="preserve">UPD15</t>
  </si>
  <si>
    <t xml:space="preserve">Does the city have a municipal/city plan that is currently in force and within its prescribed validity period?</t>
  </si>
  <si>
    <t xml:space="preserve">ANSWER: Not determinable from the Citation Sheet. The latest evidence is from 2023. It says Bengaluru's statutory master plan was still the Revised Master Plan for Bangalore-2015 (RMP 2015), whose name carries a 2015 horizon year. It also says the draft RMP 2031 'is no longer in action' and RMP 2041 was 'under preparation' by BDA, but its preparation tender had been cancelled and BDA said the timelines were not clear. This points strongly to a city plan that has run past its validity with no replacement. However, the Citation Sheet does not have the gazette notification date of RMP 2015 or of the plan before it. It also has no evidence of the plan's status in 2025-26, after the Greater Bengaluru Authority (GBA) became the Planning Authority. So validity cannot be confirmed, lapse cannot be affirmatively shown, and the months elapsed cannot be calculated. | EVIDENCE: (1) Planning law, KTCP Act 1961 (PRS compilation up to Act 38 of 2015), s.13-D: 'At least once in every ten years from the date on which the Master Plan has come into force ... the Planning Authority may and if directed so by the State Government shall, carryout a fresh survey ... with a view to revising the existing Master Plan'. So the statutory period is a 10-year revision cycle counted from when the plan came into force. No section was found that makes a plan lapse automatically. s.13-C deems earlier ODPs and CDPs to be Master Plans. s.81-B makes BDA the local Planning Authority for the City of Bangalore. s.81</t>
  </si>
  <si>
    <t xml:space="preserve">Representative from BDA informed that the tender for preparation of Revised Master Plan (RMP 2041) has been cancelled as the Terms of Reference and Scope of Work has changed.</t>
  </si>
  <si>
    <t xml:space="preserve">I left 'Answer' blank. The Citation Sheet does not let me decide YES or NO for the current period (2026).
Why not YES: no source shows a city plan notified within its statutory period. The statutory period comes from KTCP Act s.13-D (ULG-02, PRS compilation up to Act 38 of 2015): 'At least once in every ten years from the date on which the Master Plan has come into force ... the Planning Authority may and if directed so by the State Government shall' revise it. The 10 years count from when the plan came into force. No source in the sheet gives the gazette or approval date of RMP 2015, or of the plan before it (CDP). So I cannot say whether RMP 2015 is still within that period.
Why not NO (which scores 0 and needs affirmative absence): the 2023 evidence in ULG-16 points strongly to a lapse. It says: (a) RMP 2015, with a 2015 horizon year, was still the statutory plan (p.34, p.87); (b) the draft RMP 2031 was 'no longer in action' (p.49 fn 15); (c) RMP 2041 was 'under preparation', but BDA said the tender had been cancelled and timelines were 'not clear'; the BDA representative added 'the current RMP can be amended' (p.394). ULG-17, an Executive Summary file dated 2025, still lists RMP 2015 as an ongoing instrument (per the Step 2 answer). But affirmative absence is not established, for four reasons:
(1) '2015' is a horizon year in the plan's name, not a notification date. The in-force date that s.13-D counts from is missing.
(2) The Act has no lapse provision. s.13-D says 'may' revise, and 'shall' only if the State directs. Whether ASICS treats a plan past its horizon year as 'lapsed' is a method question that needs confirmation.
(3) Since the Greater Bengaluru Governance Act 2024 (ULG-01, 'Planning Functions' (2)(a)), the Greater Bengaluru Authority (GBA) is the Planning Authority. No 2025-26 record from GBA or BDA in the sheet shows whether a new plan has been notified or started. My search of the sheet found none.
(4) ULG-03 (proposed s.81-G, deeming BDA's Master Plan to be GBA's) is a Bill not shown to be enacted.
The question also asks for the months passed since the validity period ended. I cannot calculate this because the in-force date is missing.
What I checked: ULG-02 (s.9, 13, 13-C, 13-D and the amendment Acts appended), ULG-01 (Planning Functions), ULG-16 (pp.34, 49, 87, 262-267, 394-395), and searches across the sheet for the RMP 2015 approval notification or GO and for GBA master plan activity. None was found.
To decide this, a person needs: (i) the gazette notification of RMP 2015's final approval (the in-force date) and of the plan before it; (ii) the status as of 2026 of any revised master plan by GBA or BDA (notice of intention, draft, approval); (iii) confirmation of how ASICS treats a KTCP plan more than 10 years in force and not revised. If (i) shows RMP 2015 came into force about 2007 and (ii) shows no replacement, the answer would be NO (score 0), with months elapsed counted from 10 years after the in-force date.</t>
  </si>
  <si>
    <t xml:space="preserve">ANSWER: Yes. Surat's city plan is the Final Development Plan of the Surat Urban Development Authority (SUDA). The State Urban Development &amp; Urban Housing Department (UD&amp;UHD) sanctioned it by Notification No. GH/V/157 of 2020/DVP-142018-5731-L dated 08.10.2020. In March 2025 the State was still treating it as the live plan: it proposed a variation to it under s.19(1) of the Gujarat Town Planning and Urban Development (GTPUD) Act. SUDA's report says s.21 of the Act requires a revision once every 10 years. That makes the plan valid until about October 2030, so it is within its validity period as of September 2026. No time has passed since the end of the validity period (0 months). The preceding plan (DP-2004) came into force on 15.09.2004, so its revision was due around September 2014. It was replaced only on 08.10.2020, about 73 months late. SUDA, a development authority set up by the State, prepared the plan and the State government sanctioned it. The Surat Municipal Corporation (SMC) did not prepare it; the SMC area falls inside SUDA's planning area. | EVIDENCE: (1) ULG-17, Gujarat Government Gazette Extraordinary No.124, 24.03.2025, p.1: 'the Final Development Plan of Surat Urban Development Authority was sanctioned under Government Notification ... dated 08.10.2020'. The UD&amp;UHD notification dated 20.03.2025 'Proposes to modify the aforesaid Development Plan by way of variation' under s.19(1). This shows the plan was in force in 2025. (2) ULG-06, SUDA Development Plan 2035 r</t>
  </si>
  <si>
    <t xml:space="preserve">WHEREAS the Final Development Plan of Surat Urban Development Authority was sanctioned under Government Notification, Urban Development and Urban Housing Department N o.GH/V/157 of 2020/DVP -142018-5731-L, dated 08.10.2020</t>
  </si>
  <si>
    <t xml:space="preserve">Answer is YES: the current plan is in force and within its validity period. Months passed since the end of the validity period = 0. The current plan is valid until about October 2030, assessed as of September 2026.
How I checked the Step 2 answer:
(1) ULG-17, the UD&amp;UHD notification of 20.03.2025 in the gazette of 24.03.2025, confirms that SUDA's Final Development Plan was sanctioned by Notification GH/V/157 of 2020 dated 08.10.2020. The notification proposes a variation to it under s.19(1). That shows the plan was still treated as the live plan in March 2025, which is dated evidence of practice for an Implementation question.
(2) ULG-06, SUDA's DP 2035 report of 22.02.2017, says at p.30 and p.40: 'as per section 21 of the Act, the development plan is to be revised once in 10 years'. A 10-year cycle from October 2020 runs to about October 2030.
(3) Preceding plan: DP-2004 came into force on 15.09.2004 (ULG-06 pp.30 and 40; ULG-11 p.6). Its revision was due about September 2014. It was replaced only on 08.10.2020, about 73 months late. This is for the record; it does not affect the current status.
Why confidence is medium, not high: the answer needs two instruments read together (ULG-17 and ULG-06). The 10-year rule is cited second-hand. I tried to read s.21 in ULG-01, the PRS copy of the GTPUD Act, but the saved text only returned the appended 2017 and 2019 amendments. The principal Act's s.21 could not be checked. ULG-04, the GTPUD Rules 1979, sets no separate validity period.
What a reviewer should check:
(a) Whether SUDA's State-sanctioned Development Plan counts as Surat's 'municipal/city plan'. It covers the SMC area, but SMC did not prepare it. ULG-03, the GPMC Act, provides only for re-development plans (s.284E-F), not a city-wide master plan.
(b) Section 21 in the official text of the Act.
(c) The sheet has no record dated after March 2025. Get a current dated screenshot or notification showing the plan is still in force in 2026.
(d) The sources never link the 2020 sanctioned plan to the name 'DP 2035'.
(e) If 'notified within the statutory period' is read as 'renewed on time', the 73-month delay in replacing DP-2004 would need re-assessment.</t>
  </si>
  <si>
    <t xml:space="preserve">UPD16a</t>
  </si>
  <si>
    <t xml:space="preserve">Are the spatial plans at the Metropolitan/Regional, Municipal and Ward(s) /Local level in a concurrent or nested timeline of validity? &gt;:&lt; Is the Metropolitan/Regional plan in a concurrent or nested timeline of validity with municipal plan?</t>
  </si>
  <si>
    <t xml:space="preserve">ANSWER: This can't be settled from the Citation Sheet. The sources name the two plans only by their horizon years. The city plan is the Revised Master Plan 2015 (RMP 2015) for the Bengaluru Metropolitan Area, prepared by BDA under the KTCP Act. The regional plan is the Revised Structure Plan 2031 (RSP 2031) for the Bengaluru Metropolitan Region, prepared by BMRDA under the BMRDA Act, 1985. The 2015 horizon ends before 2031, so the city plan does not appear to run past the regional plan. But no source gives either plan's sanction or notification date, or the date it came into force. That means we cannot check that the two validity periods overlap and line up, which is what the question tests. RMP 2015's horizon has passed. In 2023 the replacement, RMP 2041, was 'under preparation' with no clear timeline. If it is adopted with a 2041 horizon, it would run past RSP 2031 unless the RSP is revised. No source shows any plan prepared or notified by the Greater Bengaluru Authority (GBA). | EVIDENCE: (1) ULG-16, BCAP 2023 full report, p.87: lists 'Revised Master Plan, 2015 (RMP 2015) for the Bengaluru Metropolitan Area, prepared under the provisions of the KTCP Act, 1961' and 'Revised Structure Plan, 2031 (RSP 2031) for Bengaluru Metropolitan Region, prepared under provisions of the BMRDA Act, 1985'. ULG-17 (BCAP Executive Summary, file dated 18-07-2025, p.14) repeats the same list. (2) ULG-16 pp.266-267: RMP 2041 is listed as 'under preparation' with BDA responsible. p.394-395: a BDA</t>
  </si>
  <si>
    <t xml:space="preserve">Revised Master Plan, 2015 (RMP 2015) for the Bengaluru Metropolitan Area, prepared under the provisions of the KTCP Act, 1961</t>
  </si>
  <si>
    <t xml:space="preserve">I left the Answer blank because the Citation Sheet does not show the validity periods of the two plans. I checked the Step 2 answer against the sources and it holds up. Here is what the sources do and do not show.
1. **The plans named.** ULG-16 (BCAP 2023, BBMP era), p.87, names the two plans only by their horizon years: RMP 2015 for the Bengaluru Metropolitan Area under the KTCP Act, 1961, and RSP 2031 for the Bengaluru Metropolitan Region under the BMRDA Act, 1985.
2. **Horizon years are not validity periods.** No source in the sheet gives either plan's sanction or notification date, or the date it came into force. So the overlap the methodology asks about cannot be checked. A 2015 horizon ending before 2031 hints that the city plan sits inside the regional one. But that comes from plan titles in a secondary city document (BCAP), not from the plans or their gazette notifications. That is too weak to answer YES.
3. **The current position is unknown.** RMP 2015's horizon has passed. BCAP pp.266-267 shows its replacement, RMP 2041, as '*RMP 2041 under preparation', with BDA responsible. If RMP 2041 is adopted with a 2041 horizon, it would run past RSP 2031. That could mean NO, unless RSP 2031 is revised, and p.265 (UPGBD-2.2) shows a revision being proposed. Nothing in the sheet shows the master plan currently in force for the GBA-era Greater Bengaluru Area, or the status of RSP 2031 or its revision, as of 2026. So NO is not established either, and there is no affirmative absence.
4. **What I checked:**
   - ULG-16 pp.87 and 264-267
   - ULG-10 (BMRDA Functions page): says BMRDA prepares a structure plan, with no dates
   - ULG-20 (BMRDA Local Planning Areas page): lists the planning authorities and their master-plan functions under KTCP ss.5-13, with no plan dates
   - A search of the whole sheet for structure plan approval or notification: nothing found
   - From the Step 2 review: ULG-01 (GBA Act: GBA is the Planning Authority; a BMPC prepares a draft development plan), ULG-02 (KTCP s.13-D: revision 'At least once in every ten years'), ULG-03 (Bill, s.81-G deeming clause, not shown to be enacted) and ULG-19 (BBMP Act s.367 MPC). None of these gives validity dates.
   - BMRDA's Structure Plan page and the 'St report.pdf' are linked from ULG-10 and ULG-20, but their contents are not in the sheet.
5. **Evidence needed for a person to score this:**
   - The Government notification sanctioning RSP 2031 (BMRDA), with its validity period.
   - The notification approving RMP 2015 (BDA), and any extension or continuation order.
   - The status and horizon of RMP 2041 or any GBA-era master plan, and of the RSP revision, as of 2026.
   - Possible RTI requests: BMRDA PIO and GBA/BDA Town Planning PIO.
6. **A question for reviewers.** Which plans should be compared for the current period: RSP 2031 against the lapsed RMP 2015 (still in force until it is replaced), or against the upcoming RMP 2041?
Era: the BCAP evidence is BBMP era (2023 full report; executive summary file dated 18-07-2025). The institutional framework is GBA era.</t>
  </si>
  <si>
    <t xml:space="preserve">ANSWER: The Citation Sheet cannot settle this question. As of February 2017, no statutory metropolitan plan existed for Surat. The only statutory plan in the sheet is SUDA's Development Plan 2035. SUDA (Surat Urban Development Authority) prepared it under the Gujarat Town Planning and Urban Development Act, 1976, for SMC (Surat Municipal Corporation) plus the surrounding villages. Without a dated metropolitan plan, no validity period can be compared with the city plan's 2035 horizon, so 'concurrent or nested' cannot be decided. | EVIDENCE: (1) ULG-06, SUDA Development Plan 2035 report (22 Feb 2017), p.19: the State notified the Surat Metropolitan Area under the Gujarat Metropolitan Planning Committees Act, 2008 (Guj. 18 of 2008) on 11/03/2016. That area covers SMC and Sachin Municipality, and the Metropolitan Committee was set up the same day 'except for the elected members'. The report then says: 'The Draft Development Plan to be framed under the provisions of the Gujarat Metropolitan Planning Committees Act, 2008, is not in place as on today.' DP 2035 was therefore sent to the State under s.9 of the 1976 Act. The report also says DP 2035 plans the 'entire SUDA area for the year 2035' (p.32). Earlier SUDA plans came into force in 1986 (planned up to 2001) and on 15.09.2004, and the Act requires revision every 10 years (s.21) (pp.30, 203). (2) The law layer (ULG-01, Gujarat Act 14 of 2019 amending the 1976 Act; ULG-02, Bill 21 of 2019) adds the MPC Act s.10A. Under it, the St</t>
  </si>
  <si>
    <t xml:space="preserve">The Metropolitan Committee for Surat was also constituted by the notification of the State Government dt. 11/03/2016 except for the elected members. The Draft Development Plan to be framed under the provisions of the Gujarat Metropolitan Planning Committees Act, 2008, is not in place as on today.</t>
  </si>
  <si>
    <t xml:space="preserve">I left 'Answer' blank because the Citation Sheet has no current metropolitan or regional plan, or a validity period for one, to compare with the city-level plan. This question is about how plans work in practice. YES needs evidence that the plan periods actually overlap or nest. NO would score 0, so it needs proof that no aligned plan exists today. The sheet gives neither.
What I checked:
(1) ULG-06, SUDA DP 2035 report dated 22 Feb 2017, p.19. The State declared the Surat Metropolitan Area under the Gujarat Metropolitan Planning Committees Act, 2008 on 11/03/2016, and set up the committee the same day without its elected members. The report says the MPC draft development plan was 'not in place as on today'. This proves absence only as of Feb 2017. DP 2035 plans for the year 2035 (pp.185, 202). Earlier SUDA plans came into force in 1986 and on 15.09.2004. Section 21 of the 1976 Act requires revision every 10 years.
(2) ULG-17, Gazette Extra No.124 of 24 Mar 2025. It shows the SUDA Final Development Plan was sanctioned by Notification No. GH/V/157 of 2020, dated 08.10.2020. Step 2 lacked this date. It gives no validity period and does not mention any metropolitan plan.
(3) ULG-01 and ULG-02, Gujarat Act 14 of 2019. It inserts s.10A into the MPC Act: the State 'may' sanction an MPC draft plan, which then becomes a binding 'final development plan'. It also inserts s.19A into the 1976 Act: the appropriate authority 'shall include' the MPC plan's spatial proposals. This aligns the content of the plans, not their validity periods. It is law, not evidence of practice, and no s.10A date has been notified for Surat in the sheet.
(4) ULG-09, NITI Aayog EMP 2047. This is an advisory economic plan, not a statutory metropolitan or regional land-use plan, so I did not treat it as the regional plan.
(5) Searching the whole sheet for an MPC development plan for Surat found nothing after 2017. No ward-level or local-area plans with validity periods were found either.
A reviewer also needs to settle a method point. SUDA DP 2035 covers the SMC area itself, and the sheet has no separate SMC city plan. So it is unclear whether there are two levels of plan to compare.
Next step (RTI): ask UD&amp;UHD Gujarat or the Surat MPC Member Secretary whether a Surat MPC development plan has been sanctioned since 2016, and its plan period. Also get the validity period stated in the SUDA DP sanction notification of 08.10.2020.</t>
  </si>
  <si>
    <t xml:space="preserve">UPD16b</t>
  </si>
  <si>
    <t xml:space="preserve">Are the spatial plans at the Metropolitan/Regional, Municipal and Ward(s) /Local level in a concurrent or nested timeline of validity? &gt;:&lt; Is the Municipal municipal/city plan in a concurrent or nested timeline of validity with Ward municipal/city plan?</t>
  </si>
  <si>
    <t xml:space="preserve">Step 2 found no evidence: a source needs to be found and added. Step 2 found no evidence (Insufficient Evidence). Source needed: Needed: (1) the notified Revised Master Plan for Bengaluru now in force (RMP 2015, or RMP 2041 if approved), with the gazette notification giving its plan period; (2) any notified ward, zonal or local area plan, or Town Planning Scheme, for the GBA or City Corporation area, with its validity period; (3) a current GBA, BDA or UDD planning page or order saying which plans are in force.</t>
  </si>
  <si>
    <t xml:space="preserve">Step 2 found no evidence: a source needs to be found and added. Step 2 found no evidence (Insufficient Evidence). Source needed: (1) The Government of Gujarat notification sanctioning the final Development Plan 2035 under s.17 of the GTPUD Act, with its date of coming into force and validity. (2) Any ward-level or Local Area Plan for Surat from SMC or SUDA with stated validity periods, or confirmation that none exists. (3) Sanction notifications for TP Schemes, if those are treated as the local-level plan, showing their validity periods relative to the Development Plan.</t>
  </si>
  <si>
    <t xml:space="preserve">UPD17</t>
  </si>
  <si>
    <t xml:space="preserve">Do the municipal/city plans at each level, integrate the plans and priorities of various sectoral public departments and agencies?</t>
  </si>
  <si>
    <t xml:space="preserve">Step 2 found no evidence: a source needs to be found and added. Step 2 found no evidence (Insufficient Evidence). Source needed: Each level of city plan with its preparation record: the notified Revised Master Plan 2015 and the draft or notified RMP 2041 (BDA, or the GBA as Planning Authority under the GBG Act), including chapters on stakeholder or inter-departmental consultation; minutes of any GBA, BDA or BMPC committee or technical consultation for plan preparation showing invitations to BWSSB, the traffic police, BESCOM, BMTC/BMLTA, health and education departments; the BMLTA concurrence record under BMLTA Act s.22; the BMRDA RSP 2031 consultation record; and ward or zonal plan preparation records for the GBA city corporations.</t>
  </si>
  <si>
    <t xml:space="preserve">ANSWER: Partly. The evidence shows that one city-level plan had a committee process, but not which sectoral departments and agencies were invited. While preparing Development Plan 2035, the Surat Urban Development Authority (SUDA) set up a Core Committee and eight sub-committees with 'internal as well as external members from all fields' and held about 60 meetings. The sub-committees included SC-5 Traffic and Transportation and SC-6 Infrastructure Planning. The plan report does not list the members or the departments and agencies invited. So the methodology's test is not shown: that at least water and sewerage, traffic, electricity, transport, health and education were all invited. There is also no evidence for plans at the other levels (zone, local area or town planning scheme). | EVIDENCE: ULG-06, Development Plan 2035 report (SUDA, 22 February 2017): (1) Ch. 16.3.2, p.166: 'Following committees were formed that included internal as well as external members from all fields, to focus on key areas... Core Committee; SC-1 Basemap Preparation; SC-2 Demographical Projection and data collection; SC-3 Simplification of GDCR; SC-4 Affordable Housing and Socio economic studies; SC-5 Traffic and Transportation proposals; SC-6 Infrastructure Planning &amp; ORR Implications; SC-7 Tapi River Alignment, CRZ Environmental Regulations; SC-8 Industry Trade &amp; Commerce. Approximately 60 meetings were held in totality.' (2) Ch. 19.6, pp.186-187: consultations 'included experts from several Governm</t>
  </si>
  <si>
    <t xml:space="preserve">Following committees were formed that included internal as well as external members  from all fields, to  focus on key areas. Consultation meetings with the committees were held at regular intervals.</t>
  </si>
  <si>
    <t xml:space="preserve">I left the Answer blank. The Citation Sheet does not show a YES, and it also does not show a NO.
Why not YES: The methodology asks whether the committee for each plan level had all sectoral public departments and agencies invited, at least water and sewerage, traffic, electricity, transport, health and education. ULG-06 (SUDA Development Plan 2035 report, 22 Feb 2017) shows a Core Committee and eight sub-committees with 'internal as well as external members from all fields', and about 60 meetings. SC-5 covered Traffic and Transportation and SC-6 covered Infrastructure Planning. Ch. 19.6 adds 'experts from several Government and Semi Government institutes'. None of these passages names who sat on the committees or who was invited. The only institutions named in 16.3.1 are the Chamber of Commerce, IIA, GICEA, GIDC estate members and SVNIT. The SMC Mayor was invited only to the 22.04.2016 meeting of elected representatives. GWSSB comes up in the SC-6 suggestions only as a water supplier to villages. GPCB and the Traffic Police appear (p.161/178) only as future participants in an air-quality study. Nothing in the report shows that the electricity distribution company, traffic police, GSRTC/transport, health or education bodies were members or invitees. 'Members from all fields' is a general phrase, not proof that specific departments were invited. I also read ULG-11 (SUDA launch presentation, 03-08-2013). It lists the planned 'Expert Committees' (4 committees) with no membership. Its 'Meeting of authorities for which land is reserved', held Jan 2013, was about land acquisition, not plan deliberation. The reservation table, which names agencies such as GSRTC, GEB and PWD, lists acquiring agencies, not invitees.
Why not NO: A NO needs affirmative absence. The Citation Sheet has no committee constitution orders, membership lists or minutes of the roughly 60 DP 2035 meetings. So the gap is 'not found', not 'absent'. Records for other plan levels (town planning schemes, local area or zone plans) are not in the sheet either. ULG-12 is only a TP Scheme 59 map. ULG-09 (NITI Aayog economic master plan), ULG-10 (disaster plan), ULG-07 (parking policy) and ULG-19 (solar city plan) are not city development plans. Their committees do not include all the required sectors. ULG-01/03/04/05/14-16 are law and regulations, which are not evidence of practice.
I agree with the Step 2 answer ('Partially Answered'). It matches the source.
For the team to confirm: (1) whether SUDA's DP 2035 counts as the 'municipal/city plan' for the SMC (ULG) question. SUDA, not the SMC, prepared it under the GTPUD Act, 1976. (2) Whether the YES test needs every plan level.
Evidence needed (RTI): SUDA PIO, for the office orders constituting the Core Committee and SC-1 to SC-8, with members and minutes (2013-2016). SMC Town Planning Department PIO, for records of inter-departmental committees used in preparing TP schemes and local area plans.</t>
  </si>
  <si>
    <t xml:space="preserve">UPD18</t>
  </si>
  <si>
    <t xml:space="preserve">Does the municipal/city plan include objectives on jobs and economy?</t>
  </si>
  <si>
    <t xml:space="preserve">Step 2 found no evidence: a source needs to be found and added. Step 2 found no evidence (Insufficient Evidence). Source needed: The current notified master plan for the Greater Bengaluru / Bengaluru Metropolitan Area: RMP 2015 report and its sanction notification, or the RMP 2041 draft or approved version. Specifically its economic, employment and land-use chapters (land allocated for industrial or commercial use, jobs projections, provision for street vendors), along with any city development plan or development plan adopted by GBA or the City Corporations.</t>
  </si>
  <si>
    <t xml:space="preserve">ANSWER: The plan on the Citation Sheet does contain economic priorities with measurable land targets. That content fits the 10-point band. However, the copy on file is SUDA's draft Development Plan 2035 as submitted under section 16 in February 2017. The sheet does not show that this plan was sanctioned or that its figures were kept in the final version. So I cannot confirm that it is the plan currently in force for Surat. | EVIDENCE: (1) ULG-06, DP 2035, Ch. 19.2 'Plan Objective': one of the principles behind the proposals is 'Diversification of economic activities'. (2) Ch. 19.11.2 Industrial Zone: polluting industries in residential areas, about 4.3 sq.km., are to be moved out. 136 sq.km. is proposed as industrial zone, including about 9 sq.km. for obnoxious and hazardous industry at Pinjarat. Industrial growth nodes are named (Kadodara, Palsana, Sachin, Tena), plus an industrial corridor near Gothan-Kosad. (3) The Surat Industrial Growth Region is 40 sq.km., 5.09% of the urbanised area. (4) Ch. 19.11.4 Commercial Zone: the stated vision is for Surat to be the 'growth engine of South Gujarat region'. New commercial zones are proposed at Chaltan (for APMC) and in the Industrial Growth Region, totalling 12 sq.km. (1.50%). (5) Table 138 compares land use in 2015 with the 2035 proposal: industrial 74.61 to 136.30 sq.km.; commercial 5.71 to 11.82 sq.km.; logistics park 0.80 sq.km. (6) Ch. 21, Table 154: the version revised for the section 16 submission cuts industrial to 112.96</t>
  </si>
  <si>
    <t xml:space="preserve">Total area proposed under Industrial Growth Region zone is 40 sq.km., which is 5.09% of the total urbanised area proposed in DP 2035.</t>
  </si>
  <si>
    <t xml:space="preserve">I scored both inputs YES, which gives the 10-point band, but a person should check two things before accepting it. (A) Priorities and interventions = YES. The Development Plan 2035 report (ULG-06, 22 Feb 2017) lists 'Diversification of economic activities' as one of the broad principles in s.19.2 Plan Objective. It then sets out specific economic interventions: (1) new industrial zones and a separate obnoxious/hazardous industrial zone; (2) moving polluting industries out of residential areas into an Industrial Shift Zone of about 4.35 sq.km.; (3) the SIGR from Hazira to Gothan, to be delivered through TP Schemes and an SPV; (4) commercial zones at Chaltan (for APMC) and inside the SIGR, aimed at the vision of SUDA as the 'growth engine of South Gujarat region'; (5) a logistics zone. These are clear priorities with interventions, not just general wording. (B) Measurable targets = YES. The plan gives land areas set aside for economic use, which the methodology names as an acceptable measure ('Land identified/allocated for economic activities'). Table 138: industrial 74.61 sq.km. in 2015 rising to 136.30 sq.km. in 2035; commercial 5.71 to 11.82 sq.km.; logistics park 0.80 sq.km.; SIGR 40.09 sq.km. Table 154, the version submitted under s.16, revises these to industrial 112.96 sq.km. and commercial 10.48 sq.km. I found no targets for jobs, workforce participation or street vending. The measurable part is land allocation only. CHANGE FROM STEP 2: Step 2 left the score blank because sanction was not shown. ULG-17 (Gujarat Gazette Extra No. 124, 24 Mar 2025, UD&amp;UHD notification under s.19(1)) states that 'the Final Development Plan of Surat Urban Development Authority was sanctioned under Government Notification ... No.GH/V/157 of 2020/DVP-142018-5731-L, dated 08.10.2020'. So a final SUDA plan is now confirmed to be in force. ULG-06 is the draft submitted for that sanction. CHECK BEFORE ACCEPTING: (1) ULG-17 does not name the plan '2035', and the sanctioned text and land-use table are not on the Citation Sheet. That the 2020 sanction is the DP 2035 is an inference from timing (submitted under s.16 in 2017). The economic land figures in the sanctioned version may differ from Table 154. Please confirm with the 08.10.2020 notification and the final plan. (2) The plan is SUDA's statutory Development Plan. It covers the whole SMC area, but SMC did not prepare it. Please confirm it counts as the 'municipal/city plan' for UPD18. (3) I excluded the NITI Aayog Economic Master Plan for the Surat Economic Region (ULG-09, Sept 2024). It is a regional plan covering 6 districts, made by a central body, not the city's statutory plan. It does contain economic targets, so if reviewers treat it as the city plan, the result would still be 10. Other sources checked: ULG-03 (GPMC Act), ULG-05/14/15/16 (CGDCR) and ULG-01/04 (GTPUD Act and Rules) are law or regulations, not the plan. ULG-10 is a disaster management plan, not an economic one. ULG-11 is a 2013 workshop presentation. ULG-19 is a solar plan. Confidence is low: the content comes from the 2017 submitted draft, and how much of it survived into the sanctioned version is not shown on the sheet.</t>
  </si>
  <si>
    <t xml:space="preserve">UPD19a</t>
  </si>
  <si>
    <t xml:space="preserve">Does the municipal/city plan include objectives on environment and heritage conservation? &gt;:&lt; a) Environmental Conservation</t>
  </si>
  <si>
    <t xml:space="preserve">ANSWER: I can't settle this from the Citation Sheet. The only city plan in it that sets environmental priorities is the Bengaluru Climate Action and Resilience Plan (BCAP). BCAP has more than 2 clear environment and climate-resilience priorities, each with actions and measurable targets. If BCAP counts as the 'municipal/city plan', it meets the conditions for the 5 band. But in the UPD section, 'municipal/city plan' seems to mean the city's spatial master plan (UPD16 asks about 'spatial plans at the Metropolitan/Regional, Municipal and Ward(s)/Local level'). For Bengaluru that is the Revised Master Plan 2015 (RMP 2015), made under the Karnataka Town and Country Planning Act (KTCP Act). RMP 2015 is not in the Citation Sheet, so I could not check it. | EVIDENCE: (1) ULG-16, BCAP full report, 2023, Urban Planning, Greening and Biodiversity action table, pp. 268-269. Priority UPGBD-3 'Adopt nature-based solutions(NBS)...', with the target 'Conserve and restore all blue-green networks in the city'. It also targets 'Increase the city's tree cover (canopy) from the baseline by 10% by 2030 and 20% by 2040', green cover and permeable surfaces at 40% of city area by 2040, and 75% of footpaths permeable by 2050. Listed actions include UPGBD-3.1 (Blue-Green Policy, 2026), UPGBD-3.1a (put Blue-Green Policy into master plans) and UPGBD-3.2 (tree census). Each action has output and outcome indicators. (2) ULG-17, BCAP Executive Summary, file dated 18-07-2025. Net-zero target by 2050 (p. 8).</t>
  </si>
  <si>
    <t xml:space="preserve">I left both inputs blank because the Citation Sheet does not contain the plan this question is about. A person needs to score this. (1) Which plan counts. BCAP (ULG-16, full report 2023, BBMP-era) describes itself on p. 34 as different from the statutory city plan. It says Bengaluru's spatial growth and land use are 'largely guided by the Master Plan (the Revised Master Plan for Bangalore - 2015), which is a statutory planning instrument'. Infrastructure and services are guided by 'sector-specific plans'. BCAP's stated aim is to 'add a climate lens' to these existing plans. On pp. 86-87 it lists RMP 2015 (made under the KTCP Act) as the statutory plan and says a new RMP is 'under preparation (by BDA)'. So the 'municipal/city plan' for UPD19a looks like RMP 2015 or its successor, not BCAP. (2) That plan is not in the Citation Sheet. I searched the whole sheet for RMP 2015, the master plan, and city development or ward plans. RMP 2015 and its notification are not there, and neither is any RMP 2031 or 2041 document. ULG-02 (KTCP Act s.12) only lists what a master plan must contain. It is law, not evidence of what the plan actually says, so it cannot support an Implementation question. ULG-01 (GBA Act) s.17 only requires a Climate Action Cell to prepare and implement BCAP. That is a mandate, not a city plan. (3) If reviewers decide BCAP does count as the city plan, both inputs would be YES, giving 5. The UPGBD-3 priorities (nature-based solutions, conserving and restoring all blue-green networks) come with actions UPGBD-3.1 to 3.5. Quantified targets include tree canopy +10% by 2030 and +20% by 2040, green cover and permeable surfaces at 40% of city area by 2040, and 75% of footpaths permeable by 2050 (pp. 268-269). There are also GHG reduction targets of 16%, 26% and 56% by 2030, 2040 and 2050 (p. 135), and indicator tables on p. 380. BCAP's adoption or notification status is not shown anywhere in the sheet. This is a missing source, not evidence of absence, so a NO/0 score would not be justified. CONFIRM: Is the scoring object the statutory master plan (RMP 2015 or its successor) or BCAP? Please add RMP 2015 or the current master plan to the Citation Sheet.</t>
  </si>
  <si>
    <t xml:space="preserve">The citation didn't settle every input. "Clear priorities &amp; interventions identified" left blank: the Citation Sheet doesn't decide it. "Measurable targets / outcome indicators (counts only if priorities = YES)" left blank: the Citation Sheet doesn't decide it.</t>
  </si>
  <si>
    <t xml:space="preserve">ANSWER: Yes. Surat's statutory city plan, SUDA's Development Plan 2035 (DP 2035), names at least two clear natural-environment and climate-resilience priorities, each with interventions. At least one of them has a measurable target. Priority 1 is more green and recreational space. The plan proposes gardens and recreational uses on land around existing talavs (ponds), a network of 'Green Streets', and a green belt around industrial zones. It sets a recreational-zone target of 46 sq.km (45.97 sq.km, 5.84% of urbanised land) by 2035. That compares with 12 sq.km in DP 2004 and 2.46 sq.km existing in 2015. Priority 2 is protecting water bodies and natural drains. The plan aims 'To preserve the water bodies and natural drains by discouraging development around water bodies' and to promote farming around them. Priority 3 is lowering flood risk. A Digital Elevation Model was laid over land use so that new residential zones sit outside flood-prone areas. Priority 4 is cutting pollution by moving polluting industries out of residential areas into a 4.35 sq.km Industrial Shift Zone. | EVIDENCE: ULG-06 DP 2035 (SUDA, report dated 22 Feb 2017). (a) Principles §19.8.3.5 'Emphasis on green development' ('Connect the gardens and open spaces and roads with a network of "Green Streets"'), §19.8.3.6 'Preserving water channels/ water bodies/ natural drains', §19.8.3.9 'Protect and enhance environmental assets' and §19.8.3.10 'Shifting of various polluting industries'. (b) §19.11.6 Recreational Z</t>
  </si>
  <si>
    <t xml:space="preserve">The land around e xisting Talavs are proposed for Ga rdens and Recreational uses. Garden and open spaces at the neighbourhood level can be obtained in the TP schemes. Considering the large area and future population  of SUDA region, total 46 sq.km. of recreational spaces are proposed in DP 2035 as compared to 12 sq.km. proposed in DP 2004.</t>
  </si>
  <si>
    <t xml:space="preserve">I checked the Step 2 answer against ULG-06 (SUDA Development Plan 2035, report dated 22 Feb 2017, plan horizon 2035). Its main passages are confirmed.
1. Priorities and interventions = YES. The plan names at least two clear natural-environment and climate-resilience priorities, each with a specific action:
(a) Green space. §19.8.3.5 'Emphasis on green development' commits to connecting gardens, open spaces and roads with a network of 'Green Streets'. §19.11.6 proposes gardens and recreational uses on the land around existing talavs (ponds), with the main block of recreational land on government land at Gabheni.
(b) Water bodies. §19.8.3.6 aims 'To preserve the water bodies and natural drains by discouraging development around water bodies' and to promote farming around them.
(c) Flood risk. On report p.191, a Digital Elevation Model of the whole SUDA area was laid over the land-use map so that new residential zones sit outside flood-prone areas.
(d) Pollution. §19.8.3.10 and report p.191 move polluting industries out of residential areas, with a 4.35 sq.km Industrial Shift Zone in Tables 138 and 154.
2. Measurable targets = YES. The recreational zone has a quantified 2035 target: 46 sq.km, compared with 12.36 sq.km in DP 2004 and 2.46 sq.km existing in 2015. This rises to 5.84% of urbanised land (Tables 137 and 138).
- Correction to Step 2: Table 154 shows that the land use proposed under section 16, after villages were excluded from SUDA's area on 24.10.2016, is 39.48 sq.km of recreational zone (5.80% of urbanised land). The 45.97 sq.km figure is the section 9 draft. Either figure is a quantified target.
- SMC's own share of the recreational zone is 16.90 sq.km (Table 137).
Please confirm these points:
(i) SUDA's DP 2035 is the statutory development plan covering the SMC area, but SUDA prepared it, not SMC. Should it count as the 'municipal/city plan'?
(ii) The only measurable targets are land-allocation figures: recreational zone area and share, and the industrial shift zone. There are no targets for green cover, air quality, greenhouse gases, biodiversity or water-body restoration. If a reviewer does not accept land allocation as an outcome indicator, the measurable-targets input becomes NO and the band drops to 2.5.
(iii) The rubric mentions 'two components', but this sub-question lists only one (Natural Environment and Climate Resilience). I scored that single component against a maximum of 5.
Other points:
- I did not count the §16.4.4 (SC 7) sector-committee suggestions. They use 'should'/'promote' and are recommendations, not plan proposals.
- ULG-19 (SMC Solar City Master Plan) and ULG-10 (SMC Disaster Management Plan) are separate plans, not the city plan, so I did not rely on them.
- The Citation Sheet does not include the sanction notification of DP 2035.</t>
  </si>
  <si>
    <t xml:space="preserve">UPD19b</t>
  </si>
  <si>
    <t xml:space="preserve">Does the municipal/city plan include objectives on environment and heritage conservation? &gt;:&lt; b) Heritage Conservation</t>
  </si>
  <si>
    <t xml:space="preserve">Step 2 found no evidence: a source needs to be found and added. Step 2 found no evidence (Insufficient Evidence). Source needed: The current notified master plan for the Bengaluru Metropolitan Area (Revised Master Plan 2015 or its notified successor) and its gazette notification. Specifically its heritage chapter, the heritage buildings and precincts it identifies, its zoning and development-control regulations for heritage zones, and any targets. Also any heritage list or heritage regulations notified by the GBA or its city corporations under GBA Act ss.296-299, and any GBA or corporation development plan with a heritage component.</t>
  </si>
  <si>
    <t xml:space="preserve">ANSWER: No score can be given. Surat's city plan, SUDA's Development Plan 2035, has a heritage chapter that lists heritage assets and problems. It names no conservation priorities with interventions and sets no measurable targets, which points to band 0. Only one source in the sheet sets out heritage actions: NITI Aayog's Economic Master Plan for the six-district Surat Economic Region, which also sets no targets. Whether that regional plan counts as the 'municipal/city plan' would decide between 0 and 2.5, and that needs a methodology call. | EVIDENCE: (1) ULG-06, DP 2035 (SUDA, report dated 22 Feb 2017), Ch.14 'Heritage and Conservation', pp.146-149 of the report (PDF pp.163-166). The chapter opens by saying it 'focuses on the need for identification of the heritage structures in the city and the strategies to be adopted for its preservation'. What follows is: 14.1 Tangible heritage, a list of categories and of buildings, including Table 107 'Buildings of national Importance' (7 monuments); 14.1.4 urban villages and the Walled City; 14.2 Intangible heritage; 14.3 Built heritage (definitions); and 14.4 Issues. The issues are: lack of interest by the local government; the failed SMC heritage walk; lack of facilities at sites; lack of public awareness; and the 'Absence / enactment of rules and regulations' around heritage sites, leading to encroachment (Gopi Talav, Mirza Sami's tomb). Ch.15 Environment then begins. The chapter has no strategies, proposals, heritage zone or prec</t>
  </si>
  <si>
    <t xml:space="preserve">This chapter focuses on the need for identification of the heritage structures in the city and the strategies to be adopted for its preservation.</t>
  </si>
  <si>
    <t xml:space="preserve">Both inputs are blank. Surat's city plan points towards band 0, but I could not confirm that heritage measures are absent from the whole plan, and it is unresolved which plan counts as the city plan.
**What I checked in ULG-06 (SUDA Development Plan 2035, report dated 22 Feb 2017):**
- **Chapter 14 'Heritage and Conservation'** (pp.146-149) does not do what its opening line promises: it never sets out 'the strategies to be adopted for its preservation'. It contains only:
  - lists of heritage categories (14.1);
  - Table 107, seven buildings of national importance;
  - urban villages and the Walled City (14.1.4);
  - intangible heritage categories (14.2);
  - definitions from the Ancient Monuments and Archaeological Sites and Remains Act, 1958 (14.3);
  - five issues (14.4): lack of interest by the local government, the failed SMC heritage walk, lack of facilities, lack of public awareness, and the absence of rules around sites (encroachment at Gopi Talav and Mirza Sami's tomb).
  There are no priorities, interventions, heritage zone or precinct designation, or targets. Chapter 15 (Environment) follows straight after.
- **19.2 Plan Objective** has no heritage objective. It speaks only generally of 'conservation' and of protecting 'the best of existing character of Surat', which is aspirational wording.
- **19.11 Zoning** lists Residential, Industrial, Commercial, Institutional/Educational, Recreational, Logistics and Surat Industrial Growth Region. There is no heritage zone, and Table 154 (proposed land use 2035) has no heritage category.
- **19.6 working groups** cover GDCR, housing and socio-economics, transport, infrastructure, environment and industries. None covers heritage.
- **Annexure 7 'Heritage structures in SMC'** (pp.281-283): only the heading could be read. The content appears to be images. At most it would be identification, which is not an intervention.
This points to band 0 for the DP. A firm NO still needs affirmative absence, and I could not reach it. The excerpt tool did not let me fully read the Recreational and Public Purpose zone maps (Figs 72-73), the reservations list, the stakeholder sub-committee sections in 16.4 (only SC 7 and SC 8 were seen) or the content of Annexure 7.
**Other plans in the sheet:**
- ULG-09 (NITI Aayog Economic Master Plan for the Surat Economic Region, Sept 2024) contains more than 2 heritage actions: an adaptive reuse and restoration scheme, site identification, feasibility studies, leasing to private players, and a Parsi Irani Zoroastrian Experience Center. It has no measurable targets. It is a tourism-led plan for six districts prepared by NITI Aayog, not the municipal/city plan. If a reviewer decides it does count, this question would score 2.5 (priorities YES, targets NO).
- ULG-05, ULG-14 and ULG-15 (CGDCR 2017) are state-wide development control regulations (Heritage Zone SZ4, Heritage Conservation Committee). They are not a city plan with priorities.
- ULG-19 (Solar City Master Plan) and ULG-07 (Parking Policy) are sectoral plans. ULG-10 (Disaster Management Plan) has no relevant heritage content.
- Chapter 14.2 mentions a 'recent initiative taken by the Surat Municipal Corporation towards Heritage Conservation', but no SMC heritage plan is in the sheet.
**To confirm:**
- (a) Is the SUDA DP 2035, or ULG-09, the 'municipal/city plan' for SMC?
- (b) Do the full DP maps, reservation list and Annexure 7 contain any heritage interventions?
If both checks find nothing beyond the chapter, priorities = NO, and the targets input is not counted (score 0).</t>
  </si>
  <si>
    <t xml:space="preserve">UPD20a</t>
  </si>
  <si>
    <t xml:space="preserve">Does the municipal/city plan include objectives on social development (health care, education)? &gt;:&lt; a) Education</t>
  </si>
  <si>
    <t xml:space="preserve">ANSWER: The Citation Sheet has no master plan, development plan or city development plan for Bengaluru, so the 'municipal/city plan' named in the question cannot be checked. The only city plan in the sheet is the Bengaluru Climate Action and Resilience Plan (BCAP, 2023), written for BBMP's jurisdiction. It has education content: (1) an action to ensure primary education and other facilities are within a 15-minute walk for 100% of the population, measured by the % of population with such access; (2) an outcome indicator for the % increase in population with access to primary education within a 10/12-minute walk; (3) an action to encourage disaster-resilient design for critical facilities, including schools, which has no education-specific target; (4) universal accessibility standards for public streets, spaces and buildings, which do not mention education. If BCAP counts as the city plan for this question, the walking-access item is a clear priority with an action and a measurable target. Whether there is a second, separate education priority with an action is debatable. BCAP says nothing about anganwadis or pre-primary facilities, or about school supply against population norms. No score is proposed. | EVIDENCE: ULG-16 BCAP Full Report (2023): UPGBD-5.4 (pp.279-280), 'Ensure access to mass transit stations, public open spaces, daily needs markets, primary education, and healthcare facilities within a 15-minute walking distance for 100% of the population. Promote this through </t>
  </si>
  <si>
    <t xml:space="preserve">facilities within a 15-minute walking distance for 100% of the population. Promote this through spatial plans and DCRs.</t>
  </si>
  <si>
    <t xml:space="preserve">Both inputs are blank. A person needs to decide this question.
(1) Which plan counts. The question asks about the 'municipal/city plan'. That means the city's master plan or development plan, or a city development plan. None of these is in the Citation Sheet. I searched the sheet for master plan, education, schools, anganwadi and targets and found none. BCAP itself says RMP 2041 is 'under preparation' (p.262). ULG-01 (GBA Act), ULG-02 (KTCP Act), ULG-04 (BDA Act) and ULG-19 (BBMP Act 2020) are laws, not plans.
(2) What BCAP contains on education. The only plan in the sheet is BCAP, a sectoral climate plan from 2023, written in the BBMP era. Its education content is incidental:
- UPGBD-5.4 (pp.279-280) gives one clear priority with an action: primary education within a 15-minute walk for 100% of the population, measured by the indicator '% of population having access to amenities/services within a 15-minute walking distance'. Lead agency is BDA. Timeline is 2025-2040.
- UPGBD-1.1 (p.262) repeats this as an outcome indicator for the master plan revision (10/12-minute walk).
- DM-2.5 (disaster-resilient design for critical facilities including schools) and UPGBD-5.5 (universal accessibility of streets, spaces and buildings, with no mention of schools) are not clearly education priorities.
- The 'Sasya Shamala' item (p.314) is a summary of the state budget (saplings planted around schools). It is not an education intervention in BCAP.
- BCAP's baseline (p.57) already reports 100% of the population within a 10-minute walk of a school. So the education 'target' has effectively been met; it is not a new intervention.
- BCAP has nothing on anganwadis or pre-primary facilities, or on school supply against population norms.
(3) Why no score. Even if BCAP counted, the rubric needs at least two clear education priorities with interventions. That threshold is doubtful, so the evidence fits no band clearly (RUBRIC-GAP).
(4) Why not 0. A NO, which would score 0, is not supported. The relevant plans are missing from the sheet, not shown to be absent, so the rule requiring affirmative absence is not met.
CHECK: Is the notified RMP 2015, RMP 2041 or any GBA or city corporation development plan available, and does it set education priorities and targets? Does the research team accept BCAP as the 'municipal/city plan'? Has the GBA adopted or continued BCAP?
Sources checked: ULG-16, ULG-17, ULG-01, ULG-02, ULG-04, ULG-19, plus a search across the whole sheet.</t>
  </si>
  <si>
    <t xml:space="preserve">ANSWER: Not determined. The only city-level plan in the Citation Sheet is SUDA's Development Plan 2035 (2017). It has an education section, Chapter 12.1, but that section only describes what exists: counts of schools, anganwadis, teachers and colleges. I found no education priorities, interventions or measurable targets in the parts I read. Section 11.5.3 (solid waste) does have Strategies and Future Requirements subsections, but the education section has nothing equivalent. If DP 2035 is the plan to assess, it would point toward the 0 band ('absent or general/aspirational'). I am not proposing a score, for two reasons. First, it is not settled which document counts as the 'municipal/city plan' for the Surat city government: DP 2035 was prepared by SUDA, a development authority, under the Gujarat Town Planning and Urban Development Act, 1976, not by the city government. Second, the Citation Sheet does not hold any plan of the city government's own (for example a City Development Plan, Smart City proposal or education plan), so absence cannot be confirmed. | EVIDENCE: ULG-06 DP 2035, Ch.12 intro (p.128 of the report): the chapter 'reviews the provision of social infrastructure facilities in Surat which include educational facilities like pre-primary, primary, secondary. higher education'. Ch.12.1 Education (pp.128-130): Tables 95-100 give primary schools by language medium (475, from the Revised CDP 2008-2013), primary schools by area (474), anganwadis and primary schools in 9</t>
  </si>
  <si>
    <t xml:space="preserve">In total, there are 632  primary schools within SUDA area including the SMC region.</t>
  </si>
  <si>
    <t xml:space="preserve">Both inputs are left blank. The Citation Sheet does not hold enough evidence to decide them.
(1) What I checked. The only city-level plan in the Citation Sheet is ULG-06, SUDA's Development Plan 2035 (report dated 22 Feb 2017). Its education section, Ch.12.1 (pp.128-130), only describes what exists. It gives counts of primary schools (475 and 474, from the Revised CDP 2008-2013), 65 anganwadis and 108 schools across 95 villages, 10 villages with no primary school, 632 primary schools in the SUDA area, teacher counts and 24 high schools. It then goes straight to 12.2 Health. There is no strategies or future-requirements subsection for education, unlike the solid waste section (11.5.3.6/11.5.3.7). Ch.19.11.5 only repeats the s.12(2) list of possible public purposes ('schools, colleges, and other educational institutions'). It says about 36.54 sq.km is reserved, but the list of reservations (Annexure-7) is marked 'removed' in this copy. Even if school reservations exist, a land reservation is not a stated priority with an intervention and a target. Read on its own, DP 2035 would point toward NO on priorities, which is the 0 band.
(2) Why I am not entering NO. A 0 needs affirmative absence, and that cannot be shown here. First, it is unclear which document is the 'municipal/city plan' for the Surat city government. DP 2035 is a SUDA development-authority plan made under the GTPUD Act 1976, not a plan of the city government. Second, the Citation Sheet holds none of the city government's own plans: no City Development Plan, Smart City proposal, education or ICDS plan, or outcome budget. Third, the sanctioned final DP 2035 is not in the sheet. The NITI Aayog Economic Master Plan (ULG-09, Sept 2024) is a regional economic plan by a Government of India body. It is not a municipal/city plan, so I did not use it. My search across the sheet for education targets, school requirements and anganwadi targets found nothing in any other ULG source.
(3) Age of the evidence. DP 2035's education data runs from 2008 to 2014, so it is at most partial evidence of current practice.
What a person should check: confirm which document is the municipal/city plan for the Surat city government, and obtain the city government's own plan. If DP 2035 is confirmed as the plan to assess, the evidence supports 'Clear priorities' = NO, which scores 0.</t>
  </si>
  <si>
    <t xml:space="preserve">UPD20b</t>
  </si>
  <si>
    <t xml:space="preserve">Does the municipal/city plan include objectives on social development (health care, education)? &gt;:&lt; b) Healthcare</t>
  </si>
  <si>
    <t xml:space="preserve">ANSWER: Not determined. No score is proposed. The only city-level plan in the Citation Sheet is the Bengaluru Climate Action and Resilience Plan (BCAP, 2023). It is a BBMP-era climate plan, not a general municipal or city development plan. It does contain health actions with measurable indicators, so it would fit the 3.33 band if the team accepts it as 'the municipal/city plan'. That has to be confirmed first. The health content comes in through air quality, disaster management and planning. It does not deal directly with how many dispensaries, primary health centres or hospitals the city has, or with vector-borne disease. | EVIDENCE: (1) ULG-16 BCAP Full Report, pp.223-230, action track AQ-4: 'Develop a city-level comprehensive Health Action Plan for tackling health risks posed by short-term and long-term exposure to air pollution', with the target 'Preparation of a roadmap ... for 2025-2035'. AQ-4.1 is annual free health check-ups at ward and city level. Its output indicators are 'Number of free health check-ups', '% reduction in health impacts' and '% reduction in air pollutant concentrations', due 2025. The lead agency is the Commissionerate of Health and Family Welfare, with BBMP Health Department as secondary. AQ-4.2 is a team to evaluate health systems and services, with the indicator 'Number of health facilities available for air pollution-related health issues', due 2025. (2) ULG-16 p.376, air quality monitoring framework: 'Roadmap for a comprehensive health action p</t>
  </si>
  <si>
    <t xml:space="preserve">AQ-4: Develop a city-level comprehensive Health Action Plan for tackling health risks posed by short-term and long-term exposure to air pollution. </t>
  </si>
  <si>
    <t xml:space="preserve">Both inputs are left blank and need a person to confirm what counts as the plan. The only city-level plan in the Citation Sheet is the Bengaluru Climate Action and Resilience Plan (BCAP, 2023, ULG-16/ULG-17). It is a sectoral climate plan from the BBMP era, not a general municipal or city development plan. It covers the BBMP area, not the GBA or its City Corporations. I searched the sheet ('city development plan health dispensary hospital target') and found no other city or municipal plan, master plan (RMP 2015 / draft RMP 2041), or city health plan. Checking the source confirms the Step 2 reading.
IF the team accepts BCAP as 'the municipal/city plan', both inputs would be YES (3.33 band). It sets at least two health priorities with actions:
- AQ-4: a city-level Health Action Plan on air pollution. AQ-4.1 is annual free health check-ups at ward and city level; AQ-4.2 is a team to evaluate health systems.
- DM-2.5: disaster-resilient design for hospitals.
- DM-2.7: an assessment of how climate hazards affect public health and how prepared health systems are.
It also has measurable indicators: 'Number of free health check-ups', '% reduction in health impacts', 'Number of health facilities available for air pollution-related health issues' (due 2025), and, under UPGBD-1.1, '% increase in population with access to ... primary education and healthcare facility within 10/12-min walking distance'.
CAVEATS:
- AQ-4 is led by the Commissionerate of Health and Family Welfare (a state body), with BBMP Health as secondary. UPGBD-1.1 is led by BDA.
- No BCAP action covers dispensary, primary health centre or hospital coverage, maternity and child welfare centres, or vector-borne disease.
NO is not given because there is no affirmative absence: no general municipal or GBA-era city plan was in the sheet to check. ULG-01 and ULG-19 contain only legal mandates for health functions, which do not show implementation.
CONFIRM:
(a) Does a sectoral climate plan count as the city plan?
(b) Can a BBMP-era plan count for the GBA era?
(c) Should actions led by state agencies be credited?
RTI-TARGET: GBA (Chief Commissioner's office / Health Department PIO) for the current city development plan or health action plan with targets.</t>
  </si>
  <si>
    <t xml:space="preserve">ANSWER: Not determined. The plan in the Citation Sheet that comes closest to a city plan is SUDA's Development Plan 2035 (report dated 22 Feb 2017, prepared under the Gujarat Town Planning and Urban Development Act, 1976). Its health section (Ch. 12.2) is mainly a status survey. It counts facilities, beds and staff and notes vector-borne disease risk. In the parts read, it sets out no health priorities, no interventions and no measurable targets. The only health intervention found is one hospital reservation, P-106 at Damka, with SUDA as the acquiring body. One reservation does not meet the 'two or more clear priorities and associated interventions' needed for the 1.67 band. The evidence points towards band 0, but the whole plan was not read, so a 0 cannot be given. | EVIDENCE: ULG-06 DP 2035 Ch.12 Social Infrastructure, p.128: the chapter 'reviews the provision of social infrastructure facilities in Surat'. 12.2 Health (pp.130-133): plague in 1994; floods cause 'malaria, filaria, dengue'; 'A separate department is created by SMC to look after impacts by Vector borne diseases'. 12.2.1: 28 major hospitals with 1119 beds (2006-07); 305 facilities registered with SMC (2009); 'The ever-increasing population in the city is expected to put pressures on the existing health facilities'. Tables 101-104 list facilities, using data from 2009 and 2014. 17.2.8 (additional 100 villages): Palsana has 1 hospital, 'well below required standards'. The health section has no 'Strategies' or 'Fut</t>
  </si>
  <si>
    <t xml:space="preserve">The ev er‐increasing population in the city is expected to put pressures on the existing health facilities.</t>
  </si>
  <si>
    <t xml:space="preserve">Both inputs are left blank. The Citation Sheet does not let me decide either one.
(1) It is unconfirmed which document counts as 'the municipal/city plan' for Surat Municipal Corporation. The nearest candidate, ULG-06, is SUDA's Development Plan 2035. This is the report dated 22 Feb 2017 on the draft submitted under s.16 of the Gujarat Town Planning and Urban Development Act, 1976. It is a plan of the development authority, not SMC's own plan, and the sanctioned final DP is not in the sheet. ULG-17 (2025 gazette) refers to a Final DP of SUDA, but its text is only a proposed variation.
(2) What I checked in ULG-06:
- Section 12.2 Health (pp. 130-133) is a status survey only. It gives facility, bed and staff counts for 2006-07 and 2009, notes the 1994 plague and flood-related malaria, filaria and dengue, and mentions SMC's vector-borne disease department. Tables 101-104 use 2009 and 2014 data.
- Unlike solid waste (11.5.3.6 Strategies, 11.5.3.7 Future Requirements), the health section has no strategies, no future requirements and no targets.
- Section 19.11.5 restates the s.12(2) power to reserve land for 'medical and public health institutions'. That is a statutory provision, not a priority set by the plan.
- Table 156: the only health reservation found in the parts shown is item 151, P-106 Hospital (SUDA, Damka, 1,58,099 sq.m). The full table was not visible in the excerpts returned.
This points towards 'NO' for priorities (band 0). But a 0 needs affirmative absence, and the whole DP was not read: the complete Table 156, Annexure-7 (marked 'removed') and the sanctioned version are missing. So I leave it blank and do not enter NO.
(3) Other sources in the sheet that are not the municipal/city plan:
- ULG-09 (NITI Aayog Economic Master Plan, Sept 2024) has quantified hospital-bed needs and proposed facilities. It is a regional economic plan by a Government of India body.
- ULG-10 (SMC Disaster Management and Preparedness Plan, undated) describes health programmes (immunisation, Vitamin A) and disease action plans. It is a sectoral disaster plan.
If the research team decides either of these counts as the city plan, the answer could change: ULG-09 might support YES/YES. A person should score this.
To confirm:
(a) which document is Surat's municipal/city plan;
(b) whether sectoral or regional plans can count;
(c) the full DP 2035 reservation list and the sanctioned DP, for any further hospital, dispensary or health-centre proposals.
The targets input counts only if priorities = YES, so it is also blank.</t>
  </si>
  <si>
    <t xml:space="preserve">UPD20c</t>
  </si>
  <si>
    <t xml:space="preserve">Does the municipal/city plan include objectives on social development (health care, education)? &gt;:&lt; c) Affordable housing</t>
  </si>
  <si>
    <t xml:space="preserve">ANSWER: It is unclear whether the BCAP counts as 'the municipal/city plan', so no score is proposed. The only city-level plan in the Citation Sheet with affordable-housing content is the Bengaluru Climate Action and Resilience Plan (BCAP, 2023). It is a climate plan prepared in the BBMP era, not the master plan. Under Action Track UPGBD-5 it sets out at least two clear affordable-housing priorities with named actions. It also has one measurable target: 100% of urban poor and vulnerable groups housed safely and affordably near public transport by 2050. If the BCAP is accepted as the city plan, that would meet the 3.33 band. The master plan was not in the Citation Sheet, so it could not be checked. This is either RMP 2015 or RMP 2041, which the BCAP says is still being prepared. The Greater Bengaluru Authority (GBA) is now the Planning Authority under the GBA Act, and no GBA-era plan is in the sheet. | EVIDENCE: ULG-16 BCAP 2023, pp.277-279, Action Track UPGBD-5, 'Improve access to essential services and infrastructure, including safe and affordable housing for all'. Its Goal/Target: 'By 2050, provide safe and affordable housing for 100% urban poor and vulnerable groups in locations having access to public transport stops/stations within a 5-minute walk.' The actions are: (1) UPGBD-5.1, identify and demarcate safe affordable-housing locations, i.e. land-use zones and public land parcels, for EWS-LIG in the city's master plan (lead BDA, support BBMP/KSDB/KHB; 2025; output 'RMP 2</t>
  </si>
  <si>
    <t xml:space="preserve">Step 2 found no evidence: a source needs to be found and added. Step 2 found no evidence (Human Verification Required). Source needed: The current statutory master plan for the Greater Bengaluru area: RMP 2015, or the notified or draft RMP 2041 and its gazette notification, including its housing chapter (housing need assessment, slum upgrading targets, EWS/LIG land reservations). Also any city development plan adopted by the GBA or city corporations, and a GBA or city-corporation resolution adopting the BCAP. These would show whether the BCAP counts as the city plan, or whether the master plan itself contains affordable-housing priorities and targets.</t>
  </si>
  <si>
    <t xml:space="preserve">ANSWER: The only city-level plan in the Citation Sheet is the Surat Development Plan 2035 (DP 2035). It was prepared by the Surat Urban Development Authority (SUDA), not by the Surat Municipal Corporation (SMC), and covers SMC's area. The copy is the 22 Feb 2017 report sent to the State Government for approval under s.16 of the Gujarat Town Planning and Urban Development Act, 1976. No final sanctioned version is in the sheet. DP 2035 has some affordable-housing content: (1) a projection of total housing need, with numbers; (2) about 8.58 sq km of land reserved for public bodies (SMC, SUDA, GHB, PWD etc.) to develop housing; (3) permission for affordable housing projects in any urbanised land use under Government guidelines. Most of the rest describes past schemes or lists 'emerging issues', not proposed actions. The plan has no affordable-housing-specific target: no EWS/LIG requirement figure, no number of slums to be rehabilitated, and no target share of the housing stock. The score could be 3.33 or 1.67, depending on whether the 8.58 sq km reservation and the total-housing projection count as affordable-housing targets. I have left it blank. | EVIDENCE: ULG-06 DP 2035: (a) p.92 Table 55 (Housing Requirement Projections): 'The total housing requirement for the year 2035 for entire SUDA region is 23.75 Lakhs', but the table totals 22,98,967 for 2035 (SMC 21,29,589). These figures are for all housing, not affordable housing. (b) p.208 (residential zone proposals): 'about 8.58 </t>
  </si>
  <si>
    <t xml:space="preserve">Also, about 8.58 sq.km. of land has been proposed for reservation for different acquiring bodies like SMC, SUDA, GHB, PWD, etc. for the purpose of developing these lands for h ousing. The land under these reservations has been listed in the list of reservations.</t>
  </si>
  <si>
    <t xml:space="preserve">SCORED COMPONENT: (c) Affordable housing. PLAN USED: the Surat Development Plan 2035, prepared by SUDA under the Gujarat Town Planning and Urban Development Act, 1976, which covers the SMC area. The copy in the sheet is the report of 22 Feb 2017, sent to the State for approval under s.16. ULG-17 (Gazette, 24 Mar 2025) shows the Final Development Plan was sanctioned by notification GH/V/157 of 2020 dated 08.10.2020. That sanctioned text is NOT in the sheet, so what I found may differ from the current plan.
INPUT 1, PRIORITIES &amp; INTERVENTIONS = YES. The submitted plan has at least two specific housing interventions, not just general statements: (1) about 8.58 sq km of land reserved for SMC, SUDA, GHB, PWD and others to develop housing, with the parcels said to be in the list of reservations. This matches the methodology's example 'identification of land parcels'. (2) 'It is proposed to allo w the affordable housing project as per the Government guidelines in any of the urbanized land use.' The plan also assesses housing need, which matches the example 'assessment of existing and projected requirements': a 60,455-unit backlog in 2011 (Table 57) and a projected shortfall of 1,23,385 units in 2035 (Table 58). CAVEAT: the land reservation is 'for housing' in general and is not labelled affordable or EWS/LIG. The need figures cover all housing, not affordable housing.
INPUT 2, MEASURABLE TARGETS = BLANK. The plan has numbers: the 8.58 sq km reservation and the overall housing-shortfall projections. But I found no target or outcome indicator that is specific to affordable housing: no EWS/LIG unit target, no number or share of the 399 slum pockets to be rehabilitated, and no target share of the housing stock. Section 9.8 lists past or approved schemes (EWS 7,424 units built; BSUP; MGY), not targets for the plan period. Sections 9.9.3-9.9.4 only describe issues. Section 16.4.1 contains stakeholder suggestions only. I am not entering NO because I cannot show the targets are absent: (a) the sanctioned 2020 plan is not in the sheet; (b) I could not read the housing entries in the reservation table (Table 156, Ch. 21) before the tool limit; (c) whether a quantified land reservation 'for housing' by public agencies counts as an affordable-housing target is a scorer's judgement. Other sheet sources do not change this. ULG-05, ULG-14, ULG-15 and ULG-16 (CGDCR 2017) are state-wide regulations, not the city plan's own targets. ULG-09 (NITI Aayog 2024) is a regional economic plan and addresses housing only in general terms. ULG-11 is only a 2013 presentation launching the plan's preparation. The sheet has no SMC housing, slum-free city or PMAY plan.
FOR THE REVIEWER TO CONFIRM: (1) whether the SUDA DP 2035 counts as the 'municipal/city plan' for the SMC; (2) obtain the sanctioned DP 2035 (08.10.2020) to check whether these proposals were kept and whether it adds affordable-housing targets; (3) decide whether the 8.58 sq km reservation and the shortfall projections count as measurable targets. That decision gives 3.33 if YES and 1.67 if NO.</t>
  </si>
  <si>
    <t xml:space="preserve">The citation didn't settle every input. "Measurable targets / outcome indicators (counts only if priorities = YES)" left blank: the Citation Sheet doesn't decide it.</t>
  </si>
  <si>
    <t xml:space="preserve">UPD21</t>
  </si>
  <si>
    <t xml:space="preserve">Does the municipal/city plan include objectives for women?</t>
  </si>
  <si>
    <t xml:space="preserve">ANSWER: This can't be decided from the Citation Sheet. The question is about the municipal/city plan. For Bengaluru, the sources point to the Master Plan prepared by the BDA under the KTCP Act (RMP 2015 now, with a revised RMP being prepared) as the statutory city plan. That plan is not in the Citation Sheet, so we can't tell whether it sets women-specific priorities, actions or targets. The only city-level plan in the sheet is the Bengaluru Climate Action and Resilience Plan (BCAP, 2023), which was started by BBMP. BCAP does include several women-specific actions with output indicators. Two are transport actions led by BMLTA/DULT or the Transport Department and one is a waste action led by BBMP-BSWML: (1) mobility: cheaper or concessional public-transport fares for women and other groups, and buses with special seats for women; (2) livelihoods: training for marginalised groups that counts women trained, and training with self-help groups for women in slums on waste recycling and livelihoods. However, BCAP is a climate plan made of actions for different sectors and agencies. It is not clearly the 'municipal/city plan' this question means. | EVIDENCE: ULG-16 BCAP 2023 full report: p.34 says the city's 'spatial growth, land use, and development are largely guided by the Master Plan (the Revised Master Plan for Bangalore - 2015), which is a statutory planning instrument'. p.87, Table 7: 'Revised Master Plan (RMP) for Bengaluru is under preparation (by BDA)'. Action T 2.1 (p.184,</t>
  </si>
  <si>
    <t xml:space="preserve">conduct IEC campaigns and training sessions for women in slums/vulnerable communities/poor pockets to nudge social behaviour in relation to segregation and recycling/reusing waste, to improve waste segregation and create livelihoods.</t>
  </si>
  <si>
    <t xml:space="preserve">Both inputs are left blank on purpose. I agree with Step 2 after checking the source.
(1) The statutory city plan is missing from the Citation Sheet. BCAP p.34 says Bengaluru's development is 'largely guided by the Master Plan (the Revised Master Plan for Bangalore - 2015), which is a statutory planning instrument'. Pages 87 and 262 say RMP 2041 is 'under preparation' by BDA. There is no copy of RMP 2015, a draft or notified RMP 2041, or any GBA or city-corporation development plan in the sheet. So I can't check whether the actual municipal/city plan has women-specific priorities or targets.
(2) BCAP 2023 (ULG-16) is the only city-level plan in the sheet. It does contain women-specific actions with countable output indicators:
- T 2.1: % of buses with special seats for women (lead: BMLTA/DULT, 2028).
- T 2.4: fare incentives for women, measured by the number of passes issued to women and others, monitored quarterly (lead: BMLTA/DULT, 2025).
- T 4.10: number of women trained (lead: Commerce and Industries Department).
- SWM 1.11: training for women in slums, measured by the total number of women involved in recycling waste (lead: BBMP-BSWML, 2030).
Women are also mapped as a vulnerable group in the vulnerability assessment (p.38). Other references, such as 'Gender equality' as a co-benefit in the water actions and 'gender-neutral toilets', are general references and don't count under the methodology.
If BCAP were accepted as the 'municipal/city plan', it would appear to meet the 10-point band: YES / YES (mobility and livelihoods priorities, each with countable indicators). But BCAP is a sector climate plan. Most of its women-related actions are led by bodies other than the city government (BMLTA/DULT, state departments). It was prepared in the BBMP era, and the sheet doesn't show that the GBA or its corporations have adopted it. Treating it as the city plan is a methodology decision for a reviewer.
(3) I can't record NO (score 0). There is no affirmative absence, because the statutory plan wasn't in the sheet to read.
What I checked: ULG-16 (full report, including searches for women, gender and safety), ULG-17 (executive summary), and the sheet-wide search. ULG-01, ULG-02, ULG-04 and ULG-19 are laws, not plans, so they can't show what a plan contains.
CONFIRM:
(a) Does BCAP count as the city plan for UPD21?
(b) Please add RMP 2015 or the draft RMP 2041, and any GBA or corporation plan, to the Citation Sheet.
This is an Implementation question, so the reviewer should capture a dated screenshot of the plan. Era: BBMP-era for BCAP.</t>
  </si>
  <si>
    <t xml:space="preserve">ANSWER: Not found, so no score. The excerpts I read from Surat's Development Plan 2035 (SUDA, 2017) contain no clear priorities, interventions or measurable targets for women's inclusion. Women appear only in demographic analysis and in a summary of state-level objectives. The only women-specific interventions in the Citation Sheet are in the NITI Aayog Economic Master Plan for the Surat Economic Region (2024): a workers' hostel specially for women, rental housing for workers 'particularly women', and creches at proposed industrial and B2B parks. That document is a regional economic plan from a national agency. It is not the city's statutory municipal/city plan, and it sets no targets for women. I could not read the whole of DP 2035, so I cannot show affirmative absence, and a 0 is not justified. | EVIDENCE: (1) ULG-06, DP 2035, Sections 6.4 and 6.7 (pp. 43-48 of the report): sex ratio of 803 females per 1000 males (Census 2011) and female share of main workers 9.92% in 2011. This is description only, with no intervention. (2) ULG-06, Section 13.2 (report p.137): lists the Gujarat State Twelfth Plan objectives, including 'Empowerment of the youth and women'. This is state policy context, not a plan priority with interventions. (3) ULG-06, Section 19.8, Vision, Aim and Principles (report pp.187-189): generic aims such as 'inclusive development', 'safe and liveable environment' and 'Improved safety and security environment'. None is specific to women, and the methodology says s</t>
  </si>
  <si>
    <t xml:space="preserve">To support all scales of development so that holistic inclusive development for the benefit of population can take place</t>
  </si>
  <si>
    <t xml:space="preserve">Both inputs are left blank. Nothing found is not the same as proven absent, and the question of which document counts as the city plan is still open. I checked the Step 2 answer against the source and agree with it. ULG-06 is SUDA's Development Plan 2035 (report dated 22 Feb 2017, prepared under the Gujarat Town Planning and Urban Development Act, 1976). The parts I read are the Vision, the Aim and the Principles in 19.8 (pp.187-189), the Recreational and Traffic &amp; Transport zone proposals (19.11.6-19.11.7), the parks and open-space chapter (Ch.10), the physical infrastructure chapter (Ch.11) and the reservations annex. They contain only general wording: 'inclusive development', 'safety and security of the population' and 'efficient, safe ... public transport'. None of it names women, and the methodology says general or aspirational references like these do not count. Step 2 also reports that women appear only in descriptive data (sex ratio, female share of workers, in Sections 6.4 and 6.7) and in a list of Gujarat Twelfth Plan objectives quoting 'Empowerment of the youth and women' (13.2). Neither is a priority of this plan with interventions attached. I could not give NO, which would score 0. The read tool shows only selected passages, so I could not read all of DP 2035. Chapter 12 (social infrastructure), the housing chapter and the detailed proposals were not fully checked, so absence is not proven. Three things need a person to decide. (a) Which document is the 'municipal/city plan' for Surat Municipal Corporation (the ULG)? DP 2035 is SUDA's statutory plan, not SMC's own. The sheet has no plan prepared by SMC itself, such as a City Development Plan, a Smart City proposal or a gender plan. (b) Was DP 2035 sanctioned, and is it the current plan? ULG-17 (2025) refers to a variation of the SUDA Final Development Plan, which suggests it was, but I did not confirm this. (c) ULG-09, NITI Aayog's Economic Master Plan for the Surat Economic Region (Sept 2024), has women-specific interventions: a workers' hostel specially for women, rental housing for workers 'particularly women', and creches at the industrial parks. It is a national agency's plan for a multi-district region, not the city's plan. Its interventions are marked tentative and it sets no targets. If reviewers decided it counts anyway, the best it could support is priorities = YES and targets = NO (5 points), and I do not recommend that. ULG-19 (Solar City Master Plan), ULG-07 (Parking Policy) and ULG-10 (Disaster Management and Preparedness Plan) are sector plans, and my searches found nothing on women in them.</t>
  </si>
  <si>
    <t xml:space="preserve">UPD22</t>
  </si>
  <si>
    <t xml:space="preserve">Is there a common digital base municipal/city plan Map shared among Planning Authorities, and data updated through GIS with fixed periodicity by the relevent sectoral agencies (transport, network infrastructure, land use changes)</t>
  </si>
  <si>
    <t xml:space="preserve">Step 2 found no evidence: a source needs to be found and added. Step 2 found no evidence (Insufficient Evidence). Source needed: The official KSRSAC website or Karnataka state geoportal (e.g. a KGIS or state spatial data infrastructure portal), showing (a) a state base map open to all agencies and parastatals, and (b) a data catalogue or download page with at least 2 shapefile/KML layers among land use, transport (roads, railway or metro lines) and administrative boundaries (GBA or City Corporation wards, BMRDA metropolitan boundary). Ideally also a GO or data-sharing policy that sets how often sectoral agencies update their layers. All dated and captured in screenshots.</t>
  </si>
  <si>
    <t xml:space="preserve">Step 2 found no evidence: a source needs to be found and added. Step 2 found no evidence (Insufficient Evidence). Source needed: Current pages from Gujarat's state spatial data or remote sensing centre, or the state geoportal, showing two things: (a) a common map available to all state agencies and parastatals, and (b) downloadable shape files or KML for at least 2 of land use, transport (roads, rail, metro) and administrative boundaries (ward, corporation, metropolitan). Each needs a date and should be backed by a dated screenshot.</t>
  </si>
  <si>
    <t xml:space="preserve">UPD23a</t>
  </si>
  <si>
    <t xml:space="preserve">Does the city have a Water Supply and Sewerage Plan, City Sanitation Plan, and Solid Waste Management Plan  that clearly articulates development priorities, measurable objectives, and the roles and responsibilities of the ULG? &gt;:&lt; Does the city have a notified and active Plan?</t>
  </si>
  <si>
    <t xml:space="preserve">Step 2 found no evidence: a source needs to be found and added. Step 2 found no evidence (Insufficient Evidence). Source needed: Copies of each plan as adopted or notified: (a) the Water Supply and Sewerage Master Plan from BWSSB or the state government, with its approval or notification date and plan period; (b) the City Sanitation Plan adopted by BBMP or GBA or the city corporations, as a full plan rather than a one-page Swachh Bharat Mission document, with the council or government approval; (c) the city-level Solid Waste Management Plan prepared under the Solid Waste Management Rules, 2016 or the GBA Act, with its adoption record. These should come from the official GBA, city corporation, BWSSB or Urban Development Department websites, or from the Karnataka gazette, and show that each plan is currently in force.</t>
  </si>
  <si>
    <t xml:space="preserve">Step 2 found no evidence: a source needs to be found and added. Step 2 found no evidence (Insufficient Evidence). Source needed: SMC's own current Water Supply and Sewerage Master Plan, City Sanitation Plan and Solid Waste Management Plan, each with its approval record (General Board or Standing Committee resolution, or a state or parastatal approval) and the period it covers, taken from the SMC website or official state sources. Each plan must be a full city-level sectoral plan, not a scheme-compliance document (for the CSP, not a one-page SBM document).</t>
  </si>
  <si>
    <t xml:space="preserve">UPD23b</t>
  </si>
  <si>
    <t xml:space="preserve">Does the city have a Water Supply and Sewerage Plan, City Sanitation Plan, and Solid Waste Management Plan  that clearly articulates development priorities, measurable objectives, and the roles and responsibilities of the ULG? &gt;:&lt; Does the plan have development priorities and measureable objectives?</t>
  </si>
  <si>
    <t xml:space="preserve">Step 2 found no evidence: a source needs to be found and added. Step 2 found no evidence (Insufficient Evidence). Source needed: Each currently active plan for the city, as notified or adopted, with its targets: (a) the BWSSB water supply and sewerage master plan, with coverage, treatment-capacity, network and NRW targets; (b) the City Sanitation Plan, covering sanitation, FSSM and untreated-discharge targets; (c) the GBA or city corporation Solid Waste Management Plan, with segregation, processing-capacity and disposal targets. Each should show the year it covers and that it is currently active.</t>
  </si>
  <si>
    <t xml:space="preserve">ANSWER: The Citation Sheet holds no dedicated Water Supply &amp; Sewerage Plan, City Sanitation Plan or Solid Waste Management Plan for Surat, whether by the Surat Municipal Corporation (SMC) or another agency. The only document with sector priorities and measurable targets is SUDA's Development Plan 2035 report (22 Feb 2017). It is a land-use plan covering the whole SUDA area, not an SMC sector plan. Its infrastructure chapters (Ch. 11 and Ch. 20) set clear sector priorities with numbers. Water supply: demand of about 1410 MLD by 2025 and 1750 MLD by 2035, with phased work on intake wells, treatment capacity with SCADA, network and water meters. Sewerage: the priority is the 43 sq.km of urban area with no drainage system, then 206 sq.km to be covered by 2025 and 163 sq.km more by 2035. Solid waste: segregated collection and decentralised processing, with projected waste of 3420 TPD (2025) and 4325 TPD (2035) inside the city, and 325/455 TPD of capacity to be built in the villages. So if the Development Plan is accepted as 'the plan', the test is met for water supply, sewerage and solid waste, but not for sanitation as a separate plan (faecal sludge, septage). Whether this document counts as the relevant plan is decided under UPD23a, so no score is proposed. | EVIDENCE: ULG-06 DP 2035, Ch. 11.1, p.97: service gaps are estimated against CPHEEO norms, 'requirements by the year 2021, 2031 and 2035 have also been estimated'. 20.1.1, Tables 139-140, p.209: water demand projection and </t>
  </si>
  <si>
    <t xml:space="preserve">The priority would be to lay down sewerage in this area in addition to the expansion of the city area which is estimated to be around 163 sq.km. The total area to be covered with sewerage by 2025 comes out to be 206 sq.km.</t>
  </si>
  <si>
    <t xml:space="preserve">All three inputs are left blank. Under this question the inputs need a sector plan whose content can be tested, and none is in the Citation Sheet. I searched the sheet and reviewed the source list. It holds no dedicated Water Supply &amp; Sewerage Plan, SWM Plan or City Sanitation Plan for Surat Municipal Corporation (SMC) or any other agency. The other sources are Acts and Rules (ULG-01 to 04, 13, 18), building regulations (CGDCR, ULG-05 and ULG-14 to 16), a parking policy (ULG-07), an organogram (ULG-08), the NITI economic plan (ULG-09), a disaster plan (ULG-10), a 2013 DP workshop presentation (ULG-11), a town planning scheme map (ULG-12), a DP variation notice (ULG-17) and a Solar City plan (ULG-19). None is a water, sanitation or SWM plan.
The only candidate is SUDA's Development Plan 2035 report (ULG-06, dated 22 Feb 2017). It is a land-use plan for the whole SUDA area, prepared by the development authority, not by SMC. It does set sector priorities with measurable targets:
- Water supply: demand of about 1410 MLD by 2025 and 1750 MLD by 2035, with phased works.
- Sewerage: first priority is the 43 sq.km of urban area with no drainage; 206 sq.km to be covered by 2025 and a further 163 sq.km by 2035; 60 pumping stations in total.
- SWM: segregation at source and decentralised processing; 3420 TPD (2025) and 4325 TPD (2035) projected in the city; 325/455 TPD of capacity to be built in the villages.
If UPD23a accepts DP 2035 as performing the role of a city-level sector plan, the content would support YES for water supply &amp; sewerage and for SWM. It would not support YES for City Sanitation. DP 2035 has no faecal sludge or septage targets and no CSP-type content, but that is 'not found', not affirmative absence.
I am not entering NO for any input, because absence has not been shown. DP 2035 (Ch. 11.4.10) says 'SMC has prepared a master plan for comprehensive sewerage system ... for the year 2026'. The Step 2 notes also mention SMC's 'Water Supply Master Plan 2041'. Neither document was collected, and no SMC SWM plan or DPR, or City Sanitation Plan, was searched for or collected either.
I agree with the Step 2 answer (Partially Answered, no score), and the source supports its reading of DP 2035.
For a person to check:
- (1) The UPD23a decision on whether DP 2035 counts as 'the plan'.
- (2) Collect SMC's sewerage master plan, Water Supply Master Plan 2041, SWM plan and City Sanitation Plan, if they exist.
- (3) Whether the 2017 report is the sanctioned DP text.
- (4) The 3.33 maximum is split across three YES/NO inputs; the workbook formula handles the points.</t>
  </si>
  <si>
    <t xml:space="preserve">The citation didn't settle every input. "UPD23b1: Water Supply &amp; Sewerage Plan" left blank: the Citation Sheet doesn't decide it. "UPD23b2: Solid Waste Management Plan" left blank: the Citation Sheet doesn't decide it. "UPD23b3: City Sanitation Plan" left blank: the Citation Sheet doesn't decide it.</t>
  </si>
  <si>
    <t xml:space="preserve">UPD23c</t>
  </si>
  <si>
    <t xml:space="preserve">Does the city have a Water Supply and Sewerage Plan, City Sanitation Plan, and Solid Waste Management Plan  that clearly articulates development priorities, measurable objectives, and the roles and responsibilities of the ULG? &gt;:&lt; Does the plan clearly articulate the role of the ULG?</t>
  </si>
  <si>
    <t xml:space="preserve">Step 2 found no evidence: a source needs to be found and added. Step 2 found no evidence (Insufficient Evidence). Source needed: The current notified or adopted city plans: the Water Supply and Sewerage (master) plan for the GBA/BWSSB area, the City Sanitation Plan, and the city Solid Waste Management Plan. In each, the institutional, roles or implementation chapter that assigns tasks to the GBA or the City Corporations. Also any GBA-era adoption or notification that confirms the plan applies to the current city government.</t>
  </si>
  <si>
    <t xml:space="preserve">Step 2 found no evidence: a source needs to be found and added. Step 2 found no evidence (Insufficient Evidence). Source needed: The current SMC Water Supply and Sewerage Master Plan (e.g. the Water Supply Master Plan 2041 and any sewerage master plan), the Surat City Sanitation Plan and the SMC Solid Waste Management Plan, as official SMC or Gujarat UD&amp;UHD documents. Each should include its implementation or institutional-roles chapter and an approval date.</t>
  </si>
  <si>
    <t xml:space="preserve">UPD24a</t>
  </si>
  <si>
    <t xml:space="preserve">Does your city have a Sustainability/ Resilience Strategy/Climate Action Plan that clearly articulates development priorities, measurable objectives, and the roles and responsibilities of the ULG? &gt;:&lt; Does the city have a notified and active Sustainability/Resilience Strategy?</t>
  </si>
  <si>
    <t xml:space="preserve">ANSWER: Bengaluru has a final city climate and resilience strategy, the Bengaluru Climate Action and Resilience Plan (BCAP), which BBMP launched on 27 November 2023. The question's test, however, is formal adoption or approval by the competent authority: a council or city-government resolution, a Government Order, or integration into the statutory master plan. No such instrument is in the Citation Sheet. The plan's own documents describe a launch and say it was 'formalized'. They do not cite a resolution, order or approval number. Whether the plan is still active under the Greater Bengaluru Authority (GBA) and its city corporations is also not shown. | EVIDENCE: (1) ULG-17, BCAP Executive Summary, a BBMP file dated 18-07-2025. Page 1 says BCAP was 'initiated in 2021 and formalized in 2023' and was 'developed by BBMP and the Government of Karnataka with C40 Cities and WRI India'. Page 2 says 'BCAP was launched on November 27, 2023, by the Bruhat Bengaluru Mahanagara Palike (BBMP), under the leadership of Shri Rakesh Singh, Administrator ... and Shri Tushar Girinath, Chief Commissioner, BBMP.' It also says implementation is to be led by a Climate Action Cell, which the summary only 'proposes' to set up within BBMP. (2) ULG-16, BCAP 2023 Full Report. The acknowledgements thank WRI India for supporting BBMP 'until the final approval stage' but do not name the approving authority or instrument. Minutes of a 13-03-2023 meeting at Vikasa Soudha record only an agenda item for 'In-pri</t>
  </si>
  <si>
    <t xml:space="preserve">BCAP – Executive Summary (English, file dated 18-07-2025) [ULG-17]</t>
  </si>
  <si>
    <t xml:space="preserve">https://apps.bbmpgov.in/bcap/PDF/Executive%20summary_English%2018072025.pdf</t>
  </si>
  <si>
    <t xml:space="preserve">BCAP was launched on November 27, 2023,  by the Bruhat Bengaluru Mahanagara Palike (BBMP), under the leadership of Shri Rakesh Singh, Administrator  - Bruhat Bengaluru Mahanagara Palike and Additional Chief Secretary, Urban Development Department, Gok and Shri Tushar Girinath, Chief Commissioner, BBMP.</t>
  </si>
  <si>
    <t xml:space="preserve">I left 'Answer' blank. The Citation Sheet can support neither YES nor NO under the Detailed Methodology.
**Why not YES:** The methodology scores only a plan that has been formally adopted or approved by the competent authority. That means a ULG or council resolution, a Government Order, or integration into the statutory city plan or Development Plan.
- **What the sources show:**
  - ULG-17 (BCAP Executive Summary, a BBMP file dated 18-07-2025, on apps.bbmpgov.in) says BCAP was 'initiated in 2021 and formalized in 2023'.
  - It also says BBMP launched BCAP on 27-11-2023, under the BBMP Administrator (the ACS, UDD) and the Chief Commissioner.
  - ULG-16 (BCAP 2023 full report) thanks WRI India for its support 'until the final approval stage'. It does not name the approving authority or any approval instrument.
  - ULG-16 also includes minutes of a 13-03-2023 meeting at Vikasa Soudha. Their only relevant agenda item is 'In-principle consensus on mitigation and adaptation goals and targets'. In-principle consensus at a meeting is not a formal adoption.
- **What is missing:** Neither document cites a resolution, an Administrator's order, a GO number or a master-plan integration. A launch event is not the formal adoption instrument the methodology names.
- **Implementation not shown:** The governance chapter still only 'proposes' the Climate Action Cell (CAC) within BBMP. No source shows it has been constituted.
**Why not NO:** A NO would score 0, which needs affirmative absence. That test is not met:
- A final plan owned by BBMP exists. It is not a draft. WRI India and C40 were knowledge and technical partners, so it is not an independent consultant's report.
- The wording 'formalized' and 'final approval stage' suggests an approval may exist that is not in the Citation Sheet.
- I searched and read the sources below and found no approval instrument. That shows the instrument is not in the sheet; it does not show that none exists.
**What I checked:**
- ULG-17 and ULG-16.
- Searched the whole Citation Sheet for an approving resolution or Government Order. Only GBA Act provisions on resolutions in general came back (ULG-01, s.129).
- Step 2 also reviewed these and found nothing on BCAP adoption: ULG-01 (GBA Act 2024), ULG-19 (BBMP Act 2020), ULG-02 (KTCP Act), ULG-04 (BDA Act), ULG-18 (BMLTA Act) and ULG-20 (BMRDA Local Planning Areas page).
- No city Disaster Management Plan is in the Citation Sheet.
**Era:** The plan is from the BBMP era. Nothing shows that the GBA or its city corporations are continuing BCAP, so it is unclear whether the plan is still 'active'.
**For the reviewer:**
1. Decide whether a launch led by the Administrator, who held the council's powers while there was no elected council, counts as adoption.
2. Get the BBMP Administrator's resolution or order, or the UDD GO, approving BCAP.
3. Get any GBA-era order continuing BCAP or constituting the CAC.
If an approval instrument is found, the answer is YES (3.33).</t>
  </si>
  <si>
    <t xml:space="preserve">ANSWER: Yes. Surat Municipal Corporation (SMC), the city government, publishes a final Disaster Management and Preparedness Plan (DMP). The methodology lets a DMP count as evidence. The plan is issued under the Municipal Commissioner, has a preface signed by the Commissioner and the Mayor, and is kept up to date. The edition on file has rainfall data to 2025 and an office-bearer list dated 28/05/26. Because it is a current official SMC document, the plan counts as notified and active. | EVIDENCE: ULG-10 (SMC DMP), title page: 'Publisher: M. Nagarajan IAS, Municipal Commissioner', Surat Municipal Corporation. Preface (p.3): SMC 'is publishing the Disaster Management &amp; Preparedness Plan since 2002' and 'The DMP is updated with latest information every year'. The preface is signed by the Commissioner and Mayor Mayaben Dharmendrabhai Mavani. It also says zone-level and ward-level plans are prepared. The plan covers floods, cyclones, heatwave (Ch.8), water-borne and vector-borne disease, pre-monsoon contingency planning, standing instructions to departments, creek flood management and the Tapi flood protection scheme. Chapter 15 lists office bearers 'As on Date 28/05/26'. Chapters 32 and 35 cite Standing Committee Resolutions No.931/2025 (17/05/2025) and No.830/2025 (24/04/2025), which show the plan's arrangements are in current use. Other sources checked and not relied on: ULG-19 (Solar City Master Plan presentation). It says the 'Final Master Plan submitted to SMC on 06/02/2013'</t>
  </si>
  <si>
    <t xml:space="preserve">Disaster Management and Preparedness Plan, Surat Municipal Corporation [ULG-10]</t>
  </si>
  <si>
    <t xml:space="preserve">https://www.suratmunicipal.gov.in/Content/Documents/Downloads/DMP_English.pdf</t>
  </si>
  <si>
    <t xml:space="preserve">This Disaster Management Preparedness Plan includes most of the preplanning and necessary steps to be taken during the disasters situation that arises due to hea vy rain, flood, cyclone in the areas in the banks of the above creeks in the city</t>
  </si>
  <si>
    <t xml:space="preserve">I scored YES because the methodology says a Disaster Management Plan may count as evidence. The citation is ULG-10, a final plan published by Surat Municipal Corporation on its own website (suratmunicipal.gov.in). It is not a draft and not a consultant or academic report. The title page names Municipal Commissioner M. Nagarajan IAS as 'Publisher'. The preface is signed by the Commissioner and by Mayor Mayaben Dharmendrabhai Mavani. It says SMC 'is publishing the Disaster Management &amp; Preparedness Plan since 2002' and that the plan 'is updated with latest information every year'.
The plan is active. Its rainfall table runs to 2025, Chapter 15 lists office bearers 'As on Date 28/05/26', and Chapters 32 and 35 cite Standing Committee Resolution No.931/2025 (17/05/2025) and No.830/2025 (24/04/2025). It covers floods, cyclones, heatwave (Ch.8), disease outbreaks, pre-monsoon contingency, standing instructions to departments and zones, creek floods and the Tapi flood protection scheme. It also assigns roles to named SMC officers.
REVIEWER CHECK: The methodology asks for formal adoption by a competent authority, and gives as examples a ULG/Council resolution, a Government Order, or integration into the statutory plan. The Citation Sheet has no resolution or GO adopting the DMP itself. The two Standing Committee resolutions only approve items inside the plan (food-packet supplier, vehicle hire rates). My YES therefore rests on this being the corporation's own official plan: issued by the Commissioner, who is SMC's executive head, endorsed by the Mayor, and reissued every year. If the reviewer requires a Council or Standing Committee resolution or a GO, change the input to blank (not NO), because adoption has not been shown to be absent.
Other sources I checked:
- No Climate Action Plan or City Resilience Strategy is in the Citation Sheet (search run across all sources).
- ULG-19 (Solar City Master Plan, 2013) was only 'submitted to SMC', and is old.
- ULG-09 (NITI Aayog Economic Master Plan, 2024) is a regional economic plan. It recommends a resolution strategy and heat action plan for the region; it does not show that the city adopted one.
- ULG-06 (SUDA DP 2035 report) is a development plan, not a resilience strategy.
Please also capture a dated screenshot of the SMC DMP page as the QB evidence requirement asks.</t>
  </si>
  <si>
    <t xml:space="preserve">UPD24b</t>
  </si>
  <si>
    <t xml:space="preserve">Does your city have a Sustainability/ Resilience Strategy/Climate Action Plan that clearly articulates development priorities, measurable objectives, and the roles and responsibilities of the ULG? &gt;:&lt; Does the plan have development priorities and measurable objectives?</t>
  </si>
  <si>
    <t xml:space="preserve">ANSWER: Yes. The Bengaluru Climate Action and Resilience Plan (BCAP) sets out at least two clear priorities: seven priority sectors, each with a stated goal and action tracks, plus high, medium and low action priorities. Against these it sets measurable, time-bound targets: an overall net-zero target for 2050 with interim greenhouse-gas cuts, and numeric targets for individual sectors. | EVIDENCE: ULG-17 (BCAP Executive Summary, file dated 18-07-2025), Table 1 'Scope of BCAP', p.4: 'Target Year for Net-Zero 2050'; 'Interim GHG Reduction Targets 16% by 2030, 26% by 2040, 56% by 2050'. Sectors covered: Energy &amp; Buildings, Transport, Solid Waste, Air Quality, Water &amp; Wastewater, Urban Greening, Disaster Risk. Review: every 5 years for the overall plan and every 3 years for targets and actions. 'Sectoral Goals and Actions', p.8: 'Seven priority sectors have been identified...', with actions ranked high, medium or low priority. Energy &amp; Buildings: 'Increase non-fossil fuel share in grid electricity to 68% by 2030 and 89% by 2050'. Solid Waste (p.10): 'Target: 100% segregation by 2025; waste diversion from landfills: 60% by 2030, 75% by 2040, and over 90% by 2050'; paper and plastic recycling above 60%, 75% and 90% by 2030, 2040 and 2050; landfill gas capture of 25%, 50% and 75% by the same years. Air Quality: WHO indoor air quality standards in all public buildings by 2030 and all other buildings by 2040. Water, wastewater and stormwater: a water-security and sponge-space goal. UL</t>
  </si>
  <si>
    <t xml:space="preserve">Enhance waste segregation at source to divert waste from landfills. Target: 100% segregation by 2025; waste diversion from landfills: 60% by 2030, 75% by 2040, and over 90% by 2050.</t>
  </si>
  <si>
    <t xml:space="preserve">Answer is YES. I checked the Step 2 answer against ULG-17 (BCAP Executive Summary, file dated 18-07-2025, summarising the 2023 BCAP), and the source supports it. The rule asks for at least two clear priorities, each with measurable objectives or targets. The plan meets it.
(1) Clear priorities: p.8 says 'Seven priority sectors have been identified for developing mitigation and adaptation/resilience strategies'. These are Energy &amp; Buildings, Transport, Solid Waste, Air Quality, Water &amp; Wastewater, Urban Greening and Disaster Risk. Each has a stated sector goal and numbered Action Tracks, and actions are ranked high, medium or low priority.
(2) Measurable, time-bound targets against those priorities:
- Whole plan (Table 1, p.4): net zero by 2050, with interim greenhouse-gas cuts of '16% by 2030, 26% by 2040, 56% by 2050'.
- Energy &amp; Buildings (p.8): 'Increase non-fossil fuel share in grid electricity to 68% by 2030 and 89% by 2050'.
- Transport (p.9): 92% of new households in transit-oriented development zones by 2050; 85% mode share for public and non-motorised transport by 2050; 90% clean private vehicles and 75% clean buses by 2050; 47% clean freight vehicles by 2050.
- Solid Waste (p.10): 100% segregation by 2025; landfill diversion of 60%, 75% and over 90% by 2030, 2040 and 2050; paper and plastic recycling above 60%, 75% and 90% by the same years; landfill gas capture of 25%, 50% and 75%.
So at least three priority sectors carry numeric targets, which is well above the threshold. This is far more than a general statement of intent.
Caveats for the reviewer:
- The plan is from the BBMP era. It covers the BBMP area (713 sq km), not necessarily the whole Greater Bengaluru Area.
- The evidence here is the official Executive Summary hosted on apps.bbmpgov.in. The full report (ULG-16) is also in the Citation Sheet but was not re-read for this check.
- This sub-question only tests the plan's content (priorities and targets). Whether the plan was adopted and is being implemented belongs to UPD24a.
Confidence is medium, not high, because of the BBMP-era and coverage questions and because the evidence is an executive summary of the full plan.</t>
  </si>
  <si>
    <t xml:space="preserve">ANSWER: Not determined, and the score is left blank. The only city-level plan of the right type in the Citation Sheet is SMC's Disaster Management and Preparedness Plan (2026 edition). It is organised around hazard chapters: floods / pre-monsoon, water-borne disease, vector-borne disease and extreme heat. Within those chapters it sets operational targets with deadlines and quantities. In the passages read, it does not set outcome objectives or indicators of the kind the methodology gives as examples (for instance, less exposure to heat or flooding, more green cover, emission targets). Whether operational SOP targets count as 'measurable objectives or targets against priorities' is a methodological question, so the score is blank pending confirmation. The Citation Sheet has no climate action plan, city resilience strategy or sustainability strategy for Surat. | EVIDENCE: (1) ULG-10, SMC Disaster Management and Preparedness Plan. The contents list hazard chapters (Ch. 5 Pre-monsoon contingency plan; Ch. 6 water-borne diseases; Ch. 7 vector-borne diseases; Ch. 8 Extreme Heat; Ch. 13 Tapi River flood protection scheme). Ch. 5 (Pre-Monsoon Contingency Plan (SOP), pp.16-18) sets time-bound and numeric tasks: fuel stock to be provided 'by 15th June 2026'; excavation work 'completed and should be made safe by 20th May 2026'; flood-gate service certificates 'by 15th May of every year'; control rooms 'from 1st June or first rain'; 'ready stock of minimum 2000 bags of sand' per zone. Ch</t>
  </si>
  <si>
    <t xml:space="preserve">All zones / departments should keep a ready stock of minimum 2000 bags of sand.</t>
  </si>
  <si>
    <t xml:space="preserve">I propose YES, but the Step 2 answer left this blank, so a reviewer should confirm the reading below.
**Why YES.** UPD24b says that a 'disaster management plan' can qualify. It needs at least two clear priorities, with measurable objectives or targets for them, and it accepts 'quantitative or qualitative indicators, as appropriate'. The methodology's examples are introduced with 'may include', so they are illustrations, not a closed list. The current (2026) SMC Disaster Management and Preparedness Plan (ULG-10, official SMC site, signed by the Commissioner and the Mayor) meets this test:
- **Priorities.** It sets out separate hazard priorities, each with its own chapter: urban floods / pre-monsoon (Ch.5, 10-13, including the Tapi River flood protection scheme), water-borne diseases (Ch.6), vector-borne diseases (Ch.7) and extreme heat (Ch.8).
- **Flood targets.** Ch.5 sets quantified, dated and assigned targets: 'minimum 2000 bags of sand' per zone or department; excavation completed and made safe 'by 20th May 2026'; a survey of dilapidated buildings 'by 20th May 2026'; flood-gate service certificates 'by 15th May of every year'; control rooms running 'from 1st June or first rain'.
- **Vector-borne disease targets.** Ch.7 sets surveillance targets: slide collection at '1.5%' from January to June and '2%' from July to December; an intradomestic survey of '10,000 people on a fortnightly basis'; fogging 'in and around 50 houses' of positive cases.
This goes well beyond a general statement of intent.
**Caveat for review.** These are readiness and operational targets, not outcome targets such as reduced exposure, more green cover or emission cuts. If ASICS requires outcome or resilience targets, this answer should be revised. I found no outcome targets in the passages read. The extreme-heat chapter (Ch.8) has advisories but no quantified objectives in the parts read. The plan runs to more than 200 pages and was read only in part.
**Other sources checked.**
- ULG-19 (SMC Solar City Master Plan presentation) has explicit measurable targets: a 10% cut in energy use (2,136.38 GWh, about 1,794.56 thousand tCO2e of GHG) across municipal, commercial, residential and industrial sectors, with energy-efficiency and renewable-energy breakdowns. However, its period is 2011-12 to 2015-16, its targets are marked 'Proposed', and it is a presentation, not the adopted plan. I treated it as outdated and did not rely on it for current practice.
- ULG-09 (NITI Aayog Economic Master Plan, 2024) contains regional recommendations, not an SMC plan, so I did not credit it.
- There is no SMC Climate Action Plan, Resilience Strategy or Heat Action Plan document in the Citation Sheet.
**Depends on UPD24a.** This answer relies on UPD24a accepting the DMP as 'the plan'. No council or standing-committee adoption resolution is in the sheet.</t>
  </si>
  <si>
    <t xml:space="preserve">UPD24c</t>
  </si>
  <si>
    <t xml:space="preserve">Does your city have a Sustainability/ Resilience Strategy/Climate Action Plan that clearly articulates development priorities, measurable objectives, and the roles and responsibilities of the ULG? &gt;:&lt; Does the plan clearly articulate the role of the ULG?</t>
  </si>
  <si>
    <t xml:space="preserve">ANSWER: Yes. The city's climate plan, the Bengaluru Climate Action and Resilience Plan (BCAP), 2023, clearly sets out what the city government does to implement it. It names BBMP, the city government when the plan was written, as the home of the Climate Action Cell (CAC). The CAC is headed by BBMP's Chief Commissioner and runs day to day under a BBMP Special Commissioner. The plan lists the CAC's tasks: coordinating departmental nodal officers, running the monitoring, evaluation and reporting (MER) platform, getting approvals and channelling funds, coordinating data for the greenhouse gas inventory and risk assessments, and linking departments with the Project Preparation Facility. The plan also says it was prepared by BBMP with technical support from WRI India. BBMP is named in the plan, not the Greater Bengaluru Authority (GBA). But the Greater Bengaluru Governance Act, s.17, now gives a GBA Climate Action Cell the job of formulating and implementing this same plan. | EVIDENCE: (1) ULG-16, BCAP 2023 full report, s.6.2, pp.305-306: 'The CAC will be primarily anchored in BBMP, with collaboration and participation from other departments/agencies'. The report lists five CAC responsibilities and says 'Headed by the Chief Commissioner, BBMP, the operations of the CAC will be spearheaded by an officer of Special Commissioner rank who will report to the Chief Commissioner'. (2) ULG-16, p.305, enabling-actions table: action 1.5, set up a project preparation facility, is assigned to </t>
  </si>
  <si>
    <t xml:space="preserve">The CAC will be primarily anchored in BBMP , with collaboration and participation from other departments/agencies as discussed below.</t>
  </si>
  <si>
    <t xml:space="preserve">Answer is YES because the plan sets out the city government's (ULG's) role in both writing and carrying out the plan, which meets the 3.33 rule.
I read ULG-16 (the 2023 Bengaluru climate plan, BCAP) myself to check the Step 2 answer. It is supported:
(a) Section 6.2: the Climate Action Cell (CAC) 'will be primarily anchored in BBMP'. The plan lists the CAC's five tasks: coordinating departmental nodal officers, running the monitoring, evaluation and reporting (MERL) platform, getting approvals and channelling funds, coordinating data for the greenhouse gas inventory and climate risk assessment, and linking departments with the Project Preparation Facility.
(b) The CAC is 'Headed by the Chief Commissioner, BBMP' and run by an officer of Special Commissioner rank.
(c) Table 17, Action 1.2: 'Create and operationalise a climate action cell' is assigned to 'BBMP in coordination with stakeholder departments'. Action 1.1 is 'GoK in consultation with BBMP'. In the enabling-actions table, action 1.5 is 'BBMP and GoK'.
(d) Preparation: the acknowledgements credit WRI India with 'supporting the Bruhat Bengaluru Mahanagara Palike as a knowledge partner in preparing the BCAP since its inception and throughout its development and until the final approval stage'. The governance figure is sourced 'As identified by BBMP'.
ERA CAVEAT for the reviewer: the plan dates from the BBMP era and names BBMP, not the Greater Bengaluru Authority (GBA) or the City Corporations. ULG-01, the GBA Act, s.17, gives a GBA Climate Action Cell chaired by the Chief Commissioner the job to 'formulate and implement Bengaluru Climate Action and Resilience Plan'. That links the plan to the current city government, but the plan itself has not been revised for the GBA era. The Citation Sheet has no GBA-era revision of the plan and no evidence that the CAC has actually been set up. That does not change this sub-question, which asks only whether the plan sets out the ULG's role.
Annexure I (sector-by-sector roles) and Figure 70 are images and could not be read as text.
Confidence is medium: the BBMP-to-GBA link needs two documents read together (ULG-16 and ULG-01).</t>
  </si>
  <si>
    <t xml:space="preserve">ANSWER: Yes. The city-government plan that falls within the UPD24 family (climate action, resilience, sustainability or disaster management plan) is Surat Municipal Corporation's own Disaster Management and Preparedness Plan. It sets out the role of the city government (SMC) in both preparing and carrying out the plan. For implementation, each SOP action names the responsible SMC officer, department or zone (CFO, Ex.Eng.-All Zone, MOH, HE, Drng. Engr., PRO, CSO) and gives deadlines. For preparation, every head of department must send changes to the previous year's plan to the central office by a set date. The Commissioner and Mayor sign the foreword. | EVIDENCE: ULG-10 foreword: 'The DMP also enlists the specific roles and responsibilities of employees/officers in case of disaster', and says zone-level and ward-level plans are also prepared. Contents: Ch. 2 'Organisational Setup of Surat Municipal Corporation'; Ch. 5 Pre-Monsoon Contingency Plan (SOP); Ch. 11 'Standing instructions given to the Departments / Zones'. Ch. 5, item 18: 'Whatever changes / suggestions to be made in disaster management plan prepared last year should be sent to the central office in fixed proforma by 1st April 2026.( All HOD )'. Ch. 5, item 22: central control room at ICCC and a control room in each zone '(Ex.Eng.- All Zone / CFO )'. Other actions are assigned to CFO, PRO, MOH and CSO (Watch &amp; Ward), for example the emergency traffic plan. | CAVEATS: (1) This answer depends on the DMP being the qual</t>
  </si>
  <si>
    <t xml:space="preserve">Whatever changes / suggestions to be made in disaster management plan prepared last year should be sent to the central office in fixed proforma by 1st April 2026.( All HOD )</t>
  </si>
  <si>
    <t xml:space="preserve">I checked the Step 2 answer against ULG-10 and the source supports it. The plan is the Surat Municipal Corporation (SMC) Disaster Management and Preparedness Plan, 2026 edition. SMC publishes it, and the Commissioner and Mayor sign the preface. It sets out SMC's role in both preparing and carrying out the plan. (1) Preparation: SMC has published the plan since 2002 and updates it every year. Under item 18, every head of department must send changes to last year's plan to the central office by 1 April 2026. The preface also says SMC prepares zone-level and ward-level plans. (2) Implementation: the preface says the plan 'enlists the specific roles and responsibilities of employees/officers in case of disaster'. Each SOP action names the SMC officer or department responsible and gives a deadline. Examples: control rooms (Ex.Eng.- All Zone / CFO); boats, cranes and wireless sets (CFO); press notes (PRO); the emergency traffic plan (CSO); excavation safety (All ZO / HE / Drng.Engr.). These are dated 2026 actions, so they count as evidence of current practice for an Implementation question. This sub-question is only about whether the ULG's role is clearly articulated, so the answer is YES. Points to check: (a) The answer assumes this disaster management plan counts as the UPD24 plan (sustainability, resilience or climate action). The research family accepts a disaster management plan, but a reviewer should confirm it. No council or standing committee resolution adopting it is in the Citation Sheet; this matters for UPD24a. (b) The roles are internal SMC roles. The plan does not set out how SMC relates to state or district bodies, apart from contact lists. (c) ULG-19, the Solar City Master Plan (SMC presentation, about 2013), also names SMC roles: a Solar City Cell chaired by the City Engineer, and the Energy Efficiency Cell. But it is an old presentation, not the plan itself, so I did not rely on it. ULG-06 (SUDA Development Plan 2035) and ULG-09 (NITI Aayog Economic Master Plan) are not UPD24-type plans. (d) I read excerpts of ULG-10, not the full document. A reviewer should capture a dated screenshot of the SMC download page.</t>
  </si>
  <si>
    <t xml:space="preserve">UPD25a</t>
  </si>
  <si>
    <t xml:space="preserve">Does your city have a Comprehensive Mobility Plan that clearly articulates development priorities, measurable objectives, and the roles and responsibilities of the ULG? &gt;:&lt; Does the city have a notified and active Comprehensive Mobility Plan?</t>
  </si>
  <si>
    <t xml:space="preserve">Step 2 found no evidence: a source needs to be found and added. Step 2 found no evidence (Insufficient Evidence). Source needed: A Government of Karnataka (UDD/Transport Department) order or gazette notification approving the Bengaluru CMP (2020 or later), or BMLTA's publication of a State-approved CMP under s.21(4)-(5) of the BMLTA Act, or a GBA/City Corporation council resolution adopting it. Ideally also the CMP document itself, from the DULT/BMLTA official website.</t>
  </si>
  <si>
    <t xml:space="preserve">ANSWER: Not determinable from the Citation Sheet. The sources show that Surat prepared a Comprehensive Mobility Plan (CMP) in 2008. A 2018 document says a new CMP was then being prepared. No source shows that either CMP was formally adopted or approved by a competent authority (UMTA, the Gujarat Urban Development and Urban Housing Department or Transport Department, or a Surat Municipal Corporation resolution). No source shows a CMP that is currently notified and active. | EVIDENCE: (1) ULG-06, SUDA Development Plan 2035 report (22 Feb 2017), s.8.8, p.73: 'Surat had prepared a Comprehensive Mobility Plan (CMP) in 2008.' The CMP recommended BRTS. The approval it mentions is the Ministry of Urban Development (MoUD) approving the BRTS project proposal (DPR) for JnNURM funding, not approval of the CMP. In s.19.11.7, p.199, DP 2035 says it gave 'due consideration' to 'the Comprehensive Mobility Plan made for SMC area as part of City Development Plan'. That is consideration, not adoption. (2) ULG-07, Parking Policy for Surat City (sanctioned by GR dated 05/12/2018), s.5.2, p.14: 'Surat is currently preparing a new Comprehensive Mobility Plan (CMP). The last CMP was prepared in 2008 and was the first CMP to be prepared in India.' The policy draws on the 2008 CMP's suggestions. The state sanction in the GR applies to the Parking Policy, not to any CMP. (3) ULG-09, NITI Aayog Economic Master Plan (Sept 2024): no reference to an approved CMP found in the passages read. (4) ULG-03 (GPMC</t>
  </si>
  <si>
    <t xml:space="preserve">Surat had prepared a Comprehensive Mobility Plan (CMP) in 2008. The CMP looked at road network issues in Surat and suggested provision of additional rings to decongest the city centre.</t>
  </si>
  <si>
    <t xml:space="preserve">I left the Answer blank because the Citation Sheet does not show whether Surat's Comprehensive Mobility Plan (CMP) was formally adopted. The methodology gives 3.33 only for a CMP that a competent authority has formally adopted or approved: an urban metropolitan transport authority (UMTA), the Gujarat Urban Development and Urban Housing Department (UD&amp;UHD), the Transport Department, or a Surat Municipal Corporation (SMC) resolution. Drafts, consultants' reports and unadopted studies do not qualify.
What the sources say:
(1) ULG-06 (SUDA Development Plan 2035 report, 22 Feb 2017), s.8.8, p.73, says only that Surat 'had prepared' a CMP in 2008. The approval it mentions is the Ministry of Urban Development (MoUD) approving the BRTS proposal for JnNURM funding. That approval is for the BRTS project, not the CMP.
(2) ULG-07 (Parking Policy, sanctioned by GR dated 05/12/2018), s.5.2, p.14, says 'Surat is currently preparing a new Comprehensive Mobility Plan'. The state sanction in that GR covers the Parking Policy, not a CMP. This also means the 2008 CMP was being replaced, so it is unlikely to be the current plan.
(3) ULG-09 (NITI Aayog Economic Master Plan, Sept 2024) mentions approval of the Surat Metro detailed project report (DPR). It does not mention a CMP being approved or notified.
(4) Sheet-wide searches for 'Comprehensive Mobility Plan approved' and 'CMP Surat mobility plan resolution sanctioned' found nothing beyond these passages. ULG-03 (GPMC Act), ULG-05/14/15/16 (CGDCR) and ULG-10 do not deal with CMP adoption.
Why I did not answer NO: a NO would need affirmative absence, and that is not met. The sheet has none of the places the methodology says to check: no SMC CMP page, no SMC General Board or Standing Committee resolution, no UMTA source, no UD&amp;UHD or Transport Department order or GR on a CMP, and no copy of the 2008 CMP or its successor. So the result is 'not found', not absent.
To score this question, a person needs to check:
- whether the 2008 CMP, or the newer CMP that was being prepared in 2018, was approved by UD&amp;UHD, the Transport Department, an UMTA or an SMC resolution;
- whether that approved plan is still in force.
The evidence covers 2017–2018. There is nothing on the CMP from 2019 onward.</t>
  </si>
  <si>
    <t xml:space="preserve">UPD25b</t>
  </si>
  <si>
    <t xml:space="preserve">Does your city have a Comprehensive Mobility Plan that clearly articulates development priorities, measurable objectives, and the roles and responsibilities of the ULG? &gt;:&lt; Does the plan have development priorities and measurable objectives?</t>
  </si>
  <si>
    <t xml:space="preserve">ANSWER: The Citation Sheet does not contain the Comprehensive Mobility Plan (CMP) for Bengaluru, so I can't check it directly. The only evidence is second-hand. The BBMP-era Bengaluru Climate Action and Resilience Plan (BCAP, 2023) lists 11 strategy themes for the 2020 CMP, which look like clear priorities. It also reports one measurable target from the CMP: raising public transport's share of trips to 70% by 2035. That gives one target against one priority. It does not show at least two priorities that each have a measurable objective, and it is not a reading of the CMP itself. So the question is only partly answered and no score is proposed. | EVIDENCE: (1) ULG-16, BCAP 2023 full report, p.143 (Transport): 'This also aligns with the Comprehensive Mobility Plan (CMP) for Bengaluru 2020, which aims to increase the share of public transport to 70% by 2035.' (2) ULG-16, p.70, footnote 24, lists the CMP strategies/themes: '1) Integrated Land Use and Mobility Plan, 2) PT Improvement Plan, 3) Road Network Development Plan, 4) NMT Plan, 5) Multi-Modal Mobility Plan, 6) Private Transport Management Plan, 7) Freight Movement Plan, 8) Travel Demand Management Plan, 9) Regulatory Measures, 10) Governance Measures, and 11) Fiscal Measures.' (3) ULG-16, pp.185-193: BCAP actions (for example T 3.3 to T 3.5) point back to the 'Non-Motorised Transport Plan of CMP, 2020' and the 'Public Transport Improvement Plan of CMP, 2020'. Their indicators and timelines (2024-2026) are BCAP's own, not t</t>
  </si>
  <si>
    <t xml:space="preserve">This also aligns with the Comprehensive Mobility Plan (CMP) for Bengaluru 2020, which aims to increase the share of public transport to 70% by 2035</t>
  </si>
  <si>
    <t xml:space="preserve">Answer left blank because the plan itself is not in the Citation Sheet. This question asks what the Bengaluru Comprehensive Mobility Plan (CMP) contains: at least two clear priorities, each with measurable objectives or targets. The CMP document (2020, or any revised version) is not in the Citation Sheet. The only evidence is second-hand, from the BBMP-era Bengaluru Climate Action and Resilience Plan (BCAP), 2023 (ULG-16). I checked the Step 2 answer against that source and it is correct.
What ULG-16 shows:
(1) p.70, footnote 24 lists 11 CMP 'Strategies/Themes', such as the PT Improvement Plan, NMT Plan and Freight Movement Plan. These could count as priorities.
(2) p.143 and footnote 62 give one measurable CMP target: public transport at 70% of motorised trips by the 2035 target year.
(3) The actions on pp.179-193 refer back to CMP 2020 themes, but their indicators, timelines (2024-2030) and funding are BCAP's own. They cannot be credited to the CMP.
(4) The other targets, such as public transport plus walking/cycling at 75% by 2030 and 85% by 2050, and the clean-fuel shares in Table 15, are BCAP climate targets. ULG-17 (the BCAP Executive Summary) also has only BCAP targets.
So the evidence shows one measurable CMP target against one priority, and that comes second-hand. That is not enough for YES, which needs two or more priorities with measurable targets.
NO, which scores 0, is also not allowed. It needs affirmative absence, and the deciding document (the CMP) was never in the sheet to be read. I also checked ULG-18 (the BMLTA Act, 2022 as amended by Act 10 of 2026). Section 21(2) lists what the CMP 'shall include', but that is a legal mandate, not evidence of what the plan contains. ULG-01, ULG-02, ULG-04, ULG-06, ULG-07 and ULG-19 do not contain the CMP's contents. Searching the sheet for CMP targets, mode share, phasing and approval found nothing beyond ULG-16.
What a reviewer needs to do:
(a) Get the CMP for Bengaluru (the 2020 DULT version, or a revision by BMLTA under BMLTA Act s.23) from an official DULT, UDD or BMLTA source. Check whether it sets measurable targets, or phased and costed projects, against at least two priorities. A mode-share target plus, for example, a costed and phased project list for the public transport or NMT plan would support YES.
(b) Confirm whether the CMP has been approved (question UPD25a).
The era is BBMP-era (BCAP 2023).</t>
  </si>
  <si>
    <t xml:space="preserve">Step 2 found no evidence: a source needs to be found and added. Step 2 found no evidence (Insufficient Evidence). Source needed: Surat's current, adopted CMP: the full document, ideally with its priorities and objectives chapter, any targets (e.g. mode share, road safety, emissions) and its implementation or phasing plan with budgets and timelines. It would come from SMC, the Surat UMTA or Sitilink, or Gujarat's Urban Development and Urban Housing Department, together with the adoption resolution or approval order.</t>
  </si>
  <si>
    <t xml:space="preserve">UPD25c</t>
  </si>
  <si>
    <t xml:space="preserve">Does your city have a Comprehensive Mobility Plan that clearly articulates development priorities, measurable objectives, and the roles and responsibilities of the ULG? &gt;:&lt; Does the plan clearly articulate the role of the ULG?</t>
  </si>
  <si>
    <t xml:space="preserve">Step 2 found no evidence: a source needs to be found and added. Step 2 found no evidence (Insufficient Evidence). Source needed: The full text of the Comprehensive Mobility Plan for Bengaluru (CMP 2020, prepared by DULT, or any later version prepared or revised by BMLTA), from an official DULT, BMLTA or UDD Karnataka source. In particular, its chapters on institutional arrangements, implementation, phasing, agency responsibility and monitoring, plus the Government order or notification approving it. Any GBA or City Corporation council resolution adopting the CMP or assigning responsibilities would also help.</t>
  </si>
  <si>
    <t xml:space="preserve">Step 2 found no evidence: a source needs to be found and added. Step 2 found no evidence (Insufficient Evidence). Source needed: The current adopted Comprehensive Mobility Plan for Surat (full report), especially its chapters on implementation, institutional arrangements, funding and monitoring, and any committee lists. Also the adoption or approval record for the CMP (an SMC General Board resolution, a state UD&amp;UHD approval, or an UMTA approval if an UMTA exists).</t>
  </si>
  <si>
    <t xml:space="preserve">UPD26a</t>
  </si>
  <si>
    <t xml:space="preserve">Does your city have an Economic Vision Plan that clearly articulates development priorities, measurable objectives, and the roles and responsibilities of the ULG? &gt;:&lt; Does the city have a notified and active Economic Vision Plan?</t>
  </si>
  <si>
    <t xml:space="preserve">Step 2 found no evidence: a source needs to be found and added. Step 2 found no evidence (Insufficient Evidence). Source needed: Any final Bengaluru economic vision or economic development strategy approved by the competent authority (the GBA, a city corporation council, or the Karnataka government by GO), with its approval resolution or GO and its period of validity. Alternatively, the currently notified master plan (BDA RMP or a GBA-era successor) and its gazette notification, if it includes an economic development strategy. Also any regulations or outputs of the GBA Economic Development Agency under s.16. Sources: the GBA and city corporation websites, the Karnataka eGazette and UDD GOs.</t>
  </si>
  <si>
    <t xml:space="preserve">ANSWER: Not determined. The Citation Sheet has one final economic strategy that covers Surat: NITI Aayog's 'Economic Master Plan for Surat Economic Region' (September 2024, horizon 2047). It is a final published document and is current until 2047. But no source in the sheet shows that a competent authority formally adopted it, such as a Government of Gujarat order, a Surat Municipal Corporation resolution, or integration into a statutory Development Plan. The methodology makes adoption mandatory, so the plan cannot be credited yet. Scoring 0 would need proof that no adoption exists, which the sheet does not give either. | EVIDENCE: (1) ULG-09, NITI Aayog EMP, Sept 2024. p.2 Disclaimer: the plan 'describes the growth drivers and roadmap that will steer the region to its goal by 2047'. It also says the projects and costs are 'based on initial analysis' and that implementing authorities must still do feasibility studies. p.4 (Ch.1): Gujarat's Order No. UDUHD/MSM/e-file/18/2023/8053/DH Section dated 15.09.2023 set up a Steering Committee, a G-Hub Crack Unit and a Nodal Officer for the initiative. That order covers preparation and coordination, not adoption of the final plan. p.5: NITI Aayog and WRI India officials were 'positioned at Surat Municipal Corporation', which is involvement in preparation, not adoption. pp.xxii-xxiii and Ch.10, pp.144-145: the implementation bodies are only proposed: an Empowered Group of Ministers chaired by the Chief Minister to 'approve broad policie</t>
  </si>
  <si>
    <t xml:space="preserve">Economic Master Plan to develop Surat city-region (Surat Economic Region) as a Growth-Hub by 2047 (NITI Aayog, September 2024) [ULG-09]</t>
  </si>
  <si>
    <t xml:space="preserve">https://www.niti.gov.in/sites/default/files/2024-12/Economic_Master_Plan_to_Develop_Surat_Economic_Region_as_a_Growth_Hub_by_2047_Dece.pdf</t>
  </si>
  <si>
    <t xml:space="preserve">This document presents the Economic Master Plan for the Surat Economic Region (SER). It describes the growth drivers and roadmap that will steer the region to its goal by 2047.</t>
  </si>
  <si>
    <t xml:space="preserve">I left the Answer blank because I couldn't decide it from the Citation Sheet. A YES needs proof of formal adoption, and none is in the sheet. A NO needs proof that no adoption exists, and that isn't in the sheet either.
1. What the plan is: The only economic strategy in the sheet that covers Surat is NITI Aayog's 'Economic Master Plan for Surat Economic Region' (ULG-09, September 2024, horizon 2047). It is a final published document and runs to 2047, so it would be current if adopted.
2. No proof of adoption by a competent authority:
- Gujarat Order No. UDUHD/MSM/e-file/18/2023/8053/DH Section, dated 15.09.2023 (p.4, Annexure I), only set up a Steering Committee, a G-Hub Crack Unit, staff and a Nodal Officer to prepare and coordinate the plan. It does not approve the final plan.
- NITI Aayog and WRI India officials were placed at Surat Municipal Corporation (SMC) (p.5). That shows help with preparation, not adoption.
- The bodies that would carry out the plan are only proposed in the plan itself: an Empowered Group of Ministers to 'approve broad policies', a State High Power Steering Committee, and a Surat Regional Economic Development Authority (SREDA). The plan calls itself 'indicative' and says 'The EMP may act as a rolling vision'.
- Its disclaimer says the projects are 'based on initial analysis'.
- The pages with the Chief Minister's message and the Chief Secretary's foreword (pp.i-iii) are images with no readable text. That is a verification limit, not a negative finding.
- Without proof of adoption, the plan could fall under the methodology's exclusion of reports that have not been formally adopted.
3. Other sources I checked:
- ULG-06 (SUDA Development Plan 2035 report, 2017) is a spatial Development Plan, labelled 'Draft' in its text. Economic activities appear only as a background chapter. ULG-17 shows the Final DP was sanctioned on 08.10.2020 (GH/V/157 of 2020). But nothing in the sheet shows the plan includes an economic vision or the 2024 Economic Master Plan, which came later.
- ULG-17 itself is only a land-use variation at Dumas.
- ULG-03 (GPMC Act), ULG-05/14/15/16 (CGDCR), ULG-07 (Parking Policy), ULG-10 (Disaster Management Plan) and ULG-19 (Solar City presentation) contain no economic vision plan.
- Searches of the whole sheet found no resolution or Government Order adopting the plan.
4. Also needs confirmation: The plan covers six districts (Surat, Bharuch, Navsari, Tapi, Valsad, Dang). Whether a regional plan counts as an 'equivalent city-level economic strategy' needs a reviewer's decision.
5. Evidence still needed: a Government of Gujarat order or resolution, or an SMC General Board or Standing Committee resolution, adopting or approving the plan; or notifications setting up SREDA or the Empowered Group of Ministers to implement it. Suggested RTI targets: the PIO of the Urban Development &amp; Urban Housing Department, Government of Gujarat, and the PIO of SMC.
Whoever scores this should choose YES only if such adoption evidence is found. They should choose NO only if they confirm that no adoption exists and that no other adopted city economic plan exists.</t>
  </si>
  <si>
    <t xml:space="preserve">UPD26b</t>
  </si>
  <si>
    <t xml:space="preserve">Does your city have an Economic Vision Plan that clearly articulates development priorities, measurable objectives, and the roles and responsibilities of the ULG? &gt;:&lt; Does the plan have development priorities and measurable objectives?</t>
  </si>
  <si>
    <t xml:space="preserve">Step 2 found no evidence: a source needs to be found and added. Step 2 found no evidence (Insufficient Evidence). Source needed: A final, formally adopted city economic plan for Greater Bengaluru that is currently in force: an Economic Vision Plan, Economic Development Plan, or the economic chapter of a notified master plan (e.g. RMP 2041) or the GBA/BMPC development plan. It should come with its adoption resolution or Government Order, so its economic priorities and measurable targets can be checked. Also any strategy issued by the GBA's Economic Development Agency (GBG Act s.16).</t>
  </si>
  <si>
    <t xml:space="preserve">ANSWER: I can't settle this yet, because it isn't clear which document counts as 'the plan' (the qualifying Economic Vision Plan under UPD26a). There are two candidates. (1) NITI Aayog's Economic Master Plan for the Surat Economic Region (ULG-09, Sept 2024) names clear economic priorities: manufacturing (diamond/gems &amp; jewellery, textiles &amp; apparel, chemicals), the services sector (tourism and hospitality, trading hub) and real estate. It also sets measurable targets: per-capita GDP from about $4,600 to over about $45,000 by 2047, about two million manufacturing jobs by 2047, an economy of about $1.5 trillion by 2047, and sector-wise GDP and job targets (Figure 11). On content alone it would meet the 2-priority-plus-targets test. However, it covers a 6-district region rather than the city, it was prepared by NITI Aayog, and the Citation Sheet does not show that any competent authority formally adopted it. (2) SUDA's Development Plan 2035 (ULG-06, Feb 2017) sets economic principles: growth engine of South Gujarat, diversification beyond diamond, textile and Jari into IT, medical and tourism, and industrial development for employment. Its only measurable economic objectives are about land: 136.30 sq km of industrial zone (u/s 9) or 112.96 sq km (u/s 16), shifting about 4.3 sq km of polluting industries, and about 11.82 sq km of commercial land. The diversification priority has no target, so it is doubtful that two priorities each have measurable targets. The Sheet also does not</t>
  </si>
  <si>
    <t xml:space="preserve">This trend is expected to continue in the future, with manufacturing estimated to contribute almost half of the GDP growth aspirations while adding about two million jobs by 2047.</t>
  </si>
  <si>
    <t xml:space="preserve">Answer is YES because the plan's content meets the test. The confidence is low because whether this is 'the plan' depends on UPD26a. Checked against the source: the Economic Master Plan for the Surat Economic Region (ULG-09, NITI Aayog, Sept 2024, horizon 2047) names clear economic development priorities. Box 1 lists three primary growth drivers: (1) Chemical &amp; Pharma, (2) Textile &amp; apparel, (3) Gems &amp; Jewelry (particularly diamonds). It also sets four pillars: manufacturing, services/trading, new growth avenues, and lifestyle and learning. It sets measurable targets against these priorities: (a) manufacturing adds about two million jobs by 2047 (s.3.3); (b) chemical sector to reach '15 times growth by 2047' (s.5.1: 'The Economic Master Plan (EMP) envisions SER to be a Global Chemical Hub and recommends a set of measures that can enable the sector to achieve 15 times growth by 2047'); (c) per-capita GDP from about $4,600 to over about $45,000 by 2047 (s.3.2); (d) a $1.3-1.5 trillion economy and about 2 million more jobs by 2047 (p.27); (e) sector-wise GDP and incremental employment targets in Figure 11 (an image; its figures could not be read as text). This is more than a general statement of intent. At least two priorities have measurable targets (chemicals: 15x growth; manufacturing overall: about 2M jobs), so the 3.33 band is met. CHECK / DEPENDENCY: this answer only holds if UPD26a accepts the EMP as the city's Economic Vision Plan. Reasons to doubt that: the EMP covers a 6-district region (Surat, Bharuch, Navsari, Valsad, Tapi, Dang), not the SMC area alone. It was prepared by NITI Aayog with the state, not by SMC. The Citation Sheet has no adoption instrument for it from SMC or the state. Its targets are for the region, not the city. If UPD26a finds that no qualifying city plan exists, this sub-question should be blank or not applicable, not this YES. The other candidate, SUDA Development Plan 2035 (ULG-06, 2017), has economic principles but measurable targets only for land use (industrial and commercial zone areas). It would not clearly meet the two-priorities-with-targets test.</t>
  </si>
  <si>
    <t xml:space="preserve">UPD26c</t>
  </si>
  <si>
    <t xml:space="preserve">Does your city have an Economic Vision Plan that clearly articulates development priorities, measurable objectives, and the roles and responsibilities of the ULG? &gt;:&lt; Does the plan clearly articulate the role of the ULG?</t>
  </si>
  <si>
    <t xml:space="preserve">Step 2 found no evidence: a source needs to be found and added. Step 2 found no evidence (Insufficient Evidence). Source needed: A final, formally adopted and currently active Economic Vision Plan or Economic Development Plan for Bengaluru (or a notified master plan or RMP 2041 economic chapter). It would need its adopting Council resolution or Government Order and the implementation chapter that sets out GBA or City Corporation responsibilities. Any Regulations made under GBA Act s.16(3) defining the Economic Development Agency's functions would also help.</t>
  </si>
  <si>
    <t xml:space="preserve">ANSWER: Not determined. The parts of the Economic Master Plan for the Surat Economic Region (NITI Aayog, Sept 2024) that I read do not clearly give the Surat Municipal Corporation (SMC) its own defined responsibilities for carrying out the economic strategy. The plan gives implementation to a proposed regional authority, SREDA, and to bodies under it (the G-Hub Crack Unit, a Destination Management Organisation and a Project Management Unit). SMC appears only as (a) one of the 'Urban Local Bodies' with official representation in SREDA, and (b) the source of several officers who sit on the G-Hub Crack Unit, which the state constituted and a state official chairs. The Crack Unit does have defined duties (coordination, KPI monitoring, allocating resources), but those belong to the Unit, not to SMC. Whether SMC officers sitting on it counts as a 'defined role' for the city government, or only as 'participation', is a judgement for the reviewer. I could not read the full project annexures, so I cannot rule out SMC being named as an implementing agency there. | EVIDENCE: ULG-09 Ch.10, p.145 (PDF p.168): SREDA is 'the key responsible entity'; 'It would have official representation from all 6 districts ... and all Urban Local Bodies (ULBs)'. ULG-09 p.146 (PDF p.169): the G-Hub Crack Unit 'will be responsible for coordinating across different departments, agencies, and stakeholders, conducting regular progress monitoring with detailed reporting on KPIs and milestones'. ULG-09 Annexure </t>
  </si>
  <si>
    <t xml:space="preserve">It would have official representation from all 6 districts in the region, including Surat Urban Development Authority (SUDA) and other development authorities in the region and all Urban Local Bodies (ULBs).</t>
  </si>
  <si>
    <t xml:space="preserve">I left 'Answer' blank. I could not find enough to answer YES, and I could not prove the absence needed for NO.
Why not YES: in the parts of the NITI Aayog Economic Master Plan for the Surat Economic Region (Sept 2024, horizon 2047) that I could read, the city government (SMC) has no defined role or specific responsibilities of its own for carrying out the plan.
(a) Ch.10.1 makes the proposed SREDA 'the key responsible entity'. SMC appears only as one of 'all Urban Local Bodies (ULBs)' that would have 'official representation' in SREDA. The methodology says membership or stakeholder status like this does not qualify.
(b) Under Ch.10.1 the G-Hub Crack Unit, the DMO and the PMU carry the defined duties: coordination, KPI monitoring, resource allocation, project structuring and financing. Those duties belong to the bodies, not to SMC.
(c) In Annexure I (Tables 9-10), the SMC Municipal Commissioner sits on the State Steering Committee, which the Chief Secretary chairs. The Municipal Commissioner, Deputy Municipal Commissioner, City Engineer and Chief Town Planner sit on the G-Hub Crack Unit. The state chairs and constituted that Unit (UD&amp;UHD Order dated 15.09.2023). This is participation by SMC officers, not a responsibility given to the city government.
(d) Ch.10.1 says the 'ICCC of Surat Smart City can be scaled up' for regional monitoring. That is permissive wording ('can'), and the Citation Sheet does not show how the Smart City SPV relates to SMC.
(e) The plan also says ULBs 'should aim for inclusive, sustainable growth' (executive summary). That is generic and not a defined responsibility.
Why not NO: the methodology would score this 0, but I cannot show affirmative absence. The project annexures name an implementing agency for each project in brackets. For example, Annexure VII item 1.1 reads 'Surat as a docking point for Cruise Tourism (GMB, Private)'. The tool only returned excerpts of Annexures IV, V, VII and VIII, so I cannot rule out SMC being named as implementing agency for a project. If it is, that could count as a specific responsibility.
I agree with the Step 2 answer (undetermined). The source supports it.
Other caveats:
- The plan covers a 6-district region, not just the city.
- Ch.10 calls its framework 'indicative' and uses 'may' throughout.
- SREDA, the DMO and the PMU are proposed, not existing bodies.
- The prerequisite UPD26a (whether a valid adopted Economic Vision Plan exists for the city) is unresolved. The Citation Sheet shows no adoption of this plan by SMC, the state or SUDA.
- ULG-06 (SUDA Development Plan 2035, 2017) gives SMC no economic-implementation role either.
What would decide this: a reviewer should read the full annexure project tables in ULG-09 (Annexures IV, V, VII, VIII), checking every bracketed agency for 'SMC'. If any project names SMC as implementing agency, the answer is YES. If none does, and the reviewer accepts that membership of the state-chaired Crack Unit is not a defined role for SMC, the answer is NO.</t>
  </si>
  <si>
    <t xml:space="preserve">UPD27a</t>
  </si>
  <si>
    <t xml:space="preserve">Does the city have adequate and representative professional town-planning capacity? &gt;:&lt; Does the city have adequate professional town-planning capacity?</t>
  </si>
  <si>
    <t xml:space="preserve">Step 2 found no evidence: a source needs to be found and added. Step 2 found no evidence (Insufficient Evidence). Source needed: Current, dated staffing records for (a) the GBA (Chief Town Planner's wing) and each City Corporation (Additional Chief Town Planner's wing), and (b) the BDA's Town Planning wing, if the BDA still plans for the city. For each: sanctioned town-planner posts, filled posts, vacancies, and women/men among filled posts. Sources could be the government-sanctioned schedule of officers under GBA Act s.11(9), the Common Cadre and Recruitment Rules, RTI s.4(1)(b) staff lists, DTCP deputation and posting orders, or annual reports tabled in the legislature. Also needed: Census 2011 population for the city's planning area, taken from a Census of India source.</t>
  </si>
  <si>
    <t xml:space="preserve">ANSWER: The Citation Sheet does not give enough to calculate Surat's town planners per lakh population, so I cannot propose a score. Surat Municipal Corporation (SMC, the city government) published an emergency-duty staff list dated 16/05/26. It names 17 officers in the Town Planning department: 10 Deputy Town Planners (one also doing Town Planner (A) duty as extra charge) and 7 Assistant Town Planners. The SMC organogram shows the department headed by officers who are only 'In-charge' Town Planners. The Citation Sheet has no figures for: (1) sanctioned town-planner posts in SMC; (2) whether the officers hold planning qualifications; (3) planners in the Surat Urban Development Authority (SUDA), the development authority that prepares the Development Plan; (4) a reliable split of women and men; (5) the highest planners-per-lakh figure among the cities assessed, which the formula needs. As a rough, SMC-only and incomplete figure: 17 named planners ÷ about 44.51 lakh (SMC's own Census 2011 figure, given as '~4.451' million) × 1,00,000 ≈ 0.38 per lakh. This counts officers on the duty list, not filled sanctioned posts, and does not check qualifications. | EVIDENCE: (a) ULG-10, SMC Disaster Management and Preparedness Plan, pp. 67-68, list of officers/employees to remain present during emergency (As On Dt.16/05/26): Town Planning department entries 15-31. Entry 15: 'Shri Jaydeep N. Parikh Dy. Town Planner ... Town Planner (A) extra duty'. Entries 16-24 are Deputy Town Planners. En</t>
  </si>
  <si>
    <t xml:space="preserve">TOTAL 326.52 2876374 4467797 13680 55.29</t>
  </si>
  <si>
    <t xml:space="preserve">I filled one input and left two blank because the Citation Sheet does not settle them.
1. CENSUS 2011 POPULATION = 4,467,797 (filled).
- Source: ULG-06, the SUDA Development Plan 2035 report (dated 22 Feb 2017). Its Table 56 total row gives 4467797 for the 326.52 sq km SMC area. Tables 129 and 130 repeat the figure: 'Population within SMC 44,67,797' and '2011 44,67,797'.
- I used the SMC figure because the question is about the city government's own planners. The Step 2 answer used ULG-19's rounded '~4.45 Million'; the exact Census figure in ULG-06 replaces it.
- Other bases in the same report, if a reviewer prefers a wider area: 48,05,101 for the old SUDA area (SMC plus 95 villages) and 50,85,556 for the extended SUDA area.
2. FILLED TOWN PLANNERS – ULG (left blank).
- What the sheet has: ULG-10, SMC's Disaster Management and Preparedness Plan, includes a list of officers who must report during emergencies, dated 16/05/26. It names 17 officers in the Town Planning department: entries 15-24 are 10 Deputy Town Planners (entry 15 also holds Town Planner (A) as extra duty) and entries 25-31 are 7 Assistant Town Planners.
- Why that is not enough:
  (a) It is an emergency-duty roster, not an establishment return. It gives no sanctioned posts and no vacancies, and may not list everyone.
  (b) It says nothing about planning qualifications, but the method counts only qualified planners.
  (c) ULG-08, the SMC organogram, shows 'I/c' Town Planners. One of them, T. T. Patel, is also listed as an Executive Engineer, so he may not be a planner.
  (d) One Assistant Town Planner is listed as 'Working with Suda', so he could be counted for both SMC and SUDA.
- Indicative figure only, not to be scored: 17 people, about 0.38 per lakh.
3. FILLED TOWN PLANNERS – DEVELOPMENT/PLANNING AUTHORITY (left blank).
- ULG-06 shows that SUDA prepares the Development Plan, so its planners would count. But no source in the sheet gives SUDA's staffing.
- What I checked: searched the whole sheet for sanctioned posts, establishment and Town Planner staffing; read ULG-06 and ULG-10. Nothing relevant was found.
- This is 'not found', not a confirmed absence, so I have not entered 0.
4. OTHER GAPS.
- The score needs the highest planners-per-lakh figure among all cities assessed. That figure is not in the sheet.
- Gender cannot be told from the roster, because every officer is listed as 'Shri', including names that look female.
5. NEXT STEPS (RTI requests).
- SMC (Town Planning Department / Central Establishment): sanctioned, filled and vacant posts of Town Planner, Deputy Town Planner and Assistant Town Planner, with each officer's qualifications and gender.
- SUDA: the same for its town-planner posts.</t>
  </si>
  <si>
    <t xml:space="preserve">The citation didn't settle every input. "Filled town planners - ULG" left blank: the Citation Sheet doesn't decide it. "Filled town planners - Development/Planning Authority" left blank: the Citation Sheet doesn't decide it.</t>
  </si>
  <si>
    <t xml:space="preserve">UPD27b</t>
  </si>
  <si>
    <t xml:space="preserve">Does the city have adequate and representative professional town-planning capacity? &gt;:&lt; What proportion of the city's professional town-planning workforce is women?</t>
  </si>
  <si>
    <t xml:space="preserve">Step 2 found no evidence: a source needs to be found and added. Step 2 found no evidence (Insufficient Evidence). Source needed: Current, dated staffing data that gives filled qualified town-planner posts by gender. Examples: the GBA/City Corporation town-planning wing staff list or RTI Act s.4(1)(b) directory of officers; DTCP deputation/posting orders for officers posted to the GBA, City Corporations and BDA; the BDA town-planning staff list; or GBA/BDA/DTCP annual reports with a gender breakdown of posts, ideally including senior posts (Chief / Additional Chief Town Planner, Joint/Deputy Directors).</t>
  </si>
  <si>
    <t xml:space="preserve">Step 2 found no evidence: a source needs to be found and added. Step 2 found no evidence (Insufficient Evidence). Source needed: Needed: (a) a dated, gender-disaggregated list or establishment statement of filled town-planner posts (Town Planner, Deputy Town Planner, Asst. Town Planner, with qualifications) for SMC's Town Planning department, e.g. from Central Establishment or the RTI suo-motu staff list; (b) the same for SUDA staff attributable to Surat; (c) the gender of senior posts (in-charge Town Planner(s), SUDA senior/chief planner).</t>
  </si>
  <si>
    <t xml:space="preserve">UPD28a</t>
  </si>
  <si>
    <t xml:space="preserve">Does the city have dedicated institutional cells/units for specialised functions? &gt;:&lt; Does the city have an Urban Design Cell?</t>
  </si>
  <si>
    <t xml:space="preserve">10 &gt;:&lt; 2.5</t>
  </si>
  <si>
    <t xml:space="preserve">ANSWER: The Citation Sheet does not show an Urban Design Cell, Unit or Vertical inside the Greater Bengaluru Authority (GBA) or its City Corporations. It does show a state-level unit: the Centre for Urban Design of the Directorate of Urban Land Transport (DULT), part of the state Urban Development Department, set up under the Karnataka Non-motorised Transport Agency. That Centre has worked on Bengaluru projects. Bengaluru's population is well over five lakh, so the methodology's allowance for a shared state or district resource (meant for towns below five lakh) does not plainly apply. Whether this state Centre counts as an 'equivalent' for Bengaluru is a methodology question for the team. There is no score: credit is not clearly due, and a 0 is not proven either. | EVIDENCE: (1) ULG-08, DULT Centre for Urban Design page: 'The Centre for Urban Design has been set up under the Karnataka Non-motorised Transport Agency' to improve public space, particularly mobility infrastructure. The page lists Bengaluru work: the Inclusive Streets Initiatives (Alexandria Street, Wilson Garden), Puttani Park at KSRTC Quarters, and the Gandhi Bazaar ideas competition. It also lists work outside Bengaluru, such as the Hubballi-Dharwad BRT. The page says content is owned by 'Directorate of Urban Land Transport, Urban Development Department, Government of Karnataka', so this is a state body, not the city government. (2) ULG-01, Greater Bengaluru Governance Act, 2024: s.17 requires GBA to set up a C</t>
  </si>
  <si>
    <t xml:space="preserve">DULT: Centre for Urban Design (under the Karnataka Non-motorised Transport Agency) [ULG-08]</t>
  </si>
  <si>
    <t xml:space="preserve">https://dult.karnataka.gov.in/132/centre-for-urban-design/en</t>
  </si>
  <si>
    <t xml:space="preserve">The Centre for Urban Design has been set up under the Karnataka Non-motorised Transport Agency with the aim to develop proposals that improves the experienced quality of public space, particularly mobility related infrastructure as the quality of one’s environment is instrumental in determining whether a person chooses to walk, cycle, or take public transport.</t>
  </si>
  <si>
    <t xml:space="preserve">I left 'Answer' blank. The Citation Sheet does not support YES, and it does not prove NO. I agree with the Step 2 answer.
Why not YES: The only urban design unit in the Citation Sheet is ULG-08, the Centre for Urban Design. The page says it was set up under the Karnataka Non-motorised Transport Agency and that its content is owned by the 'Directorate of Urban Land Transport, Urban Development Department, Government of Karnataka'. That makes it a state-level unit covering the whole state, not part of the Greater Bengaluru Authority (GBA) or the City Corporations. The page does list Bengaluru projects (Alexandria Street, Wilson Garden, Puttani Park, the Gandhi Bazaar ideas competition), but it also lists work in Hubballi-Dharwad. Under the methodology, a shared state or district resource counts only for towns below five lakh, and Bengaluru is far above that. The page is also undated: the footer says ©2020 and 'Last Updated' is site-wide. That is weak evidence for an Implementation question.
Why not NO: A 0 needs affirmative absence, and the city's own sources are missing. Neither the GBA website, the City Corporations' websites, nor any GBA organisation chart or office order is in the Citation Sheet. What I checked:
- ULG-01, the GBA Act 2024:
  - s.16 Economic Development Agency
  - s.17 Climate Action Cell
  - s.18 Sectoral Expert Committees, including one for Urban, Regional and Town Planning (advisory only)
  - s.108 Legal cell
  - the provision letting a City Corporation appoint 'engineers, architects or experts in town improvement or town planning'
  - the Heritage Conservation Committee, which includes an Urban Designer, and the Schedule's call for 'Urban Design Guidelines' for heritage precincts
  None of these sets up an urban design cell. They are legal provisions anyway, not evidence of practice.
- ULG-04, the BDA Act: the s.51 Art Commission, which the Government 'may' constitute. It is not an urban design cell.
- A search of the whole Citation Sheet for 'urban design cell' found nothing else at city level.
This is a verification limit, not a negative finding.
For a reviewer to decide:
(a) Check the GBA and City Corporation websites, or file an RTI with the PIO of GBA (Chief Town Planner's office), for any Urban Design Cell, Unit or Vertical, with the constitution order and staffing for 2025-26.
(b) Confirm whether the DULT Centre for Urban Design can count as an 'equivalent' for a city above five lakh. On a strict reading of the methodology, it cannot.</t>
  </si>
  <si>
    <t xml:space="preserve">ANSWER: Not determined. The Citation Sheet has no source that names an 'Urban Design Cell/Unit/Vertical' at Surat Municipal Corporation (SMC). SMC's official organogram (as on 07/09/2026) does list a 'Central Designing Cell' under the Public Infrastructure Cell, headed by an Executive Engineer. Only the unit's name is given, with no functions, so it is unclear whether it does urban design or engineering/structural design. The organogram also lists a 'Garden Project Cell (Including City Beautification)', a 'Heritage Cell' and a 'City Development' unit under the Town Planning Department. None of these is shown to be an urban design unit, and treating any of them as 'equivalent' would be inference. | EVIDENCE: ULG-08, SMC organogram, page 1: 'Public Infrastructure Cell (Dt.25/03/2026) - Public Infrastructure Cell (Dt.10/01/2024) ►Shri Mita B. Gandhi, Exe. Eng. ... - Central Designing Cell (Dt.10/01/2024) ► Shri Mita B. Gandhi, Exe. Eng. (PIC)'. Same page: Garden Department '- Garden Project Cell (Including City Beautification)'; '- Heritage Cell (Dt.25/03/2026)'; Town Planning Department '- City Development'. Search of all Citation Sheet sources for 'urban design cell': nothing relevant. The other sources (Municipal Corporations Act ULG-03, CGDCR 2017 ULG-05/14/15, SUDA Development Plan 2035 ULG-06, NITI Aayog Economic Master Plan ULG-09, Disaster Management and Preparedness Plan ULG-10) do not mention an urban design cell at SMC. The NITI Aayog plan mentions only a state-level </t>
  </si>
  <si>
    <t xml:space="preserve">Surat Municipal Corporation organogram / allocation of departments (as on 07/09/2026) [ULG-08]</t>
  </si>
  <si>
    <t xml:space="preserve">https://www.suratmunicipal.gov.in/Content/Documents/Corporation/organogram.pdf</t>
  </si>
  <si>
    <t xml:space="preserve">- Central Designing Cell (Dt.10/01/2024) 
► Shri Mita B. Gandhi, Exe. Eng. (PIC)(Dt.10/03/2026)</t>
  </si>
  <si>
    <t xml:space="preserve">I left 'Answer' blank because it cannot be decided from the Citation Sheet in either direction.
Why not YES: SMC's organogram (ULG-08, as on 07/09/2026) names a 'Central Designing Cell' under the Public Infrastructure Cell. It is headed by an Executive Engineer (Shri Mita B. Gandhi, Exe. Eng. (PIC)). The organogram gives only the unit's name. It does not describe the unit's functions or say whether urban designers or architects work there. The cell sits in an engineering-led wing, so it could be an engineering or structural design office rather than an Urban Design Cell/Unit/Vertical. Calling it 'equivalent' would be an inference. Other units I considered: the 'Garden Project Cell (Including City Beautification)', the 'Heritage Cell' (Dt.25/03/2026) and 'City Development' under the Town Planning Department. Again, only names are given and none is shown to be an urban design unit.
Why not NO: there is no affirmative absence. The methodology says to check the ULG website and allows other official sources, media reports and RTI. Apart from the organogram, no SMC department pages, office orders or Standing Committee resolutions are in the Citation Sheet. There is also a candidate unit whose functions are not documented. 'Not found' is not proof of absence, so a 0 is not allowed.
What I checked: ULG-08 in full. A search of the whole sheet for 'urban design' found only CGDCR (ULG-05) text about building design and structural forms, which is not relevant. A search for 'Central Designing Cell architect urban designer' found nothing relevant. Step 2 also reviewed ULG-03, ULG-05, ULG-06, ULG-09, ULG-10, ULG-14 and ULG-15 and found nothing relevant. I agree with the Step 2 finding of 'not determined'.
The five-lakh shared-resource route does not apply: Surat's population is far above 5 lakh (ULG-06).
For the reviewer: find the SMC office order or web page that defines the Central Designing Cell's mandate and staff, and confirm whether it does urban design. Otherwise, use an RTI to the SMC PIO (Public Infrastructure Cell / Town Planning Department) asking whether SMC has an Urban Design Cell, Unit or Vertical as of 2026. If the cell is confirmed to do urban design, the answer is YES (2.5 points).</t>
  </si>
  <si>
    <t xml:space="preserve">UPD28b</t>
  </si>
  <si>
    <t xml:space="preserve">Does the city have dedicated institutional cells/units for specialised functions? &gt;:&lt; Does the city have a Climate Action/Sustainability/Disaster Management Cell?</t>
  </si>
  <si>
    <t xml:space="preserve">ANSWER: The Citation Sheet cannot show that the GBA or its City Corporations currently have a working climate action, sustainability, resilience or disaster management cell. The law requires one: s.17 of the GBA Act says the GBA shall set up a Climate Action Cell within one year of its constitution. The 2023 Bengaluru Climate Action and Resilience Plan (BCAP) recommends one and names a 'Disaster Management Cell, BBMP' as a BBMP unit. But none of the sources records that the GBA's Climate Action Cell was actually set up, or shows any current cell at work, so this Implementation question cannot be scored. | EVIDENCE: (1) ULG-01, Greater Bengaluru Governance Act 2024, s.17(1): 'The Greater Bengaluru Authority shall, within one year of its constitution, establish a Climate Action Cell...'. s.17(3) says the cell 'shall be headed by the Special Commissioner (Forest, Environment and Climate Change)'. This is a legal duty, not proof that the cell exists. (2) ULG-16, BCAP 2023 full report, s.6.2 (p.305): 'Setting up a Bengaluru Climate Action Cell (CAC) is considered critical... The CAC will be primarily anchored in BBMP'. This is a proposal. (3) ULG-17, BCAP Executive Summary (file dated 18-07-2025), p.15: 'the BCAP proposes the establishment of a dedicated Climate Action Cell (CAC) within BBMP'. Still worded as a proposal in 2025. (4) ULG-16, BCAP 2023: SWM actions 4.1-4.3 (pp.221-222) assign work to 'BBMP-Disaster Management Cell' funded from 'BBMP disaster funds'. Figure 101 (p.42</t>
  </si>
  <si>
    <t xml:space="preserve">Left blank (score cannot be set). This is an Implementation question. A YES needs evidence that a climate, sustainability, resilience or disaster management cell exists for the ULG and is working. The Citation Sheet has none. (1) ULG-01, GBA Act s.17(1): the GBA 'shall, within one year of its constitution, establish a Climate Action Cell'. s.17(3) says it is to be headed by the Special Commissioner (Forest, Environment and Climate Change). This is a legal duty, not proof that the cell exists. The GBA's constitution date is not in the Sheet, so we cannot tell whether the deadline has passed. (2) ULG-16, BCAP 2023, s.6.2, pp.305-310: the Climate Action Cell is still a proposal. The plan says a new BBMP Department of Environment and Climate Change 'is being considered' and that 'Once functional, the CAC will be instituted under this department'. Fig. 71 shows a 'proposed structure'. (3) ULG-17, BCAP Executive Summary (file dated 18-07-2025): the cell is still described as proposed. (4) ULG-16, Figs 100-101 and the abbreviations list (pp.423-425), plus SWM actions 4.1-4.3: these name a 'DMC Disaster Management Cell, BBMP'. That is a 2023, BBMP-era agency mapping inside a plan. It shows neither that the cell is working now nor that it was carried over to the GBA or the City Corporations, so it is not enough for YES. (5) ULG-33 (EMPRI, Department for Climate Change) is a state body. Bengaluru's population is well above 5 lakh, so a shared state or district resource does not qualify. NO is also not justified. The ULG (GBA or City Corporation) website, office orders and notifications are not in the Citation Sheet, so absence is not proven: not found is not the same as absent. Searches run: 'Climate Action Cell constituted BBMP climate cell functioning'; 'Disaster Management Cell control room flood monitoring'; read of ULG-16 on existing disaster management arrangements. For the reviewer: find the GBA order or notification setting up the s.17 Climate Action Cell, and current GBA or City Corporation web pages or dated activity records for the Climate Action Cell or Disaster Management Cell (e.g. a disaster or flood control room). Capture a dated screenshot. RTI to the PIO, GBA (Special Commissioner, Forest, Environment and Climate Change).</t>
  </si>
  <si>
    <t xml:space="preserve">ANSWER: Yes. Surat Municipal Corporation (SMC) has a disaster management unit of its own, and the evidence shows it is working. SMC's organogram dated 07/09/2026 lists 'Disaster Management' as a subject assigned from 01/07/2026 to the Additional City Engineer (Civil). SMC's current Disaster Management and Preparedness Plan (2026 edition) sets out a working setup: an Emergency Control Room, a Central Flood Control Room at the ICCC (the city's Integrated Command and Control Centre) with its own phone numbers, control rooms in each zone, and pre-monsoon deadlines for 2026 given to named departments. The organogram also lists two related environment and energy units: an 'Environment Improvement &amp; Protection Cell (Tapi Rejuvenation &amp; Creek Rehabilitation)' and a 'Light &amp; Energy Efficiency Cell'. Surat's population is about 4.45 million (2011, ULG-19), so the rule for towns under five lakh does not apply. | EVIDENCE: (1) ULG-08, SMC organogram as on 07/09/2026: under Sh. M. D. Chavda, Add. City Eng. (Civil): '- Disaster Management (Dt.01/07/2026)'. Also '- Environment Improvement &amp; Protection Cell (Tapi Rejuvenation &amp; Creek Rehabilitation) (Dt.01/07/2026)' and '- Light &amp; Energy Efficiency Cell. (Dt.29/08/2023)'. (2) ULG-10, SMC Disaster Management and Preparedness Plan (on SMC's website): 'Central Flood Control Room (ICCC) Phone- 0261-2451756'. Ch.2 is headed 'Emergency Control Room, Surat Municipal Corporation'. Pre-monsoon instruction 22: 'The central control room one at ICCC (Ud</t>
  </si>
  <si>
    <t xml:space="preserve">Disaster Management (Dt.01/07/2026)</t>
  </si>
  <si>
    <t xml:space="preserve">Answer is YES, worth 2.5 points. I checked the Step 2 answer against both sources and they support it. (1) Existence: SMC's own organogram (ULG-08, suratmunicipal.gov.in, as on 07/09/2026) lists 'Disaster Management' as a separate subject, assigned from 01/07/2026 to the Additional City Engineer (Civil). The methodology accepts a 'cell/unit/vertical or equivalent', and this counts as a vertical. The organogram also lists an Environment Improvement &amp; Protection Cell and a Light &amp; Energy Efficiency Cell, which are on the sustainability side. (2) Working in practice: SMC's Disaster Management and Preparedness Plan (ULG-10) is the 2026 edition. Its Ch.2 sets out an 'Emergency Control Room, Surat Municipal Corporation' structure. It gives a Central Flood Control Room at the ICCC (the city's Integrated Command and Control Centre) with phone, fax and mobile numbers. Pre-monsoon instruction 22 says the ICCC central control room and a control room in each zone must be started from 1st June or the first rain, whichever is earlier. Ch.10 puts the City Engineer in charge of the ICCC control room. The instructions also carry 2026 deadlines (1st April, 1st May and 20th May 2026). Surat is well above five lakh population, so the shared-resource rule does not apply. Caveats for the reviewer: (a) the organogram assigns Disaster Management to an officer as a subject; it does not call it a 'cell' or name dedicated staff. (b) 'Functional' rests on the current annual plan, its 2026 deadlines and the standing control rooms. No dated 2026 activation or after-action report is in the Citation Sheet. (c) No climate action cell as such was found. Per the QB evidence requirement, the reviewer should capture a dated screenshot of the organogram page.</t>
  </si>
  <si>
    <t xml:space="preserve">UPD28c</t>
  </si>
  <si>
    <t xml:space="preserve">Does the city have dedicated institutional cells/units for specialised functions? &gt;:&lt; Does the city have an Economic Develepment Cell ?</t>
  </si>
  <si>
    <t xml:space="preserve">Step 2 found no evidence: a source needs to be found and added. Step 2 found no evidence (Insufficient Evidence). Source needed: Any of the following would answer it: GBA website pages showing an Economic Development Agency, cell or vertical; a GBA order, resolution or regulation under s.16 setting it up, naming its members and defining its functions; a gazette notification; or dated records showing it is working (meetings, staff, projects, annual report). An RTI or official reply from the GBA would also do.</t>
  </si>
  <si>
    <t xml:space="preserve">Step 2 found no evidence: a source needs to be found and added. Step 2 found no evidence (Insufficient Evidence). Source needed: An SMC office order, standing committee or corporation resolution, or a page on the SMC website that sets up an economic development cell, unit or vertical (or names a unit as its equivalent) and gives its functions. Also needed: dated evidence that it is working, such as named officers, an activity or annual report, or investment-promotion or local-economic-development work. Alternatively, an RTI or official reply from SMC confirming whether such a cell exists.</t>
  </si>
  <si>
    <t xml:space="preserve">UPD28d</t>
  </si>
  <si>
    <t xml:space="preserve">Does the city have dedicated institutional cells/units for specialised functions? &gt;:&lt; Does the city have a dedicated Women's Welfare/Development Cell?</t>
  </si>
  <si>
    <t xml:space="preserve">Step 2 found no evidence: a source needs to be found and added. Step 2 found no evidence (Insufficient Evidence). Source needed: Any one of the following would answer this: the official GBA or City Corporation website page listing departments, cells or verticals and showing a women's welfare or development cell, with its officer, contact details and recent activity; or a GBA or Corporation office order or circular setting up such a cell; or a recent annual report or budget document showing the cell is working. If none of these is published, an RTI or official email reply from the GBA would do.</t>
  </si>
  <si>
    <t xml:space="preserve">ANSWER: Not determined. Surat Municipal Corporation (SMC) has a combined 'Women &amp; child, Social Welfare &amp; Cultural Department' in its official allocation of departments (organogram), as on 07/09/2026. It is not clearly a dedicated women's welfare/development cell. The units listed under it are Heritage Cell, Tourism, ICDS (all units), UCD (including the Ummid project), Sports &amp; Sports Development, the Employment &amp; Livelihood Cell, the Cultural Department and the Kavi Narmad Central Library. None of these is named as a women-only cell. The sheet also has no record of the department actually working for women: no activity reports, schemes run, meetings or staff named for women's welfare. Whether this combined department counts as a 'dedicated' cell, and whether it is functional, needs confirmation. | EVIDENCE: ULG-08 (SMC organogram / allocation of departments, as on 07/09/2026, p.1) lists 'Women &amp; child, Social Welfare &amp; Cultural Department (Dt.25/03/2026)' with the sub-units 'Heritage Cell', 'Tourism', 'I.C.D.S.(All units) (Dt.25/03/2026)', 'UCD (Including Ummid pro.) (Dt.15/06/16)' with Shri R. C. Patel, Proj. Officer, 'Sports &amp; Sports Development', 'Employment &amp; Livelihood Cell (Dt.15/06/16)', 'Cultural Deptt.' and 'Kavi Narmad Central Library'. A sheet-wide search for 'women cell' turned up only seat reservations for women in the Gujarat Provincial Municipal Corporations Act, 1949 (ULG-03) and nothing in the disaster plan (ULG-10). The other sources (ULG-05, -06, -07, -09,</t>
  </si>
  <si>
    <t xml:space="preserve">Women &amp; child, Social Welfare &amp; Cultural Department (Dt.25/03/2026)</t>
  </si>
  <si>
    <t xml:space="preserve">I left 'Answer' blank because the Citation Sheet doesn't support YES, NO or NA. A person needs to score this.
(1) NA doesn't apply. Surat is a million-plus city, so the question applies. The Step 2 note cites ULG-07 for this: 2011 Census population 44,62,826.
(2) YES isn't supported. The SMC organogram (ULG-08), as on 07/09/2026, lists a combined 'Women &amp; child, Social Welfare &amp; Cultural Department (Dt.25/03/2026)'. The units under it are Heritage Cell, Tourism, ICDS (all units), UCD (including the Ummid project), Sports &amp; Sports Development, the Employment &amp; Livelihood Cell, the Cultural Department and Kavi Narmad Central Library. None of these is a women-only cell. The heading covers several unrelated subjects, so it is not clearly a 'dedicated' women's welfare cell or vertical. ICDS covers women and children together. The sheet also has no evidence that the department is working: no activity reports, schemes, staff named for women's welfare, budget lines or dated records. An organogram listing shows that a portfolio has been allocated, not that a cell is working.
(3) NO also isn't supported. A score of 0 needs affirmative absence. The combined department may count as 'equivalent', and the sheet has no SMC women's-cell web page, no government order setting one up, and no RTI or email reply. The rest of the SMC website couldn't be checked (VERIFICATION-LIMIT).
What I checked: I read ULG-08 in full. I searched the whole sheet for 'women welfare cell Mahila' and 'gender women empowerment SMC department'. The only hits were seat reservations for women in the Gujarat Provincial Municipal Corporations Act, 1949 (ULG-03, s.5) and irrelevant passages in ULG-10 and ULG-06. The other sources are planning, regulatory or economic documents.
For the reviewer: (a) decide whether the combined department counts as a 'dedicated women's welfare/development cell/unit/vertical or equivalent'; (b) find current, dated evidence of women-specific work, such as a UCD/Ummid or women's wing page, an annual report or an RTI reply; (c) take a dated screenshot.</t>
  </si>
  <si>
    <t xml:space="preserve">UPD29a</t>
  </si>
  <si>
    <t xml:space="preserve">Are there prescribed urban design standards to guide the execution of urban projects, including standards for universal accessibility? &gt;:&lt; Does the law mandate comprehensive urban design standards and universal accessibility?</t>
  </si>
  <si>
    <t xml:space="preserve">ANSWER: The Greater Bengaluru Governance Act, 2024 uses binding language ('shall') for 3 of the 5 categories: roads by hierarchy, built-form standards and accessibility (inside buildings). I could not settle the other 2 categories, footpaths and underground utilities, so the total score is left blank. If they score 0, the total would be at least 3/5. | EVIDENCE: (1) Roads and streetscapes: GBA Act s.201 says 'The Commissioner shall, from time to time, specify the minimum width of different public streets according to the proposal of the Master Plan or based on the nature and quantum of the traffic ... to maintain hierarchy of roads'. This is binding and sets a width standard for each road category, so it scores 1. The KTCP Act s.12(1)(b) only requires the Master Plan to show 'a complete street pattern, indicating major and minor roads'. That is plan content, not a design standard. (2) Footpaths: the GBA Act parts I read mention footpaths only as a function (Sch. I(1)(iv) 'footpath road crossing facility'), in eviction of encroachments (s.216(2)) and among street-making details (s.204(1)(c) 'paving ... flagging'). These are general functions and regulatory powers, not a design standard for footpaths. I did not read the whole Act, so this is not found rather than 0. (3) Underground utilities: s.318(1)(iii) says a City Corporation 'may' make regulations for 'the form of and the manner of keeping of maps ... of underground utilities'. That is about keeping records, not design. s.</t>
  </si>
  <si>
    <t xml:space="preserve">the City Corporation in its jurisdiction shall make building bye-laws for the regulation and restriction of the use of sites or buildings in accordance with model building bye-laws prepared by the Greater Bengaluru Authority with suitable</t>
  </si>
  <si>
    <t xml:space="preserve">Source: Greater Bengaluru Governance Act, 2024 (Karnataka Act 36 of 2025), as enacted. This is the PRS copy of the Gazette text (DPAL notification 24.04.2025). Era: GBA.
(1) Roads = SHALL. Under s.201, 'The Commissioner shall, from time to time, specify the minimum width of different public streets ... to maintain hierarchy of roads'. This is a binding width standard for each category of road.
(2) Footpaths = blank (not found). I checked the following in ULG-01, and none of them is a design standard for footpaths:
- s.198(1): a general power to improve streets 'for the safety of pedestrians'
- s.204(1)(c): 'paving ... flagging' as details an applicant must show for a private street
- s.215 and s.216(2): encroachment on footpaths
- Sch. I(1)(iv): a list of functions
- s.318(1)(xxvii): vehicle transit risk to pedestrians
Searches of ULG-02 (KTCP) and ULG-04 (BDA Act) for footpath and pedestrian standards found nothing. The retrieval tool shows only passages of these documents, so I cannot confirm the whole of each Act was read. That means I cannot claim affirmative absence, so I left the input blank rather than NONE. The BMLTA Act (ULG-18) requires the Comprehensive Mobility Plan to include standards for pedestrian paths. I did not count it because the methodology limits this question to the T&amp;CP Act or Municipal Act. A reviewer should decide whether it counts.
(3) Underground utilities = MAY. I checked the operative verb: s.318(1) says 'Every City Corporation may from time to time, with the approval of the Government make regulations ... for'. Item (xxv) covers 'regulating ... the construction, maintenance and control of drains, sewers ... and drainage or sewage works of every description'. This is an enabling power aimed at how sewerage and drainage are built, which is more than a general power to regulate development. It covers only sewerage and drainage, though: I found nothing for water supply, electricity, telecom or gas networks.
- s.318(1)(iii) (maps of underground utilities) is about keeping records, not design.
- s.224(1)(q) ('Telecom services and other utilities') applies only inside buildings.
- KTCP s.17 Table-A is a condition that works be completed before sites are released, not a design standard.
A reviewer should confirm that a 'may' power over drains and sewers alone deserves 0.5.
(4) Built form = SHALL. Under s.224(1), the City Corporation 'shall make building bye-laws' in line with the GBA's model bye-laws, and 'the bye-laws shall provide for':
- (d) height of building relative to the width of the street
- (h) materials and methods of construction of external and party walls, roofs and floors
- (p) minimum quality of materials
There is also supporting text: s.204(1)(b) (building line) and KTCP s.12(1)(f) (which says 'may' be made, for regulations on building line, height and architectural features).
(5) Universal accessibility = SHALL, but for buildings only. Under 'shall provide for', s.224(1)(l) requires 'ramps and amenities for differently challenged' and s.224(1)(q) requires 'Provision for specially abled'. I found no Municipal Act or KTCP provision requiring accessibility standards for streets or public spaces. Please CONFIRM whether accessibility limited to buildings earns the full 1 point.
The s.224 number is inferred (the passage comes just before s.225). I did not see the section heading.
Total if confirmed: at least 3.5 out of 5, with footpaths still to be scored by a person. The Rules and model building bye-laws made under the GBA Act are not in the Citation Sheet.</t>
  </si>
  <si>
    <t xml:space="preserve">The citation didn't settle every input. "Footpaths / pedestrian infrastructure" left blank: the Citation Sheet doesn't decide it.</t>
  </si>
  <si>
    <t xml:space="preserve">ANSWER: Not determined. The decisive layer is the Gujarat Town Planning and Urban Development Act, 1976 (GTPUD Act), the state's planning law, and its principal text cannot be read in the Citation Sheet. Within the Municipal Act, by-law powers cover building height, materials, set-backs and building structure, so category 4 (built-form codes) is at least enabled. Whether the power is 'shall' or 'may' cannot be confirmed because the section's opening words were not read. The CGDCR 2017, the state-wide regulations made under the Acts, contain mandatory universal-accessibility standards. However, the methodology tests whether the Act provides for standards, so these regulations may not count. Roads/streetscapes (category 1), footpaths (category 2) and underground utilities (category 3) have no confirmed provision that sets design standards. | EVIDENCE: (a) GTPUD Act 1976, PRS copy, ULG-01: the principal Act's pages 2-86 have no readable text. Only the 2017 and 2019 amending Acts can be read, and they deal with Local Area Plans, delegation of powers and spatial-planning proposals, not design standards. The Act's development-plan contents section (s.12) and its regulation-making power could not be checked. (b) Gujarat Provincial Municipal Corporations Act 1949, the Municipal Act for the city government (ULG-03, as modified to 30.11.2017): (i) by-law items let the Corporation set rules on 'the structure of walls, foundations, roofs... the materials, dimensions and strength of floor</t>
  </si>
  <si>
    <t xml:space="preserve">BPMC Act, 1949 (as applied to Surat): Chapter XV Building Regulations, SMC download [ULG-13]</t>
  </si>
  <si>
    <t xml:space="preserve">https://www.suratmunicipal.gov.in/Content/Documents/Downloads/Acts/BpmcAct/bpmcact15.pdf</t>
  </si>
  <si>
    <t xml:space="preserve">that in any streets or portions of streets specified in such notice the elevation and construction of the frontage of all buildings or any classes of buildings thereafter erected or re-erected shall in respect of their architectural features be such as the Corporation may consider suitable to the locality;</t>
  </si>
  <si>
    <t xml:space="preserve">I filled in only one input. The other four are blank because the evidence was not found, not because it shows the standards are absent. The state planning Act cannot be read, so none of these can be scored 0.
Built-form codes = MAY:
- Section 269(1) opens 'The Commissioner may give public notice of his intention to declare...'. A declaration can require that frontage elevation and construction match architectural features 'suitable to the locality' on named streets. It can also allow only detached or semi-detached buildings and set minimum plot sizes. After the State confirms it (s.269(6)), it binds builders (s.269(7)).
- The Municipal Act (Gujarat Provincial Municipal Corporations Act 1949, ULG-03, as modified to 30.11.2017) adds s.458: 'The Corporation may from time to time make by-laws ... with respect to the following matters'. These include (6) wall and roof structure and the materials and dimensions of floors; (12) 'prescribing set-backs from the street margin for all or particular classes of buildings on specified streets or classes of streets'; and (13) 'regulating the height of structures generally or with reference to the materials ... or the width of the streets'. Section 210(1) also says the Commissioner 'may' prescribe a regular street line.
- All of these use 'may', so they enable rather than require. The Step 2 answer could not confirm the verb; I have now read it in s.458's opening words and in s.269(1).
- Caveat: MAY is a floor taken from the Municipal Act only. The Gujarat Town Planning and Urban Development Act 1976 (ULG-01, PRS copy) has no readable text on pp.2-86. So its development-plan contents section (s.12) and its regulation-making power were not checked. If either uses 'shall' for building lines or height, this input becomes SHALL. Please check against a readable official copy.
Roads &amp; streetscapes, blank:
- Section 458(1) lets the Corporation make by-laws 'regulating ... the construction, maintenance ... of ... private streets and public streets'. Section 210 covers the regular line of the street.
- Neither sets road categories or hierarchies, or streetscape design standards. Whether s.458(1) counts as MAY, or is only a general power to regulate, needs a reviewer's judgement.
- I could not read the text of s.206 ('Minimum width of new public streets') before I hit the tool limit.
- The planning Act's s.12 could not be read.
Footpaths, blank:
- The only thing found is Schedule rule 3: the Commissioner 'may call for' plans showing carriage-way and foot-way widths for private streets. That is a power to ask for documents, not a design standard.
- The planning Act and the rest of the Municipal Act's Chapter XIV were not read in full.
Underground utilities, blank:
- Section 458(1) covers by-laws on the construction of drains, drainage works, municipal water-works and private communication pipes. This would at most be a MAY candidate, and only for water, sewerage and drainage. Nothing was found for electricity, telecom or gas.
- The Gujarat Town Planning and Urban Development Rules 1979 (ULG-04) only require layout plans to show water and drainage lines. That is a submission requirement, not a standard.
- A reviewer needs to decide whether partial coverage under s.458(1) counts as MAY.
Universal accessibility, blank:
- The state-wide regulations, the Comprehensive General Development Control Regulations (CGDCR) 2017, Part III (ULG-16, notified 12.10.2017), set mandatory standards. Examples: 'Minimum one entrance shall be provided that is accessible by people with disability', ramps at a gradient of 1:12, accessible parking, toilets and signage.
- This is mandatory language, but it sits in regulations. The methodology asks whether the planning Act or Municipal Act provides for such standards.
- No accessibility provision was found in the Municipal Act. The planning Act's regulation-making clause cannot be read.
- CONFIRM: does a mandatory standard in regulations made under the Acts count? If it does, this input would be SHALL.
Reading limits: I reached the tool limit before reading s.206, the rest of s.458's clauses and Gujarat Bill No. 21 of 2019 (ULG-02).
The Step 2 answer is mostly supported. My one correction is that I confirmed the built-form verb is 'may'.</t>
  </si>
  <si>
    <t xml:space="preserve">The citation didn't settle every input. "Roads &amp; streetscapes" left blank: the Citation Sheet doesn't decide it. "Footpaths / pedestrian infrastructure" left blank: the Citation Sheet doesn't decide it. "Underground public utilities" left blank: the Citation Sheet doesn't decide it. "Universal accessibility" left blank: the Citation Sheet doesn't decide it.</t>
  </si>
  <si>
    <t xml:space="preserve">UPD29b</t>
  </si>
  <si>
    <t xml:space="preserve">Are there prescribed urban design standards to guide the execution of urban projects, including standards for universal accessibility? &gt;:&lt; Does the city have urban design standards to guide the execution of urban projects?</t>
  </si>
  <si>
    <t xml:space="preserve">Step 2 found no evidence: a source needs to be found and added. Step 2 found no evidence (Insufficient Evidence). Source needed: Any of the following, with the adoption or notification order: the notified building bye-laws and zoning regulations that apply to the GBA/City Corporation area (covering built form, frontage, materials and accessibility); the notified Revised Master Plan zoning regulations; TenderSURE or other street and footpath design guidelines, with a GO or council resolution adopting them for Bengaluru; utility-corridor or underground utility design standards adopted by GBA/BBMP/BWSSB/BESCOM; universal accessibility guidelines adopted by the city; or an approved Comprehensive Mobility Plan containing road-hierarchy and pedestrian standards.</t>
  </si>
  <si>
    <t xml:space="preserve">ANSWER: I found applicable standards for 2 of the 5 categories. The other 3 are 'not found', not 0. (d) Built-form codes: YES. The Gujarat CGDCR 2017 is a state DCR that applies to category D1 (SUDA), and the SUDA development area includes the Surat Municipal Corporation area. It sets road-side margins and maximum building height by abutting road width, a Build-to-Line rule and minimum floor clearance heights. (e) Universal accessibility: YES. The same CGDCR requires an accessible entrance (except Dwelling-1&amp;2), 1:12 ramps with handrails, guiding floor material for visually impaired persons, accessible car parking and wheelchair-usable doors. (a) Roads/streetscapes, (b) footpaths and (c) underground utilities: NOT FOUND. No Surat street or urban design guideline, and no other city-level standard for these, is in the Citation Sheet. The method allows DCR evidence only for (d) and (e), so CGDCR rules on internal road widths and Schedule 26 road illustrations cannot count for (a). | EVIDENCE: ULG-05 (CGDCR 2017, Notification GH/V/269 of 2017 dated 12.10.2017, UD&amp;UHD). Applicability: the regulations 'shall apply to the land development and building construction in the entire Gujarat State'. Table 1.1.1 places SUDA in D1. Table 8.3.1 sets heights for 'D1 except GMC area' (10/15/25/45/70 m by road width). Build-to-Line: 'the imaginary line formed after leaving the Road Side margin and the required side margins', applicable to building units 'as mentioned in Local Area Plans'. Minim</t>
  </si>
  <si>
    <t xml:space="preserve">Comprehensive General Development Control Regulations 2017 (CGDCR), Notification No. GH/V/269 of 2017/EDP-102016-3629-L dated 12 October 2017, Urban Development and Urban Housing Department, Govt. of Gujarat (copy hosted by AUDA) [ULG-05]</t>
  </si>
  <si>
    <t xml:space="preserve">https://www.auda.org.in/uploads/Assets/rdp/finalcomprehensi11012017111757857.pdf</t>
  </si>
  <si>
    <t xml:space="preserve">Minimum one entrance shall be provided that is accessible by people with disability and accompanied by appropriate signages as per Regulation 21.7</t>
  </si>
  <si>
    <t xml:space="preserve">I checked the Step 2 answer against ULG-05 and agree with it. Two inputs are YES; three are blank as 'not found'.
(d) Built-form codes: YES. The CGDCR 2017 (UD&amp;UHD Notification GH/V/269 of 2017, dated 12.10.2017) says it 'shall apply to the land development and building construction in the entire Gujarat State'. Table 1.1.1 lists the Surat Urban Development Authority (SUDA) in category D1. For D1 areas the CGDCR sets:
- maximum building height by abutting road width (Table 8.3.1: 10/15/25/45/70 m);
- road-side margins by road width (Table 8.4.1);
- a Build-to-Line rule (the line left after the road-side and side margins). This applies only to building units named in Local Area Plans;
- minimum road frontage for fuelling stations (Table 18-1) and signage/billboard controls (Reg. 19).
The method accepts DCRs for (d), so these count.
(e) Universal accessibility: YES. All buildings except Dwelling-1&amp;2 need:
- an entrance accessible to people with disability, with signage;
- ramps no steeper than 1:12, with handrails;
- guiding floor material for visually impaired people;
- non-slip finishes a wheelchair can cross.
Why the CGDCR applies to the Surat Municipal Corporation (SMC): the CGDCR names SUDA, not SMC. ULG-06 (SUDA DP-2035, page 185) says the SUDA area 'consists of Surat Municipal Corporation (SMC) Area and 195 villages', so SMC falls inside the D1 jurisdiction. A reviewer should confirm that the team accepts this state-wide DCR as 'applicable to the city'.
(a) Roads/streetscapes, (b) footpaths and (c) underground utilities: left blank ('not found', not NO).
- No Surat street design guideline, road-hierarchy standard or utility design standard is in the Citation Sheet.
- ULG-07 (Parking Policy 2018) covers parking management, permits, informal public transport (IPT) and freight. It has no street or footpath design standards.
- ULG-03 (GPMC Act) has only powers to set street widths and regular lines, not design standards.
- The CGDCR's internal-road rules and Schedule 26 illustrations are DCR content. The method allows DCR evidence only for (d) and (e), so they do not count for (a).
- The SMC, SUDA, UD&amp;UHD and BRTS/Sitilink websites are not in the Citation Sheet. Absence therefore cannot be shown, and this is a VERIFICATION-LIMIT.
Period: I relied on the CGDCR as notified on 12 October 2017. I did not check later amendments.</t>
  </si>
  <si>
    <t xml:space="preserve">The citation didn't settle every input. "Roads &amp; streetscapes" left blank: the Citation Sheet doesn't decide it. "Footpaths / pedestrian infrastructure" left blank: the Citation Sheet doesn't decide it. "Underground public utilities" left blank: the Citation Sheet doesn't decide it.</t>
  </si>
  <si>
    <t xml:space="preserve">UPD30a</t>
  </si>
  <si>
    <t xml:space="preserve">Does the city have a parking policy?  &gt;:&lt; Is there a clear mandate in the law for a parking policy?</t>
  </si>
  <si>
    <t xml:space="preserve">ANSWER: No score can be given yet. Karnataka law does require a parking policy for Bengaluru, but it puts that duty on the Bengaluru Metropolitan Land Transport Authority (BMLTA), not on the Greater Bengaluru Authority (GBA) or its City Corporations. The city government is only one of the bodies BMLTA must consult. In the sources we have, neither the city's own Act (the Greater Bengaluru Governance Act) nor the Town and Country Planning Act requires or allows the city government to prepare or adopt a city-level parking policy. The rubric asks whether the T&amp;CP Act or the Municipal Act mandates the city government (ULG) to do this. Read strictly, that points to 0. But the mandatory duty given to a separate state transport authority, together with gaps in the sources, means this needs a methodology decision. | EVIDENCE: (1) BMLTA Act, 2022 (Karnataka Act 6 of 2023, PRS republication with Amendment Act 10 of 2026 appended), s.20(1): 'The Authority shall prepare and implement the following policies ... in consultation with the Urban Transport Agencies, Urban Local Bodies ...', and the list starts with '(a) Parking policy'. The policies must be put in the public domain for feedback before they are finalised. This is a mandatory 'shall' duty, but it falls on BMLTA. Section 6 shows BMLTA is a state-level body: if the Chairperson cannot act, the Minister for Bengaluru Development, the Transport Minister or the Chief Secretary takes over. Amendment Act 10 of 2026 makes the Mayors and C</t>
  </si>
  <si>
    <t xml:space="preserve">The Authority shall prepare and implement the following policies in connection with Urban Mobility and shall update periodically the existing policies on Urban Mobility in consultation with the Urban Transport Agencies, Urban Local Bodies, Traffic Management Agencies, Urban Development Department, etc.</t>
  </si>
  <si>
    <t xml:space="preserve">I left the input blank. It needs a methodology decision, and the check for absence is not complete.
(1) What I found: Karnataka law does require a city-level parking policy for Bengaluru, using 'shall'. It is in s.20(1)(a) of the BMLTA Act, 2022 (Karnataka Act 6 of 2023, as amended by Act 10 of 2026; PRS republication, ULG-18). But the duty falls on the Bengaluru Metropolitan Land Transport Authority (BMLTA), which is a state body. Urban Local Bodies are only listed as bodies to be consulted. The Act 10 of 2026 amendment makes the City Corporation Mayors and Commissioners ex-officio members of BMLTA, but that is membership, not a duty to prepare or adopt the policy. The rubric asks whether the T&amp;CP Act or the Municipal Act requires the ULG itself to prepare or adopt a standalone parking policy. The BMLTA Act is neither of those Acts, and BMLTA is not the ULG. Whether this counts as SHALL (5) or NONE (0) is a methodology question for a person to decide. I am not guessing.
(2) The other Acts:
- Municipal Act: the Greater Bengaluru Governance Act, 2024 (ULG-01, as enacted, notified 24.04.2025). It only gives powers to regulate and functions. s.202(1): 'The Commissioner may prohibit vehicular traffic or on street parking'. s.206: closed streets may be used for vehicle parking. Schedule I(1)(xvii): providing 'parking spaces for vehicles'. s.15(1): master plan and mobility plans. The rubric excludes all of these.
- The GBA (Amendment) Bill, 2025 (ULG-05) changes only ss.8 and 14 and has nothing on parking.
- T&amp;CP Act: the KTCP Act, 1961 (ULG-02, amended up to 2015). It has only building and scheme standards: s.26(2)(j) uses 'may' for parking space in town planning schemes, and s.28(2) mentions parking spaces. The rubric excludes these.
- The KTCP Amendment Bill, 2025 (ULG-03) makes GBA the planning authority (s.81-G). It has no parking-policy provision.
(3) Why I did not enter NONE: a NONE needs proof that nothing exists, and I could not get that. The tools returned the GBA Act only in excerpts, so I could not check it section by section. No Rules or bye-laws made under the GBA Act are in the Citation Sheet. The KTCP compilation stops at 2015, and ULG-03 is a Bill, not the enacted text.
Not used as evidence: DULT Parking Policy 2.0 (ULG-06/07) is a GoK policy from the BBMP era, not law.
This agrees with the Step 2 answer (Partially Answered, score left blank).
To confirm: (a) Does a 'shall' duty on BMLTA, with the ULG as member and consultee, count as a mandate for the city? (b) If not, NONE needs the full GBA Act text and its Rules checked first.</t>
  </si>
  <si>
    <t xml:space="preserve">The citation didn't settle every input. "Mandate for city parking policy in law" left blank: the Citation Sheet doesn't decide it.</t>
  </si>
  <si>
    <t xml:space="preserve">ANSWER: Not found. None of the Gujarat laws I could read requires or allows Surat's city government (Surat Municipal Corporation, SMC) to prepare or adopt a standalone city-level parking policy. The one parking provision found in the Municipal Act lets the Corporation make by-laws to regulate public parking places. The methodology says a power to regulate parking does not count. I have not given a 0, because key parts of the legal framework were not fully read. | EVIDENCE: (1) Gujarat Provincial Municipal Corporations Act, 1949 (GPMC Act, text modified up to 30.11.2017), s.458(36): the Corporation may make by-laws for 'securing the protection of public parks, gardens, public parking places and open spaces vested in or under the control of the Corporation from injury or misuse, regulating their management and the manner in which they may be used by the public ... [and the levy of fees therein]'. This is a power to regulate parking places, not a duty to prepare a policy. s.459 says by-laws are drafted by the Commissioner. ss.460-462 say they are published and need State Government confirmation. The list of compulsory duties in s.63 and the parts of the list of optional duties in s.66 that I read (including s.66(8B) 'urban planning including town planning and regulation of land use') do not mention a parking policy. (2) Gujarat Town Planning and Urban Development Act, 1976 (PRS copy): the parts I could read are mostly the amending Acts of 2017 and 2019. These deal with developme</t>
  </si>
  <si>
    <t xml:space="preserve">Gujarat Provincial Municipal Corporations Act, 1949 (Bombay Act LIX of 1949), as modified up to 30 November 2017, published by Government of Gujarat, Legislative and Parliamentary Affairs Department [ULG-03]</t>
  </si>
  <si>
    <t xml:space="preserve">https://cpahmedabad.gujarat.gov.in/Upload/MUNCIPAL_2_16082023.pdf</t>
  </si>
  <si>
    <t xml:space="preserve">securing the protection of public parks, gardens, public parking places and open spaces vested in or under the control of the Corporation from injury or misuse, regulating their management and the manner in which they may be used by the public and providing for the proper behaviour of persons in them</t>
  </si>
  <si>
    <t xml:space="preserve">I have left the input blank. I found no SHALL or MAY provision for a city-level parking policy, but I cannot prove that none exists, so NONE (score 0) is not justified. The Step 2 answer was checked against the sources and holds up.
What the sources say:
(1) GPMC Act 1949, text modified up to 30.11.2017 (ULG-03). The only parking provision is s.458(36). It is a power: the Corporation may make by-laws to protect and regulate the management of public parking places, and (added by Guj. 11 of 2010) to levy fees in them. By-laws are drafted by the Commissioner (s.459), go through public notice (s.460) and need State Government confirmation (s.461-462). The methodology excludes a power to regulate parking. I read s.63 (compulsory duties) and the parts of s.66 (optional duties) available, including (8B) 'urban planning including town planning and regulation of land use' and (42). None of them mentions a parking policy.
(2) GTPUD Rules 1979 (ULG-04). The parts I read are forms and account schedules. I found no parking-policy provision.
(3) GTPUD Act 1976 (ULG-01, PRS copy). The readable text is mostly the amending Acts of 2017 and 2019 (Guj. Act 14 of 2019, on development plans, Metropolitan Planning Committees and District Planning Committees). Nothing in them is about a parking policy. The main text, especially s.12 on what a development plan contains, could not be read.
(4) CGDCR 2017 (ULG-05, ULG-14, ULG-15). These set parking standards for individual buildings (Planning Regulation 8.12), which the methodology excludes.
(5) Surat Parking Policy (ULG-07). It was sanctioned by a government resolution (GR P.R.CH./10018/CM-419/P dated 05.12.2018). It names GPMC s.458(36) only as the basis for new rules to enforce parking, not as a duty to prepare a policy. It shows that a policy exists in practice, which is relevant to other sub-questions, not a mandate in law.
Why NONE cannot be recorded: these gaps remain.
- The main text of the GTPUD Act 1976 is not readable in ULG-01.
- The Gujarat Metropolitan Planning Committees Act 2008 and the Gujarat District Planning Committees Act 2008 are not in the Citation Sheet.
- GPMC s.66 was only partly visible.
If the research team adds these and they show nothing, the input should be NONE (score 0). On the evidence so far, SHALL or MAY looks unlikely.</t>
  </si>
  <si>
    <t xml:space="preserve">UPD30b</t>
  </si>
  <si>
    <t xml:space="preserve">Does the city have a parking policy?  &gt;:&lt; Has the parking policy been implemented?</t>
  </si>
  <si>
    <t xml:space="preserve">ANSWER: Yes, as this question's methodology defines it. The methodology gives 5 points if a city-level parking policy exists or has been formally adopted, and it does not require proof that the policy is being carried out on the ground. Bengaluru has a city-specific parking policy, 'Parking Policy 2.0 for Bengaluru'. The Government of Karnataka approved it by G.O. UDD 208 PRJ 2020, dated 02-02-2021, and the full document is on the official DULT website. Two follow-up steps are on record: DULT prepared Area Parking Plans for all eight BBMP zones, and sent the plans' Detailed Project Reports (DPRs) to BBMP for implementation between 20-06-2022 and 01-09-2022. | EVIDENCE: (1) ULG-06, DULT Parking Policy 2.0 page: 'the Government of Karnataka approved Parking Policy 2.0 in February 2021'. It names the G.O. dated 02-02-2021, gives a download link to the 'Parking Policy 2.0 for Bengaluru' document, and says DULT prepares Area Parking Plans while BBMP implements them. (2) ULG-07, DULT Parking Action Plan page, 'Status of Area Parking Plans for Bengaluru 2022': it repeats the G.O. approval and says DULT was told to prepare Area Parking Plans for all eight BBMP zones with zonal task forces of BBMP and the Bengaluru Traffic Police (BTP). It lists the dates the DPRs went to BBMP: Yelahanka 20-06-2022, Dasarahalli 02-07-2022, RR Nagar and Bommanahalli 03-08-2022, Mahadevapura 06-08-2022, South and East 25-08-2022, West 01-09-2022. Parking law is not relevant here: the methodology says to</t>
  </si>
  <si>
    <t xml:space="preserve">Directorate of Urban Land Transport (DULT), UDD, Government of Karnataka: Parking Policy 2.0 page [ULG-06]</t>
  </si>
  <si>
    <t xml:space="preserve">https://dult.karnataka.gov.in/81/parking-policy-2.0/en</t>
  </si>
  <si>
    <t xml:space="preserve">The GoK approved the Parking Policy 2.0 vide vide G.O. UDD 208 PRJ 2020, BENGALURU dated 02-02-2021. As per the orders, DULT is directed to prepare Area Parking Plans in accordance with the policy and BBMP would take up implementation of Area Parking Plans.</t>
  </si>
  <si>
    <t xml:space="preserve">Answer is YES, which gives 5/5. The Detailed Methodology gives 5 if a city-level parking policy exists or its formal adoption can be shown with reliable evidence. It also says to score this regardless of any legal mandate. ULG-06 is the official DULT (Urban Development Department, Government of Karnataka) page. It is the kind of competent-authority website the methodology tells us to check. The page says the parking policy for Bengaluru was first prepared in 2012 and adopted by BBMP. It says the Government of Karnataka approved 'Parking Policy 2.0' in February 2021 by G.O. UDD 208 PRJ 2020 dated 02-02-2021, and it links to the policy document. The policy applies only to Bengaluru, so it counts as city-level. I checked the Step 2 answer against the source text and the source supports it. ULG-07 (DULT Area Parking Plans status page, 2022) backs this up: according to the Step 2 record, it lists Detailed Project Reports sent to BBMP from June to September 2022. Points for a reviewer to check: (1) The question title asks whether the policy has been 'implemented', but the Detailed Methodology tests only whether it exists or was adopted. I scored by the methodology. The Citation Sheet has no evidence after 2022 that Area Parking Plans or paid parking are running. (2) The policy was approved by the state, not passed by the city council. (3) Era: the policy dates from the BBMP era (2021). Nothing in the Citation Sheet shows the Greater Bengaluru Authority or its city corporations confirming or withdrawing it. (4) I did not read the policy PDF or the G.O. itself. The evidence is the DULT web page, which shows 'Last Updated 2026-10-09'.</t>
  </si>
  <si>
    <t xml:space="preserve">ANSWER: Yes. Surat has a city-level parking policy, the 'Parking Policy for Surat City'. It is published on the Surat Municipal Corporation (SMC) Traffic Cell website, and its cover page says it was sanctioned by Government Resolution No. P.R.CH./10018/CM-419/P dated 05/12/2018. Under this question's methodology (score 5 if a city-level parking policy exists or its formal adoption can be shown), the city qualifies. | EVIDENCE: ULG-07 (SMC Traffic Cell PDF), page 1 cover: 'PARKING POLICY FOR SURAT CITY / SANCTIONED VIDE GOVERNMENT RESOLUTION NO. P.R.CH./ 10018/CM-419/P DATE. 05/12/2018'. It is a whole-city policy with eight directives: charging for parking, enforcing parking, proof of parking, sharing parking, reducing parking minimums, parking permits, IPT parking and freight. It also assigns duties to SMC, for example (p.20) 'SMC shall declare the permitted and prohibited areas for parking' and a Traffic Cell headed by a Director (Traffic). The other sources were checked: the state-wide CGDCR 2017 (ULG-05, ULG-14, ULG-15) only sets parking standards for buildings, and the SUDA Development Plan 2035 (ULG-06) is not a parking policy. Neither counts as a city parking policy. | CAVEATS: (1) The question title says 'implemented', but the methodology only tests whether the policy exists or was formally adopted. Nothing in the Citation Sheet shows the policy actually working on the ground, such as Traffic Cell or TEO operations, parking fees being charged, or on-street parking bein</t>
  </si>
  <si>
    <t xml:space="preserve">Parking Policy for Surat City, sanctioned vide Government Resolution No. P.R.CH./10018/CM-419/P dated 05/12/2018 (SMC Traffic Cell) [ULG-07]</t>
  </si>
  <si>
    <t xml:space="preserve">https://www.suratmunicipal.gov.in/Content/Documents/Departments/TrafficCell/ParkingPolicy.pdf</t>
  </si>
  <si>
    <t xml:space="preserve">PARKING POLICY FOR SURAT CITY SANCTIONED VIDE GOVERNMENT RESOLUTION NO. P.R.CH./ 10018/CM-419/P DATE. 05/12/2018</t>
  </si>
  <si>
    <t xml:space="preserve">I scored this from the Detailed Methodology, not the question title. The methodology gives 5 points if a city-level parking policy exists or its formal adoption can be shown. It also says to score this independently of any legal mandate. ULG-07 is a 'Parking Policy for Surat City' hosted on the official Surat Municipal Corporation website (suratmunicipal.gov.in, Traffic Cell section). It covers the whole city: 'The entire area under SMC shall have similar parking charges'. It sets out eight policy directives on charging, enforcement, proof of parking, shared parking, reduced parking minimums, permits, IPT parking and freight. Its cover says it was sanctioned by Government Resolution No. P.R.CH./10018/CM-419/P dated 05/12/2018. That is enough for Answer = YES (5 points). I checked the Step 2 answer against the source and it is supported. Points for a reviewer to check: (1) The contents page (p.2) is still headed 'DRAFT PARKING POLICY FOR SURAT CITY', while the cover says 'sanctioned'. The only proof of adoption is that cover statement, because the Government Resolution itself is not in the Citation Sheet. The reviewer may want to get the GR from UD&amp;UHD or SMC. (2) The question title asks 'has it been implemented?' The Citation Sheet has no dated evidence of the policy working in practice, such as parking fees being collected, notified parking zones or enforcement by the Traffic Cell. The methodology does not require such evidence, so I make no claim about it. (3) Other sources do not count as a city parking policy: CGDCR 2017 (ULG-05, ULG-14, ULG-15, ULG-16) only sets parking standards for buildings, and the SUDA Development Plan 2035 (ULG-06) is a development plan. (4) Period: the policy was sanctioned on 05/12/2018. The Citation Sheet shows no later revision. The reviewer should also capture a dated screenshot of the SMC page.</t>
  </si>
  <si>
    <t xml:space="preserve">UPD31</t>
  </si>
  <si>
    <t xml:space="preserve">Does the city have a city-specific Development Control Regulation (DCR)?</t>
  </si>
  <si>
    <t xml:space="preserve">ANSWER: Probably yes, but not confirmed from the Citation Sheet. The sources point to Bengaluru-specific development controls: the Zoning Regulations that come with the Revised Master Plan 2015 (RMP 2015) for the Bengaluru Metropolitan Area, which set FAR for that area, and the BBMP Building Bye-laws, 2003. However, the regulations themselves are not in the Citation Sheet. The only evidence is a 2023 BBMP-era climate plan that refers to them, and no source here confirms they still apply under the Greater Bengaluru Authority (GBA). Bengaluru's population is well above one million, so the NA rule does not apply. | EVIDENCE: (1) Karnataka Town and Country Planning Act (KTCP) 1961 (ULG-02, PRS compilation, amendments up to 2015), s.12(1)(a): every master plan 'shall include proposals for... zoning of land use... together with Zoning Regulations'. s.12(2)(iii): 'regulations in respect of each land use zone to enforce the provisions of such plan' must be published with the master plan. So the law requires zoning regulations for each planning area, not one state-wide set. (2) Greater Bengaluru Governance Act, 2024 (ULG-01, as enacted): s.230(2) says building plans are checked for 'conformity with the Act, the master plan and building bye-laws'. s.230(8) refers to 'the master plan, the zoning regulation plan and building bye-laws'. s.228 bars construction except 'in accordance with this Act and building bye-laws'. Earlier in the Act (planning functions), GBA is made the 'Planning Aut</t>
  </si>
  <si>
    <t xml:space="preserve">The RMP 2015 permits a FAR between 1.5 and 3.25 for the entire conurbation area, based on land use, access road width, and plot size, with higher provisions for larger plots along wider roads.</t>
  </si>
  <si>
    <t xml:space="preserve">I answered YES, but the Citation Sheet does not contain the regulation itself, so a reviewer should confirm.
Why YES: the Citation Sheet points to Bengaluru-specific development controls, not a generic state-wide set, even though the regulation text is missing.
(1) ULG-16, the BCAP 2023, is an official BBMP plan. Footnote 36 says the Revised Master Plan 2015 (RMP 2015) for the Bengaluru Metropolitan Area, prepared under the Karnataka Town and Country Planning Act 1961, sets FAR of 1.5–3.25 'for the entire conurbation area', varying by land use, road width and plot size. That is DCR content, and it applies only to this city.
(2) In the same plan, action UPGBD-3.4 asks BDA and BBMP to 'Adopt changes to DCRs/Building Bye-laws', and names 'BBMP Building Bye-laws 2003' as the existing instrument, with 'RMP 2041 under preparation'. Action W/WW/SW-2.15 also cites the BBMP Building Bye-laws, 2003.
(3) ULG-02, the KTCP Act 1961 as amended up to 2015, s.12(1)(a) and s.12(2)(iii): every master plan must come with its own Zoning Regulations. So zoning rules are set per planning area by design.
(4) ULG-01, the Greater Bengaluru Governance Act (in force from 24.04.2025), s.230(2): building plans are checked against 'the Act, the master plan and building bye-laws'. s.230(8) refers to 'the master plan, the zoning regulation plan and building bye-laws'.
(5) ULG-01 s.360 and s.361 (third proviso): any 'bye-law or scheme framed' under the repealed BBMP Act 2020 continues in force until superseded. This supports the BBMP bye-laws continuing under the GBA.
The BCAP also lists the 'Karnataka Model Building Bye-laws, 2016'. That is a state model, and nothing in the Citation Sheet shows the city follows it instead of its own instruments.
NA does not apply: Bengaluru's population is far above one million (BCAP, Census 2011 figures).
What a reviewer should check:
(a) The RMP 2015 Zoning Regulations and the BBMP Building Bye-laws 2003 are not in the Citation Sheet. The only evidence is a reference to them in the 2023 BBMP-era plan.
(b) ULG-03 is the KTCP Amendment Bill 2025. Its proposed s.81-G(2) would treat BDA's 'Master Plan and Regulations' as made by GBA. It is a Bill, not shown to be enacted, so I did not rely on it. Whether the RMP 2015 regulations formally continue under the GBA is not proven.
(c) The RMP 2015 plan period has ended, and RMP 2041 was still being prepared in 2023.
(d) Please get the RMP 2015 Zoning Regulations and the current bye-laws from an official BDA/GBA/UDD source and take a dated screenshot.
Confidence is low because the evidence is a secondary reference in an official plan, not the regulation itself, and it does not show the regulations are still current under the GBA.</t>
  </si>
  <si>
    <t xml:space="preserve">ANSWER: Surat does not appear to have a separate DCR of its own. The sources show that Surat falls under Gujarat's state-wide Comprehensive General Development Control Regulations 2017 (CGDCR). That instrument does contain a table written only for Surat: Table 6.8 in Part II (Table 7.7.4 in the AUDA copy), 'Use control and F.S.I.: Category D1 SUDA', where SUDA is the Surat Urban Development Authority. It sets Surat's own floor-space-index (FSI) limits and use zones, for example the 90 m Ring Road SPD5 zone and the FSI bonus along 36 m and 45 m roads. All other rules come from the common state-wide text. Whether a Surat-specific table inside a state-wide DCR counts as a 'city-specific DCR' (score 10) or as reliance on a state-wide DCR (score 0) is a question about how to apply the method, so I have not scored it. The NA exception does not apply: the SUDA Development Plan 2035 report gives Surat's population as 4.5 million in 2011, well above one million. | EVIDENCE: (1) CGDCR 2017 Part I, Procedure Regulations (ULG-14), Reg. 1.1.3(1), Applicability: 'These regulations shall apply to all development in the entire Gujarat State'. Table 1.1 puts the Surat Urban Development Authority in Category D1 together with AUDA, GUDA, VUDA and RUDA. The Preamble says the State Government issues the regulations under s.116A read with s.122 of the Gujarat Town Planning and Urban Development Act, 1976 (GTPUDA). (2) CGDCR 2017, Notification GH/V/269 of 2017 dated 12 Oct 2017, AUDA copy (ULG-05):</t>
  </si>
  <si>
    <t xml:space="preserve">These regulations shall apply to all development in the entire Gujarat State . Different areas are grouped in different categories as specified in Table 1.1.</t>
  </si>
  <si>
    <t xml:space="preserve">Answer left blank because the evidence does not decide YES or NO.
What the sources show:
(1) Surat's development control falls under the Comprehensive General Development Control Regulations 2017 (CGDCR). This is a single instrument issued by the state government. It was made under s.116A read with s.122 of the Gujarat Town Planning and Urban Development Act 1976 (GTPUDA) and the other Acts named in its Preamble. Its Reg. 1.1.3(1) says it applies to all development in the entire Gujarat State (ULG-14; also ULG-05, Notification GH/V/269 of 2017 dated 12 Oct 2017).
(2) Table 1.1 puts the Surat Urban Development Authority (SUDA) in Category D1, together with the Ahmedabad, Gandhinagar, Vadodara and Rajkot authorities (AUDA, GUDA, VUDA, RUDA).
(3) The CGDCR does have a table only for Surat: Table 6.8 in Part II (ULG-15) and Table 7.7.4 in the AUDA copy (ULG-05), 'Category D1 SUDA'. It sets Surat's own use zones and floor-space-index (FSI) limits. All other rules (procedure, building and fire) are common to the whole state.
Why no score:
- Interpretation: it is unclear whether a Surat-only table inside a state-wide DCR counts as 'a city-specific DCR is applicable' (YES, score 10) or as 'relies on a generic/state-wide DCR' (NO, score 0). The method does not settle this, so a reviewer needs to decide.
- A NO would also need affirmative absence (proof that nothing else exists), which we don't have. The Citation Sheet has no Surat Municipal Corporation (SMC) or SUDA web page saying which DCR applies, and no list from the state urban development department (UD&amp;UHD) of CGDCR amendments or city-specific regulations. So a separate Surat DCR or local regulation cannot be ruled out.
What I checked: ULG-14 (Reg. 1.1.3, Table 1.1); ULG-17 (Gazette Extra No.124, 24 Mar 2025: proposed variation to the SUDA Final Development Plan, which was sanctioned by notification GH/V/157 of 2020 dated 08.10.2020; it says nothing about the DCR); a search of the whole Citation Sheet for a Surat-specific DCR or GDCR (only CGDCR passages came up); and the sources reviewed for the Step 2 answer (ULG-05, ULG-15, ULG-06, ULG-03).
NA does not apply: ULG-06 (the SUDA Development Plan 2035 report) gives Surat's population as about 4.5 million in 2011, well above one million.
Period: CGDCR notified 12 Oct 2017. The copies on file are hosted on the RMC and AUDA websites and may include later amendments. That it is still the version in force in 2026 is not confirmed.
Reviewer:
(a) Decide whether a city-specific use-zone and FSI table inside the state-wide CGDCR counts as city-specific. If it does, the answer is YES. If not, the answer is NO, but only once the absence of any other Surat DCR is shown.
(b) Get an SMC, SUDA or UD&amp;UHD page confirming which DCR is currently in force.</t>
  </si>
  <si>
    <t xml:space="preserve">UPD32a</t>
  </si>
  <si>
    <t xml:space="preserve">Does the city’s DCR provide development controls, standards or incentives that enable positive economic, environmental, public health, heritage, and inclusion outcomes? &gt;:&lt; Do the DCRs provide development controls, standards or incentives that enable different types and scales of economic activity?</t>
  </si>
  <si>
    <t xml:space="preserve">10 &gt;:&lt; 2</t>
  </si>
  <si>
    <t xml:space="preserve">Step 2 found no evidence: a source needs to be found and added. Step 2 found no evidence (Insufficient Evidence). Source needed: The notified Zoning Regulations of the Revised Master Plan 2015 for the Bengaluru Metropolitan Area (or any later notified revised master plan) with its gazette notification, especially the tables of permissible land uses by zone, mixed-use and ancillary-use rules, and FAR, setback, parking and plot-size standards for commercial, industrial and home-based uses. Also the building bye-laws in force for the Greater Bengaluru city corporations (or the BBMP Building Bye-laws while they still apply), plus any GOs or notifications amending the zoning regulations.</t>
  </si>
  <si>
    <t xml:space="preserve">ANSWER: Yes, score 2. The state-wide Gujarat Comprehensive General Development Control Regulations 2017 (CGDCR) apply to Surat Urban Development Authority (SUDA, Category D1). They do more than mark land as commercial or industrial. They let several types and sizes of economic activity happen in places that are not commercial or industrial zones. Cottage industry and home occupation are allowed in residential buildings (Dwelling-2 and Dwelling-3), with conditions. Part of a house can be used as an office by professionals such as advocates, doctors, architects, engineers and chartered accountants (CAs). The 'Mercantile-1' use class covers shops, service establishments and a 'Light Home Workshop'. The residential zones R1, R2 and R4 allow mixed use: all uses except industrial and agriculture. There are also further rules that set different requirements for certain areas. In the Transit Oriented Zone, shop-type (Mercantile-1) buildings need less parking (35% of the floor area actually built). Housing for workers is allowed inside the Logistics Zone. Closed textile mill land can be redeveloped for knowledge-zone uses with extra floor space (FSI). Wholesale markets, the diamond industry and IT activity are named uses (Mercantile-3). | EVIDENCE: (1) Who the rules cover, CGDCR 2017 Table 1.1.1: 'D1 Urban Development Authority ... Surat Urban Development Authority(SUDA)'. (2) Table 7.4 'Use permitted in each category'. Dwelling-2 covers 'Cottage Industry(cottage industries not involv</t>
  </si>
  <si>
    <t xml:space="preserve">Part of Re sidential building may be permitted to use as office in case of professional requirement such as advocate, doctors, arch. Engg. C.A.</t>
  </si>
  <si>
    <t xml:space="preserve">Score 2. The Step 2 answer is supported by ULG-05 (CGDCR 2017, Notification GH/V/269 of 2017 dated 12 October 2017). These regulations apply to Surat: Table 1.1.1 lists 'Surat Urban Development Authority(SUDA)' under category D1.
The regulations do more than zone land for commercial or industrial use. They enable at least two types or scales of economic activity through specific provisions:
(1) Home-based and small enterprise. Table 7.4 lists Cottage Industry under Dwelling-2 and Dwelling-3, on condition that it causes no noise, vibration or fumes. Home occupation and cottage industry are not allowed in tenements or flats. Mercantile-1 includes 'Light Home Workshop' and 'Service Establishment'.
(2) Professional offices in homes. Part of a house can be used as an office for advocates, doctors, architects, engineers or CAs. A note below Table 7-6.2 caps this at 50 sq m and requires parking on a commercial basis.
(3) Mixed use. Zones R1, R2 and R4 allow 'All uses except Industrial-1,2,3,4 and Agriculture'. Note 1 below Table 7-6.2 allows non-residential uses on any floor of a residential building if it has a separate access or staircase. Table 7-6.2 also allows commercial use on more floors as the abutting road gets wider.
(4) Specialised economic uses. Mercantile-3 names wholesale markets, the diamond industry and IT activity.
I did not rely on the Transit Oriented Zone (TOZ) parking relaxation for Mercantile-1. Several TOZ clauses name AUDA or RUDA, so its use in the SUDA area is unconfirmed.
I found no provision on street vending or hawking. This does not change the score, because the band needs only two types of economic activity.
Please check:
(a) whether amendments to CGDCR after 2017 changed Table 7.4 or the uses permitted in residential zones;
(b) that the SUDA FSI table under Reg 7.7, which I did not see in the excerpts, does not change the conclusion.
Confidence is medium because the score rests on several provisions of a statewide instrument read together, and later amendments were not checked.</t>
  </si>
  <si>
    <t xml:space="preserve">UPD32b</t>
  </si>
  <si>
    <t xml:space="preserve">Does the city’s DCR provide development controls, standards or incentives that enable positive economic, environmental, public health, heritage, and inclusion outcomes? &gt;:&lt; Do the DCRs provide development controls, standards or incentives that improve access, safety, affordability and development outcomes for women and the urban poor?</t>
  </si>
  <si>
    <t xml:space="preserve">Step 2 found no evidence: a source needs to be found and added. Step 2 found no evidence (Insufficient Evidence). Source needed: Needed: the full text of the notified Zoning Regulations of the Revised Master Plan 2015 for Bengaluru (and of RMP 2041 if notified), with the gazette notification; the current building bye-laws of BBMP / GBA and its city corporations; and any state rules or GOs on affordable housing, slum redevelopment or TDR that add extra FAR or relaxations for EWS/LIG housing. All of these should come from official UDD / BDA / GBA / eGazette sources.</t>
  </si>
  <si>
    <t xml:space="preserve">ANSWER: For the urban poor, yes. The state-wide Gujarat Comprehensive General Development Control Regulations 2017 (CGDCR) apply to SUDA (Category D1) and have at least two specific incentives in the Residential Affordable Housing (RAH) rules (dwellings up to 80 sq.m). First, extra FSI is sold cheaply: 10%, 20% or 30% of jantri rates depending on unit size, against 40% of jantri for ordinary chargeable FSI in SUDA's R1/C2 zones. Second, staircases, passages and corridors are left out of the FSI count. There is also a stated 'incentive' when a RAH zone line splits a plot, plus RAH-specific parking (10% of utilised FSI for units up to 66 sq.m), common plot (10%) and minimum density (225 DU/ha) rules. For women, I found no provision written specifically for women: no crèche, women's safety, lighting or gender-responsive design rule. The only possible candidate is the rule that buildings other than homes must have water closets for each gender, sized by the number of users of that gender. Whether that counts as a women-specific standard or as a general provision decides between 1 and 2, so no score is proposed. | EVIDENCE: (1) Urban poor, CGDCR 2017 (ULG-05, AUDA copy of Notification GH/V/269 dated 12.10.2017). Applicability, Table 1.1.1 (p.33): 'D1 ... Surat Urban Development Authority(SUDA)'. Table 7.7.4 (p.101), Category D1 SUDA: R1/C2 base FSI 1.8, chargeable 0.9 'at 40% of Jantri rate'. RAH rules (pp.157-158): 'Projects under Residential Affordable Housing (RAH) shall utiliz</t>
  </si>
  <si>
    <t xml:space="preserve">Projects under Residential Affordable Housing (RAH) shall utilize a minimum FSI of 1.8 and maximum 2.7 to avail the benefits of “RAH”.</t>
  </si>
  <si>
    <t xml:space="preserve">Score: 1. The DCR clearly helps the urban poor through at least two provisions. I found nothing written specifically for women.
Applicability: the state-wide CGDCR 2017 (Notification GH/V/269 dated 12.10.2017) applies to SUDA, which is Category D1 in Table 1.1.1 (ULG-05).
Urban poor (met, at least two specific provisions). These are the Residential Affordable Housing (RAH) rules, for dwellings up to 80 sq.m:
(1) Cheaper extra FSI. Extra FSI up to a maximum of 2.7 is charged at 10%, 20% or 30% of jantri rates depending on unit size (ULG-05 Table 12.2.1; ULG-15 Table 8.2). For comparison, ordinary chargeable FSI is charged at 40% of jantri (ULG-15 Table 6.5).
(2) FSI exemption. 'the areas of staircase, passages and corridors shall also be exempted for the computation of FSI' (ULG-15 reg. 8.2.2(2)(c)).
(3) Zone-split 'incentive'. Where the RAH zone line splits a plot, the full maximum FSI is allowed on the whole plot (ULG-05 cl. (e); ULG-15 8.2.1(3)).
(4) Other RAH-specific rules: parking (10% of utilised FSI for units up to 66 sq.m), a 10% common plot and a minimum density of 225 DU/ha. I did not count these as relaxations because I could not confirm they are lower than the general standard.
The RAH rules also cover Mukhya Mantri Awas Yojana / Gruh Yojana.
Women (not met). The only candidate is CGDCR Part III Performance Regulation 13.9.2(2) (ULG-16): 'Water closets shall be provided for each gender', with Table 13.9.1 setting counts 'per gender' and 13.9.3 covering special buildings. I re-read it. It is a sanitation rule for all non-residential buildings and treats every gender the same. It does not address women's needs specifically, so under the scorer note excluding 'General provisions applicable to all developments or users' it does not count.
What else was checked for women:
- ULG-16 13.3 (Lighting) is general: lighting to National Building Code standards in all buildings.
- ULG-16 13.7 (Signage) concerns disability access.
- Searches of the whole Citation Sheet for women, female, ladies, crèche/childcare, women's safety and lighting/visibility (Step 2 and this step) found no women-specific DCR provision. The only hits were seat reservations for women in the GPMC Act (ULG-03), which is not a development control.
For these reasons the score is 1, not 2.
Caveats:
- The Citation Sheet holds only the CGDCR as notified on 12.10.2017. Later CGDCR amendments, any Gujarat slum rehabilitation regulations and any SUDA/SMC-specific supplements are not in the sheet. If any of them adds a women-specific provision (e.g. crèche or women's toilet rules), the score could rise to 2. A reviewer should check this.
- The fee figure for 66-80 sq.m units differs: Schedule 19 says 40%, while Table 12.2.1 / Table 8.2 say 30%. This does not affect the score.
- I disagree with the Step 2 answer on one point: it left the score blank pending a ruling on the WC rule. I read the source and the scorer note as settling it: the rule is general, so the score is 1.</t>
  </si>
  <si>
    <t xml:space="preserve">UPD32c</t>
  </si>
  <si>
    <t xml:space="preserve">Does the city’s DCR provide development controls, standards or incentives that enable positive economic, environmental, public health, heritage, and inclusion outcomes? &gt;:&lt; Do the DCRs provide development controls, standards or incentives that promote environmental sustainability and climate resilience?</t>
  </si>
  <si>
    <t xml:space="preserve">ANSWER: Not determinable from the Citation Sheet. The Development Control Regulations themselves are not in it. That means the Zoning Regulations of the Revised Master Plan 2015 for the Bengaluru Metropolitan Area, the building bye-laws in force for the GBA City Corporations, and the BWSSB rainwater-harvesting regulations. So I cannot say whether they contain environmental or climate controls, standards or incentives. The parent Acts do require bye-laws to cover planting, rainwater harvesting and renewable energy, and they directly oblige every builder to provide rainwater harvesting. That points towards environmental standards, but it is not the DCR text the question asks about. | EVIDENCE: (1) Greater Bengaluru Governance Act, 2024 (ULG-01), building bye-laws section, page 87 of the PRS copy. The section number is cut off in the excerpt; it is the section just before s.225, apparently s.224(1). It says the City Corporation 'shall make building bye-laws ... in accordance with model building bye-laws prepared by the Greater Bengaluru Authority' and 'the bye-laws shall provide for' items including '(n) Minimum plantation required with in a building site; (o) Installation of rain water harvesting systems with in the building and provisions of renewable energy applications' and '(j) Paving of yards'. The duty is mandatory ('shall') but only enabling: it lists what bye-laws must cover and sets no standard of its own. (2) Same Act, s.225: 'Every khatadar who proposes to construct </t>
  </si>
  <si>
    <t xml:space="preserve">(n) Minimum plantation required with in a building site; (o) Installation of rain water harvesting systems with in the building and provisions of renewable energy applications;</t>
  </si>
  <si>
    <t xml:space="preserve">SCORE LEFT BLANK. The question asks what the city's development control regulations (DCRs) actually say. Those are the Revised Master Plan 2015 Zoning Regulations (or a later version) and the building bye-laws that apply to the GBA City Corporations. Neither is in the Citation Sheet, so a score of 2 or 1 cannot be checked against DCR text. A 0 also can't be given, because that needs affirmative absence: the DCR text itself would have to have been read.
What the sheet does contain:
(1) GBA Act 2024 (ULG-01), apparently s.224(1). The City Corporation 'shall make building bye-laws ... in accordance with model building bye-laws prepared by the Greater Bengaluru Authority'. The bye-laws 'shall provide for' (n) minimum plantation, (o) rainwater harvesting and renewable energy applications, and (j) paving of yards. This is a mandate on what the bye-laws must cover. It does not prove what the DCRs actually say.
(2) GBA Act s.225. Every khatadar building on a site 'shall provide rain water harvesting structure for storage, use or for ground water recharge' on the terms set by the BWSSB Act, 1964 and its regulations. This is a binding statutory development control. However, it sits in the municipal Act, not in a DCR, and the BWSSB rainwater harvesting regulations are not in the sheet.
What I checked:
- I searched the whole sheet for 'zoning regulations green building FAR incentive rainwater harvesting bye-laws' and for 'buffer lake valley no development zone regulation'. Both searches returned only Act text and BCAP material, and no DCR text.
- KTCP Act (ULG-02): its s.14B transferable development rights and s.18B Premium FAR are generic, with no environmental incentive.
- BDA Act (ULG-04), s.16(1)(d): requires 15% of a layout for parks. This is at Act level, not in a DCR.
- BCAP 2023 (ULG-16), p.90: says current development regulations 'do not adequately incorporate climate resilience parameters'. This is the plan's own 2023 view, not regulatory text.
FOR THE REVIEWER:
(a) Add the RMP 2015 Zoning Regulations and the building bye-laws in force (whether BBMP-era bye-laws or GBA model bye-laws). Check them for rainwater harvesting, solar or green building, permeability or green cover standards, and lake or valley buffers.
(b) Add the BWSSB rainwater harvesting regulations.
(c) If the team accepts statutory development controls in the GBA Act as DCR-equivalent, s.225 would point towards a 2, because it is an operative rainwater harvesting standard on every new building. That is a team decision.
Period: GBA Act as enacted, notified 24.04.2025. Era: GBA-era.</t>
  </si>
  <si>
    <t xml:space="preserve">The citation didn't settle every input. "Score (select 2 / 1 / 0)" left blank: the Citation Sheet doesn't decide it.</t>
  </si>
  <si>
    <t xml:space="preserve">ANSWER: Yes. Surat's development control regulations are Gujarat's state-wide Comprehensive General Development Control Regulations 2017 (CGDCR). They contain specific environmental standards and one clear incentive. Owners who get a GRIHA (or other government-recognised) green rating receive a 5% discount on the chargeable FSI amount they must pay. The CGDCR also makes rainwater harvesting and recharge compulsory, requires solar water heating and rooftop solar for set building types and sizes, sets minimum tree planting per plot, and provides for grey water reuse. On top of these enabling and incentive provisions, it restricts building in water bodies and eco-sensitive zones. This meets band 2. | EVIDENCE: (1) Applicability: ULG-05 (CGDCR, Notification GH/V/269 of 2017, 12 Oct 2017), Applicability clause and Table 1.1.1, p.33: the regulations 'shall apply to the land development and building construction in the entire Gujarat State' and list 'Surat Urban Development Authority(SUDA)' as Category D1. Form 7 (p.355) also lists development permissions granted 'under Section 253 and 254 of Gujarat Provincial Municipal Corporation Act, 1949', so the CGDCR also covers permissions issued by municipal corporations. (2) Green building incentive: ULG-16 Reg.17.6 'Energy Efficient Buildings' (same text in ULG-05 pp.234-235): with a GRIHA certificate, 'The Competent Authority shall offer some incentives in the rate of chargeable FSI ... as 5% discount in the total payable amount'. (3) Ra</t>
  </si>
  <si>
    <t xml:space="preserve">Comprehensive General Development Control Regulations (CGDCR) 2017, Part III: Performance Regulations (UD&amp;UHD, Government of Gujarat). AUDA copy [ULG-16]</t>
  </si>
  <si>
    <t xml:space="preserve">https://www.auda.org.in/uploads/Assets/rdp/test02142019031949715.pdf</t>
  </si>
  <si>
    <t xml:space="preserve">According to that ratin g certificate, The Competent Authority shall offer some incentives in the rate of chargeable FSI for the energy efficient buildings (Green Building) as 5% discount in the total payable amount.</t>
  </si>
  <si>
    <t xml:space="preserve">Score 2 (band: 'Specific controls, standards or incentives actively promote environmental sustainability or climate resilience').
Why this score: I checked the Step 2 answer against the source and it holds.
- ULG-16, Reg.17.6: the Competent Authority 'shall offer' a 5% discount on the chargeable-FSI amount for buildings with a GRIHA (or other government-recognised) green rating. This is a binding green-building incentive.
- The same Part III also sets mandatory environmental standards:
  - Rainwater recharge and storage (17.2.2: percolating wells, or a water retention pond for building units over 4000 sq.mt; 17.2.3: a rainwater storage tank is mandatory for building units over 1000 sq.mt).
  - Grey-water reuse for set building uses and sizes (17.3, Table 17.1).
  - Tree plantation: at least five trees per 200 sq.mt, preferably shade-giving, backed by a forfeitable deposit (17.4).
  - Solar water heating that buildings 'shall provide' (17.5).
  - Rooftop solar PV of at least 5% of connected load or 20W/sqft of available roof space (17.5.1).
- The methodology names these as band-2 examples (green-building incentives, green-cover and permeability standards).
- The SEIAA environmental clearance rule (17.7) is size-based, so I did not count it, as the methodology directs.
Applicability to Surat: ULG-05 (CGDCR, Notification GH/V/269 of 2017, 12 Oct 2017), Applicability clause and Table 1.1.1, p.33. The regulations 'shall apply to the land development and building construction in the entire Gujarat State', and Surat Urban Development Authority (SUDA) is listed as Category D1.
Points a person should check:
1. Version. ULG-16 is an AUDA-hosted Part III copy that appears amended (five trees per 200 sq.mt, where the 2017 notified copy ULG-05 says three). The current consolidated or gazette text and the list of amendments after 2017 are not in the Citation Sheet. Please confirm that Reg.17.6 (the 5% GRIHA discount) is still in force.
2. Copy host. Both copies are hosted by AUDA/RMC, not by a Surat body. The state UD&amp;UHD notification is the authority.
3. The Step 2 answer also cites restrictive provisions in ULG-15 (no development on water bodies; eco-sensitive zones; CRZ). These would support band 1 only, so they do not change the score.
Confidence is medium because the inputs rest on two instruments read together (ULG-05 for applicability, ULG-16 for the provisions) and the copies differ in version.</t>
  </si>
  <si>
    <t xml:space="preserve">UPD32d</t>
  </si>
  <si>
    <t xml:space="preserve">Does the city’s DCR provide development controls, standards or incentives that enable positive economic, environmental, public health, heritage, and inclusion outcomes? &gt;:&lt; Do the DCRs provide development controls or standards that promote positive public-health outcomes?</t>
  </si>
  <si>
    <t xml:space="preserve">Step 2 found no evidence: a source needs to be found and added. Step 2 found no evidence (Insufficient Evidence). Source needed: The DCR documents in force for the GBA / City Corporation area: (a) the Zoning Regulations of the approved Revised Master Plan for Bengaluru, with its gazette notification, especially provisions on industrial or hazardous use zoning, buffers and separation distances, and density or FAR limits; (b) the building bye-laws in force (BBMP Building Bye-laws, or GBA model building bye-laws / City Corporation bye-laws under GBG Act s.224 once notified), especially provisions on light and ventilation, sanitation, open space and incompatible uses; (c) any notification or GO confirming which bye-laws and zoning regulations apply in the GBA era.</t>
  </si>
  <si>
    <t xml:space="preserve">ANSWER: Yes, at least at Score 1. The state-wide Gujarat Comprehensive General Development Control Regulations 2017 (CGDCR) apply to Surat. They set several basic or minimum public-health standards: light and ventilation for rooms, bathrooms, WCs, basements and staircases; minimum sanitation and toilet counts; and solid-waste segregation and bins. Score 2 is not confirmed. I could not verify from the Citation Sheet whether the DCR has health-oriented controls that apply to Surat, such as zone-wise separation of the 'Industrial-4' (obnoxious and hazardous) use category or buffer distances from polluting uses. | EVIDENCE: (1) Applicability (ULG-14, Part I, Reg. 1.1.3 and Table 1.1): 'These regulations shall apply to all development in the entire Gujarat State'. Category D1 lists 'Surat Urban Development Authority (SUDA)'. The SUDA Development Plan 2035 (ULG-06) reserves land in the 'SMC, Old SUDA and New SUDA area', so the Surat Municipal Corporation area lies within it. (2) Ventilation and light (ULG-05, Performance Regulations, pp.186-187): every habitable room must open onto an open space of at least one-tenth of the room's floor area. 'The aggregate of all openings including doors, windows and ventilators in a room shall be minimum one-seventh of the floor area of the room.' Each WC or bathroom needs an opening of at least 0.25 sq.mt onto an open-to-sky space of at least 0.9m x 0.9m. There are also ventilation rules for basements, atria, staircases and industrial buildings,</t>
  </si>
  <si>
    <t xml:space="preserve">This zone is primarily Intended as a Buffer of Industrial and Highly Dense Residential use.</t>
  </si>
  <si>
    <t xml:space="preserve">I propose Score 2. This is higher than Step 2, which left the score blank because it had not read the use-zone table. I read that table in ULG-05, and it contains health-related spatial controls that go beyond routine building minimums, in more than one place.
(1) Applicability to Surat: ULG-14, Reg. 1.1.3 and Table 1.1, says the regulations 'shall apply to all development in the entire Gujarat State'. It puts Surat Urban Development Authority (SUDA) in Category D1, and Table 7.3.1 governs D1 to D7. ULG-05 Table 7.7.4 sets FSI for SUDA's R1/C2 zones.
(2) Hazardous uses kept out of homes: Table 7.3.1 limits Residential 1 (R1) and Residential 4 (R4) to 'All uses except Industrial- 1,2,3 , 4 and Agriculture...'. Industrial-4 is defined on p.93 as 'Storage of Hazardous Materials, Obnoxious and Hazardous Industries, Chemical Industries, Obnoxious and Hazardous Uses, Dying House'. These uses go only in IZ2 and IZ5/IZ6. In IZ5/IZ6, dwellings are capped at 20% of utilised FSI, in units of no more than 50 sq.mt.
(3) Buffer zone: Special Zone-2 (SZ2) is 'primarily Intended as a Buffer of Industrial and Highly Dense Residential use'. Its permitted uses are restricted, for example only Industrial-1.
(4) Contaminated land: on Closed Textile Mill Zone land, 'When permissible uses - Dwelling-1,2&amp;3 are allowed ... certification shall be required from Gujarat Pollution Control Board' (p.172). Also, Residential Affordable Housing is not permitted in any type of industrial zone (p.157).
(5) Basic standards that support Score 1 on their own, and which Step 2 checked correctly: room openings of at least one-seventh of floor area and ventilation for WCs and bathrooms (pp.186-187); minimum sanitary accommodation (ULG-16, Reg. 13.9 and Table 13.9.1); dry/wet waste segregation (ULG-16, Reg. 17.2.3.1). Schedule 2 makes sanitary facilities and light and ventilation mandatory design standards.
The Vadodara (VUDA) air-pollution-boundary controls in ULG-15 do not apply to Surat and were not credited.
For a reviewer to check:
(a) Whether the SUDA Development Plan 2035 actually designates SZ2 or CZ zones in Surat. The quoted SZ2 sentence is a general CGDCR zone definition. The R1 exclusion of Industrial-4 under Table 7.3.1 clearly applies to D1, including SUDA, and is enough for Score 2 alongside one other provision.
(b) Version: this is the CGDCR as notified on 12 October 2017. The Citation Sheet has no later amendments or consolidated text.
(c) The R1 row text has OCR quirks ('Agriculture- !,2 , 3'), so I quoted the SZ2 sentence for exact matching.</t>
  </si>
  <si>
    <t xml:space="preserve">UPD32e</t>
  </si>
  <si>
    <t xml:space="preserve">Does the city’s DCR provide development controls, standards or incentives that enable positive economic, environmental, public health, heritage, and inclusion outcomes? &gt;:&lt; Do the DCRs provide development controls, standards or incentives that enable the conservation and adaptive reuse of heritage buildings, precincts or historic areas?</t>
  </si>
  <si>
    <t xml:space="preserve">ANSWER: I can't determine this from the Citation Sheet. The question asks about the DCRs, but no Development Control Regulation is in the sheet. That means no Zoning Regulations of the Revised Master Plan for Bengaluru and no building bye-laws or heritage regulations issued under the Greater Bengaluru Governance Act (GBA Act). What the sheet does have is the parent laws. The GBA Act, 2024 sets up a heritage framework that both restricts and enables: Schedule II permits adaptive re-use for Grade II and III buildings, and s.298 lets the city corporation give incentives. Whether these appear in the DCRs as working controls or incentives, such as TDR/FAR, parking or setback relaxations, cannot be checked. | EVIDENCE: (1) GBA Act 2024 (ULG-01). s.296(1): the Corporation 'shall be responsible to' conserve heritage buildings and areas and provide guidelines on demolition, alteration and re-building. s.296(2): the Corporation, in consultation with the GBA, 'shall issue regulations or bye-laws' to implement the chapter. s.297: the Commissioner prepares the heritage list on the advice of the Heritage Conservation Committee (HCC). s.298: 'The Corporation may provide incentives to the owners or occupiers of heritage buildings ... in such manner as may be prescribed', which may include financial support and property-tax exemption. This is discretionary and depends on Rules not yet made. s.299(2): the Commissioner 'shall frame appropriate regulations' for heritage, on HCC advice. s.300(2):</t>
  </si>
  <si>
    <t xml:space="preserve">The Corporation may provide incentives to the owners or occupiers of heritage buildings included in the Heritage Conservation List, in such manner as may be prescribed, which may include provisional financial support, exemption from property tax, and such other incentive as may be deemed necessary to assist in the preservation of heritage buildings in the existing state, and to preserve its heritage state with due repairs:</t>
  </si>
  <si>
    <t xml:space="preserve">SCORE LEFT BLANK. The question asks about the city's DCR, and the Citation Sheet has no DCR for Bengaluru. My searches for 'heritage transferable development rights zoning regulations' and 'heritage building bye-laws conservation incentive FAR' found only the parent Acts. Missing from the sheet: the RMP 2015 Zoning Regulations or any newer master plan, the building bye-laws, any heritage regulations or bye-laws under GBA Act ss.296(2) and 299(2), and any Rules prescribing incentives under s.298. Because the instrument the question names cannot be read, the rubric cannot be applied to it. A 0 is not allowed: absence of heritage provisions in the DCRs is not shown, and the Acts point to heritage regulations existing or being required.
I checked the Step 2 answer against ULG-01 and it is accurate. What the Act layer contains (ULG-01, GBA Act 2024 as enacted, GBA-era):
(a) Restrictive controls. s.300(2) allows changes to façade, interior or exterior only 'to the extent permitted in Schedule II'. Under s.301(b) and (d), the Heritage Conservation Committee recommends whether development permission is granted and approves height and façade controls. Schedule II Grade I allows no interventions except the minimum needed for strengthening.
(b) Enabling provisions. Schedule II Grade II(A): 'Internal changes and adaptive re-use may be allowed, subject to strict scrutiny'. Grade II(B) and Grade III allow extensions or additional buildings on the same plot. Precinct reconstruction 'should not follow the prevailing bye laws'. Under s.298 the Corporation 'may' give incentives, but only 'in such manner as may be prescribed'. This is discretionary, and the Rules are not in the sheet.
KTCP Act s.12(3) (ULG-02) requires the Master Plan to 'include the regulations made therein for conservation' of heritage buildings and precincts. That confirms heritage DCR provisions should exist, but they are not in the sheet. The development rights under KTCP s.14B are for land surrendered for public purposes and are not linked to heritage. The BBMP Act 2020 (ULG-19) has parallel provisions but is BBMP-era.
FOR THE REVIEWER: If the GBA Act's Schedule II, which refers to the bye-laws and to Urban Design Guidelines 'as extension of the bye laws', is accepted as a development-control standard, the adaptive re-use permissions (Grade II(A), Grade III), the same-plot extensions and the precinct bye-law relaxation are at least two enabling provisions, which would support Score 2. Otherwise, add the RMP Zoning Regulations' heritage chapter or the GBA heritage bye-laws to the sheet and score from them. CONFIRM needed.</t>
  </si>
  <si>
    <t xml:space="preserve">ANSWER: The state-wide DCR for Surat, Gujarat's CGDCR 2017, does contain heritage incentives. These are tradable development rights (TDR) for heritage buildings, a parking waiver when a heritage building is reused for hotels or homes, and permitted uses in heritage areas. But the Rajkot copy (ULG-15) ties the main incentive regime to Ahmedabad. It is headed '7.6 Heritage Conservation Plan – Ahmedabad', its TDR clause is limited to the 'Heritage Area of Ahmedabad', and its Chapter 8 refers to 'the core walled city of Ahmedabad'. So the sheet does not show that the TDR or permitted-use incentives apply to Surat. Surat's planning authority, SUDA (Surat Urban Development Authority), is in category D1, and SUDA prepared Surat's Development Plan 2035. Two state-wide provisions do appear to reach Surat, and both are restrictions: buildings listed by a Heritage Conservation Committee lose the exemption from development permission for minor works, and additions or alterations in the core walled city and gamtal (old village settlement) areas must follow the Heritage Conservation Plan. The parking waiver is written in the general parking regulation (Reg. 6.15 item 21(a)). However, it applies to buildings 'identified in the Heritage Conservation Plan', and Reg. 7.6 frames that plan as Ahmedabad's. So whether the waiver applies to Surat is unclear. The answer could be score 2 if the waiver applies to Surat, or score 1 if only the restrictions do. | EVIDENCE: (1) Which rules apply to Surat</t>
  </si>
  <si>
    <t xml:space="preserve">Comprehensive General Development Control Regulations (CGDCR) 2017, Part II: Planning Regulations (UD&amp;UHD, Government of Gujarat). Rajkot Municipal Corporation copy [ULG-15]</t>
  </si>
  <si>
    <t xml:space="preserve">https://www.rmc.gov.in/rmcwebsite/docs/All_TPS/TP_35/CGDCR_2017_PART_2_PLANNING_REGULATIONS.pdf</t>
  </si>
  <si>
    <t xml:space="preserve">Additions and/or alterations in core wall and gamtal: a. Shall have to be carried out based on the g uidelines provided in the Heritage Conservation Plan without compromising the original character of the buildings.</t>
  </si>
  <si>
    <t xml:space="preserve">Score 1, provisional. A reviewer should check the scope question described below.
Which rules apply. Surat's DCR is the state-wide CGDCR 2017 (Notification GH/V/269 dated 12 Oct 2017), which places SUDA in category D1. It is read here in three copies: ULG-05 (AUDA copy), ULG-14 and ULG-15 (Rajkot copies, which appear to be a later amended version but are undated).
Restrictions that reach Surat. Two heritage restrictions apply state-wide:
(1) ULG-14, Reg. 3.2: minor works are exempt from development permission 'except those buildings, buildings in precincts, precincts and natural features listed by the Heritage Conservation Committee'.
(2) ULG-15, Reg. 6.9(3)(a): additions and alterations 'in core wall and gamtal' must follow the Heritage Conservation Plan guidelines 'without compromising the original character'. Chapter 7 applies to 'other gamtal', which is not limited to Ahmedabad.
These meet the score-1 test of at least two heritage restriction or approval provisions.
Why not 2. The enabling and incentive provisions are tied to Ahmedabad in the ULG-15 copy:
- Reg. 7.6 is headed 'Heritage Conservation Plan – Ahmedabad'.
- Its TDR clause is 'Tradable Development Right (TDR)for Heritage Area of Ahmedabad' (50% or 30% of utilised FSI).
- The permitted uses in heritage areas (Dwellings, Mercantile, Hospitality) sit in the same Ahmedabad section.
- Reg. 6.12 (steel-structure repair, existing uses and FSI regardless of road width) is headed 'Core Walled City of Ahmedabad'.
In the AUDA copy (ULG-05), the CW chapter (pp.140-143) has no city named in its text. However, it cites AUDA local area plans, and its steel-structure provision extends to 'Gamtal'. The two copies therefore conflict.
The one enabling provision written in the general chapter is the Reg. 6.15 item 21(a) parking waiver for 'sympathetic adaptive re-use'. It applies only to buildings 'identified in the Heritage Conservation Plan', its heading is 'heritage areas &amp; other areas in core walled city', and Reg. 7.6 frames that plan as Ahmedabad's. Even if it reached Surat, it would be only one enabling provision, and the band needs two or more.
Surat-specific evidence. The Surat DP 2035 (ULG-06, Ch.14, pp.146-149) only describes Surat's heritage. At 14.4.5 it notes the 'Absence / Enactment of rules and regulations' around heritage sites. It contains no heritage DCR.
Other sources checked. ULG-09 (the NITI Aayog plan) is a policy recommendation, not a DCR. ULG-03 has no heritage DCR content. Reg. 7.7 (the Udawada Heritage Core Area) applies only to Udawada.
The Step 2 answer was checked against these sources and is consistent with them. Step 2 left the score blank; I resolve it to 1 because the Surat-applicable layer contains only restrictions.
For a person to check:
(a) which CGDCR copy is the current consolidated text;
(b) whether Surat or SUDA has notified a Heritage Conservation Plan or a CW zone, which could bring the Reg. 6.15(21)(a) waiver and other incentives into play and support a 2.</t>
  </si>
  <si>
    <t xml:space="preserve">UPD33a</t>
  </si>
  <si>
    <t xml:space="preserve">Does the city have a mandate to provide incentives for green buildings, and are these incentives operationalised? &gt;:&lt; Does the law mandate incentives for green buildings ?</t>
  </si>
  <si>
    <t xml:space="preserve">ANSWER: Not determined for the current law. The only provision found that enables green-building-type incentives is in the BBMP Act, 2020. It allows a property-tax concession of up to 50% where an 'ecologically beneficial scheme' is in place, such as rain water harvesting, solar or other non-conventional energy, or reuse of waste water. That Act may now be superseded by the Greater Bengaluru Governance Act, 2024 (GBA Act). In the parts of the GBA Act I read, I did not find an equivalent green-building incentive. However, I could not search all of it, so this is not a confirmed absence. The KTCP Act text in the sheet has no green-building incentive provision either. | EVIDENCE: (1) BBMP Act, 2020 (ULG-19, PRS republication), property-tax section, sub-section (19), p.53. This is an enabling ('may') provision for a property-tax concession of up to 50% on a building or vacant land where a 'socially or ecologically beneficial scheme' is being implemented. The Explanation says this 'includes rain water harvesting system, vermi composting, use of solar energy and other non-conventional sources of energy, recycling and reuse of waste water'. (2) GBA Act, 2024 (ULG-01). s.148: a rebate of up to 5% for paying property tax early, which is not green-linked. s.153: power to suspend, reduce or abolish any tax, which is general. s.154: general property-tax exemptions (worship, charity, monuments, government property, ex-servicemen); none are green. s.224(1)(o): building bye-laws 'shall prov</t>
  </si>
  <si>
    <t xml:space="preserve">The provisions of the Bruhat Bengaluru Mahanagara Palike Act, 2020 (Karnataka Act No. 53 of 2020) and Rules made thereunder are hereby repealed.</t>
  </si>
  <si>
    <t xml:space="preserve">I left the Answer blank. A person needs to decide this one.
(1) The only enabling provision is in an Act that has been repealed. BBMP Act, 2020 s.144(19) (ULG-19, p.53) says a property-tax concession of up to 50% 'may be given' where a 'socially or ecologically beneficial scheme' is being implemented. The Explanation lists rain water harvesting, solar and other non-conventional energy, waste-water reuse and 'environment friendly and ecologically beneficial building construction'. This would count as an enabling green-building incentive and could support YES (5). However, GBA Act, 2024 s.361(1) (ULG-01) repeals the BBMP Act and its Rules, so that provision is no longer current law. The savings proviso to s.361 keeps 'anything done' under the old Act, such as a tax imposed or a scheme framed, until it is superseded. That keeps actions, not the enabling power. The sheet has no evidence that any ecologically beneficial scheme or concession was ever identified or notified under s.144(19).
(2) The GBA Act text I read has no equivalent provision:
- s.147(1)–(6), levy of property tax: covers the capital value system, unauthorised buildings, a 50% cut for self-occupied homes, and slabs. Nothing green.
- s.148: the early-payment rebate of up to 5% is not green-linked.
- s.146 (taxes the corporation may levy), s.168 (development charges) and s.169 (surcharge): nothing green.
- Step 2 also reports these, which I did not re-read: s.153 (a general power to reduce tax), s.154 (exemptions, none green) and s.298 (incentives for heritage buildings only).
- s.224(1)(o) says building bye-laws 'shall provide for' installing rain water harvesting and renewable energy. That is a requirement, not an incentive. s.225 is a duty to provide rain water harvesting.
(3) Other Acts:
- KTCP Act (ULG-02): Step 2 found that s.18-B premium FAR and s.14B development rights are not tied to green performance.
- KTCP Amendment Bill 2025 (ULG-03) and GBA Amendment Bill 2025 (ULG-05): I read both. Neither has a green incentive.
(4) Why I did not answer NO: there is no full affirmative absence.
- My tool limit was reached before I could search the whole GBA Act for 'incentive' or 'energy efficiency'.
- The sheet does not include the Act's commencement notification, so whether the GBA Act is in force, and therefore whether s.361 has taken effect, cannot be confirmed from the sheet.
- The Rules and regulations layer is also missing: GBA model building bye-laws, RMP 2015 zoning regulations and property-tax rules.
(5) What a person should do:
- Confirm the GBA Act's commencement date. If it is not yet in force, the BBMP s.144(19) enabling 'may' provision would support YES.
- If it is in force, search the full GBA Act and its rules or bye-laws for a green or ecological concession. If none is found, answer NO.
- Decide whether a property-tax concession for ecologically beneficial schemes counts as a green-building incentive. I think it does, given the Explanation's wording about 'ecologically beneficial building construction'.</t>
  </si>
  <si>
    <t xml:space="preserve">ANSWER: The Citation Sheet does not settle this at the level of an Act. One layer below the Act, there is a binding mandatory incentive. Gujarat's Comprehensive General Development Control Regulations 2017 (CGDCR), reg. 17.6, say the Competent Authority 'shall offer' green buildings (energy-efficient buildings with a GRIHA or other government-recognised rating) a 5% discount on the amount payable for chargeable FSI. However, the question's method asks for a mandating or enabling provision in the Act itself (the Town Planning (T&amp;CP) Act or the Municipal Act). No such provision could be found or ruled out: the T&amp;CP Act's main text cannot be read in the copy on the sheet, and nothing on green buildings was found in the Municipal Act. | EVIDENCE: (1) Gujarat Town Planning and Urban Development Act, 1976 (GTPUDA, ULG-01, the PRS copy): pages 2-86, which hold the principal Act, have no readable text. Only the amending Acts (2017, 2019) can be read, and they concern Local Area Plans and the planning committees, not green buildings. So the Act's power to make regulations or set development-plan contents could not be checked for an incentive provision. (2) GTPUDA Rules, 1979 (ULG-04): no green-building or incentive provision found in the parts read. (3) Gujarat Provincial Municipal Corporations Act, 1949, as modified to 30 Nov 2017 (ULG-03): s.141E has rebates 'There shall be given a rebate of fifteen per cent...' only for buildings without a municipal water supply and 20% for non-gro</t>
  </si>
  <si>
    <t xml:space="preserve">I left the Answer blank because the Citation Sheet can't settle this question at the level of an Act. The method asks for a provision in the Town Planning (T&amp;CP) Act or the Municipal Act that mandates or enables green-building incentives.
What I found:
(1) A binding incentive exists one layer below the Act. Regulation 17.6 of the CGDCR 2017 (ULG-16; state-wide notification GH/V/269 of 2017, dated 12 Oct 2017) says the Competent Authority 'shall offer' a 5% discount on the chargeable FSI amount for GRIHA-rated or government-recognised green buildings. The CGDCR applies to SUDA, which is listed under category D1 (ULG-14, Table 1.1).
(2) Per its preamble (ULG-14), the CGDCR was issued under GTPUDA 1976 s.116A(1) read with s.122(1). That looks like a general power to make regulations. Nothing on the sheet shows it specifically mandates or enables green-building incentives.
(3) The principal text of GTPUDA 1976 (ULG-01, the PRS copy) is blank on pages 2-86. So I could not check s.116A, s.122 or s.12 (contents of a development plan) for an enabling provision. The amending Acts that can be read (2017, 2019) cover Local Area Plans and the planning committees, not green buildings.
(4) The GPMC Act 1949, as modified to 30 Nov 2017 (ULG-03): the s.141E rebates apply only to buildings without a municipal water supply (15%) and to non-ground floors of non-residential buildings (20%). I found no green-building rebate in the parts I read, but not every section was read.
(5) The GTPUDA Rules 1979 (ULG-04): no green-building or incentive provision in the parts I read.
Why not YES: under the method, the Act itself must hold the mandate or enabling provision. A mandate that exists only in a regulation doesn't meet that rule unless an Act-level enabling power is shown, and none could be read.
Why not NO: a NO needs proof of absence, and that isn't possible while the GTPUDA principal text is unreadable.
I did not take the Step 2 answer on trust. I re-checked the CGDCR 17.6 quote against ULG-16, the s.141E text in ULG-03, and the blank pages of ULG-01.
For the reviewer to decide:
(a) Get a readable official GTPUDA 1976 text (UD&amp;UHD or the Legislative Department) and check s.12, s.116A and s.122 for an enabling clause.
(b) Decide whether a binding regulation made under the Act's power to make regulations (CGDCR 17.6) counts as the Act 'enabling' incentives. If yes, the Answer would be YES.
(c) Check for later CGDCR amendments and any Gujarat green-building GO.</t>
  </si>
  <si>
    <t xml:space="preserve">UPD33b</t>
  </si>
  <si>
    <t xml:space="preserve">Does the city have a mandate to provide incentives for green buildings, and are these incentives operationalised? &gt;:&lt; Does your city give incentives for green buildings ?</t>
  </si>
  <si>
    <t xml:space="preserve">Step 2 found no evidence: a source needs to be found and added. Step 2 found no evidence (Insufficient Evidence). Source needed: Needed: (a) the current building bye-laws / zoning regulations of the Revised Master Plan (DCR) for Bengaluru, checked for extra FAR/FSI or fee concessions for IGBC/GRIHA/LEED-rated or ECBC/ENS-compliant buildings; (b) GBA or City Corporation property-tax notifications or council resolutions granting rebates for green or eco-friendly buildings (for example, under the GBA Act provision that matches the BBMP Act 2020 property-tax clause on 'environment friendly and ecologically beneficial building construction'); (c) any Karnataka UDD/Energy Department/KREDL green-building incentive guidelines or GO; (d) IGBC/GRIHA lists of state or city incentives for Karnataka/Bengaluru, as secondary leads; (e) evidence, such as rebate claims or sanctioned plans, that any such incentive is actually operating.</t>
  </si>
  <si>
    <t xml:space="preserve">ANSWER: Yes. A green-building incentive applies in Surat through the state-wide Gujarat Comprehensive General Development Control Regulations 2017 (CGDCR). If a building has a rating certificate from GRIHA or another government-recognised institute, the Competent Authority 'shall' give a 5% discount on the total amount payable for chargeable FSI. These regulations list the Surat Urban Development Authority (SUDA) under Category D1, and SUDA's area includes the Surat Municipal Corporation (SMC) area. The Citation Sheet has no record of any project in Surat actually receiving the discount. | EVIDENCE: (1) ULG-05, CGDCR 2017 (UD&amp;UHD Notification GH/V/269 of 2017, dated 12-10-2017), 'Energy Efficient Buildings' clause, pp.234-235: 'Any owner or developer, construct an Energy Efficient Buildings and produce a certificate from GRIHA ... The Competent Authority shall offer some incentives in the rate of chargeable FSI for the energy efficient buildings (Green Building) as 5% discount in the total payable amount.' (2) ULG-05, Applicability and Table 1.1.1, pp.33-34: 'These regulations shall apply to the land development and building construction in the entire Gujarat State'. Category D1 includes 'Surat Urban Development Authority(SUDA)'. (3) ULG-06, SUDA Development Plan 2035 report (22-02-2017), p.1-2: SUDA's original boundary 'comprising of SMC and 95 villages', later extended. This shows the SMC area falls under SUDA, so the D1 regulations apply to the city. (4) ULG-06, section 13</t>
  </si>
  <si>
    <t xml:space="preserve">I scored YES. The source supports the Step 2 answer. The CGDCR 2017 (UD&amp;UHD Notification GH/V/269 of 2017, 12-10-2017; ULG-05, pp.234-235) says the Competent Authority 'shall' give a 5% discount on the total amount payable for chargeable FSI. This applies to any building that produces a GRIHA certificate, or one from another government-recognised institute. The owner must register with GRIHA before work starts. Because the verb is 'shall', the discount is mandatory once the certificate is produced. These regulations apply to the whole state. Table 1.1.1 lists SUDA under Category D1, and SUDA's area includes the SMC area (ULG-06, DP 2035 report). So the incentive is in force in Surat. The same clause also appears, word for word, as 17.6 'Energy Efficient Buildings' in the CGDCR Part III: Performance Regulations (ULG-16, AUDA copy). That copy appears to be a later restructured version, since it mentions EV stations in its NOC clause. This suggests the incentive survived later revisions, but ULG-16 does not give a date, so a person should confirm it is current in 2026. The question's methodology names the DCR as an accepted source for 'evidence of any incentives provided', and it lists 'building-permission fees or development charges, or other fiscal or development-control incentives' as qualifying. A discount on chargeable FSI fits that list, so YES (5) is the matching band. Caveat for the reviewer: this is an Implementation question, and the Citation Sheet has no SMC or SUDA record showing the discount was actually granted to any Surat project. It also has no IGBC, GRIHA or LEED page listing a Gujarat or Surat incentive. If the reviewer needs proof of uptake beyond a binding DCR provision in force, this input should be revisited. Other sources I checked gave no extra or contrary evidence. The ULG-06 suggestion of extra FSI for green industrial units (s.13.5.14) and the ULG-09 NITI Aayog recommendation are only recommendations, so I gave them no credit. ULG-19 (SMC Solar City Master Plan) covers SMC's own energy-efficiency and renewable-energy measures and asks the Ministry for subsidies, but it contains no green-building incentive for private builders. A search of ULG-03 (GPMC Act) found property-tax rebate provisions, but none linked to green buildings.</t>
  </si>
  <si>
    <t xml:space="preserve">The AI's citation or quote failed the check. The AI's quote couldn't be found word for word in ULG-05, so its answer was discarded. AI comments: I scored YES. The source supports the Step 2 answer. The CGDCR 2017 (UD&amp;UHD Notification GH/V/269 of 2017, 12-10-2017; ULG-05, pp.234-235) says the Competent Authority 'shall' give a 5% discount on the total amount payable for chargeable FSI. This applies to any building that produces a GRIHA certificate, or one from another government-recognised institute. The owner must register with GRIHA before work starts. Because the verb is 'shall', the discount is mandatory once the certificate is produced. These regulations apply to the whole state. Table 1.1.1 lists SUDA under Category D1, and SUDA's area includes the SMC area (ULG-06, DP 2035 report). So the incentive is in force in Surat. The same clause also appears, word for word, as 17.6 'Energy Efficient Buildings' in the CGDCR Part III: Performance Regulations (ULG-16, AUDA copy). That copy appears to be a later restructured version, since it mentions EV stations in its NOC clause. This suggests the incentive survived later revisions, but ULG-16 does not give a date, so a person should confirm it is current in 2026. The question's methodology names the DCR as an accepted source for 'evidence of any incentives provided', and it lists 'building-permission fees or development charges, or other fiscal or development-control incentives' as qualifying. A discount on chargeable FSI fits that list, so YES (5) is the matching band. Caveat for the reviewer: this is an Implementation question, and the Citation Sheet has no SMC or SUDA record showing the discount was actually granted to any Surat project. It also has no IGBC, GRIHA or LEED page listing a Gujarat or Surat incentive. If the reviewer needs proof of uptake beyond a binding DCR provision in force, this input should be revisited. Other sources I checked gave no extra or contrary evidence. The ULG-06 suggestion of extra FSI for green industrial units (s.13.5.14) and the ULG-09 NITI Aayog recommendation are only recommendations, so I gave them no credit. ULG-19 (SMC Solar City Master Plan) covers SMC's own energy-efficiency and renewable-energy measures and asks the Ministry for subsidies, but it contains no green-building incentive for private builders. A search of ULG-03 (GPMC Act) found property-tax rebate provisions, but none linked to green buildings.</t>
  </si>
  <si>
    <t xml:space="preserve">UPD34</t>
  </si>
  <si>
    <t xml:space="preserve">Does the law enable a guaranteed land titling system ?</t>
  </si>
  <si>
    <t xml:space="preserve">Step 2 found no evidence: a source needs to be found and added. Step 2 found no evidence (Insufficient Evidence). Source needed: Any Karnataka land titling Act providing for certification or guarantee of title, with its notified Rules (from the state legislation portal or eGazette). Or a Karnataka Revenue Department GO, circular or notification setting up a title certification framework. Also the state land-revenue law and Rules on records of rights, to confirm whether they provide for guaranteed title or only presumptive records and mutation.</t>
  </si>
  <si>
    <t xml:space="preserve">Step 2 found no evidence: a source needs to be found and added. Step 2 found no evidence (Insufficient Evidence). Source needed: Any Gujarat state law or instrument on land titling: a Gujarat land titling Act and its rules if one exists; a Revenue Department GO, circular or notification setting up certification or guarantee of urban land titles; the Bombay Land Revenue Code 1879 as applied in Gujarat and its record-of-rights rules (to confirm whether they provide only presumptive records); all from the official Gujarat Revenue Department, Legislative and Parliamentary Affairs Department, or the Gujarat Government Gazette.</t>
  </si>
  <si>
    <t xml:space="preserve">UPD35</t>
  </si>
  <si>
    <t xml:space="preserve">Does the law enable a guaranteed land pooling system ?</t>
  </si>
  <si>
    <t xml:space="preserve">ANSWER: Part A is met. Karnataka law sets out a Town Planning Scheme (TPS) / land reconstitution mechanism in the Karnataka Town and Country Planning Act, 1961 (KTCP Act), Chapters V-VII, ss.26-68. The Act gives a full procedure: declaration of intention, draft scheme, reconstituted plots, a Town Planning Officer, a final scheme, transfer of rights from original plots to reconstituted plots, a contribution of up to one-third of the increment, and compensation. Under GBG Act 2024, planning functions (2)(a), the Greater Bengaluru Authority (GBA) is the 'Planning Authority' under the KTCP Act for the Greater Bengaluru Area. That means the TPS powers apply to this city's planning authority. Mechanism type: TPS/land reconstitution. A separate land pooling mechanism was not found in the Citation Sheet; this is not proof that none exists. Part B (operationalisation) cannot be determined: the Rules under the KTCP Act are not in the Citation Sheet. | EVIDENCE: KTCP Act s.26(1): a Planning Authority 'may make one or more town planning schemes' to implement the Master Plan. s.26(2)(a): 'the laying out or re-laying out of land'. s.29: declaration of intention. s.30: draft scheme made 'in consultation with the Director' and published 'in the prescribed manner'. s.32: contents, including 'the extent to which it is proposed to alter the boundaries of original plots'. s.33: reconstituted plot. ss.37-38: State appoints a Town Planning Officer, who acts 'in accordance with the provisions of th</t>
  </si>
  <si>
    <t xml:space="preserve">In the draft scheme the size and shape of every reconstituted plot shall be determined, so far as may be, to render it suitable for building purposes and where the plot is already built upon, to ensure that the building as far as possible complies with the provisions of the scheme as regards open spaces.</t>
  </si>
  <si>
    <t xml:space="preserve">MECHANISM TYPE: Town Planning Scheme (TPS) / land reconstitution only. I found no separate land pooling mechanism in the Citation Sheet. My searches for 'land pooling' returned only unrelated definitions in the GBG Act. That is 'not found', not proof that Karnataka has no land pooling instrument.
PART A = YES. The Karnataka Town and Country Planning Act, 1961 (KTCP Act; PRS compilation, amended up to Act 38 of 2015) formally provides a TPS / land reconstitution mechanism in ss.26-68:
- a Planning Authority 'may by resolution declare its intention to make a town planning scheme' (s.29(1));
- a draft scheme is made in consultation with the Director (s.30);
- the draft scheme states the extent to which original plot boundaries will be altered (s.32(b));
- the draft scheme sets out reconstituted plots (s.33).
The Step 2 answer also cites s.57 (contribution) and s.59 (transfer of rights). The Act's wording is enabling ('may'), but Part A only asks whether a mechanism is formally provided, and it is. I checked the Step 2 claim against the source text of ss.28-33 and it holds. Step 2 also reports that GBG Act 2024 (ULG-01) makes the Greater Bengaluru Authority the Planning Authority under the KTCP Act. I did not re-read that passage myself, but Part A does not depend on it, because the question is about state legislation.
PART B = blank. The TPS procedure depends on 'prescribed' rules: publication 'in the prescribed manner' (ss.29(2), 30), notice to owners 'as may be prescribed' (s.27), 'any other prescribed particulars' (s.32(g)), and the rule-making power in s.74. The rules made under s.74 (e.g., KTCP Rules or TPS rules) are not in the Citation Sheet. None of ULG-01 to ULG-33 contains them. My search 'Town Planning Scheme Rules notified' returned nothing relevant. ULG-20 (BMRDA page) only describes TPS as a function; it is not a rules notification. Because the rules layer is missing, I cannot show affirmative absence, so Part B cannot be scored 0 or 5.
ACTION FOR REVIEWER:
1. Add the rules made under KTCP Act s.74 that govern TPS procedure, and confirm they are notified and in force.
2. Check for KTCP amendments after 2015, and whether any land pooling Act or GO exists.
3. Note that ULG-03 (the KTCP Amendment Bill 2025) is a Bill, not shown to be enacted, and was not relied on.
This gives a provisional score of 5 for Part A; Part B is pending.</t>
  </si>
  <si>
    <t xml:space="preserve">The citation didn't settle every input. "Part B: Rules notified &amp; in force" left blank: the Citation Sheet doesn't decide it.</t>
  </si>
  <si>
    <t xml:space="preserve">ANSWER: Yes, for Town Planning Schemes (TPS), Gujarat's version of land reconstitution. The Gujarat Town Planning and Urban Development Act, 1976 (GTPUD Act) provides for TPS, and the Gujarat Town Planning and Urban Development Rules, 1979 (GTPUD Rules) set out how a scheme is made, step by step. Mechanism: TPS/land reconstitution, YES. Separate land pooling law or GO: not found in the Citation Sheet. Part A = 5, Part B = 5. Bodies: the 'appropriate authority' (Surat Urban Development Authority (SUDA) or Surat Municipal Corporation (SMC)) declares and drafts the scheme. A state-appointed Town Planning Officer prepares the preliminary and final schemes. The State Government sanctions them. | EVIDENCE: (1) GTPUD Act (Act 27 of 1976, PRS copy with amendments appended): the scanned principal-Act pages (pp.2-86) have no readable text. The TPS chapter is still confirmed by the appended Gujarat amendment published in the Gazette on 13-04-2017. That amendment adds a proviso to s.49(1)(b) about 'the Draft Town Planning Scheme sanctioned under sub-section (2) of section 48', amends s.52(1), and adds 'or Local Area Plan' after 'town planning schemes' in ss.7 and 23. (2) GTPUD Rules, 1979, Chapter V. r.16: publishing the declaration of intention under s.41. r.17: the appropriate authority 'shall call a meeting or meetings of the owners' to frame the draft scheme under s.42. r.18: publishing the draft scheme. r.23: inquiry into disputed ownership under s.46. r.24: appointing the Town Plan</t>
  </si>
  <si>
    <t xml:space="preserve">For the purpose of making the draft scheme under section 42  the appropriate authority shall call a meeting or meetings of the owners of the lands included in a town planning scheme by a public notice as well as by individual notice to ever y owner whose address is known to the appropriate authority and explain in such meeting the tentative proposals of the draft scheme for eliciting public opinion and suggestions on the said proposals.</t>
  </si>
  <si>
    <t xml:space="preserve">The mechanism is Town Planning Schemes (TPS), i.e. land reconstitution. A separate land pooling law or GO was not found in the Citation Sheet. Part B is answered for the TPS mechanism only.
Part A = YES. The Gujarat Town Planning and Urban Development Act, 1976 provides for TPS. In the PRS copy (ULG-01) the main Act's pages are scanned and can't be read. But the Gujarat amendment of 13-04-2017, printed at the end of that copy, adds a proviso to s.49(1)(b) about 'the Draft Town Planning Scheme sanctioned under sub-section (2) of section 48', amends s.52(1), and adds 'or Local Area Plan' after 'town planning schemes' in ss.7 and 23. That shows the Act's TPS chapter exists and is in force.
Part B = YES. The 1979 Rules (ULG-04, copy hosted by SUDA) are made under the 1976 Act. Their Chapter V puts the TPS procedure into operation step by step:
- r.16: publishing the s.41 declaration of intention.
- r.17: owners' meetings for the s.42 draft scheme.
- r.18: publishing the draft scheme.
- r.24 and r.26: appointing the Town Planning Officer and the procedure under ss.51-52.
- Forms J/K: rights 'transferred to the Final Plot'; compensation and contribution under ss.78-80.
- r.53 and Form R: Certificate of Tenure and Title for the Final Plot.
On 'currently in force': the copy notes an amendment of 22-01-87. Step 2 reports that the CGDCR 2017 (ULG-05/ULG-15) uses these Rules and requires land in non-TP areas to be adjusted through TPS. I did not re-read the CGDCR myself.
Points for a person to check:
(1) Check the Act's TPS sections (about ss.40-52) against the official Gujarat Legislative Department text. The only copy here is PRS, and its main-Act pages can't be read.
(2) The Citation Sheet has no official consolidated text of the Rules, so 'in force' rests on references from 2017. No repeal is known.
(3) The question title says 'guaranteed land pooling'. But the methodology accepts TPS/land reconstitution or land pooling, so TPS alone meets both parts.
I checked the Step 2 answer against ULG-04, ULG-01 and ULG-02. ULG-02 (the 2019 amendment Bill) is about development plans, not TPS.</t>
  </si>
  <si>
    <t xml:space="preserve">UPD36</t>
  </si>
  <si>
    <t xml:space="preserve">Does your city have a single window clearance process in place for  development projects that are in conformity with municipal/city plans?</t>
  </si>
  <si>
    <t xml:space="preserve">Step 2 found no evidence: a source needs to be found and added. Step 2 found no evidence (Insufficient Evidence). Source needed: Dated captures of the official online building-plan or development-approval portal used by GBA / City Corporations (or by BDA/GBDA as planning authority). They should show one-stop filing of a complete application, application status tracking, and that the portal covers project categories such as education, health and affordable housing. The state single window clearance platform, or a Sakala service listing for building or development permission, would also help.</t>
  </si>
  <si>
    <t xml:space="preserve">Step 2 found no evidence: a source needs to be found and added. Step 2 found no evidence (Insufficient Evidence). Source needed: A dated official page from the portal Surat uses for development or building permission (SMC's, SUDA's, or the Gujarat state online development permission / single-window system). It should show (a) online filing of a complete application, (b) status tracking, and (c) which project types can be filed: education, health, affordable housing. An official user manual, circular or GO making that portal operational for Surat would support it.</t>
  </si>
  <si>
    <t xml:space="preserve">UPD37</t>
  </si>
  <si>
    <t xml:space="preserve">Is there an effective system to prevent approval of plans that are not in conformity with municipal/city plan?</t>
  </si>
  <si>
    <t xml:space="preserve">ANSWER: Partly. Aspects 1 and 2 are met in law. Aspects 3 and 4 cannot be assessed, so no score can be given. (1) The approval authorities are set by law: the Greater Bengaluru Authority (GBA) is the Planning Authority under the Karnataka Town and Country Planning Act (KTCP Act) for the Greater Bengaluru Area and approves layouts. The City Corporations sanction building plans. (2) The law sets a process for refusing plans that do not conform to the master plan, and for changes of land use from it. (3) The Citation Sheet has no registry of public and private projects. (4) The Citation Sheet has no website evidence that approvals, denials and variances are disclosed. The law only requires that sanctioned plans be published. | EVIDENCE: GBA Act 2024 (ULG-01), functions provision, sub-section (2) 'Planning Functions' (section number not shown in the excerpt): 'the Greater Bengaluru Authority shall be the "Planning Authority" as defined under the Karnataka Town and Country Planning Act, 1961, for the areas comprising of the Greater Bengaluru Area'. Layouts 'may be done by Greater Bengaluru Authority in conformity with the master plan'. Plan sanction for industrial units is by the City Corporation. KIADB may sanction plans in its industrial areas 'only in conformity with the master plan with prior apporval of the concerned Local Planning Authority' (spelling as in the source). GBA Act s.223(a)-(b): a Corporation must use its land-use powers in line with the Master Plan, and 'shall </t>
  </si>
  <si>
    <t xml:space="preserve">(a) that the work or the use of the site for the work or any of the particulars comprised in the site plan, floor plans, elevations, sections, or specification would contravene some specified provisions of any law or some specified order, rule, master-plan or bye-law made under any law;</t>
  </si>
  <si>
    <t xml:space="preserve">No score yet: aspects 1 and 2 are met in law, but aspects 3 and 4 cannot be decided from the Citation Sheet. The rubric gives 10 only if all four aspects are met, and 0 otherwise.
Aspect 1, approval authority at each level (YES). I checked this in the source. Under the GBA Act 2024 (ULG-01), Planning Functions sub-section (2)(a), GBA 'shall be the "Planning Authority" as defined under the Karnataka Town and Country Planning Act, 1961' for the Greater Bengaluru Area. Under (2)(b), GBA approves layouts 'in conformity with the master plan', and the City Corporation sanctions plans for industrial units. Under the proviso, KIADB sanctions plans in its industrial areas only in conformity with the master plan and with prior approval of the Local Planning Authority. Under s.230(1)-(2), the Corporation Commissioner sanctions building plans on the advice of the Additional Chief Town Planner. Under s.230(5), a case can be referred to the GBA Chief Commissioner.
Aspect 2, process for rejection or variance (YES). The source supports this:
- GBA Act s.223: Corporation powers must follow the Master Plan, and it 'shall not grant any permission' without proof of compliance with the KTCP Act.
- s.230(2): applications that do not conform to the Act, master plan and bye-laws are rejected.
- s.230(3): the conditions for approval or rejection 'shall' be published.
- s.236(1)(a): permission 'shall be refused' if it would break a master plan. s.236(2): a refusal must give reasons.
- s.237: modified licences.
- KTCP Act (ULG-02, as amended up to 2015): s.15 grant or refusal of commencement certificates, with deemed approval only where the work conforms to the ODP; s.17(2) refusal of layouts that do not conform; s.14A change of land use only with prior State Government approval after public objections, which is the variance route.
- Caveat: s.14A(3) deems some changes approved on payment of a fee.
Aspect 3, registry of public and private projects (blank, VERIFICATION-LIMIT). The question bank expects website evidence, and the Citation Sheet has no GBA, City Corporation, BDA or KIADB portal or registry page. I searched ULG-01, ULG-16, ULG-19 and the BMRDA pages (ULG-10, ULG-20, ULG-21) and found only legal mandates. Because the relevant websites were never captured, absence is not established, so I cannot enter NO.
Aspect 4, public disclosure of approvals, denials and variances (blank, VERIFICATION-LIMIT). Under GBA Act s.230(11), a sanctioned plan 'shall be published in the website of the City Corporation'. That is a legal duty covering sanctions only. It does not cover denials or s.14A variances, and nothing in the sheet shows it is carried out. A NO would need the official disclosure pages to have been checked, and they were not.
For a person to check:
1. Is GBA acting as Planning Authority in place of BDA? Weigh the GBA Act 'notwithstanding' clause against the BDA Act s.73 override (ULG-04).
2. When did the GBA Act take effect?
3. The KTCP Act text used here runs only to the 2015 amendments. ULG-03, the 2025 amendment Bill, may change ss.14A, 15 and 17.
4. Missing evidence: the Rules layer (KTCP Rules, the Revised Master Plan zoning regulations, building bye-laws) and website evidence from the online plan-sanction and disclosure portals. Capture dated screenshots of these, or send an RTI to the Town Planning PIO at GBA or the City Corporation.</t>
  </si>
  <si>
    <t xml:space="preserve">The citation didn't settle every input. "Registry of public &amp; private projects" left blank: the Citation Sheet doesn't decide it. "Public disclosure of approvals / denials / variances" left blank: the Citation Sheet doesn't decide it.</t>
  </si>
  <si>
    <t xml:space="preserve">ANSWER: Not determined, so no score. The state rules cover part of aspects 1 and 2. The Comprehensive General Development Control Regulations 2017 (CGDCR) give the approval role to a 'Competent Authority'. They require development to conform to the Development Plan. They set a scrutiny step that ends in a grant or a refusal with reasons, plus written relaxation and interpretation powers. Gujarat's Town Planning and Urban Development (GTPUD) Rules 1979 give the forms for permission and for sanction or refusal. The Citation Sheet has no evidence for aspect 3 (a registry of public and private projects on the city government or Surat Urban Development Authority (SUDA) websites) or aspect 4 (public disclosure of all approvals, denials and variances). Score 10 needs all four aspects. A 0 needs proof that these things are absent, and that proof is missing because no city government or SUDA website pages were in the sheet. | EVIDENCE: (1) CGDCR 2017, Part I, Reg 3.6.3(1) (ULG-14, p.49): within 30 days the Competent Authority shall scrutinise the application and may grant it (Form 7) or 'refuse to grant permission with reasons'; reasons for rejection must be sent to the applicant. CGDCR Reg 2 (ULG-05, p.39): a Development Permission means the development is 'in conformity with the Development Plan Proposals'. CGDCR Part II, Reg 6.21 (ULG-15): 'All development work shall conform to the Development Plan proposals and the provisions made under these regulations.' Reg 3.12.1 (ULG-14): the</t>
  </si>
  <si>
    <t xml:space="preserve">iii. refuse to grant permission with reasons. The Development Permission shall be in the format of Form No.  7 and it shall be issued by an officer authorised by the Competent Authority in this behalf. Reason s for rejection of application shall be communicated to the applicant.</t>
  </si>
  <si>
    <t xml:space="preserve">No score: this is all-or-nothing (10 only if all four aspects are met), and aspects 3 and 4 cannot be decided from the Citation Sheet. A 0 is not justified either, because absence has not been shown.
ASPECT 1 (YES, medium certainty):
- CGDCR Reg 3.1 (ULG-14): no development may be carried out without a written application to the 'Competent Authority'.
- The CGDCR forms (ULG-05, e.g. Forms 4, 9, 10, 13, 18) are addressed to 'The Chief Executive Authority / Municipal Commissioner / Chief Officer, Urban Development Authority / Municipal Corporation / Area Development Authority / Nagarpalika'. This sets out the approval authority at each tier.
- For Surat Municipal Corporation, BPMC Act 1949 Chapter XV (ULG-13) applies. Under s.254 notice is given to the Commissioner; s.258 lets the Commissioner cancel a permission obtained by misrepresentation; s.260 lets the Commissioner act against work done contrary to the rules or by-laws.
- Caveats: the CGDCR definition of 'Competent Authority' was not found in the excerpts. The sheet has no delegation notification splitting the Surat Municipal Corporation and SUDA areas. GTPUD Act ss.26-29 could not be read in the PRS copy (ULG-01). A reviewer should confirm.
ASPECT 2 (YES):
- CGDCR Reg 3.6.3(1) (ULG-14): the Competent Authority scrutinises the application and either grants it (Form 7) or 'refuse[s] to grant permission with reasons'. Reasons must be communicated to the applicant.
- Conformity to the Development Plan is required: Reg 2 (ULG-05), and Reg 6.21 (ULG-15): 'All development work shall conform to the Development Plan proposals'.
- There is a variance route. Reg 3.12.1 allows relaxation for reasons recorded in writing, including for building units affected by Development Plan proposals (3.12.1(4)). Reg 3.12.2(3) allows public-utility use even where the land-use class does not permit it. Reg 3.12.3 sets out a grievance mechanism.
- GTPUD Rules 1979 (ULG-04) rr.10 and 13(2) add sanction or refusal forms.
- The methodology says 'rejection and/or variance', so a defined rejection process is enough.
ASPECT 3 (blank): the sheet has no evidence of a registry of public or private projects (bus terminals, metro or railway stations, heritage buildings, private projects). ULG-08 (organogram), ULG-12 (TP scheme map) and ULG-06/ULG-11 (DP 2035 report and presentation) are about planning or organisation, not a registry. No SMC or SUDA permission portal or registry page is in the sheet. This is not proof of absence. VERIFICATION-LIMIT.
ASPECT 4 (blank): the sheet has no SMC or SUDA web page that discloses approvals, denials or variances. Searches for disclosure or approved-permission lists found nothing. Without the website pages this cannot be NO. VERIFICATION-LIMIT.
The Step 2 answer agrees with the sources; I treated aspects 1 and 2 as met on the strength of the CGDCR forms and the BPMC Ch. XV provisions. A reviewer should:
- capture SMC's online building-permission portal and any SUDA pages listing approved, rejected or relaxed permissions, plus any project registry, with dated screenshots;
- confirm the Competent Authority for Surat Municipal Corporation and SUDA areas.</t>
  </si>
  <si>
    <t xml:space="preserve">UPD38a</t>
  </si>
  <si>
    <t xml:space="preserve">Does the law mandate mechanisms for monitoring ongoing construction/development projects for compliance with approved plans and permissions?   &gt;:&lt; Does the law mandate a system for monitoring ongoing construction/projects for possible violations?</t>
  </si>
  <si>
    <t xml:space="preserve">ANSWER: Yes. The law that governs the city government, the Greater Bengaluru Governance Act, 2024, covers all three elements. (1) The Commissioner has authority to inspect ongoing construction. (2) Inspection is required at defined stages: physical verification at plinth level, and physical inspection at completion before an occupancy certificate is granted. (3) The Commissioner can issue notices, direct the builder to stop work, seal the site and order demolition. The Karnataka Town and Country Planning Act s.15(4) adds a separate stop-work power for the Planning Authority. Under GBA Act s.182(2)(a) as excerpted, the Greater Bengaluru Authority is that Planning Authority. | EVIDENCE: GBA Act (ULG-01): s.239(1) 'Construction shall not be proceeded without obtaining plinth certificate', and '(a) the Commissioner or officer authorized by him, shall carryout physical verification of the building under construction'. Builders who skip the plinth certificate pay a compounding fee (s.232(2)(e), s.233(2)(d)). s.241(3): on an application for an occupancy certificate, the Additional Chief Town Planner 'shall undertake such physical inspection of the building'. s.243(2): the Commissioner 'may authorise an officer subordinate to him to conduct site inspection for verification of the construction being under taken as per sanction plan'; if the construction deviates, 'notice shall be served'. s.240(1): notice to make alterations where work departs from the sanctioned plans. s.243(3)(c): a</t>
  </si>
  <si>
    <t xml:space="preserve">Construction shall not be proceeded without obtaining plinth certificate. On the application made for issue of plinth certificate.– (a) the Commissioner or officer authorized by him, shall carryout physical verification of the building under construction.</t>
  </si>
  <si>
    <t xml:space="preserve">All three inputs are YES, so the score is 5. I checked each one against the ULG-01 text myself rather than copying the Step 2 answer.
(1) Authority to inspect: YES. s.230(9): the Commissioner or officers he authorises 'may undertake such periodical physical verification of buildings as necessary for the purposes of enforcing the provisions of this Act'. s.243(2): the Commissioner 'may authorise an officer subordinate to him to conduct site inspection for verification of the construction being under taken as per sanction plan'. Both are 'may' powers. But the question asks only for authority to inspect, and these sections clearly give it.
(2) Stage-wise inspection: YES. Inspection is mandatory at two stages. s.239(1): construction 'shall not be proceeded without obtaining plinth certificate', and on the application the Commissioner 'shall carryout physical verification of the building under construction'. s.241(3): on an application for an occupancy certificate, the Additional Chief Town Planner 'shall undertake such physical inspection of the building'. s.232(2)(e) charges a compounding fee for not obtaining a plinth certificate 'at the commencement of the construction'.
(3) Notices and stop-work: YES. s.230(10): the Commissioner 'shall have the power to order for the stoppage of any construction' that endangers public health or safety. s.240(1): notice to make alterations where work departs from the sanctioned plans. s.243(2): 'notice shall be served' if the construction deviates. s.243(3)(c): a provisional order that 'may also direct that until the said order is complied with the khatadar or builder shall refrain from proceeding with the building'. s.243(4): sealing 'before or after making an order of demolition or of the stoppage of the erection of any building'. The Step 2 answer also cites KTCP Act s.15(4) (ULG-02) as a further stop-work power, but the score does not depend on it.
Caveats a person should check:
(a) The question is labelled Implementation, but the Detailed Methodology only checks legal provisions. I scored it on the law. These sections are not proof that inspections happen in practice.
(b) GBA Act s.1(3) says the Act comes into force on a date the Government sets by notification. No source in the Citation Sheet gives that date. The text does include the amending Acts 60 of 2025 and 1 of 2026, which suggests the Act is operative, but neither touches these sections. If the GBA Act is not in force, the BBMP Act 2020 (ULG-19) applies. In that case the completion inspection (s.246(3)) and the stop-work order (s.248(1)) are confirmed, but a plinth-stage inspection was not found in the excerpts read.
(c) Exemptions and loopholes: the Government may exempt classes of building from the plinth certificate (s.239(2)) and the occupancy certificate (s.241(7)). If no plinth certificate is issued within 15 days, building may continue (s.239(1)(c)).
(d) ULG-01 is a PRS copy of the Gazette text, not the Gazette itself. Building bye-laws and Rules are not in the Citation Sheet.</t>
  </si>
  <si>
    <t xml:space="preserve">ANSWER: Yes. The law for Surat sets up a system for monitoring construction while it is under way, and all three parts of the test are met. (1) Power to inspect: the Municipal Commissioner may inspect a building at any time while it is being built, without notice (GPMC/BPMC Act s.259). CGDCR 2017 reg. 5.1.1 lets the Competent Authority inspect any time during construction, and reg. 5.1.2 says buildings with Development Permission 'shall be subject to periodic inspection'. (2) Stage-wise monitoring: the owner and architect must give notice before work starts (reg. 5.5.1, Form 10). They must report progress at set stages (reg. 5.5.3, Schedule 13, Form 11): lower basement slab, plinth, ground floor, middle storey and last storey. On receiving a progress notice, the Competent Authority has a duty, 'if found necessary', to check for departures from the sanctioned plan within 7 days. Completion must be notified and the building opened for inspection (GPMC Act s.263, Form 12). (3) Notices and stop-work orders: GPMC Act s.260 says the Commissioner 'shall' issue a show-cause notice for work begun or carried out against the rules or bye-laws. Under s.262 he may serve notice requiring contraventions to be fixed. Under s.267(1) he 'may, by written notice, require the person ... to stop the same forthwith', with police removal under s.267(2). Under the T&amp;CP law, GTPUD Rules 1979 r.11 (Form E) require the appropriate authority to serve a notice 'to stop any development work being carried o</t>
  </si>
  <si>
    <t xml:space="preserve">All buildings for which Development Permission has been granted shall be subject to periodic inspection by the Competent Authority during construction. It shall be the responsibility of the Owner, the Architect on Record or Engineer on Record, and the Clerk of Works on Record for the building to report commencement, progress at various stages, and completion of construction to the Competent Authority as specified in Regulation No. 5.5.</t>
  </si>
  <si>
    <t xml:space="preserve">I checked each of the three aspects against the source text, and all three are met. Score: 5/5.
(1) Authority to inspect: YES. GPMC Act s.259 (ULG-13, and ULG-03 as modified to 30.11.2017) says 'The Commissioner may at any time during the erection of a building ... make an inspection thereof, without giving previous notice'. CGDCR 2017 reg. 5.1.1 (ULG-05) says the Competent Authority 'reserves the right to inspect such buildings at any time during the Period of Construction'. Reg. 5.1.2 says buildings with Development Permission 'shall be subject to periodic inspection by the Competent Authority during construction'.
(2) Stage-wise inspection: YES. Reg. 5.5.1 and Form 10 require notice before work starts. Reg. 5.5.3, Schedule 13 and Form 11 require progress notices at the lower basement slab, plinth, ground floor, middle storey (buildings above 15 m) and last storey. On receiving a progress notice, the Competent Authority has a duty, 'if found necessary', to check for departures from the sanctioned plan and decide within 7 days. At completion, GPMC s.263 requires a completion notice and inspection facilities, and the CGDCR final-inspection regulation says the Competent Authority 'shall undertake final inspection' within 21 days. This covers commencement, plinth, intermediate stages and completion, as the methodology asks. Caveat: the checks mid-construction depend on owners and Persons on Record reporting each stage, and the authority checks only 'if found necessary'.
(3) Notices and stop-work: YES. GPMC s.260(1): for work begun or carried out against the rules or bye-laws, the Commissioner 'shall' issue a written show-cause notice. Under s.262 he may serve notice at any time during the work requiring contraventions to be fixed. Under s.267(1), if the work 'is being unlawfully carried on', he 'may, by written notice, require the person ... to stop the same forthwith', and s.267(2) allows removal by the police. I confirmed the wording of s.267 in both ULG-03 and ULG-13. The Step 2 answer also cites GTPUD Rules 1979 r.11 and Form E (ULG-04). I did not re-read those, and the score does not depend on them.
The Step 2 answer matches the sources. Because the inputs rest on two instruments (the CGDCR and the GPMC Act), I rated confidence medium, not high.
FOR A PERSON TO CHECK:
(a) The question bank labels this question 'Implementation', but the question ('Does the law mandate...') and the Detailed Methodology both test legal provisions. I scored on law. The Citation Sheet has no evidence of SMC inspections actually happening. Please confirm the level.
(b) The CGDCR copies are hosted by AUDA and Rajkot MC. They are state UD&amp;UHD regulations that apply across Gujarat. Later amendments were not reviewed.
(c) SMC building bye-laws are not in the Citation Sheet.</t>
  </si>
  <si>
    <t xml:space="preserve">UPD38b</t>
  </si>
  <si>
    <t xml:space="preserve">Does the law mandate mechanisms for monitoring ongoing construction/development projects for compliance with approved plans and permissions?   &gt;:&lt; Has a system for monitoring ongoing construction/projects for possible violations been implemented?</t>
  </si>
  <si>
    <t xml:space="preserve">Step 2 found no evidence: a source needs to be found and added. Step 2 found no evidence (Insufficient Evidence). Source needed: Current, dated pages from the GBA or City Corporation online building plan approval and monitoring portal, and from BDA's website, showing: (1) owners uploading construction-progress reports, photographs and compliance documents online; (2) records or SOPs of periodic or sample-based site inspections of approved projects; (3) public dashboards or reports of compliance status, violations registered and action taken. Building bye-laws or rules on stage-wise inspection or self-certification would help as context.</t>
  </si>
  <si>
    <t xml:space="preserve">Step 2 found no evidence: a source needs to be found and added. Step 2 found no evidence (Insufficient Evidence). Source needed: Current, dated evidence from the SMC and/or SUDA websites showing three things: (1) an online building-permission or progress portal where owners or Persons on Record upload stage-wise progress, photos and compliance documents; (2) records or reports of periodic site inspections of approved projects, covering all projects or a defined sample; (3) a published dashboard or report giving compliance status, violations registered and action taken, e.g. notices, sealing, demolitions.</t>
  </si>
  <si>
    <t xml:space="preserve">UPD39</t>
  </si>
  <si>
    <t xml:space="preserve">Are there provisions to penalise violating plans?</t>
  </si>
  <si>
    <t xml:space="preserve">ANSWER: Yes, there are penal provisions, but whether they cover 'at least five heads' depends on how the heads are counted, so no score is proposed. (1) If the sub-items (1a–1i, 2a–2f, and so on) count as heads, the Karnataka Town and Country Planning (KTCP) Act alone covers at least five through a chain of sections. Section 73 penalises any work that contravenes section 14. Section 14 requires every land use, change in land use and development to conform to the Master Plan and its regulations. Section 12 says those regulations cover zoning and land use, building line (setbacks), building height, floor area ratio (FAR) and heritage conservation. Changing a building's use and building without a commencement certificate are also caught by section 14. On this reading the answer is Yes (10). (2) If only the six numbered heads count, the KTCP penalties reach only head 1 (Development Control Regulation violations) and head 5 (building work without approval). Adding the Greater Bengaluru Governance (GBA) Act brings in head 6 (fines for unauthorised advertisements and signage) and head 5 again (demolition of, and penalties for, unauthorised construction, additions and alterations). It may also bring in head 2, building code violations, because breach of building bye-laws can lead to demolition. I did not find penal provisions for NOC violations (head 3) or encroachment (head 4). On this reading five heads are not shown. | EVIDENCE: KTCP Act 1961 (PRS compilation): s.73 'Offences and </t>
  </si>
  <si>
    <t xml:space="preserve">does any work in contravention of the provisions of section 14;</t>
  </si>
  <si>
    <t xml:space="preserve">The count is 7. That is at least five, so the answer is 'Yes'. I counted the methodology's listed items (1a–1i, 5 and so on), because it says 'at least five of the below'. I counted only the Town and Country Planning Act, as the methodology says. Source: KTCP Act 1961, PRS compilation with amendments up to Act 38 of 2015 (secondary copy). It does not show whether there were later amendments.
The penalty provision: s.73 punishes anyone who '(a) does any work in contravention of the provisions of section 14; ... (c) contravenes the conditions of the commencement certificate granted under sub-section (1) of section 15 ... (d) does any work in spite of refusal to grant a commencement certificate'. The penalty is 'imprisonment for a term which may extend to three months or with fine which may extend to five thousand rupees or with both'. If the offence continues after conviction, there is a further fine of up to Rs 250 a day.
The 7 items counted:
(1) Zoning/land use (1a). s.14(1): 'every land use, every change in land use and every development ... shall conform to the provisions of this Act, the Master Plan and the Report'. s.12(1)(a): the Master Plan includes 'zoning of land use ... together with Zoning Regulations'.
(2) Change in building use (1b). s.14 Explanation (a): 'development' includes 'the making of any material change in the use of any building or other land'.
(3)–(5) Setbacks/building line (1c), height (1d) and FAR (1e). s.12(1)(f): Master Plan 'regulations ... in regard to building line, height of the building, floor area ratio'. These are enforced through s.14(1) and s.73(a).
(6) Heritage (1g). s.12(3): the Master Plan 'shall indicate Heritage Buildings and Heritage Precincts and shall include the regulations made therein for conservation'.
(7) Building work without permits (head 5). s.14(2): no development 'except with the written permission of the Planning Authority ... contained in a commencement certificate'. s.73(d) punishes work done after a commencement certificate is refused. This covers alterations except interior-only works (s.14 Explanation (b)(i)). s.15(4) also allows stop-work orders and demolition.
Things a person should confirm:
(a) Items (1c)–(1g) are covered only by reading ss.73, 14 and 12 together. s.73 is a general penalty for breaching s.14 and the Master Plan; it does not name each item. Also, the s.12(1)(f) regulations are framed for 'areas of special control'. The strict count of items the Act names directly is 3: land use, change of use, and work without a permit. That would score below five. Please confirm the counting method.
(b) I did not count the following:
- s.76FF and the municipal regularisation provisions. They mention setback, FAR, fire and KSPCB (state pollution board) conditions, but they set regularisation fees, not penalties.
- s.76FFF, which punishes officials, not the people who break the rules.
- The GBA Act 2024 (ULG-01). It is the municipal law, not the T&amp;CP Act. It has a fine for unauthorised advertisements (s.163 proviso) and demolition and penalties for unauthorised construction (ss.243–245). Counting it would add urban design/signage (head 6).
(c) I found no penal provisions for NOC violations (head 3) or encroachment (head 4) in the KTCP Act. That is only 'not found': the Citation Sheet does not include the KTCP Rules, the RMP-2015 zoning regulations or the building bye-laws.
(d) ULG-03 is a 2025 amendment Bill, not law in force. I did not use it.
The Step 2 answer's citations are accurate, and I agree with its sub-item reading.</t>
  </si>
  <si>
    <t xml:space="preserve">ANSWER: Not determined. The question asks whether the Gujarat Town Planning and Urban Development Act, 1976 (the state's Town and Country Planning Act) sets penalties under at least five of the six heads: DCR violations, building code violations, NOC violations, encroachment, work on a building without a permit, and urban design violations. The principal Act's text, where its penal and unauthorised-development sections would be, cannot be read in the Citation Sheet copy, so the heads cannot be counted. The only readable provision of the Act on enforcement is the 2017 amendment adding s.76A(8). It allows removal of works that contravene a Local Area Plan and eviction of people occupying land they are not entitled to under that plan. This covers the encroachment head and Local Area Plan contraventions only, and only for areas with a sanctioned Local Area Plan. | EVIDENCE: (1) ULG-01, Gujarat Town Planning and Urban Development Act, 1976 (PRS copy with amendments up to 14 of 2019): pp.2-86, which hold the principal Act, return no readable text. The amendment published in the Gazette (Extraordinary) of 13-04-2017 adds s.76A(8). Anyone occupying land they are not entitled to under a Local Area Plan shall surrender it within 3 months, or 'the appropriate authority shall' evict them and '(a) remove, pull down, or alter any building or other work ... which is such as contravenes the Local Area Plan', and '(b) any expenses ... shall be recovered from the person in default'. This is a </t>
  </si>
  <si>
    <t xml:space="preserve">For such development, considering it to unauthorised penalty , as specified in table 3.4, shall be charged in addition to other fees/ charges/ deposits etc.</t>
  </si>
  <si>
    <t xml:space="preserve">I left the count blank because the Act the method names can't be read. The method asks whether the T&amp;CP Act, here the Gujarat Town Planning and Urban Development Act, 1976, has penal provisions under at least five heads. The only copy in the Citation Sheet is ULG-01 (PRS, amended up to Gujarat Act 14 of 2019). Its pages 2-86, which hold the whole principal Act including its unauthorised-development and penalty sections, have no readable text. I searched it again and still found only the appended amendments.
A count below 5 means 'No' and scores 0. That needs affirmative absence, which isn't possible while the principal Act is unreadable. A 'Yes' also can't be shown from what can be read. The Step 2 answer ('Not determined') is supported by the sources.
What I did find, which a person should weigh against the readable Act:
(1) ULG-01, s.76A(8), added by the amendment in the Gazette (Extraordinary) of 13-04-2017. Text: 'the appropriate authority shall take following measures, namely:- (a) remove, pull down, or alter any building or other work in the area of the land included in the Local Area Plan which is such as contravenes the Local Area Plan...; (b) any expenses incurred ... shall be recovered from the person in default'. This is removal with cost recovery for encroachment and Local Area Plan breaches, and applies only where a Local Area Plan has been sanctioned. Heads: 4 (encroachment), partly 1.
(2) ULG-14 / ULG-05, CGDCR 2017 (notified 12-10-2017 under the Act). For unauthorised development the Competent Authority 'shall: a. Take suitable action which may include demolition as provided in the Act'. It may remove the work at the owner's cost and seal the building unit. Table 3.4 sets penalties for: 'a. Development commenced without taking any permission. 15', 'b. ... Development commenced which is not as per the submitted plan. 10', '... as per the submitted plan. 5', 'd. Open Uses of Land including Layout and Sub-division without taking any permission. 2'. Heads: 5 (work without permit) and partly 1 (deviation from plan).
(3) ULG-05, Schedule 16: 'Financial Penalty for Making Unauthorised Use of a Building shall be four times the Development Permission Scrutiny Fees'. Head: possibly 1b (permitted use). It is not clear whether this covers change of use or only occupation without a Building Use Permission.
(4) Outside the T&amp;CP Act: the Municipal Act (ULG-03, GPMC Act as modified to 30-11-2017) has ss.260, 397, 399 and Chapter XXV (s.392 fines). These are demolition powers and small fines. ULG-18 (2022 Ordinance) is a regularisation law, not a penalty law.
I found no readable penal provision for building-code heads (fire, lifts, corridors), NOC heads or urban-design heads in the readable parts of the T&amp;CP Act stack.
To do: get a readable official copy of the GTPUD Act, 1976 (its unauthorised-development and penalty sections) and decide whether CGDCR and GPMC Act penalties count toward the heads. Then count the heads and record the provision text in the scorer comments, as the scorer notes require.</t>
  </si>
  <si>
    <t xml:space="preserve">The citation didn't settle every input. "No. of penalty provisions found" left blank: the Citation Sheet doesn't decide it.</t>
  </si>
  <si>
    <t xml:space="preserve">S_No</t>
  </si>
  <si>
    <t xml:space="preserve">ASICS_2017_Report_Q_No</t>
  </si>
  <si>
    <t xml:space="preserve">ASICS 2023 Question number</t>
  </si>
  <si>
    <t xml:space="preserve">New City-Systems</t>
  </si>
  <si>
    <t xml:space="preserve">ASICS 2027_Report_Q No</t>
  </si>
  <si>
    <t xml:space="preserve">Group</t>
  </si>
  <si>
    <t xml:space="preserve">Thematic questions</t>
  </si>
  <si>
    <t xml:space="preserve">Sub-themes</t>
  </si>
  <si>
    <t xml:space="preserve">MQ_SQ</t>
  </si>
  <si>
    <t xml:space="preserve">Max Score</t>
  </si>
  <si>
    <t xml:space="preserve">Assessment level</t>
  </si>
  <si>
    <t xml:space="preserve">Detailed Methodology</t>
  </si>
  <si>
    <t xml:space="preserve">Notes for scorers</t>
  </si>
  <si>
    <t xml:space="preserve">1</t>
  </si>
  <si>
    <t xml:space="preserve">UPD</t>
  </si>
  <si>
    <t xml:space="preserve">Planning </t>
  </si>
  <si>
    <t xml:space="preserve">Legal and institutional planning architecture
</t>
  </si>
  <si>
    <t xml:space="preserve">State-level planning framework</t>
  </si>
  <si>
    <t xml:space="preserve">MQ</t>
  </si>
  <si>
    <t xml:space="preserve">Law or Policy</t>
  </si>
  <si>
    <t xml:space="preserve">Part A - Check if the state Town and Country Planning (T&amp;CP) act provides for a state-level town and country planning board/ spatial planning board or equivalent body with a 'Shall' provision. If yes, score 5. Where the law only enables the constitution of such a body (e.g., “the State Government may constitute”), additionally verify whether the body has actually been constituted through a government notification or order, or by checking the official website of the relevant State Government department or planning body. If yes, score 5.
Part B - If Part A is scored as 'Yes', check whether the body has an explicit mandate to advise on or formulate state-level spatial planning policies and reforms. if yes, score 5. 
</t>
  </si>
  <si>
    <t xml:space="preserve">Please note that the name of the body need not be identical, provided its statutory functions correspond to the intent of the question.</t>
  </si>
  <si>
    <t xml:space="preserve">2</t>
  </si>
  <si>
    <t xml:space="preserve">Check if the T&amp;CP Act has provisions for establishing a planning authority for new areas/towns notified. The state can also be considered, if the provision mandates the existing planning authority to develop a plan for the notified new area. </t>
  </si>
  <si>
    <t xml:space="preserve">3</t>
  </si>
  <si>
    <t xml:space="preserve">UPD3</t>
  </si>
  <si>
    <t xml:space="preserve">Spatial planning hierarchy</t>
  </si>
  <si>
    <t xml:space="preserve">Does the Act require three levels of spatial plans for cities: Metropolitan/Regional, Municipal and Ward(s) /Local</t>
  </si>
  <si>
    <t xml:space="preserve">The T&amp;CP Act should mandate three levels of spatial plans. </t>
  </si>
  <si>
    <t xml:space="preserve">3a</t>
  </si>
  <si>
    <t xml:space="preserve">UPD2a</t>
  </si>
  <si>
    <t xml:space="preserve">Metropolitan/ Regional Plan</t>
  </si>
  <si>
    <t xml:space="preserve">SQ</t>
  </si>
  <si>
    <t xml:space="preserve">Check the T&amp;CP/Metropolitan Planning Act for provisions that mandate the creation of a metropolitan/regional plan. Relevant metropolitan authority act/urban areas development authority act can also be considered for evidence. If the city is not a metropolitan, the act should mandate the creation of a regional plan.</t>
  </si>
  <si>
    <t xml:space="preserve">3b</t>
  </si>
  <si>
    <t xml:space="preserve">UPD2b</t>
  </si>
  <si>
    <t xml:space="preserve">Municipal/city plan</t>
  </si>
  <si>
    <t xml:space="preserve">Check the T&amp;CP Act for provisions that mandate the creation of a municipal/city plan. Relevant urban areas development authority act can also be considered for evidence. </t>
  </si>
  <si>
    <t xml:space="preserve">3c</t>
  </si>
  <si>
    <t xml:space="preserve">UPD2c</t>
  </si>
  <si>
    <t xml:space="preserve">Ward(s)/local plan</t>
  </si>
  <si>
    <t xml:space="preserve">Check the T&amp;CP Act for provisions that mandate the creation of a third tier of plan at the zone/ward level. Town planning schemes that are developed within the framework of the municipal/city plan shall not be considered. </t>
  </si>
  <si>
    <t xml:space="preserve">Note: Please capture in the comments if the mandate is for a zonal/ward/local area plan, mention the type.</t>
  </si>
  <si>
    <t xml:space="preserve">4</t>
  </si>
  <si>
    <t xml:space="preserve">NA</t>
  </si>
  <si>
    <t xml:space="preserve">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
For example:
Entire ULG only = Score 10
Entire ULG + 10 complete Gram Panchayats = Score 10
Entire ULG + 15 complete revenue villages = Score 10
Entire ULG + 2 complete taluks = Score 10
ULG + only part of a Gram Panchayat/revenue village = Score 0
Planning boundary itself divides the ULG, leaving part of the ULG outside the plan = Score 0
Use the notification/text defining the planning area as the primary source.
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t>
  </si>
  <si>
    <t xml:space="preserve">5</t>
  </si>
  <si>
    <t xml:space="preserve">UPD5</t>
  </si>
  <si>
    <t xml:space="preserve">Is there a clear decentralised procedure for approvals of each level of plans?</t>
  </si>
  <si>
    <t xml:space="preserve">Check the state T&amp;CP Act for provisions that delineate a decentralised plan approval process. </t>
  </si>
  <si>
    <t xml:space="preserve">5a</t>
  </si>
  <si>
    <t xml:space="preserve">Does the law mandate that the metropolitan/regional plan be approved by the state government?</t>
  </si>
  <si>
    <t xml:space="preserve">Check if the T&amp;CP Act/metropolitan planning act mandates the metropolitan/regional plan to be approved by the state government.</t>
  </si>
  <si>
    <t xml:space="preserve">5b</t>
  </si>
  <si>
    <t xml:space="preserve">Does the law mandate that the municipal/city plan be approved by the MPC (Metropolitan Planning Committee)  for metropolitan cities or by DPC (District Planning Committee) for non-metropolitan cities?</t>
  </si>
  <si>
    <t xml:space="preserve">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plan is to be approved by the state. </t>
  </si>
  <si>
    <t xml:space="preserve">5c</t>
  </si>
  <si>
    <t xml:space="preserve">Does the law mandate that the ward(s)/local plan be approved by the ULG?</t>
  </si>
  <si>
    <t xml:space="preserve">Check if the T&amp;CP Act mandates the zonal/ward plans to be approved by the ULG. </t>
  </si>
  <si>
    <t xml:space="preserve">6</t>
  </si>
  <si>
    <t xml:space="preserve">Objectives of each level of Municipal/City Plans</t>
  </si>
  <si>
    <t xml:space="preserve">Check the T&amp;CP Act for provisions that detail the objectives and contents of each level of spatial plan. The Act should broadly mention what each level of spatial plan should cover. 
Score 3.33 each for the objectives and contents of - 
1. Metropolitan/regional plan
2. Municipal/city plan
3. Ward(s)/local plan 
If the T&amp;CP Act provides for all three, score 10. </t>
  </si>
  <si>
    <t xml:space="preserve">7</t>
  </si>
  <si>
    <t xml:space="preserve">UPD16</t>
  </si>
  <si>
    <t xml:space="preserve">UPD7</t>
  </si>
  <si>
    <t xml:space="preserve">Metropolitan and district planning institutions</t>
  </si>
  <si>
    <t xml:space="preserve">Does the city have a functional MPC/DPC?</t>
  </si>
  <si>
    <t xml:space="preserve">Law/Policy &amp; Implementation</t>
  </si>
  <si>
    <t xml:space="preserve">Sum of the sub-questions</t>
  </si>
  <si>
    <t xml:space="preserve">7a</t>
  </si>
  <si>
    <t xml:space="preserve">UPD9a</t>
  </si>
  <si>
    <t xml:space="preserve">Does the law provide for the constitution of an MPC/DPC?</t>
  </si>
  <si>
    <t xml:space="preserve">Law/Policy</t>
  </si>
  <si>
    <t xml:space="preserve">Part A:  Check whether there is a mandate in the Municipal or T&amp;CP Act for the constitution of MPC/DPC. If yes, score 2.5                                                                                                                                                                   Part B: Check whether the State has notified the rules for the MPC/DPC applicable to the city. If yes, score 2.5.
MPC applies to metropolitan cities (46 cities); DPC applies for non-metropolitan cities</t>
  </si>
  <si>
    <t xml:space="preserve">7b</t>
  </si>
  <si>
    <t xml:space="preserve">UPD9b</t>
  </si>
  <si>
    <t xml:space="preserve">Have they met at least once in the past two years?</t>
  </si>
  <si>
    <t xml:space="preserve">Implementation</t>
  </si>
  <si>
    <t xml:space="preserve">Check whether the MPC/DPC has met at least once in the past two years. Score 5 where there is evidence of meeting in the last two years.
Evidence: State UD/Municipal Administration department notifications/constitution orders/website; MPC/DPC meeting minutes, agendas or resolutions; MPC/DPC and metropolitan planning authority/development authority websites and RTIs.
</t>
  </si>
  <si>
    <t xml:space="preserve">8</t>
  </si>
  <si>
    <t xml:space="preserve">Law or Policy </t>
  </si>
  <si>
    <t xml:space="preserve">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t>
  </si>
  <si>
    <t xml:space="preserve">9</t>
  </si>
  <si>
    <t xml:space="preserve">Municipal/City Plan preparation, participation and review</t>
  </si>
  <si>
    <t xml:space="preserve">Inter-agency participation</t>
  </si>
  <si>
    <t xml:space="preserve">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t>
  </si>
  <si>
    <t xml:space="preserve">UPD33</t>
  </si>
  <si>
    <t xml:space="preserve">Public participation and scrutiny</t>
  </si>
  <si>
    <t xml:space="preserve">Check if the T&amp;CP Act mandates public participation in preparation of municipal/city plan through:
Part A: Formal platforms such as ward committees and area sabhas. If yes, score 5.
Part B: Other means* for municipal/city plan. If yes, score 5.
*Even if the provision alludes to 'public participation/consultation or consolidation of suggestions and objections without specifying the mode for the same
</t>
  </si>
  <si>
    <t xml:space="preserve">11</t>
  </si>
  <si>
    <t xml:space="preserve">UPD19</t>
  </si>
  <si>
    <t xml:space="preserve">UPD11</t>
  </si>
  <si>
    <t xml:space="preserve">Is there public scrutiny for (including objections and responses) municipal/city plan?</t>
  </si>
  <si>
    <t xml:space="preserve">11a</t>
  </si>
  <si>
    <t xml:space="preserve">UPD34a</t>
  </si>
  <si>
    <t xml:space="preserve">Does the law mandate public scrutiny for (including objections and responses) municipal/city plan through Area Sabhas / Ward Sabhas and other means?</t>
  </si>
  <si>
    <t xml:space="preserve">Check if the T&amp;CP Act mandates public scrutiny (including objections and responses) through:
Part A: Formal platforms such as ward committees and area sabhas. If yes, score 2.50.
Part B: Other means* for municipal/city plan. If yes, score 2.50
*Even if the provision alludes to 'public scrutiny/consultation or consolidation of suggestions and objections without specifying the mode for the same</t>
  </si>
  <si>
    <t xml:space="preserve">11b</t>
  </si>
  <si>
    <t xml:space="preserve">UPD34b</t>
  </si>
  <si>
    <t xml:space="preserve">Was the public scrutiny undertaken for (including objections and responses) municipal/city plan?</t>
  </si>
  <si>
    <t xml:space="preserve">Check Development Authority/ULG websites (as applicable) for consultation minutes/details/notifcations for inviting suggestions; newspaper reports; and the municipal/city plan for evidence of public scrutiny. If such evidence is found, score 5.</t>
  </si>
  <si>
    <t xml:space="preserve">12</t>
  </si>
  <si>
    <t xml:space="preserve">Plan modification and implementation review</t>
  </si>
  <si>
    <t xml:space="preserve">Review the applicable State Town Planning Act.
Score 10: The law mandates periodic review and revision of the municipal/city plan, specifies a review/revision timeline and responsible authority, and requires corresponding review and revision of the DCRs, where necessary, following municipal/city plan revision.
Score 2.5 for each component and enter the sum if there are multiple components - 
1. The law mandates periodic review and revision of the municipal/city plan ((alluding to the revision or creation of a new plan say after ten years) to the municipal/city plans shall not be considered).
2. Specifies a review/revision timeline 
3. Specifies for responsible authority
4. Requires corresponding review and revision of the DCRs following municipal/city plan revision</t>
  </si>
  <si>
    <t xml:space="preserve">13</t>
  </si>
  <si>
    <t xml:space="preserve">UPD13</t>
  </si>
  <si>
    <t xml:space="preserve">Municipal/City Plan objectives and contents</t>
  </si>
  <si>
    <t xml:space="preserve">Statutory requirements for plan content</t>
  </si>
  <si>
    <t xml:space="preserve">Does the T&amp;CP Act mandate the planning for:  </t>
  </si>
  <si>
    <t xml:space="preserve">NA- question already covered in ASICS 2017</t>
  </si>
  <si>
    <t xml:space="preserve">Check the T&amp;CP and other relevant acts as prescribed below:</t>
  </si>
  <si>
    <t xml:space="preserve">13a</t>
  </si>
  <si>
    <t xml:space="preserve">a) Water Supply/ Sewerage, Sanitation and Solid Waste Management </t>
  </si>
  <si>
    <t xml:space="preserve">Check the T&amp;CP/Urban Development Authority (UDA)/allied acts for provisions that mandate the planning authority to prepare:                                                                                                                   1.Water Supply/sewerage plan or mandate to have a water supply component as part of the municipal/city plan. Score: 0.55                                                                                                             2. City sanitation plan or mandate to have a sanitation component as part of the municipal/city municipal/city plan. Score: 0.55                                                                                                                                                                                                                                                            3.Solid Waste Management Plan or mandate to have a solid waste management as part of the municipal/city municipal/city plan Score: 0.55
Provisions that make such a plan optional with 'may' provision shall not be considered. </t>
  </si>
  <si>
    <t xml:space="preserve">13b</t>
  </si>
  <si>
    <t xml:space="preserve">b) Disaster Resilience</t>
  </si>
  <si>
    <t xml:space="preserve">Check the T&amp;CP/Urban Development Authority (UDA)/allied acts for provisions that mandate the planning authority to prepare a disaster management/resilience plan or mandate to have a disaster management/resilience component as a part of the municipal/city plan. Provisions that make such a plan optional with 'may' provision shall not be considered. </t>
  </si>
  <si>
    <t xml:space="preserve">13c</t>
  </si>
  <si>
    <t xml:space="preserve">c) Comprehensive mobility</t>
  </si>
  <si>
    <t xml:space="preserve">Check the T&amp;CP/Urban Development Authority (UDA)/allied acts for provisions that mandate the planning authority to prepare a comprehensive mobility plan or mandate to have a mobility component as part of the municipal/city plan. Provisions that make such a plan optional with 'may' provision shall not be considered. 
</t>
  </si>
  <si>
    <t xml:space="preserve">13d</t>
  </si>
  <si>
    <t xml:space="preserve">d) Sustainability/Climate/Environmental conservation</t>
  </si>
  <si>
    <t xml:space="preserve">Check the T&amp;CP/Urban Development Authority (UDA)/allied acts for provisions that mandate the planning authority to prepare a sustainability plan or mandate to have a sustainability/climate/environmental conservation component as part of the municipal/city plan. Provisions that make such a plan optional with 'may' provision shall not be considered.</t>
  </si>
  <si>
    <t xml:space="preserve">13e</t>
  </si>
  <si>
    <t xml:space="preserve">e) Heritage conservation</t>
  </si>
  <si>
    <t xml:space="preserve">Check the T&amp;CP/Urban Development Authority (UDA)/allied acts for provisions that mandate the planning authority to prepare a heritage conservation plan or mandate to have a heritage conservation component as part of the municipal/city plan. Provisions that make such a plan optional with 'may' provision shall not be considered.</t>
  </si>
  <si>
    <t xml:space="preserve">13f</t>
  </si>
  <si>
    <t xml:space="preserve">f) Social Development        </t>
  </si>
  <si>
    <t xml:space="preserve">Check the T&amp;CP/Urban Development Authority (UDA)/allied acts for provisions that mandate the planning authority to prepare a social development plan or mandate to have a social development component as part of the municipal/city plan. Provisions that make such a plan optional with 'may' provision shall not be considered. Check if the social development plan includes components on planning for health, education and affordable housing. Score each component in the following manner:
1.Public health. Score: 0.55                                                                                                             
2. Education. Score: 0.55                                                                                                                                                                                                                                                            3. Affordable housing Score: 0.55</t>
  </si>
  <si>
    <t xml:space="preserve">14</t>
  </si>
  <si>
    <t xml:space="preserve">UPD14</t>
  </si>
  <si>
    <t xml:space="preserve">Municipal/City Plan status, hierarchy and coordination</t>
  </si>
  <si>
    <t xml:space="preserve">Existence of Municipal/City Plans at each level</t>
  </si>
  <si>
    <t xml:space="preserve">Are the spatial plans at the Metropolitan/Regional, Municipal and Ward(s) /Local level notified?</t>
  </si>
  <si>
    <t xml:space="preserve">The existence of such a document or map should be notified in respective state gazettes</t>
  </si>
  <si>
    <t xml:space="preserve">14a</t>
  </si>
  <si>
    <t xml:space="preserve">Is there a Metropolitan/Regional Plan?</t>
  </si>
  <si>
    <t xml:space="preserve">Document should mention the words metropolitan/regional plan or any word that can be safely assumed to be a synonym for a metropolitan region. Check the website of the metro region development authority or urban development authority or ULB website. Score 3.33 if any of these apply, else, 0. </t>
  </si>
  <si>
    <t xml:space="preserve">Note: Please ensure an existence of a notified document of the plan. Maps alone will not make the cut</t>
  </si>
  <si>
    <t xml:space="preserve">14b</t>
  </si>
  <si>
    <t xml:space="preserve">Is there Municipal/City Plan?</t>
  </si>
  <si>
    <t xml:space="preserve">Document should mention the word municipal/development/city plan or municipal/city plan. Check the website of the urban development authority or ULG website or T&amp;CP Dept. Score 3.33 if any of these apply, else, 0. </t>
  </si>
  <si>
    <t xml:space="preserve">14c</t>
  </si>
  <si>
    <t xml:space="preserve">Is there a Ward(s) /Local area/ neighbourhood Plan?</t>
  </si>
  <si>
    <t xml:space="preserve"> Document should mention the word ward development plan/zonal plan/local area plan. This can exist as a standalone document or spatial plans or map.  Score 3.33 if any of these apply, else, 0. </t>
  </si>
  <si>
    <t xml:space="preserve">15</t>
  </si>
  <si>
    <t xml:space="preserve">Validity of Municipal/City Plans</t>
  </si>
  <si>
    <t xml:space="preserve">Review the applicable municipal/ city plan to identify the valid period, and the gazette notification date of the current and immediately preceding municipal/city plan 
Score 10 — notified within the statutory period
Score 0 — municipal/city plans that have lapsed and have not been replaced by a new municipal/city plan should be  treated as ‘no municipal/city plans/inactive municipal/city plans.
The scorer to capture in the scoring sheet the amount of time (in months) that has been passed since the end of the validity period
</t>
  </si>
  <si>
    <t xml:space="preserve">16</t>
  </si>
  <si>
    <t xml:space="preserve">Alignment across planning levels</t>
  </si>
  <si>
    <t xml:space="preserve"> Are the spatial plans at the Metropolitan/Regional, Municipal and Ward(s) /Local level in a concurrent or nested timeline of validity?</t>
  </si>
  <si>
    <t xml:space="preserve">Check whether the validity periods of the metropolitan/regional, municipal/city, and ward/zonal/local area/neighbourhood-level spatial plans align, ensuring that lower-level plans do not extend beyond the metropolitan/regional plan's validity.</t>
  </si>
  <si>
    <t xml:space="preserve">16a</t>
  </si>
  <si>
    <t xml:space="preserve">Is the Metropolitan/Regional plan in a concurrent or nested timeline of validity with municipal plan?</t>
  </si>
  <si>
    <t xml:space="preserve">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plan should not extend beyond 2021. </t>
  </si>
  <si>
    <t xml:space="preserve">16b</t>
  </si>
  <si>
    <t xml:space="preserve">Is the Municipal municipal/city plan in a concurrent or nested timeline of validity with Ward municipal/city plan?</t>
  </si>
  <si>
    <t xml:space="preserve">Check whether the validity periods of the municipal/city municipal/city plan and ward/local-level plans overlap and are aligned, such that the validity of the ward/local-level plan does not extend beyond that of the municipal/city municipal/city plan. 
For example: if the municipal/city plan is valid from 2021–2041, the applicable ward/zonal/local-level plan should fall within and not extend beyond 2041.</t>
  </si>
  <si>
    <t xml:space="preserve">17</t>
  </si>
  <si>
    <t xml:space="preserve">Inter-agency coordination and integration</t>
  </si>
  <si>
    <t xml:space="preserve">Do the municipal/city plans at each level, integrate the plans and priorities of various sectoral public departments and agencies? </t>
  </si>
  <si>
    <t xml:space="preserve">Check if creation of the municipal/city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municipal/city plan, or as MoM / notes on the planning authority's website. </t>
  </si>
  <si>
    <t xml:space="preserve">18</t>
  </si>
  <si>
    <t xml:space="preserve">UPD27</t>
  </si>
  <si>
    <t xml:space="preserve">Objectives of the Municipal/City Plan</t>
  </si>
  <si>
    <t xml:space="preserve">Check whether the municipal/city plan identifies key economic development priorities and provides measurable targets/outcomes for them. These may include:
Increase in workforce participation.
Number of jobs to be generated across economic sectors.
Land identified/allocated for economic activities.
Number/area of enterprises, industries or commercial activities to be facilitated.
Provision of designated spaces/facilities for street vendors and other informal livelihoods.
Score based on whether the municipal/city plan contains both:
1. A clearly stated objective or priority in the municipal/city plan relating to the city’s economy, employment or livelihoods. This could include job creation, workforce participation, industrial/commercial development, informal livelihoods, economic clusters, markets, tourism, or allocating land/infrastructure to support economic activity.
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plan does not identify clear economic development priorities and associated interventions. General or aspirational references to economic development, employment, jobs or livelihoods without clearly identified priorities and interventions shall not be considered for scoring.</t>
  </si>
  <si>
    <t xml:space="preserve">19</t>
  </si>
  <si>
    <t xml:space="preserve">UPD28</t>
  </si>
  <si>
    <t xml:space="preserve">Does the municipal/city plan include objectives on environment and heritage conservation?</t>
  </si>
  <si>
    <t xml:space="preserve">Sum of the sub-questions below - </t>
  </si>
  <si>
    <t xml:space="preserve">19a</t>
  </si>
  <si>
    <t xml:space="preserve">a) Environmental Conservation </t>
  </si>
  <si>
    <t xml:space="preserve">Check whether the municipal/city plan identifies clear priorities, interventions and measurable targets/outcomes across the following two components:
Natural Environment and Climate Resilience
These may include:
Protection, enhancement or increase of recreational and non-recreational green spaces, urban forests and natural habitats.
Conservation, restoration or revival of lakes, wetlands and other water bodies.
Protection of environmentally sensitive areas and natural assets through appropriate zoning, buffers or other development controls.
Increase in green cover, afforestation or reforestation.
Protection/restoration of biodiversity and ecologically significant areas.
Reduction in air, water and soil pollution.
Climate-change mitigation and adaptation, including reduction in greenhouse gas emissions.
Promotion of renewable energy and clean technologies.
Disaster-risk reduction and resilience of natural systems.                                                                        
                                                                                                                                                                      For each component, score as follows:
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targets/outcome indicators.
Score 0: The component is absent, or is referred to only in general/aspirational terms without clearly identified priorities and associated interventions</t>
  </si>
  <si>
    <t xml:space="preserve">19b</t>
  </si>
  <si>
    <t xml:space="preserve">b) Heritage Conservation </t>
  </si>
  <si>
    <t xml:space="preserve">Check whether the municipal/city  plan identifies clear priorities, interventions and measurable targets/outcomes across the following two components:                                                                       Heritage Conservation
These may include:
Identification and protection of heritage buildings, precincts, sites and other heritage assets.
Identification and protection of natural heritage and culturally significant landscapes.
Conservation, restoration or adaptive reuse of heritage buildings/sites.
Designation of heritage zones/precincts and appropriate development controls or buffer areas.
Protection of the character and built form of heritage areas.
Integration of heritage conservation with redevelopment and other development proposals.
Measurable targets for conservation, restoration or protection of identified heritage assets/precincts. 
For each component, score as follows:
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targets/outcme indicators.
Score 0: The component is absent, or is referred to only in general/aspirational terms without clearly identified priorities and associated interventions.</t>
  </si>
  <si>
    <t xml:space="preserve">20</t>
  </si>
  <si>
    <t xml:space="preserve">UPD29</t>
  </si>
  <si>
    <t xml:space="preserve">UPD 11f</t>
  </si>
  <si>
    <t xml:space="preserve">UPD20</t>
  </si>
  <si>
    <t xml:space="preserve">Does the municipal/city plan include objectives on social development (health care, education)?</t>
  </si>
  <si>
    <t xml:space="preserve">Check whether the municipal/city plan identifies clear priorities, interventions and measurable targets/outcomes across the following three components:</t>
  </si>
  <si>
    <t xml:space="preserve">20a</t>
  </si>
  <si>
    <t xml:space="preserve">a) Education </t>
  </si>
  <si>
    <t xml:space="preserve">Education
These may include:
Coverage/accessibility of anganwadis and pre-primary facilities.
Availability of schools relative to population/service standards.
Accessibility of educational facilities, including for persons with disabilities.
Other measurable education-related service or accessibility outcomes.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</si>
  <si>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20b</t>
  </si>
  <si>
    <t xml:space="preserve">b) Healthcare</t>
  </si>
  <si>
    <t xml:space="preserve">Healthcare
These may include:
Coverage/accessibility of dispensaries and primary healthcare facilities.
Coverage/accessibility of hospitals, maternity/child welfare centres, rehabilitation or diagnostic facilities.
Improvements in access to healthcare.
Public-health outcomes, including reduction in vector-borne diseases or other locally relevant health risks.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</si>
  <si>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20c</t>
  </si>
  <si>
    <t xml:space="preserve">c) Affordable housing </t>
  </si>
  <si>
    <t xml:space="preserve">Affordable housing
These may include:
Assessment of existing and projected affordable housing requirements.
Number/percentage of slums or inadequate settlements proposed for rehabilitation/upgradation.
Provision of affordable housing - Identification of land parcels.
Increase in affordable housing as a proportion of housing stock.
Access to livelihood opportunities, public transport and basic services.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</si>
  <si>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21</t>
  </si>
  <si>
    <t xml:space="preserve"> NA</t>
  </si>
  <si>
    <t xml:space="preserve">Check whether the municipal/city plan identifies clear priorities, interventions and measurable targets/outcomes relating to women’s inclusion and access to the city.
These may include:
Economic participation and livelihoods: Measures to support women’s participation in formal and informal employment, including access to employment centres, markets, vending spaces and other livelihood opportunities.
Access to infrastructure and basic services: Equitable access to housing, water and sanitation, healthcare, education, childcare and other public services.
Mobility and accessibility: Safe and accessible public transport, walking and cycling infrastructure, and improved connectivity to employment and essential services.
Safety and public spaces: Measures to improve women’s safety and access to streets, public spaces, parks and other public facilities.
Care infrastructure: Provision and accessibility of childcare, care facilities and other infrastructure that supports women’s participation in economic and public life.
Score 10: The municipal/city  plan identifies  atleast two or more clear priorities relating to women’s inclusion and associated interventions/actions and provides measurable/quantifiable targets or outcome indicators.
Score 5: The municipal/city identifies  atleast two or more clear priorities relating to women’s inclusion and associated interventions/actions, but does not provide measurable targets/outcome indicators.
Score 0: The municipal/city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t>
  </si>
  <si>
    <t xml:space="preserve">22</t>
  </si>
  <si>
    <t xml:space="preserve">Shared spatial information and data coordination</t>
  </si>
  <si>
    <t xml:space="preserve">Check for the following:                                                                                                                    1) A State Spatial Data Centre with a map available for use by all agencies and parastatals in the state (Example: Karnataka State Remote Sensing Centre). If it is available, score 5                                                                                      2) The centre must provide atleast 2 of the following spatial data files (shape files/KML files) on - Land use, transport (road network, railway lines, metro lines etc.), admin boundaries (ward/corporation boundarie, metropolitan boundaries). If it is available, score 5 , else score 0 . </t>
  </si>
  <si>
    <t xml:space="preserve">23</t>
  </si>
  <si>
    <t xml:space="preserve">UPD23</t>
  </si>
  <si>
    <t xml:space="preserve">Sectoral planning</t>
  </si>
  <si>
    <t xml:space="preserve">Water supply and sewerage, sanitation, solid waste management </t>
  </si>
  <si>
    <t xml:space="preserve">Does the city have a Water Supply and Sewerage Plan, City Sanitation Plan, and Solid Waste Management Plan  that clearly articulates development priorities, measurable objectives, and the roles and responsibilities of the ULG?</t>
  </si>
  <si>
    <t xml:space="preserve">Sum of the sub-questions below </t>
  </si>
  <si>
    <t xml:space="preserve">23a</t>
  </si>
  <si>
    <t xml:space="preserve">Does the city have a notified and active Plan?</t>
  </si>
  <si>
    <t xml:space="preserve">Check the ULG website, relevant parastatal/sectoral agency website, master plan and other official government sources for the existence of the relevant plan.
The plan should be currently applicable/active for the city. Do not treat a strategy, guideline, mission document, project report, or brief document prepared solely to satisfy a scheme requirement as a sectoral plan unless it performs the functions of a city-level sectoral plan. For the city sanitation plan, a one-page document prepared for the Swachh Bharat Mission shall not qualify, consistent with your existing methodology.</t>
  </si>
  <si>
    <t xml:space="preserve">23a1</t>
  </si>
  <si>
    <t xml:space="preserve">UPD23a1</t>
  </si>
  <si>
    <t xml:space="preserve">a) Water Supply and Sewerage Plan</t>
  </si>
  <si>
    <t xml:space="preserve">SQ1</t>
  </si>
  <si>
    <t xml:space="preserve">Use the methodology provided above</t>
  </si>
  <si>
    <t xml:space="preserve">23a2</t>
  </si>
  <si>
    <t xml:space="preserve">UPD23a2</t>
  </si>
  <si>
    <t xml:space="preserve">b) Solid Waste Management Plan </t>
  </si>
  <si>
    <t xml:space="preserve">SQ2</t>
  </si>
  <si>
    <t xml:space="preserve">23a3</t>
  </si>
  <si>
    <t xml:space="preserve">UPD23a3</t>
  </si>
  <si>
    <t xml:space="preserve">c)  City Sanitation Plan</t>
  </si>
  <si>
    <t xml:space="preserve">SQ3</t>
  </si>
  <si>
    <t xml:space="preserve">23b</t>
  </si>
  <si>
    <t xml:space="preserve">Does the plan have development priorities and measureable objectives?</t>
  </si>
  <si>
    <t xml:space="preserve">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General statements of intent, such as improving sanitation, achieving universal water supply or creating a clean city, without identifiable priorities/interventions and measurable objectives or targets, shall not qualify.</t>
  </si>
  <si>
    <t xml:space="preserve">23b1</t>
  </si>
  <si>
    <t xml:space="preserve">UPD23b1</t>
  </si>
  <si>
    <t xml:space="preserve">23b2</t>
  </si>
  <si>
    <t xml:space="preserve">UPD23b2</t>
  </si>
  <si>
    <t xml:space="preserve">23b3</t>
  </si>
  <si>
    <t xml:space="preserve">UPD23b3</t>
  </si>
  <si>
    <t xml:space="preserve">23c</t>
  </si>
  <si>
    <t xml:space="preserve">Does the plan clearly articulate the role of the ULG?</t>
  </si>
  <si>
    <t xml:space="preserve">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
A general reference to the ULG as a stakeholder or participating institution, without identifiable responsibilities, shall not qualify.</t>
  </si>
  <si>
    <t xml:space="preserve">23c1</t>
  </si>
  <si>
    <t xml:space="preserve">UPD23c1</t>
  </si>
  <si>
    <t xml:space="preserve">23c2</t>
  </si>
  <si>
    <t xml:space="preserve">UPD23c2</t>
  </si>
  <si>
    <t xml:space="preserve">23c3</t>
  </si>
  <si>
    <t xml:space="preserve">UPD23c3</t>
  </si>
  <si>
    <t xml:space="preserve">24</t>
  </si>
  <si>
    <t xml:space="preserve">UPD24</t>
  </si>
  <si>
    <t xml:space="preserve">Sustainability, resilience and climate action</t>
  </si>
  <si>
    <t xml:space="preserve">Does your city have a Sustainability/ Resilience Strategy/Climate Action Plan that clearly articulates development priorities, measurable objectives, and the roles and responsibilities of the ULG?</t>
  </si>
  <si>
    <t xml:space="preserve">24a</t>
  </si>
  <si>
    <t xml:space="preserve">Does the city have a notified and active Sustainability/Resilience Strategy?</t>
  </si>
  <si>
    <t xml:space="preserve">Check the municipal/city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municipal/city plan/DP) to be scored.  A Disaster Management Plan may also be considered as evidence.  If the plan/ strategy does exist  score 3.33, or score 0 otherwise.                                                                                                                                Note: A draft document. Independent consultant's report/academic /NGO reports will not be considered.</t>
  </si>
  <si>
    <t xml:space="preserve">Note: Independent consultant's report/academic reports will not be considered.</t>
  </si>
  <si>
    <t xml:space="preserve">24b</t>
  </si>
  <si>
    <t xml:space="preserve">Does the plan have development priorities and measurable objectives?</t>
  </si>
  <si>
    <t xml:space="preserve">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
A general statement of intent, such as becoming climate-resilient, sustainable or reducing emissions, without identifiable priorities and measurable objectives or targets, shall not qualify.
Score 3.33 if the plan identifies atleast two or more clear priorities and includes measurable objectives or targets against those priorities; score 0 otherwise.</t>
  </si>
  <si>
    <t xml:space="preserve">24c</t>
  </si>
  <si>
    <t xml:space="preserve">Score 3.33 where the plan clearly articulates the role/responsibilities of the ULG in its preparation/implementation; score 0 otherwise.</t>
  </si>
  <si>
    <t xml:space="preserve">25</t>
  </si>
  <si>
    <t xml:space="preserve">UPD25</t>
  </si>
  <si>
    <t xml:space="preserve">Comprehensive mobility planning</t>
  </si>
  <si>
    <t xml:space="preserve">Does your city have a Comprehensive Mobility Plan that clearly articulates development priorities, measurable objectives, and the roles and responsibilities of the ULG?</t>
  </si>
  <si>
    <t xml:space="preserve">25a</t>
  </si>
  <si>
    <t xml:space="preserve">Does the city have a notified and active Comprehensive Mobility Plan?</t>
  </si>
  <si>
    <t xml:space="preserve">Check the municipal/city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
Check whether the city has a Comprehensive Mobility Plan (CMP) that has been formally adopted or approved by the competent authority, such as the UMTA, the Urban Development Department, Transport Department or the ULG/Council through a resolution. Sources may include the municipal/city plan, the ULB website, parastatal websites, and the UMTA or State Transport Department website.
A draft CMP, a consultant's report, or an unadopted study, without evidence of formal adoption or approval, shall not qualify.
Score 3.33 if the city has a CMP formally adopted or approved by the competent authority; score 0 otherwise.</t>
  </si>
  <si>
    <t xml:space="preserve">25b</t>
  </si>
  <si>
    <t xml:space="preserve">Check whether the CMP identifies clear priorities and specifies measurable objectives or targets against those priorities, including quantitative or qualitative indicators, as appropriate. Examples may include a target mode share for sustainable modes (public transport, walking and cycling); targets for road safety or transport-related emissions; or actionable projects with measurable timelines, budget estimates and a phasing plan.
A general statement of intent, such as improving mobility, promoting public transport or reducing congestion, without identifiable priorities and measurable objectives or targets, shall not qualify.
Score 3.33 if the CMP identifies atleast two or more clear priorities and includes measurable objectives or targets against those priorities; score 0 otherwise.</t>
  </si>
  <si>
    <t xml:space="preserve">25c</t>
  </si>
  <si>
    <t xml:space="preserve">Check whether the CMP clearly articulates the roles and responsibilities of the Urban Local Government (ULG) in its preparation and/or implementation. Examples may include the ULG's participation in preparing the plan, such as membership of the steering or technical committee or a council resolution endorsing it; the assignment of specific projects, programmes or actions to the ULG; responsibilities for funding, execution, operation or maintenance of identified interventions; or the ULG's role in monitoring and reviewing the plan's progress.
A passing mention of the ULG as a stakeholder, or a general reference to coordination among agencies, without specifying the ULG's role or responsibilities, shall not qualify.
Score 3.3 if the CMP clearly articulates the roles and responsibilities of the ULG in its preparation and/or implementation; score 0 otherwise.</t>
  </si>
  <si>
    <t xml:space="preserve">26</t>
  </si>
  <si>
    <t xml:space="preserve">UPD26</t>
  </si>
  <si>
    <t xml:space="preserve">Economic development planning</t>
  </si>
  <si>
    <t xml:space="preserve">Does your city have an Economic Vision Plan that clearly articulates development priorities, measurable objectives, and the roles and responsibilities of the ULG?</t>
  </si>
  <si>
    <t xml:space="preserve">26a</t>
  </si>
  <si>
    <t xml:space="preserve">Does the city have a notified and active Economic Vision Plan?</t>
  </si>
  <si>
    <t xml:space="preserve">Check the municipal/city plan, ULG website, relevant parastatal website, or city/district website for the existence of an Economic Vision, Economic Development Plan or equivalent city-level economic strategy. The document must:
Be a final document; draft documents shall not be considered.
Be formally adopted/approved by the competent authority, evidenced through a Municipal Corporation/Council resolution, Government Order, formal approval by the competent authority, or integration into the statutory municipal/city plan/Development Plan.
Be currently active/applicable. Where the document specifies a validity or implementation period, the city must be within that period at the time of assessment. An expired or superseded plan shall not be considered.
Independent consultant reports, academic studies/reports, background studies or other documents that have not been formally adopted/approved by the competent authority shall not be considered.
Score 3.3 if the city has a final, formally adopted/approved and currently active/applicable Economic Vision, Economic Development Plan or equivalent city-level economic strategy that meets all the above conditions; score 0 otherwise.</t>
  </si>
  <si>
    <t xml:space="preserve">26b</t>
  </si>
  <si>
    <t xml:space="preserve">Check whether the plan identifies clear economic development priorities and specifies measurable objectives or targets against those priorities, including quantitative or qualitative indicators, as appropriate. Examples may include targets relating to employment/job creation, workforce participation, development of identified economic sectors or clusters, land/infrastructure provision for economic activities, enterprise development, or investment to be mobilised.
A general statement of intent, such as making the city an economic hub, promoting economic growth or generating employment, without identifiable priorities and measurable objectives or targets, shall not qualify.
Score 3.3 if the plan identifies  atleast two or more clear economic development priorities and includes measurable objectives or targets against those priorities; score 0 otherwise.</t>
  </si>
  <si>
    <t xml:space="preserve">26c</t>
  </si>
  <si>
    <t xml:space="preserve">Check whether the plan clearly assigns the ULG a defined role and/or specific responsibilities in implementation of the economic vision/strategy. This may include responsibility for facilitating economic development initiatives, providing enabling infrastructure, supporting livelihoods or enterprises, financing, implementing identified projects, monitoring progress against economic targets, or coordinating with relevant government departments, parastatals, and other agencies.
A general reference to the ULG as a stakeholder, partner or participating institution, without identifiable responsibilities, shall not qualify.
Score 3.3 where the plan clearly assigns the ULG defined roles and/or specific responsibilities in implementation; score 0 otherwise.</t>
  </si>
  <si>
    <t xml:space="preserve">27</t>
  </si>
  <si>
    <t xml:space="preserve">Specialised institutional capacity</t>
  </si>
  <si>
    <t xml:space="preserve">Does the city have adequate and representative professional town-planning capacity?</t>
  </si>
  <si>
    <t xml:space="preserve">27a</t>
  </si>
  <si>
    <t xml:space="preserve">Does the city have adequate professional town-planning capacity?</t>
  </si>
  <si>
    <t xml:space="preserve">Check the number of filled positions (against the sanctioned posts) of town/urban planners in the ULG and, where applicable, the Development/Planning Authority responsible for planning the city.
Town planners per lakh population = (Filled qualified town planners in the ULG + filled qualified town planners attributable to the city in the Development/Planning Authority) ÷ Census 2011 population × 1,00,000
Cities assessed will receive a Score of 5. All other cities will be scored proportionately against this benchmark.
Score = (Town planners per lakh population in the city ÷ Highest town planners per lakh population among cities assessed) × 5
For example, if the highest-performing city has 2 planners/lakh, a city with 1.5 planners/lakh scores 3.75, and one with 1 planner/lakh scores 2.5.</t>
  </si>
  <si>
    <t xml:space="preserve">Scorer comment - 
Record in the score sheet, separately for the ULG and Development/Planning Authority: total sanctioned town-planner positions; total filled positions; vacancies and vacancy rate; women and men among filled positions; and town planners per lakh population.</t>
  </si>
  <si>
    <t xml:space="preserve">27b</t>
  </si>
  <si>
    <t xml:space="preserve">What proportion of the city's professional town-planning workforce is women?</t>
  </si>
  <si>
    <t xml:space="preserve">Compute women town planners as a proportion of the total filled qualified town-planner positions across the ULG and, where applicable, the Development/Planning Authority staff attributable to the city, using the latest available staffing data.
% women town planners = (Number of women town planners ÷ Total filled qualified town-planner positions) × 100
Scoring bands:
Score 5 — women constitute ≥33% of the professional town-planning workforce
Score 2.5 — women constitute 15–32%
Score 0 — women constitute &lt;15%</t>
  </si>
  <si>
    <t xml:space="preserve">Note: Record, wherever available, the proportion of women among senior/decision-making town-planning positions.</t>
  </si>
  <si>
    <t xml:space="preserve">28</t>
  </si>
  <si>
    <t xml:space="preserve">Does the city have dedicated institutional cells/units for specialised functions?</t>
  </si>
  <si>
    <t xml:space="preserve">Score 10, assessed through 4 sub-questions of 2.5 each: an Urban Design Cell; a Climate Action/Sustainability/Disaster Management Cell; an Economic Development Cell; and a dedicated Women's Welfare/Development Cell</t>
  </si>
  <si>
    <t xml:space="preserve">28a</t>
  </si>
  <si>
    <t xml:space="preserve">Urban design</t>
  </si>
  <si>
    <t xml:space="preserve">Does the city have an Urban Design Cell?</t>
  </si>
  <si>
    <t xml:space="preserve">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2.5 if there is evidence that an Urban Design Cell/Unit/Vertical exists, including a qualifying shared State/district-level resource for towns below five lakh; score 0 otherwise.
 </t>
  </si>
  <si>
    <t xml:space="preserve">28b</t>
  </si>
  <si>
    <t xml:space="preserve">Does the city have dedicated institutional capacity to undertake specialised planning and development functions?</t>
  </si>
  <si>
    <t xml:space="preserve">Climate</t>
  </si>
  <si>
    <t xml:space="preserve">Does the city have a Climate Action/Sustainability/Disaster Management Cell?</t>
  </si>
  <si>
    <t xml:space="preserve">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2.5 if there is evidence that such a cell/unit/vertical exists and is functional for the city, including a qualifying shared state/district-level resource for towns below five lakh; score 0 otherwise.</t>
  </si>
  <si>
    <t xml:space="preserve">28c</t>
  </si>
  <si>
    <t xml:space="preserve">Economic development</t>
  </si>
  <si>
    <t xml:space="preserve">Does the city have an Economic Develepment Cell ?</t>
  </si>
  <si>
    <t xml:space="preserve">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an economic development cell/unit/vertical exists and is functional for the city; score 0 otherwise.
Applicability: this indicator is applicable only to million-plus cities (population of 10 lakh or more). For all other cities, score NA. </t>
  </si>
  <si>
    <t xml:space="preserve">28d</t>
  </si>
  <si>
    <t xml:space="preserve">Women's welfare or development</t>
  </si>
  <si>
    <t xml:space="preserve">Does the city have a dedicated Women's Welfare/Development Cell?</t>
  </si>
  <si>
    <t xml:space="preserve">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 dedicated women’s welfare/development cell/unit/vertical exists and is functional for the city; score 0 otherwise.
Applicability: This indicator is applicable only to million-plus cities. For all non-million-plus cities, score NA.</t>
  </si>
  <si>
    <t xml:space="preserve">29</t>
  </si>
  <si>
    <t xml:space="preserve">Urban design, accessibility and parking</t>
  </si>
  <si>
    <t xml:space="preserve">Urban design standards and universal accessibility</t>
  </si>
  <si>
    <t xml:space="preserve">Are there prescribed urban design standards to guide the execution of urban projects, including standards for universal accessibility?</t>
  </si>
  <si>
    <t xml:space="preserve">29a</t>
  </si>
  <si>
    <t xml:space="preserve">Does the law mandate comprehensive urban design standards and universal accessibility?</t>
  </si>
  <si>
    <t xml:space="preserve">Check whether the applicable T&amp;CP Act or Municipal Act provides for urban design standards/guidelines for the planning, design or execution of urban development across the following four categories:
1. Roads and streetscapes – including different categories/hierarchies of urban roads.
2. Footpaths/pedestrian infrastructure.
3. Underground public utilities – including water supply, sewerage, storm-water drainage, electricity, telecommunications/internet and gas.
4. Buit form based codes - build to line, minimum frontage, floor heights, building material etc.
5. Universal accessibility
For each of the five categories, check whether the applicable law mandates or enables urban design standards/guidelines for the planning, design or execution of urban development.
For each category, score as follows:
Score 1: Where the law uses mandatory language (e.g., “shall”) requiring the preparation, prescription, adoption or application of urban design standards/guidelines.
Score 0.5: Where the law uses enabling/discretionary language (e.g., “may”) permitting the preparation, prescription, adoption or application of such standards/guidelines.
Score 0: Where there is no such provision.
Maximum score: 5 points (5 categories × 1 point).
A general power to regulate development, without a specific provision for relevant design standards/guidelines, shall not qualify.</t>
  </si>
  <si>
    <t xml:space="preserve">29b</t>
  </si>
  <si>
    <t xml:space="preserve">Does the city have urban design standards to guide the execution of urban projects?</t>
  </si>
  <si>
    <t xml:space="preserve">Check whether the city has adopted/notified urban design standards or guidelines for the planning, design or execution of urban development across the following five categories:
1. Roads and streetscapes – including different categories/hierarchies of urban roads.
2. Footpaths/pedestrian infrastructure.
3. Underground public utilities – including water supply, sewerage, storm-water drainage, electricity, telecommunications/internet and gas.
4. Buit form based codes - build to line, minimum frontage, floor heights, building material etc.
5. Universal accessibility
Check the ULG website, Development Authority website, Urban Development Department website, Department of Urban Land Transport / Unified Metropolitan Transport Authority or equivalent specialised agency website for evidence of such standards/guidelines.
For categories (a)–(c), the standards may be contained in a standalone urban/street design guideline or other formally adopted/notified city-level document. Evidence on an official website that the city has formally adopted an identified set of standards/guidelines may also be considered.
For residential and commercial buildings (categories (d) and (e)), standards contained in the applicable DCRs/building bye-laws or equivalent regulations may also be considered. These may include urban design requirements relating to building frontage/interface with the street, signage, façade treatment, building materials, or other design controls applicable to residential or commercial development.
For each category, there must be evidence that the standards/guidelines are applicable to or adopted for the city. Mere reference to national/model guidelines or standards, without evidence of their adoption or application by the city, shall not qualify.
Scoring: Award 1 point for each category for which applicable urban design standards/guidelines have been adopted/notified (5 categories × 1 = 5); score 0 for a category where no such standards/guidelines</t>
  </si>
  <si>
    <t xml:space="preserve">30</t>
  </si>
  <si>
    <t xml:space="preserve">UPD30</t>
  </si>
  <si>
    <t xml:space="preserve">Parking policy</t>
  </si>
  <si>
    <t xml:space="preserve">Does the city have a parking policy? </t>
  </si>
  <si>
    <t xml:space="preserve">30a</t>
  </si>
  <si>
    <t xml:space="preserve">Is there a clear mandate in the law for a parking policy?</t>
  </si>
  <si>
    <t xml:space="preserve">Check whether the applicable T&amp;CP Act or Municipal Act mandates the ULG to prepare and/or adopt a standalone parking policy or parking management policy.
A general provision prescribing parking standards for individual buildings/developments, or empowering the ULG to regulate parking, shall not qualify. The law must specifically provide for the preparation/adoption of a city-level parking policy.
Distinguish between mandatory and enabling provisions:
Score 5 where the law uses mandatory language (e.g., “shall”) requiring the ULG/city to prepare or adopt a standalone Parking Policy/Parking Management Policy.
Score 2.5 where the law uses enabling/discretionary language (e.g., “may”) permitting the ULG/city to prepare or adopt such a policy.
Score 0 where there is no such statutory provision.</t>
  </si>
  <si>
    <t xml:space="preserve">30b</t>
  </si>
  <si>
    <t xml:space="preserve">Has the parking policy been implemented?</t>
  </si>
  <si>
    <t xml:space="preserve">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
Score 5 if a city-level parking policy exists or its formal adoption can be established through reliable evidence. Score 0 otherwise.
</t>
  </si>
  <si>
    <t xml:space="preserve">Note: Score this question independently of the legal mandate. A city may score 5 on this question even where there is no legal mandate for a parking policy.</t>
  </si>
  <si>
    <t xml:space="preserve">31</t>
  </si>
  <si>
    <t xml:space="preserve">Development Control Regulations and land-management instruments</t>
  </si>
  <si>
    <t xml:space="preserve">Applicability and currency of DCRs</t>
  </si>
  <si>
    <t xml:space="preserve">Law or Policy &amp; Implementation</t>
  </si>
  <si>
    <t xml:space="preserve">Check the applicable DCR to determine whether a city-specific DCR applies. Evidence can be present on the websites of the ULG/Development Authority/T&amp;CP/UDD Department.
Score 10 — A city-specific DCR is applicable to the city.
Score 0 — The city relies on a generic/state-wide DCR and does not have a city-specific DCR.
NA — City has a population below one million.
Note to scorer: For cities with a population below one million, mark this question as NA. However, record in the scorer comments the DCR applicable to the city and its status, including whether the city is governed by a city-specific DCR or a generic/state-wide DCR.</t>
  </si>
  <si>
    <t xml:space="preserve">32</t>
  </si>
  <si>
    <t xml:space="preserve">UPD32</t>
  </si>
  <si>
    <t xml:space="preserve">DCR revision and public consultation</t>
  </si>
  <si>
    <t xml:space="preserve">Does the city’s DCR provide development controls, standards or incentives that enable positive economic, environmental, public health, heritage, and inclusion outcomes?</t>
  </si>
  <si>
    <t xml:space="preserve">For each dimension, assess whether the DCR contains specific development controls, standards, relaxations, permissions or incentives that enable or promote the identified outcome.
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
Total score = sum of the five sub-question scores (2*5=10).
</t>
  </si>
  <si>
    <t xml:space="preserve">32a</t>
  </si>
  <si>
    <t xml:space="preserve">Do the DCRs provide development controls, standards or incentives that enable different types and scales of economic activity?</t>
  </si>
  <si>
    <t xml:space="preserve">Review whether the DCR enables economic activities of different types and scales through the regulation of land use, mixed use, permissible activities, development intensity and development standards. Look particularly for provisions that enable MSMEs/small enterprises, home-based economic activities, commercial activity, mixed-use development, markets/street vending, industrial or productive uses, and specialised economic districts, including through relaxed or differentiated requirements relating to plot size, FAR/FSI, setbacks, parking, access or other development standards.
Score 2: Specific provisions enable or incentivise two or more types/scales of economic activity, beyond merely designating land for commercial/industrial use.
Score 1: Two or more Economic activities are provided for through conventional land-use zoning/permissible-use provisions, but no specific enabling or incentivising development provision is found.
Score 0: No relevant provision addressing economic activity is found.
(For example: Just mentioning zoning an area as commercial will get a score of 1, whereas enabling mixed use, home enterprises, MSMEs, flexible use categories, reduced parking/plot requirements, or other provisions specifically facilitating economic activity)
Keywords for scorer: mixed use; mixed-use; commercial; commerce; shop; retail; market; vendor; street vending; hawker; home occupation; home-based; cottage industry; household industry; MSME; small enterprise; micro enterprise; industrial; productive use; work-live; special economic; business district; FAR; FSI; parking relaxation; permissible use.</t>
  </si>
  <si>
    <t xml:space="preserve">32b</t>
  </si>
  <si>
    <t xml:space="preserve">Do the DCRs provide development controls, standards or incentives that improve access, safety, affordability and development outcomes for women and the urban poor?</t>
  </si>
  <si>
    <t xml:space="preserve">Check whether development regulation contains specific controls, standards, relaxations or incentives addressing the needs of women and the urban poor.
For the urban poor, check for provisions enabling or incentivising EWS/LIG or affordable housing, inclusionary housing, slum redevelopment/upgradation, in-situ redevelopment, incremental housing or other affordable housing options through measures such as additional FAR/FSI, density incentives, reduced plot-size/setback/parking requirements, reservation of dwelling units or built-up area, cross-subsidy, TDR or other regulatory flexibility.
For women, check for development/design provisions specifically addressing women's safety, accessibility and use of buildings and public spaces, such as gender-responsive design standards, requirements relating to safe access, lighting/visibility, sanitation/facilities for women, childcare facilities, or other provisions explicitly addressing women's needs.
Score 2: Atleast two or more specific development controls, standards, relaxations or incentives addressing both women and the urban poor are provided.
Score 1: Specific development controls, standards, relaxations or incentives addressing either women or the urban poor, but not both, are mentioned in atleast two or more provisions. Score 0: No specific development provision addressing either women or the urban poor is found.
Note: General provisions applicable to all developments or users should not be counted unless they specifically address the needs of women or the urban poor. Similarly, merely referring to EWS/LIG housing or women's safety without prescribing a corresponding development control, standard, requirement, relaxation or incentive should not qualify.
For example: Additional FAR/FSI or relaxed development standards for EWS/affordable housing would qualify as a provision for the urban poor. Specific design requirements addressing women's safety or access would qualify as a provision for women.
Keywords for scorer:
Urban poor: EWS; LIG; economically weaker section; low income; affordable housing; inclusionary housing; inclusive housing; social housing; slum; slum rehabilitation; slum redevelopment; in-situ; incremental housing; small dwelling; small plot; density bonus; FAR; FSI; TDR; cross subsidy; development standards; relaxation.
Women: women; woman; female; gender; gender responsive; gender sensitive; women safety; safety; safe access; lighting; visibility; toilet for women; female toilet; sanitary facility; childcare; crèche; public space; public realm.</t>
  </si>
  <si>
    <t xml:space="preserve">Note: Please capture the text that mentions the broad provisions related to the theme and the incentives it offers clearly </t>
  </si>
  <si>
    <t xml:space="preserve">32c</t>
  </si>
  <si>
    <t xml:space="preserve">Do the DCRs provide development controls, standards or incentives that promote environmental sustainability and climate resilience?</t>
  </si>
  <si>
    <t xml:space="preserve">Check whether development regulation promotes environmentally sustainable or climate-resilient development, including through standards, incentives, or enabling provisions relating to green buildings, energy efficiency, water conservation, permeability, green cover, rainwater management, heat mitigation, flood resilience, or development appropriate to environmentally sensitive areas.
Score 2:  Specific controls, standards or incentives actively promote environmental sustainability or climate resilience.
Score 1: The DCR protects environmentally sensitive/climate-vulnerable areas or imposes environmental restrictions, but does not contain a clear enabling/incentive provision.
Score 0 — No relevant environmental or climate-related development provision is found.
Note: A generic requirement to obtain environmental clearance based on project size does not, by itself, qualify as an enabling environmental/climate provision.
For example: Prohibiting construction within a lake buffer will score 1, whereas permeability/green-cover standards, incentives for green buildings, resilience-oriented development standards, and additional benefits for achieving specified environmental outcomes will score 2
Keywords for scorer: environment; climate; resilience; green building; green rating; GRIHA; IGBC; LEED; energy efficiency; solar; renewable energy; rainwater harvesting; stormwater; flood; floodplain; wetland; water body; lake; buffer; coastal; CRZ; groundwater; recharge; permeability; pervious; green cover; tree cover; open space; heat; cool roof; sustainable; FAR incentive; FSI incentive.</t>
  </si>
  <si>
    <t xml:space="preserve">Note: Capture the text that mentions the broad provisions related to the theme and the incentives it offers</t>
  </si>
  <si>
    <t xml:space="preserve">32d</t>
  </si>
  <si>
    <t xml:space="preserve">Do the DCRs provide development controls or standards that promote positive public-health outcomes?</t>
  </si>
  <si>
    <t xml:space="preserve">Check whether development regulation promotes positive public-health outcomes through controls, standards or enabling provisions relating to ventilation and natural light, sanitation, overcrowding/density, separation of hazardous or incompatible uses, buffers from polluting activities, or other health-related spatial risks.
Score 2: Specific development controls or standards actively promote positive public-health outcomes beyond routine minimum building requirements are mentioned in two or more places.
Score 1: The DCR/building regulations prescribe basic or minimum requirements relating to ventilation/light, sanitation, density, hazardous uses or separation from polluting activities, but do not contain additional provisions aimed at improving public-health outcomes. Identify atleast two or more such provisions.
Score 0: No relevant development control or standard addressing public-health-related spatial risks is found.
Note: Routine building requirements that establish minimum standards for individual buildings should not, by themselves, receive Score 2. Award the full score where development regulation goes beyond these basic requirements to address a broader public-health outcome or spatial risk.
For example: A general requirement prescribing minimum window area or provision of toilets for buildings will score 1, whereas specific controls addressing overcrowding, density in relation to health, buffers/separation distances from hazardous or polluting uses, enhanced ventilation/light standards for identified contexts, or other development standards explicitly addressing health-related spatial risks will score 2.
Keywords for scorer: public health; health; sanitation; ventilation; natural ventilation; light; natural light; lighting; overcrowding; density; occupancy; hazardous use; hazardous industry; noxious; polluting; pollution; buffer; buffer zone; separation distance; setback; incompatible use; industrial use; industrial hazard; waste; solid waste; sewerage; toilet; latrine; open space; health hazard.</t>
  </si>
  <si>
    <t xml:space="preserve">32e</t>
  </si>
  <si>
    <t xml:space="preserve">Do the DCRs provide development controls, standards or incentives that enable the conservation and adaptive reuse of heritage buildings, precincts or historic areas?</t>
  </si>
  <si>
    <t xml:space="preserve">Check whether development regulation enables or incentivises the conservation, restoration, continued use or adaptive reuse of heritage buildings, precincts or historic areas, including through transferable development rights (TDR), additional/transferable FAR or FSI, relaxation of setbacks or parking requirements, permission for compatible alternative uses, adaptive reuse provisions, financial/development incentives, or other regulatory flexibility linked to heritage conservation.
Score 2: Specific controls, standards, relaxations or incentives actively enable or incentivise conservation, restoration, continued use or adaptive reuse of heritage buildings/areas are mentioned in atleast two or more such provisions. 
Score 1: The DCR protects heritage buildings/areas through restrictions or approval requirements. For example, restrictions on demolition, alteration, height, façade or development within heritage precincts, but does not contain provisions that actively enable or incentivise conservation or adaptive reuse. Identify atleast two or more such provisions. 
Score 0: No heritage-specific development control, standard or incentive is found.
Note: Merely identifying/listing heritage buildings or requiring permission from a heritage conservation committee or other authority does not qualify for score 2 unless the DCR also provides an enabling or incentivising development provision. For example: Requiring heritage committee approval before alteration/demolition will score 1, whereas permitting adaptive reuse, granting TDR/development rights, allowing compatible alternative uses, or relaxing parking/setback requirements to facilitate conservation will score 2.
Keywords for scorer: heritage; heritage building; listed building; heritage precinct; historic; historic core; conservation; preservation; restoration; adaptive reuse; reuse; change of use; alternative use; special character; heritage committee; demolition; alteration; façade; TDR; transferable development rights; FAR; FSI; incentive; parking relaxation; setback relaxation.</t>
  </si>
  <si>
    <t xml:space="preserve">33</t>
  </si>
  <si>
    <t xml:space="preserve">Green-building incentives</t>
  </si>
  <si>
    <t xml:space="preserve">Does the city have a mandate to provide incentives for green buildings, and are these incentives operationalised?</t>
  </si>
  <si>
    <t xml:space="preserve">Sum of the sub-questions below</t>
  </si>
  <si>
    <t xml:space="preserve">33a</t>
  </si>
  <si>
    <t xml:space="preserve">Does the law mandate incentives for green buildings ?</t>
  </si>
  <si>
    <t xml:space="preserve">Check the applicable T&amp;CP Act and Municipal Act for a provision mandating or enabling the provision of incentives for green buildings. The Act need not specify the nature or quantum of the incentive; a clear statutory provision requiring or enabling green-building incentives is sufficient. Where specified, incentives may include additional FAR/FSI, property-tax rebates, fee/development-charge concessions, or other fiscal or development-control incentives.
Score 5 if the Act provides a clear mandate or enabling provision for green-building incentives, even if the specific incentives are to be prescribed subsequently through rules, regulations or other instruments. Score 0 otherwise.</t>
  </si>
  <si>
    <t xml:space="preserve">33b</t>
  </si>
  <si>
    <t xml:space="preserve">Does your city give incentives for green buildings ?</t>
  </si>
  <si>
    <t xml:space="preserve">Check the applicable municipal/city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
Score 5 if at least one green-building incentive is operational in the city, based on an official source or reliable secondary evidence.
Score 0 if no such incentive can be established.</t>
  </si>
  <si>
    <t xml:space="preserve">34</t>
  </si>
  <si>
    <t xml:space="preserve">Land-management instruments</t>
  </si>
  <si>
    <t xml:space="preserve">Part A – Legal/Policy Provision
Check whether the State has enacted a land titling law providing for certification/guarantee of land titles; or issued a Government Order/circular/notification establishing a framework for certification of land titles.
A general land-record digitisation, mutation or property-registration framework shall not qualify unless it specifically provides for certification/guarantee of title.
Part B – Operationalisation
Where the framework is provided through an Act, check whether the rules/regulations necessary to operationalise the land titling framework have been notified.
Scoring:
Score 10: Land titling is provided through an Act and the necessary rules/regulations have been notified; OR an applicable Government Order/circular/notification establishes an operational framework that does not require separate rules.
Score 5: A land titling Act has been enacted, but the necessary rules/regulations have not been notified.
Score 0: No land titling law or applicable Government Order/circular/notification exists.</t>
  </si>
  <si>
    <t xml:space="preserve">35</t>
  </si>
  <si>
    <t xml:space="preserve">Part A – Legal/Policy Provision
Check whether the State has enacted legislation or issued a Government Order/circular/notification providing for a land assembly/reconstitution mechanism such as:
a. Town Planning Scheme (TPS)/land reconstitution; or
b. Land pooling.
Score 5 if at least one such mechanism is formally provided for through legislation or an applicable Government Order/circular/notification. Score 0 otherwise.
Part B – Operationalisation
Where the mechanism is provided for through an Act, check whether the rules/regulations necessary to operationalise the mechanism have been notified.
Score 5 if the rules/regulations necessary for implementation of the mechanism have been notified and are currently in force. Score 0 if the enabling provision exists but the necessary rules/regulations have not been notified.</t>
  </si>
  <si>
    <t xml:space="preserve">Note: Record separately whether the applicable mechanism is TPS/land reconstitution, land pooling, or both. </t>
  </si>
  <si>
    <t xml:space="preserve">36</t>
  </si>
  <si>
    <t xml:space="preserve">Development Compliance</t>
  </si>
  <si>
    <t xml:space="preserve">Development approvals</t>
  </si>
  <si>
    <t xml:space="preserve">Check for the existence of an online portal / platform that acts as a one-stop solution for filing complete application for development projects (education, health, affordable housing) and provides option for tracking status of application. Score 10 if  any 2 out of the 3 project types are available on the portal/platform/DA Website </t>
  </si>
  <si>
    <t xml:space="preserve">37</t>
  </si>
  <si>
    <t xml:space="preserve">Enforcement</t>
  </si>
  <si>
    <t xml:space="preserve">Law or Policy/Implementation</t>
  </si>
  <si>
    <t xml:space="preserve">Check whether there is a system with all of the following aspects:
1. An approval authority for projects at each level, as defined under the T&amp;CP Act or allied Act and/or the MPC Act
2. A defined process for rejection and/or variance approvals for plans that are not in conformity with the SDP, as provided under the T&amp;CP Act or allied Act and/or the MPC Act
3. A registry of public projects (bus terminals, metro stations, railway stations, protected heritage buildings) and private projects. Evidence can be present on ULG/Development Authority websites
4. Disclosure of all approvals, denials and variance approvals in the public domain. Evidence can be present on ULG/Development Authority websites
Score 10 only if all four of the above aspects are met
Score 0 otherwise.</t>
  </si>
  <si>
    <t xml:space="preserve">38</t>
  </si>
  <si>
    <t xml:space="preserve">UPD38</t>
  </si>
  <si>
    <t xml:space="preserve">Construction monitoring</t>
  </si>
  <si>
    <t xml:space="preserve">Does the law mandate mechanisms for monitoring ongoing construction/development projects for compliance with approved plans and permissions?  </t>
  </si>
  <si>
    <t xml:space="preserve">38a</t>
  </si>
  <si>
    <t xml:space="preserve">Does the law mandate a system for monitoring ongoing construction/projects for possible violations?</t>
  </si>
  <si>
    <t xml:space="preserve">Check the applicable T&amp;CP Act or the allied Act, and Municipal Act for provisions for the following:
1. Authority to inspect ongoing construction/projects.
2. Stage-wise inspections or monitoring during construction, including, where applicable, commencement, plinth, intermediate stages and/or completion.
3. Power to issue notices or stop-work directions where unauthorised or non-conforming construction is identified.
Score 5 if all three of the aspects are met. 
Score 0 otherwise.</t>
  </si>
  <si>
    <t xml:space="preserve">38b</t>
  </si>
  <si>
    <t xml:space="preserve">Has a system for monitoring ongoing construction/projects for possible violations been implemented?</t>
  </si>
  <si>
    <t xml:space="preserve">Check the ULG/Development Authority websites whether the monitoring process includes all of the following:
1.Online self-assessment/reporting of construction progress, including uploading photographs and requisite compliance documents
2. Periodic ground surveys/inspections of approved projects, covering either all projects or a defined sample
3. Public disclosure of monitoring information, including compliance numbers/status, violations registered and action taken.
Score 5 if all three elements are operational.
Score 0 otherwise.</t>
  </si>
  <si>
    <t xml:space="preserve">39</t>
  </si>
  <si>
    <t xml:space="preserve">Corrective action</t>
  </si>
  <si>
    <t xml:space="preserve">Check if the T&amp;CP Act mentions the penal provisions under the following heads (at least five of the below to mark as 'Yes'):
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</si>
  <si>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 xml:space="preserve">Please give the text of the provisions in the scorer comment's column in the scoresheet</t>
  </si>
  <si>
    <t xml:space="preserve"> </t>
  </si>
  <si>
    <t xml:space="preserve">Ahmedabad</t>
  </si>
  <si>
    <t xml:space="preserve">Bhopal</t>
  </si>
  <si>
    <t xml:space="preserve">Bhubaneswar</t>
  </si>
  <si>
    <t xml:space="preserve">Chandigarh</t>
  </si>
  <si>
    <t xml:space="preserve">Chennai</t>
  </si>
  <si>
    <t xml:space="preserve">Dehradun</t>
  </si>
  <si>
    <t xml:space="preserve">Delhi</t>
  </si>
  <si>
    <t xml:space="preserve">Guwahati</t>
  </si>
  <si>
    <t xml:space="preserve">Hyderabad</t>
  </si>
  <si>
    <t xml:space="preserve">Jaipur</t>
  </si>
  <si>
    <t xml:space="preserve">Kanpur</t>
  </si>
  <si>
    <t xml:space="preserve">Kolkata</t>
  </si>
  <si>
    <t xml:space="preserve">Lucknow</t>
  </si>
  <si>
    <t xml:space="preserve">Ludhiana</t>
  </si>
  <si>
    <t xml:space="preserve">Mumbai</t>
  </si>
  <si>
    <t xml:space="preserve">Patna</t>
  </si>
  <si>
    <t xml:space="preserve">Pune</t>
  </si>
  <si>
    <t xml:space="preserve">Raipur</t>
  </si>
  <si>
    <t xml:space="preserve">Ranchi</t>
  </si>
  <si>
    <t xml:space="preserve">Thiruvananthapuram</t>
  </si>
  <si>
    <t xml:space="preserve">Visakhapatnam</t>
  </si>
  <si>
    <t xml:space="preserve">Solan</t>
  </si>
  <si>
    <t xml:space="preserve">Panaji</t>
  </si>
  <si>
    <t xml:space="preserve">Agartala</t>
  </si>
  <si>
    <t xml:space="preserve">New York</t>
  </si>
  <si>
    <t xml:space="preserve">London</t>
  </si>
  <si>
    <t xml:space="preserve">Johannesburg</t>
  </si>
  <si>
    <t xml:space="preserve">ENTER</t>
  </si>
  <si>
    <t xml:space="preserve">Derived</t>
  </si>
  <si>
    <t xml:space="preserve">UPD_Scores</t>
  </si>
  <si>
    <t xml:space="preserve">UPD_OVERALL_SCORE</t>
  </si>
  <si>
    <t xml:space="preserve">No. of MQs not yet scored ("?") - overall score is provisional while &gt; 0</t>
  </si>
  <si>
    <t xml:space="preserve">No. of MQs marked NA (excluded from overall score)</t>
  </si>
  <si>
    <t xml:space="preserve">Is there a provision for the establishment of Planning Authorties for notified new towns or special developments?</t>
  </si>
  <si>
    <t xml:space="preserve">Check if the T&amp;CP act has provisions for establishing a planning authority for new areas/towns notified. The state can also be considered, if the provision mandates the existing planning authority to develop a plan for the notified new area. </t>
  </si>
  <si>
    <t xml:space="preserve">The T&amp;CP act should mandate three levels of master plans. </t>
  </si>
  <si>
    <t xml:space="preserve">4a</t>
  </si>
  <si>
    <t xml:space="preserve">UPD4a</t>
  </si>
  <si>
    <t xml:space="preserve">4b</t>
  </si>
  <si>
    <t xml:space="preserve">UPD4b</t>
  </si>
  <si>
    <t xml:space="preserve">Check the T&amp;CP act for provisions that mandate the creation of a municipal/city master plan. Relevant urban areas development authority act can also be considered for evidence. </t>
  </si>
  <si>
    <t xml:space="preserve">4c</t>
  </si>
  <si>
    <t xml:space="preserve">UPD4c</t>
  </si>
  <si>
    <t xml:space="preserve">Check the T&amp;CP act for provisions that mandate the creation of a third tier of plan at the zone/ward level. Town planning schemes that are developed within the framework of the master plan shall not be considered. </t>
  </si>
  <si>
    <t xml:space="preserve">
 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
For example:
Entire ULG only = Score 10
Entire ULG + 10 complete Gram Panchayats = Score 10
Entire ULG + 15 complete revenue villages = Score 10
Entire ULG + 2 complete taluks = Score 10
ULG + only part of a Gram Panchayat/revenue village = Score 0
Planning boundary itself divides the ULG, leaving part of the ULG outside the plan = Score 0
Use the notification/text defining the planning area as the primary source.
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t>
  </si>
  <si>
    <t xml:space="preserve">Check with Shreya on the methodology and relevancy of the question </t>
  </si>
  <si>
    <t xml:space="preserve">Check the state T&amp;CP act for provisions that delineate a decentralised plan approval process. </t>
  </si>
  <si>
    <t xml:space="preserve">8a</t>
  </si>
  <si>
    <t xml:space="preserve">Check if the T&amp;CP act/metropolitan planning act mandates the metropolitan/regional plan to be approved by the state government.</t>
  </si>
  <si>
    <t xml:space="preserve">8b</t>
  </si>
  <si>
    <t xml:space="preserve">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master plan is to be approved by the state. </t>
  </si>
  <si>
    <t xml:space="preserve">8c</t>
  </si>
  <si>
    <t xml:space="preserve">Check if the T&amp;CP act mandates the zonal/ward plans to be approved by the ULG. </t>
  </si>
  <si>
    <t xml:space="preserve">Objectives of each level of master plans</t>
  </si>
  <si>
    <t xml:space="preserve">Check the T&amp;CP act for provisions that detail the objectives and contents of each level of spatial plan. The Act should broadly mention what each level of spatial plan should cover. 
Score 3.33 each for the objectives and contents of - 
1. Metropolitan/regional plan
2. Municipal/city plan
3. Ward(s)/local plan 
If the T&amp;CP act provides for all three, score 10. </t>
  </si>
  <si>
    <t xml:space="preserve">Check whether the State has notified the rules for the MPC/DPC applicable to the city. If yes, score 5.
MPC applies to metropolitan cities (~46 cities); DPC applies for non-metropolitan cities</t>
  </si>
  <si>
    <t xml:space="preserve">Split methodology into Part A - mandate (municipal act or T&amp;CP act) Part B  - Constitution of MPC, rules </t>
  </si>
  <si>
    <t xml:space="preserve">Have they met at least once a year?</t>
  </si>
  <si>
    <t xml:space="preserve">Check whether the MPC/DPC has met at least once in the past two years. Score 5 where there is evidence of meeting in the last two year.
Evidence: State UD/Municipal Administration department notifications/constitution orders/website; MPC/DPC meeting minutes, agendas or resolutions; MPC/DPC and metropolitan planning authority/development authority websites and RTIs.
</t>
  </si>
  <si>
    <t xml:space="preserve">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t>
  </si>
  <si>
    <t xml:space="preserve">Master plan preparation, participation and review</t>
  </si>
  <si>
    <t xml:space="preserve">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t>
  </si>
  <si>
    <t xml:space="preserve">Check if the T&amp;CP act mandates public participation in preparation of municipal/city plan through:
Part A: Formal platforms such as ward committees and area sabhas. If yes, score 2.50.
Part B: Other means* for municipal/city plan. If yes, score 2.50
*Even if the provision alludes to 'public participation/consultation or consolidation of suggestions and objections without specifying the mode for the same
</t>
  </si>
  <si>
    <t xml:space="preserve">Check if the T&amp;CP act mandates public scrutiny (including objections and responses) through:
Part A: Formal platforms such as ward committees and area sabhas. If yes, score 2.50.
Part B: Other means* for municipal/city plan. If yes, score 2.50
*Even if the provision alludes to 'public scrutiny/consultation or consolidation of suggestions and objections without specifying the mode for the same</t>
  </si>
  <si>
    <t xml:space="preserve">Check Development Authority/ULG websites (as applicable) for consultation minutes/details/notifcations for inviting suggestions; newspaper reports; and the municipal/city master plan for evidence of public scrutiny. If such evidence is found, score 5.</t>
  </si>
  <si>
    <t xml:space="preserve">Does the law mandate periodic review and revision of the notified Master Plan, including corresponding revisions to the Development Control Regulations (DCRs)?</t>
  </si>
  <si>
    <t xml:space="preserve">Review the applicable State Town Planning Act.
Score 10: The law mandates periodic review and revision of the Master Plan, specifies a review/revision timeline and responsible authority, and requires corresponding review and revision of the DCRs, where necessary, following Master Plan revision.
Score 2.5 for each component and enter the sum if there are multiple components - 
1. The law mandates periodic review and revision of the Master Plan ((alluding to the revision or creation of a new master plan say after ten years) to the master plans shall not be considered).
2. Specifies a review/revision timeline 
3. Specifies for responsible authority
4. Requires corresponding review and revision of the DCRs following master plan revision</t>
  </si>
  <si>
    <t xml:space="preserve">Master plan objectives and contents</t>
  </si>
  <si>
    <t xml:space="preserve">Does the TCP act mandate the planning for:  </t>
  </si>
  <si>
    <t xml:space="preserve">Check the T&amp;CP/Urban Development Authority (UDA)/allied acts for provisions that mandate the planning authority to prepare:                                                                                                                   1.Water Supply/sewerage plan or mandate to have a water supply component as part of the municipal/city master plan. Score: 0.55                                                                                                             2. City sanitation plan or mandate to have a sanitation component as part of the municipal/city master plan. Score: 0.55                                                                                                                                                                                                                                                            3.Solid Waste Management Plan or mandate to have a solid waste management as part of the municipal/city master plan Score: 0.55
Provisions that make such a plan optional with 'may' provision shall not be considered. </t>
  </si>
  <si>
    <t xml:space="preserve">11c</t>
  </si>
  <si>
    <t xml:space="preserve">UPD11c</t>
  </si>
  <si>
    <t xml:space="preserve">11d</t>
  </si>
  <si>
    <t xml:space="preserve">UPD11d</t>
  </si>
  <si>
    <t xml:space="preserve">11e</t>
  </si>
  <si>
    <t xml:space="preserve">UPD11e</t>
  </si>
  <si>
    <t xml:space="preserve">11f</t>
  </si>
  <si>
    <t xml:space="preserve">UPD11f</t>
  </si>
  <si>
    <t xml:space="preserve">Check the T&amp;CP/Urban Development Authority (UDA)/allied acts for provisions that mandate the planning authority to prepare a social development plan or mandate to have a social development component as part of the master plan. Provisions that make such a plan optional with 'may' provision shall not be considered. Check if the social development plan includes components on planning for health, education and affordable housing. Score each component in the following manner:
1.Public health. Score: 0.55                                                                                                             
2. Education. Score: 0.55                                                                                                                                                                                                                                                            3. Affordable housing Score: 0.55</t>
  </si>
  <si>
    <t xml:space="preserve">Master plan status, hierarchy and coordination</t>
  </si>
  <si>
    <t xml:space="preserve">Existence of master plans at each level</t>
  </si>
  <si>
    <t xml:space="preserve">Document should mention the word municipal/development/city plan or master plan. Check the website of the urban development authority or ULG website or T&amp;CP Dept. Score 3.33 if any of these apply, else, 0. </t>
  </si>
  <si>
    <t xml:space="preserve">Validity of master plans</t>
  </si>
  <si>
    <t xml:space="preserve">Review the applicable municipal/ city plan to identify the valid period, and the gazette notification date of the current and immediately preceding master plan 
Score 10 — notified within the statutory period
Score 0 — Master plans that have lapsed and have not been replaced by a new master plan should be  treated as ‘no master plans/inactive master plans.
The scorer to capture in the scoring sheet the amount of time (in months) that has been passed since the end of the validity period
</t>
  </si>
  <si>
    <t xml:space="preserve">22a</t>
  </si>
  <si>
    <t xml:space="preserve">UPD22a</t>
  </si>
  <si>
    <t xml:space="preserve">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Master plan should not extend beyond 2021. </t>
  </si>
  <si>
    <t xml:space="preserve">22b</t>
  </si>
  <si>
    <t xml:space="preserve">UPD22b</t>
  </si>
  <si>
    <t xml:space="preserve">Is the Municipal master plan in a concurrent or nested timeline of validity with Ward master plan?</t>
  </si>
  <si>
    <t xml:space="preserve">Check whether the validity periods of the municipal/city master plan and ward/local-level plans overlap and are aligned, such that the validity of the ward/local-level plan does not extend beyond that of the municipal/city master plan. 
For example: if the municipal master plan is valid from 2021–2041, the applicable ward/zonal/local-level plan should fall within and not extend beyond 2041.</t>
  </si>
  <si>
    <t xml:space="preserve">Do the master plans at each level, integrate the plans and priorities of various sectoral public departments and agencies? </t>
  </si>
  <si>
    <t xml:space="preserve">Check if creation of the master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master plan, or as MoM / notes on the planning authority's website. </t>
  </si>
  <si>
    <t xml:space="preserve">Objectives of the master plan</t>
  </si>
  <si>
    <t xml:space="preserve">Does the Master Plan include objectives on jobs and economy?</t>
  </si>
  <si>
    <t xml:space="preserve">Check whether the municipal/city plan identifies key economic development priorities and provides measurable targets/outcomes for them. These may include:
Increase in workforce participation.
Number of jobs to be generated across economic sectors.
Land identified/allocated for economic activities.
Number/area of enterprises, industries or commercial activities to be facilitated.
Provision of designated spaces/facilities for street vendors and other informal livelihoods.
Score based on whether the municipal/city plan contains both:
1. A clearly stated objective or priority in the Master Plan relating to the city’s economy, employment or livelihoods. This could include job creation, workforce participation, industrial/commercial development, informal livelihoods, economic clusters, markets, tourism, or allocating land/infrastructure to support economic activity.
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master plan does not identify clear economic development priorities and associated interventions. General or aspirational references to economic development, employment, jobs or livelihoods without clearly identified priorities and interventions shall not be considered for scoring.</t>
  </si>
  <si>
    <t xml:space="preserve">Does the Master Plan include objectives on environment and heritage conservation?</t>
  </si>
  <si>
    <t xml:space="preserve">Check whether the municipal/city master plan identifies clear priorities, interventions and measurable targets/outcomes across the following two components:
Natural Environment and Climate Resilience
These may include:
Protection, enhancement or increase of recreational and non-recreational green spaces, urban forests and natural habitats.
Conservation, restoration or revival of lakes, wetlands and other water bodies.
Protection of environmentally sensitive areas and natural assets through appropriate zoning, buffers or other development controls.
Increase in green cover, afforestation or reforestation.
Protection/restoration of biodiversity and ecologically significant areas.
Reduction in air, water and soil pollution.
Climate-change mitigation and adaptation, including reduction in greenhouse gas emissions.
Promotion of renewable energy and clean technologies.
Disaster-risk reduction and resilience of natural systems.                                                                        
                                                                                                                                                              For each component, score as follows:
Score 5: The municipal/city master plan identifies clear priorities and associated interventions/actions and provides measurable/quantifiable targets or outcome indicators.
Score 2.5: The municipal/city master plan identifies clear priorities and associated interventions/actions, but does not provide measurable targets/outcome indicators.
Score 0: The component is absent, or is referred to only in general/aspirational terms without clearly identified priorities and associated interventions</t>
  </si>
  <si>
    <t xml:space="preserve">Check whether the municipal/city master plan identifies clear priorities, interventions and measurable targets/outcomes across the following two components:                                                                       Heritage Conservation
These may include:
Identification and protection of heritage buildings, precincts, sites and other heritage assets.
Identification and protection of natural heritage and culturally significant landscapes.
Conservation, restoration or adaptive reuse of heritage buildings/sites.
Designation of heritage zones/precincts and appropriate development controls or buffer areas.
Protection of the character and built form of heritage areas.
Integration of heritage conservation with redevelopment and other development proposals.
Measurable targets for conservation, restoration or protection of identified heritage assets/precincts. 
For each component, score as follows:
Score 5: The municipal/city master plan identifies clear priorities and associated interventions/actions and provides measurable/quantifiable targets or outcome indicators.
Score 2.5: The municipal/city master plan identifies clear priorities and associated interventions/actions, but does not provide measurable targets/outcome indicators.
Score 0: The component is absent, or is referred to only in general/aspirational terms without clearly identified priorities and associated interventions.</t>
  </si>
  <si>
    <t xml:space="preserve">Does the Master Plan include objectives on social development (health care, education)?</t>
  </si>
  <si>
    <t xml:space="preserve">Check whether the municipal/city master plan identifies clear priorities, interventions and measurable targets/outcomes across the following three components:</t>
  </si>
  <si>
    <t xml:space="preserve">Education
These may include:
Coverage/accessibility of anganwadis and pre-primary facilities.
Availability of schools relative to population/service standards.
Accessibility of educational facilities, including for persons with disabilities.
Other measurable education-related service or accessibility outcomes.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</si>
  <si>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Healthcare
These may include:
Coverage/accessibility of dispensaries and primary healthcare facilities.
Coverage/accessibility of hospitals, maternity/child welfare centres, rehabilitation or diagnostic facilities.
Improvements in access to healthcare.
Public-health outcomes, including reduction in vector-borne diseases or other locally relevant health risks.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</si>
  <si>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Affordable housing
These may include:
Assessment of existing and projected affordable housing requirements.
Number/percentage of slums or inadequate settlements proposed for rehabilitation/upgradation.
Provision of affordable housing - Identification of land parcels.
Increase in affordable housing as a proportion of housing stock.
Access to livelihood opportunities, public transport and basic services.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</si>
  <si>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Does the master plan include objectives for women?</t>
  </si>
  <si>
    <t xml:space="preserve">Check whether the municipal/city master plan identifies clear priorities, interventions and measurable targets/outcomes relating to women’s inclusion and access to the city.
These may include:
Economic participation and livelihoods: Measures to support women’s participation in formal and informal employment, including access to employment centres, markets, vending spaces and other livelihood opportunities.
Access to infrastructure and basic services: Equitable access to housing, water and sanitation, healthcare, education, childcare and other public services.
Mobility and accessibility: Safe and accessible public transport, walking and cycling infrastructure, and improved connectivity to employment and essential services.
Safety and public spaces: Measures to improve women’s safety and access to streets, public spaces, parks and other public facilities.
Care infrastructure: Provision and accessibility of childcare, care facilities and other infrastructure that supports women’s participation in economic and public life.
Score 10: The municipal/city master plan identifies clear priorities relating to women’s inclusion and associated interventions/actions and provides measurable/quantifiable targets or outcome indicators.
Score 5: The municipal/city master plan identifies clear priorities relating to women’s inclusion and associated interventions/actions, but does not provide measurable targets/outcome indicators.
Score 0: The municipal/city master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t>
  </si>
  <si>
    <t xml:space="preserve">Is there a common digital base master plan Map shared among Planning Authorities, and data updated through GIS with fixed periodicity by the relevent sectoral agencies (transport, network infrastructure, land use changes)</t>
  </si>
  <si>
    <t xml:space="preserve"> 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If the plan identifies atleast two of the above points score 3.3, else score 0. 
General statements of intent, such as improving sanitation, achieving universal water supply or creating a clean city, without identifiable priorities/interventions and measurable objectives or targets, shall not qualify.   </t>
  </si>
  <si>
    <t xml:space="preserve">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
A general reference to the ULG as a stakeholder or participating institution, without identifiable responsibilities, shall not qualify</t>
  </si>
  <si>
    <t xml:space="preserve">Check the master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master plan/DP) to be scored.  A Disaster Management Plan may also be considered as evidence.  If the plan/ strategy does exist  score 3.3, or score 0 otherwise.                                                                                                                                Note: A draft document. Independent consultant's report/academic /NGO reports will not be considered.</t>
  </si>
  <si>
    <t xml:space="preserve">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
A general statement of intent, such as becoming climate-resilient, sustainable or reducing emissions, without identifiable priorities and measurable objectives or targets, shall not qualify.
Score 3.3 if the plan identifies atleast two or more clear priorities and includes measurable objectives or targets against those priorities; score 0 otherwise.</t>
  </si>
  <si>
    <t xml:space="preserve">29c</t>
  </si>
  <si>
    <t xml:space="preserve">UPD29c</t>
  </si>
  <si>
    <t xml:space="preserve">Score 3.3 where the plan clearly articulates the role/responsibilities of the ULG in its preparation/implementation; score 0 otherwise.</t>
  </si>
  <si>
    <t xml:space="preserve">Check the master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
Check whether the city has a Comprehensive Mobility Plan (CMP) that has been formally adopted or approved by the competent authority, such as the UMTA, the Urban Development Department, Transport Department or the ULG/Council through a resolution. Sources may include the master plan, the ULB website, parastatal websites, and the UMTA or State Transport Department website.
A draft CMP, a consultant's report, or an unadopted study, without evidence of formal adoption or approval, shall not qualify.
Score 3.33 if the city has a CMP formally adopted or approved by the competent authority; score 0 otherwise.</t>
  </si>
  <si>
    <t xml:space="preserve">30c</t>
  </si>
  <si>
    <t xml:space="preserve">UPD30c</t>
  </si>
  <si>
    <t xml:space="preserve">31a</t>
  </si>
  <si>
    <t xml:space="preserve">UPD31a</t>
  </si>
  <si>
    <t xml:space="preserve">Check the municipal/city plan, ULG website, relevant parastatal website, or city/district website for the existence of an Economic Vision, Economic Development Plan or equivalent city-level economic strategy. The document must:
Be a final document; draft documents shall not be considered.
Be formally adopted/approved by the competent authority, evidenced through a Municipal Corporation/Council resolution, Government Order, formal approval by the competent authority, or integration into the statutory Master Plan/Development Plan.
Be currently active/applicable. Where the document specifies a validity or implementation period, the city must be within that period at the time of assessment. An expired or superseded plan shall not be considered.
Independent consultant reports, academic studies/reports, background studies or other documents that have not been formally adopted/approved by the competent authority shall not be considered.
Score 3.3 if the city has a final, formally adopted/approved and currently active/applicable Economic Vision, Economic Development Plan or equivalent city-level economic strategy that meets all the above conditions; score 0 otherwise.</t>
  </si>
  <si>
    <t xml:space="preserve">31b</t>
  </si>
  <si>
    <t xml:space="preserve">UPD31b</t>
  </si>
  <si>
    <t xml:space="preserve">31c</t>
  </si>
  <si>
    <t xml:space="preserve">UPD31c</t>
  </si>
  <si>
    <t xml:space="preserve">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10 if there is evidence that an Urban Design Cell/Unit/Vertical exists, including a qualifying shared State/district-level resource for towns below five lakh; score 0 otherwise.
 </t>
  </si>
  <si>
    <t xml:space="preserve">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10 if there is evidence that such a cell/unit/vertical exists and is functional for the city, including a qualifying shared state/district-level resource for towns below five lakh; score 0 otherwise.</t>
  </si>
  <si>
    <t xml:space="preserve">Does the city have an Economic Develeopment Cell ?</t>
  </si>
  <si>
    <t xml:space="preserve">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10 if there is evidence that an economic development cell/unit/vertical exists and is functional for the city; score 0 otherwise.
Applicability: this indicator is applicable only to million-plus cities (population of 10 lakh or more). For all other cities, score NA. </t>
  </si>
  <si>
    <t xml:space="preserve">25d</t>
  </si>
  <si>
    <t xml:space="preserve">UPD25d</t>
  </si>
  <si>
    <t xml:space="preserve">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10 if there is evidence that a dedicated women’s welfare/development cell/unit/vertical exists and is functional for the city; score 0 otherwise.
Applicability: This indicator is applicable only to million-plus cities. For all non-million-plus cities, score NA.</t>
  </si>
  <si>
    <t xml:space="preserve">37a</t>
  </si>
  <si>
    <t xml:space="preserve">UPD37a</t>
  </si>
  <si>
    <t xml:space="preserve">37b</t>
  </si>
  <si>
    <t xml:space="preserve">UPD37b</t>
  </si>
  <si>
    <t xml:space="preserve">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
Score 5 if a city-level parking policy exists or its formal adoption can be established through reliable evidence. Score 0 otherwise.
Note: Score this question independently of the legal mandate. A city may score 5 on this question even where there is no legal mandate for a parking policy.</t>
  </si>
  <si>
    <t xml:space="preserve">Is there an effective system to monitor ongoing construction/projects for possible violations?</t>
  </si>
  <si>
    <t xml:space="preserve">Check the applicable T&amp;CP Act or the allied Act, and municipal act for provisions for the following:
1. Authority to inspect ongoing construction/projects.
2. Stage-wise inspections or monitoring during construction, including, where applicable, commencement, plinth, intermediate stages and/or completion.
3. Power to issue notices or stop-work directions where unauthorised or non-conforming construction is identified. Score 5 if all three of the aspects are met. 
Score 0 otherwise.</t>
  </si>
  <si>
    <t xml:space="preserve">Check the ULG/Development Authority websites whether the monitoring process includes all of the following:
Online self-assessment/reporting of construction progress, including uploading photographs and requisite compliance documents
Periodic ground surveys/inspections of approved projects, covering either all projects or a defined sample
Public disclosure of monitoring information, including compliance numbers/status, violations registered and action taken.
Score 5 if all three elements are operational.
Score 0 otherwise.</t>
  </si>
  <si>
    <t xml:space="preserve">Check the applicable Master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
Score 5 if at least one green-building incentive is operational in the city, based on an official source or reliable secondary evidence.
Score 0 if no such incentive can be established.</t>
  </si>
  <si>
    <t xml:space="preserve">Does your city have a single window clearance process in place for  development projects that are in conformity with Master Plans?</t>
  </si>
  <si>
    <t xml:space="preserve">40</t>
  </si>
  <si>
    <t xml:space="preserve">UPD40</t>
  </si>
  <si>
    <t xml:space="preserve">Is there an effective system to prevent approval of plans that are not in conformity with Master Plan?</t>
  </si>
  <si>
    <t xml:space="preserve">Check whether there is a system with all of the following aspects:
1. An approval authority for projects at each level, as defined under the T&amp;CP Act or allied Act and/or the MPC Act
2. A defined process for rejection and/or variance approvals for plans that are not in conformity with the SDP, as provided under the T&amp;CP Act or allied Act and/or the MPC Act
3. A registry of public projects (bus terminals, metro stations, railway stations, protected heritage buildings) and private projects. Evidence can be present on ULG/Development Authority websites
4. Disclosure of all approvals, denials and variance approvals in the public domain. Evidence can be present on ULG/Development Authority websites
Score 5 only if all four of the above aspects are met
Score 0 otherwise.</t>
  </si>
  <si>
    <t xml:space="preserve">41</t>
  </si>
  <si>
    <t xml:space="preserve">UPD41</t>
  </si>
  <si>
    <t xml:space="preserve">42</t>
  </si>
  <si>
    <t xml:space="preserve">UPD42</t>
  </si>
  <si>
    <t xml:space="preserve">corrective action</t>
  </si>
  <si>
    <t xml:space="preserve">Check if the T&amp;CP act mentions the penal provisions under the following heads (at least five of the below to mark as 'Yes'):
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</si>
  <si>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 xml:space="preserve">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</si>
  <si>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 xml:space="preserve">Defintions/notes/list </t>
  </si>
  <si>
    <t xml:space="preserve">Spatial plans</t>
  </si>
  <si>
    <t xml:space="preserve">Metropolitan plan </t>
  </si>
  <si>
    <t xml:space="preserve">City Plan/Municipal Plan</t>
  </si>
  <si>
    <t xml:space="preserve">Ward level/local area Plan </t>
  </si>
  <si>
    <t xml:space="preserve">Zonal development plans, planning district plans or equivalent sub-city plans may be considered in place of ward-level plans where applicable.</t>
  </si>
  <si>
    <t xml:space="preserve">Scorer comments</t>
  </si>
  <si>
    <t xml:space="preserve">Implementation needs to be checked for all questions  irrespective of the score on mandate</t>
  </si>
  <si>
    <t xml:space="preserve">Change score from 3.30 to 3.33</t>
  </si>
  <si>
    <t xml:space="preserve">DCR </t>
  </si>
  <si>
    <t xml:space="preserve">Different normenclature of DCR - check with Meghamala</t>
  </si>
  <si>
    <t xml:space="preserve">How 'NA' is marked/treated in ASICS 2027 </t>
  </si>
  <si>
    <t xml:space="preserve">Is there a provision for a State Spatial Planning Board which is mandated with planning policies and reforms for the state, and is the final approving authority for Regional and Municipal Master Plans ?</t>
  </si>
  <si>
    <t xml:space="preserve">Part A: Check for the existence of a town planning body with the mandate for state spatial planning and reform. Check if the state Town and Country Planning (T&amp;CP) act has a provision for the constitution of state town planning board/trust/commission/advisory council. If the act provides for such a body with a 'may' provision (for ex. - "State may constitute..."), also, check for the constitution of a state town planning body.  Part B: Check if such a body is the final approving authority for regional plan.</t>
  </si>
  <si>
    <t xml:space="preserve">Does the Act require 3 levels of Master Plans for Metropolitian cities: Regional, Municipal and Ward(s) /Local</t>
  </si>
  <si>
    <t xml:space="preserve">Metropolitan Master Plan</t>
  </si>
  <si>
    <t xml:space="preserve">Check the T&amp;CP/Metropolitan Planning Act for provisions that mandate the creation of a metropolitan plan for the metropolitan region. Relevant metropolitan authority act/urban areas development authority act can also be considered for evidence. In the case of states that do not have a metropolitan area, the act should mandate the creation of a regional plan.</t>
  </si>
  <si>
    <t xml:space="preserve">Municipal Master Plan</t>
  </si>
  <si>
    <t xml:space="preserve">Check the T&amp;CP act for provisions that mandate the creation of a municipal master plan. Relevant urban areas development authority act can also be considered for evidence. </t>
  </si>
  <si>
    <t xml:space="preserve">Ward Master Plan</t>
  </si>
  <si>
    <t xml:space="preserve">Check the T&amp;CP act for provisions that mandate the creation of a third tier of plan at the zone/ward level. Town planning schemes that are developed within the framework of the master plan shall not be considered.</t>
  </si>
  <si>
    <t xml:space="preserve">Are planning boundaries for Metropolitian master plan, Municipal master plan and Ward(s) master plan clearly defined in accordance with political, planning, and administrative structures ?</t>
  </si>
  <si>
    <t xml:space="preserve">Planning boundary for a metropolitan plan should include entire district boundaries with no part districts included/excluded. Consider administrative district boundaries. Metro cities not having a metro plan would be scored 0 and non-metro cities to be scored NA. </t>
  </si>
  <si>
    <t xml:space="preserve">Institutional responsibility for master plan preparation and approval</t>
  </si>
  <si>
    <t xml:space="preserve">Does the law clearly assign institutional responsibility for preparing and approving master plans at each level?</t>
  </si>
  <si>
    <t xml:space="preserve">Review the applicable T&amp;CP/Planning Act, Metropolitan/Regional Planning Act, Development Authority Act, and relevant rules/regulations.
Part A: Preparation – 1.67 marks 
Look for an express provision or allied provision that clearly assigns responsibility for preparing, making, drawing up, formulating, or causing the Metropolitan/Regional master plan to be prepared. Score 1.67 if responsibility for preparation is clearly assigned to a specified institution/authority.
Score 0 if responsibility is not clearly assigned or can only be inferred from a general planning function.
Part B: Approval – 1.67 marks
Look for an express provision or allied provision that clearly assigns final approval, sanction or adoption authority for the Metropolitan/Regional master plan. For a Metropolitan/Regional or District-level plan, the final approving authority should be the State Government or a State-level authority/body legally empowered to exercise this function.
Score 1.67 if the final approving authority is clearly specified as the State Government or an appropriately empowered State-level body.
Score 0 otherwise.
Note: Score 0 for the entire sub-question where the same institution is both the sole preparer and final approving authority, without an independent statutory approval/scrutiny layer. Record separately in the score sheet where such an arrangement exists and identify the institutions involved.
The score sheet should also record, without separate scoring, the respective roles of the MPC/DPC, Development Authority/Regional Planning Authority, ULG, and State Government, including any role in preparation, consultation, recommendation, adoption, scrutiny, or approval.</t>
  </si>
  <si>
    <t xml:space="preserve">6a</t>
  </si>
  <si>
    <t xml:space="preserve">UPD8a</t>
  </si>
  <si>
    <t xml:space="preserve">UPD6a</t>
  </si>
  <si>
    <t xml:space="preserve">Does the law clearly identify the authority responsible for preparation and approval of the Metropolitan/Regional master plan?</t>
  </si>
  <si>
    <t xml:space="preserve">Replicate as applicable from above</t>
  </si>
  <si>
    <t xml:space="preserve">6b</t>
  </si>
  <si>
    <t xml:space="preserve">UPD8b</t>
  </si>
  <si>
    <t xml:space="preserve">UPD6b</t>
  </si>
  <si>
    <t xml:space="preserve">Does the law clearly identify the authority responsible for preparation and approval of the Municipal master plan, including the role of the ULG?</t>
  </si>
  <si>
    <t xml:space="preserve">6c</t>
  </si>
  <si>
    <t xml:space="preserve">UPD8c</t>
  </si>
  <si>
    <t xml:space="preserve">UPD6c</t>
  </si>
  <si>
    <t xml:space="preserve">Does the law clearly identify the authority responsible for preparation and approval of the Ward/Local master plan, with an appropriate role for the ULG/Ward Committee?</t>
  </si>
  <si>
    <t xml:space="preserve">Check if the T&amp;CP act mandates the zonal/ward master plans to be approved by the ULG. </t>
  </si>
  <si>
    <t xml:space="preserve">Does the Act define clearly the Objectives and Contents of each level of master plan?</t>
  </si>
  <si>
    <t xml:space="preserve">Check the T&amp;CP act for provisions that detail the contents/objectives of each level of plan. Act should broadly mention what the master plan should cover at each or at any level; details of a master plan/comprehensive development plan prescribed by the law can also be considered. </t>
  </si>
  <si>
    <t xml:space="preserve">Is there a clear provision for a competent technical cell to enable preparation of the master plan for each level?</t>
  </si>
  <si>
    <t xml:space="preserve">Check if the T&amp;CP act/urban development authorities act provides for a body (like a development authority) at each level of master plan, which would function as the technical arm for planning the city.</t>
  </si>
  <si>
    <t xml:space="preserve">Does the city have an MPC/DPC?</t>
  </si>
  <si>
    <t xml:space="preserve"> Constitution (5): Check whether the State has notified the rules for, and has actually constituted, the MPC/DPC applicable to the city. Score 5 where the committee is duly constituted per the notified rules; score 0 otherwise. MPC applies to metropolitan areas (~46 cities); DPC applies at the district level - assess whichever is applicable to the city, and mark NA only where neither is legally applicable</t>
  </si>
  <si>
    <t xml:space="preserve">Functioning (5): Check whether the constituted MPC/DPC has met at least once in the past year. Score 5 where a meeting in the last year can be evidenced; score 0 otherwise.
Evidence: State UD/Municipal Administration department notifications and constitution orders; MPC/DPC meeting minutes, agendas or resolutions; city/committee websites. Note: MPC/DPC proceedings are frequently not published online, so the functioning sub-question may require primary/RTI-based verification.</t>
  </si>
  <si>
    <t xml:space="preserve">Check whether the city has a statutory metropolitan-level authority constituted under a dedicated law - for example the Greater Bengaluru Authority (GBA) under the Greater Bengaluru Governance Act, 2024. Score 10 where such a metropolitan authority has been established by law and constituted for the city; score 0 otherwise.                                             Note: The question is NA for non-metropolitan cities (cities not falling within a notified metropolitan area/region).                                                                     Evidence: the relevant metropolitan authority Act and constitution notification/Government Order, State Urban Development department notifications, and the authority's official website</t>
  </si>
  <si>
    <t xml:space="preserve">Does the law mandate participation of all parastatals/ agencies /ULGs  in creation of metropolitan master plans?</t>
  </si>
  <si>
    <t xml:space="preserve">Check the T&amp;CP act for provisions that mandate the participation of all parastatals/agencies/ULGs in creation of master plans at all three levels with respect to its jurisdiction. The clause may either state verbatim "all parastatals/agencies/ULBs"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t>
  </si>
  <si>
    <t xml:space="preserve">Does the law mandate public participation in preparation of the municipal plan  through Area Sabhas / Ward Sabhas and other means?</t>
  </si>
  <si>
    <t xml:space="preserve">"Part A: Check if the T&amp;CP act mandates public participation in preparation of each level of the plan.
Part B: Check if such participation is mandated through formal platforms such as ward committees and area sabhas."</t>
  </si>
  <si>
    <t xml:space="preserve">Questions split into implementation and policy </t>
  </si>
  <si>
    <t xml:space="preserve">Does the law mandate public scrutiny at (including objections and responses) municipal plan through Area Sabhas / Ward Sabhas and other means?</t>
  </si>
  <si>
    <t xml:space="preserve">"Part A: Check if the T&amp;CP act mandates public scrutiny (including objections and responses) at each level of the plan.
Part B: Check if such scrutiny is mandated through formal platforms such as ward committees and area sabhas."</t>
  </si>
  <si>
    <t xml:space="preserve">Are there provisions in the Act for modifications to notified master plans?</t>
  </si>
  <si>
    <t xml:space="preserve">Check if the T&amp;CP act/urban development act has provisions to make modifications for the master plans after it is notified. Provisions that enable the planning authority/state to make periodic changes (alluding to the revision or creation of a new master plan say after ten years) to the master plans shall not be considered. </t>
  </si>
  <si>
    <t xml:space="preserve">Does the law mandate a periodic implementation review of the master plan against its stated targets?</t>
  </si>
  <si>
    <t xml:space="preserve">Review the applicable State Town Planning Act/Rules.
Score 10 — the Act/Rules mandate a periodic (e.g., annual/bi-annual/5 years) review of master plan implementation against stated targets and a named responsible authority/reporting mechanism.
Score 5 — the Act refers generally to “monitoring” or “review” of the master plan and specify either one, periodicity or a responsible authority.
Score 2.5 — the Act refers generally to “monitoring” or “review” of the master plan without specifying periodicity or a responsible authority.
Score 0 — the Act/Rules are silent on implementation review.</t>
  </si>
  <si>
    <t xml:space="preserve">11. Check the T&amp;CP and other relevant acts as prescribed below:</t>
  </si>
  <si>
    <t xml:space="preserve">a) Sanitation</t>
  </si>
  <si>
    <t xml:space="preserve">11(a) Check the T&amp;CP/Urban Development Authority (UDA)/Municipal acts for provisions that mandate the planning authority to prepare a city sanitation plan or mandate to have a sanitation component as part of the master plan. Provisions that make such a plan optional with 'may' provision shall not be considered. In the absence of such mandates in T&amp;CP/relevant UDA act/municipal act, check if the state has adopted a state sanitation strategy/policy that mandates ULGs to draw up a city sanitation plan.</t>
  </si>
  <si>
    <t xml:space="preserve">b) Resilience</t>
  </si>
  <si>
    <t xml:space="preserve">11(b) Check the T&amp;CP/UDA/municipal act for provisions that mandate the planning authority to prepare a disaster management/resilience plan or mandate to have a disaster management component as a part of the master plan. Provisions that make such a plan optional with 'may' provision shall not be considered. In the absence of such mandates in T&amp;CP/relevant UDA act/municipal act, check if the state has adopted a state disaster management act/rules that mandate ULGs to draw up a disaster management/resilience plan.</t>
  </si>
  <si>
    <t xml:space="preserve">11(c) Check the T&amp;CP/UDA/municipal acts for provisions that mandate the planning authority to prepare a mobility plan or mandate to have a mobility component as part of the master plan. Provisions that make such a plan optional with 'may' provision shall not be considered. In the absence of such mandates in T&amp;CP/relevant UDA act/municipal act, check if the state has adopted a state urban transportation policy/strategy that mandates ULGs to draw up a comprehensive mobility plan.</t>
  </si>
  <si>
    <t xml:space="preserve">d) Sustainability</t>
  </si>
  <si>
    <t xml:space="preserve">11(d) Check the T&amp;CP/UDA/municipal acts for provisions that mandate the planning authority to prepare a sustainability plan or mandate to have a sustainability component as part of the master plan. Provisions that make such a plan optional with 'may' provision shall not be considered.</t>
  </si>
  <si>
    <t xml:space="preserve">11(e) Check the T&amp;CP/UDA/municipal acts for provisions that mandate the planning authority to prepare a heritage conservation plan or mandate to have a heritage conservation component as part of the master plan.  Provisions that make such a plan optional with 'may' provision shall not be considered.</t>
  </si>
  <si>
    <t xml:space="preserve">11(f) Check the T&amp;CP/UDA/municipal acts for provisions that mandate the planning authority to prepare a social development plan or mandate to have a social development component as part of the master plan. Provisions that make such a plan optional with 'may' provision shall not be considered. Social development plan should include planning for health, education and affordable housing. </t>
  </si>
  <si>
    <t xml:space="preserve">Are there three levels of currently notified master plans?</t>
  </si>
  <si>
    <t xml:space="preserve">Is there a Metropolitan Region Master Plan?</t>
  </si>
  <si>
    <t xml:space="preserve">Document should mention the words metropolitan regional plan or any word that can be safely assumed to be a synonym for a metropolitan region. Check the website of the metro region development authority or urban development authority or ULB website. </t>
  </si>
  <si>
    <t xml:space="preserve">Is there a Municipal Master Plan?</t>
  </si>
  <si>
    <t xml:space="preserve">Document should mention the word municipal plan or the metropolitan plan should have a section on the municipal plan . Check the website of the urban development authority or ULB website or T&amp;CP Dept. Municipal master plan can be a part of the Metro master plan as well.</t>
  </si>
  <si>
    <t xml:space="preserve">Is there a Ward(s) /Local area/ neighbourhood Master Plan?</t>
  </si>
  <si>
    <t xml:space="preserve">If the document has spatial planning districts, which are formed for planning purpose at local level with contiguity, can also be considered for scoring. Ward master plan / Planning Districts / zonal master plans will mostly be a part of the municipal master plan document. Merely zonal divisions in the map shouldn't be scored and detailed plans should be there.</t>
  </si>
  <si>
    <t xml:space="preserve">Does the city have a master plan that is currently in force and within its prescribed validity period?</t>
  </si>
  <si>
    <t xml:space="preserve">Review the applicable master plan to identify the valid period, and the gazette notification date of the current and immediately preceding master plan (or the date the Act came into force, if this is the city's first master plan).
Score 10 — notified within the statutory period
Score 0 — no master plan has ever been notified, or the master plan is overdue by more than one full statutory cycle with no evidence of a revision process underway.
The scorer to capture in the scoring sheet the amount of time (in months) that has been passed since the end of the validity period
</t>
  </si>
  <si>
    <t xml:space="preserve">Are all master plans in a concurrent or nested timeline of validity?</t>
  </si>
  <si>
    <t xml:space="preserve">Check that timelines of the metropolitan and municipal level master plans, including ward level plans overlap (not exceeding the timeline of metropolitan plan)</t>
  </si>
  <si>
    <t xml:space="preserve">Is the Metropolitan master plan in a concurrent or nested timeline of validity with Municipal master plan?</t>
  </si>
  <si>
    <t xml:space="preserve">Check that timelines of the metropolitan and municipal level master plans/Master Plans, including ward level plans overlap (not exceeding the timeline of metropolitan plan). For example, If Metro plan is for 2001 to 2021, then municipal plan timeline should not exceed 2021. In case the city is not a metro region, it should be scored NA. </t>
  </si>
  <si>
    <t xml:space="preserve">Check that timelines of the metropolitan and municipal level master plans/Master Plans, including ward level plans overlap (not exceeding the timeline of metropolitan plan). Zonal development plans / planning districts can also be considered in place of ward development plans</t>
  </si>
  <si>
    <t xml:space="preserve">The Master Plan must have mention of 1) key development drivers for the sector - at least Jobs generated (both formal and informal), factories/compnaies started, increase in revenue and 2) quantitative and qualitative impact/outcome metrics for each driver. Some of the below metrics can be used for scoring:
• Increase workforce participation rate from current rate
• Total area of subsidised land that is to be set aside for development/redevelopment for primary/ secondary/Tertiary sector over the plan periods
• Number of jobs to be generated over the plan period from primary sector/ secondary and tertiary sector
• Number of street vendors serviced with hawker areas</t>
  </si>
  <si>
    <t xml:space="preserve">The Master Plan must have mention of 1) key development drivers for the sector - at least recreational + non recreational green spaces, urban forests, lakes, wetlands and other water bodies, climate change and pollution and 2) quantitative and qualitative impact/outcome metrics for each driver. Some of the below metrics can be used for scoring:
b) Environment and Disaster Management:
• Number of lakes and water bodies revived
• % of deforestation/reforestation during plan period
• Number of water bodies targeted to be revived/filled up for urban development
• % land area to be allocated to natural habitation for diverse ecology
• Number of projects developed on revival of natural habitats/increase in ecological diversity
• % reduction of pollution of all air, water, soil
• Number of natural environment assets – forests, hills, water bodies, dunes – with protective zoning buffers
• number of natural environment assets where protective buffer zone is violated
• Increase in successful initiatives on increasing solar/biogas energy usage in public utilities
• Number of successful initiatives on clean-tech innovation for public services
• Reduce the city’s greenhouse gas emissions </t>
  </si>
  <si>
    <t xml:space="preserve">"The Master Plan must have mention of 1) key development drivers for the sector - at least hygiene systems, healthcare quality and coverage, education quality and coverage, safety and security and 2) quantitative and qualitative impact/outcome metrics for each driver. some of the metrics can be used for scoring:
a) Education
• Increase in the coverage of anganwadi
• All four-year-olds receive access to free, full-day, high quality pre-kindergarten
• Ratio of primary schools to population to be serviced
• % of students graduating with job offers
• Improve access to school for physically and mentally challenged
b) Health care:
• Increase the coverage of dispensaries to population serviced
• Increase the coverage of home/child welfare/maternity centres to population serviced
• Increase the coverage of  hospitals to population serviced
• Increase the coverage of rehabilitation centres
• Increase the coverage of diagnostic centres
• Increase the percentage of public high school students who report meeting recommended levels of aerobic physical activity
• Reduce the spread of vector borne disease
• Increase the percentage of adult city dwellers who feel that they received the medical care they needed
• Reduce the number of traffic fatalities to zero
c) Affordable Housing :
• Number of notified slums to be rehabilitated/upgraded with infrastructure and services
• Estimating present and future housing shortage for the urban poor,  Financing new construction of affordable units and its preservation
• Increase the ratio of affordable housing supply to total housing stock
• % of affordable housing with easy access to livelihood opportunities
• % of affordable housing with easy access to transport networks"</t>
  </si>
  <si>
    <t xml:space="preserve">Check if the master plan mentions the following:
1) Key development drivers, for example, women's participation in the economy (both formal and informal), access to infrastructure and services
2) Quantitative and qualitative impact/outcome metrics for each driver.</t>
  </si>
  <si>
    <t xml:space="preserve">The MAP must be 1) A State Spatial Data Centre with a map available for use by all agencies and parastatals in the state and 2) must possess 7 key  layers - topography, geological hazards and sensitivities, green and agri land, water drainage system, street networks and block footprints, peripheral rural parcels and political and admin boundaries  + layers for all parastatals operating in the city (roads and allied infra, traffic, water and sewerage, Storm Water Drains, electricity, other underground utilities, land use, planning zone)</t>
  </si>
  <si>
    <t xml:space="preserve">Do the applicable Development Control/Zoning Regulations provide differentiated development controls appropriate to different spatial contexts within the city?</t>
  </si>
  <si>
    <t xml:space="preserve">Do not award credit merely because permissible land uses differ by zone. Score only where development-intensity/form controls — FAR/FSI, density, height, setbacks, plot coverage, mixed use, parking, street interface, or other built-form controls — are differentiated by spatial context.
Million-plus cities — identify which of the following contexts are applicable to the city: (a) core/old city, (b) peripheral/growth areas, (c) heritage/special areas, (d) TOD/transit-influence zones. Score out of 10 in components of 2.5 per applicable context in which the DCR prescribes a differentiated development-intensity/form standard. Where fewer than four contexts are applicable to the city, re-base the score to the applicable contexts only (e.g., 3 applicable contexts → score out of 7.5, rescaled × 10/7.5) and record the calculation used.
Other cities — Score 10 if the State framework differentiates development-intensity/form controls by at least two distinct city/town categories or planning contexts; Score 5 if such differentiation exists but is limited to a single parameter (e.g., only FAR varies); Score 0 if a uniform DCR/byelaw applies statewide with no contextual variation.
Not Applicable only if the city has no DCR/zoning-regulation instrument in force at all.</t>
  </si>
  <si>
    <t xml:space="preserve">Does the legal framework provide a defined mechanism for revision/amendment of DCRs, including when the Master Plan is revised?</t>
  </si>
  <si>
    <t xml:space="preserve">Review the applicable State Town Planning Act/Rules.
Score 10 — the Act/Rules specify a period revision/amending DCRs, AND explicitly require DCRs to be reviewed/aligned/updated consequent to master plan revision.
Score 5 — a mechanism for DCR amendment exists, but the law is wholly silent on any linkage to master plan revision.
Score 0 — no defined statutory mechanism for DCR revision/amendment exists.</t>
  </si>
  <si>
    <t xml:space="preserve">City Sanitation Plan</t>
  </si>
  <si>
    <t xml:space="preserve">Does the city have a City Sanitation Plan that clearly articulates development priorities, measurable objectives, and the roles and responsibilities of the ULG?</t>
  </si>
  <si>
    <t xml:space="preserve">UPD18a</t>
  </si>
  <si>
    <t xml:space="preserve">Does the city have a notified and active City Sanitation Plan?</t>
  </si>
  <si>
    <t xml:space="preserve">Check the master plan/ULB website/Parastatl website / Master plan document for the existence of a detailed CSP document. A one-pager drafted by cities for Swachh Bharat mission will not be considered</t>
  </si>
  <si>
    <t xml:space="preserve">UPD18b</t>
  </si>
  <si>
    <t xml:space="preserve">Check if it specifies measurable objectives or targets against the identified priorities, including quantitative or qualitative indicators, as appropriate. In the case of CSP, Examples may include targets relating to sanitation coverage, wastewater treatment, safe disposal of faecal sludge, reduction in untreated sewage discharge or elimination of identified sanitation service gaps. A general statement of intent, such as improving sanitation or achieving a clean city, without identifiable priorities and measurable objectives or targets, should not qualify.</t>
  </si>
  <si>
    <t xml:space="preserve">Score 3.3 where the CSP clearly articulates the role/responsibilities of the ULG in its preparation/implementation; score 0 otherwise.</t>
  </si>
  <si>
    <t xml:space="preserve">Check the master plan/ULB website/parastatal website/city website (including networks such as 100 Resilient Cities or C40) for the existence of a Climate Action Plan, City Resilience Strategy or Sustainability Strategy. The document must be formally adopted or approved by the competent authority (a Municipal Corporation/Council resolution, a Government Order, or integration into the statutory master plan/DP) to be scored.  Note:  draft, a consultant's report or an unadopted study will not be considered. Assess on content, not title: any of the three document types qualifies. A Disaster Management Plan may be considered as partial supporting evidence only, not as a full substitute.</t>
  </si>
  <si>
    <t xml:space="preserve">Check if it specifies measurable objectives or targets against the identified priorities, including quantitative or qualitative indicators, as appropriate. Examples may include greenhouse-gas emission-reduction or net-zero targets, targets for reducing exposure to heat, flooding or other climate hazards, and adaptation/resilience targets such as green cover, flood mitigation or water security. A general statement of intent, such as becoming climate-resilient or sustainable, without identifiable priorities and measurable objectives or targets, should not qualify.</t>
  </si>
  <si>
    <t xml:space="preserve">Check the master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t>
  </si>
  <si>
    <t xml:space="preserve">Check if it specifies measurable objectives or targets against the identified priorities, including quantitative or qualitative indicators, as appropriate. Examples may include a target to shift to a sustainable mode-share (public transport, walking and cycling), and actionable projects with measurable timelines, budget estimates and a phasing plan; other examples include targets for road safety or transport-related emissions. A general statement of intent, without identifiable priorities and measurable objectives or targets, should not qualify.</t>
  </si>
  <si>
    <t xml:space="preserve">Score 3.3 where the CMP clearly articulates the role/responsibilities of the ULG in its preparation/implementation; score 0 otherwise.</t>
  </si>
  <si>
    <t xml:space="preserve">Check the master plan/ULB website/parastatal website/city or district website for the existence of an Economic Vision or Economic Development Plan for the city. The plan must be formally adopted or approved by the competent authority (a Municipal Corporation/Council resolution, a Government Order, or integration into the statutory master plan/DP) to be scored - a draft, a consultant's report or an unadopted study will not be considered. &lt;need to confirm&gt;</t>
  </si>
  <si>
    <t xml:space="preserve">Check if it specifies measurable objectives or targets against the identified priorities, including quantitative or qualitative indicators, as appropriate. Examples may include targets for employment or job creation, growth in output or Gross Value Added (GVA), sector-specific development targets, or investment to be mobilised. A general statement of intent, such as making the city an economic hub, without identifiable priorities and measurable objectives or targets, should not qualify. &lt;need to confirm&gt;</t>
  </si>
  <si>
    <t xml:space="preserve"> For each, score 2.5 where the city has a dedicated cell/unit that is (i) formally constituted through a Government Order/notification, (ii) staffed - drawn from State/city/district government - with relevant subject-matter experts, and (iii) dedicated to that function for the city; score 0 otherwise. The cell may be housed within the ULG or within a city-level parastatal/agency. For towns with a population under one lakh, a shared cell/resource made available for the city at the State or district level qualifies for the full 2.5 for that sub-question. Evidence: constitution/Government Orders and staffing details on the ULG/parastatal/State websites, supplemented where necessary by RTI or email requests</t>
  </si>
  <si>
    <t xml:space="preserve">Does the city have  a dedicated Women's Welfare/Development Cell?</t>
  </si>
  <si>
    <t xml:space="preserve">Check if the T&amp;CP/municipal act mandates/has created design guidelines for executing projects for: </t>
  </si>
  <si>
    <t xml:space="preserve">1. Roads (all types: arterial, sub-arterial, collector, access, alleys etc.) and streetscapes (including over ground traffic);</t>
  </si>
  <si>
    <t xml:space="preserve">2. Footpaths;</t>
  </si>
  <si>
    <t xml:space="preserve">3. Underground public utilities (water, sewerage, SWD, electricity, internet, gas);</t>
  </si>
  <si>
    <t xml:space="preserve">4. Residential units; and</t>
  </si>
  <si>
    <t xml:space="preserve">5. Commercial buildings.</t>
  </si>
  <si>
    <t xml:space="preserve">Check whether the T&amp;CP/municipal Act (or rules, regulations or notified guidelines made under it) mandates urban design standards/guidelines for the execution of urban projects across five categories: (1) roads (all types) and streetscapes; (2) footpaths; (3) underground public utilities (water, sewerage, storm-water drainage, electricity, internet, gas); (4) residential units; and (5) commercial buildings. Award 1 point for each category for which such standards are mandated (5 categories x 1 = 5); score 0 for a category where none are mandated.</t>
  </si>
  <si>
    <t xml:space="preserve">Check whether the city has actually adopted/created urban design standards or guidelines to guide the execution of urban projects across the same five categories: (1) roads and streetscapes; (2) footpaths; (3) underground public utilities; (4) residential units; and (5) commercial buildings. Award 1 point for each category for which the city has adopted such standards (5 x 1 = 5); score 0 for a category where none exist. Evidence: notified bye-laws/design guidelines, the master plan/DP, and ULB/Development Authority/parastatal websites.</t>
  </si>
  <si>
    <t xml:space="preserve">Assessed through 2 sub-questions of 5 each. To qualify, the city must have a separate, standalone parking policy - parking provisions contained within the master plan, or other documents will not be considered</t>
  </si>
  <si>
    <t xml:space="preserve">Is there a clear mandate for a parking policy?</t>
  </si>
  <si>
    <t xml:space="preserve">Score 5 where there is a clear statutory or policy mandate for the city to prepare/adopt a standalone parking policy (for example in the municipal/T&amp;CP Act, a State urban transport or parking policy, or notified rules); score 0 otherwise.</t>
  </si>
  <si>
    <t xml:space="preserve"> Score 5 where the city's standalone parking policy has been adopted and implemented - evidenced by measures such as designated/notified parking-management areas, priced or regulated on-street parking, active enforcement, or a parking-management authority/plan; score 0 where the policy exists only on paper or is absent. Evidence: the adopted parking policy, and ULB/traffic-police/parastatal notifications and websites.</t>
  </si>
  <si>
    <t xml:space="preserve">Does the ULG have a Development Control Regulation (DCR) that is current and appropriately tailored to the city?</t>
  </si>
  <si>
    <t xml:space="preserve">Sum of the sub-questions below.</t>
  </si>
  <si>
    <t xml:space="preserve">For million-plus cities, is the DCR specific to the ULG?</t>
  </si>
  <si>
    <t xml:space="preserve">Review the applicable State Town &amp; Country Planning Act/Rules and the DCR itself.
Score 5 — the ULG has its own DCR, distinct from the generic state DCR, tailored to its built environment/master plan.
Score 2.5 — a city-specific DCR exists but is largely a copy of the state DCR with minimal ULG-specific modification.
Score 0 — the ULG relies entirely on the generic state DCR, with no city-specific version.</t>
  </si>
  <si>
    <t xml:space="preserve">Has the DCR been revised within the last 5 years?</t>
  </si>
  <si>
    <t xml:space="preserve">Review the DCR's notification date and any gazette notifications of subsequent amendments.
Score 5 — the DCR (or a substantive amendment) was notified within the last 5 years.
Score 2.5 — last substantively revised 5–10 years ago.
Score 0 — not revised in over 10 years, or no revision date can be established.</t>
  </si>
  <si>
    <t xml:space="preserve">Are DCR preparation and amendments required to go through public consultation before notification?</t>
  </si>
  <si>
    <t xml:space="preserve">Review the applicable State Town Planning Act/Rules governing DCR amendment.
Score 10 — public consultation is mandatory for ALL amendments to DCRs/zoning regulations, with a specified minimum notice period (e.g., 30/60 days), AND a requirement that objections be considered/responded to before final notification.
Score 7.5 — mandatory consultation with a specified minimum notice period, but no requirement to consider or respond to objections received.
Score 5 — mandatory consultation, but no minimum notice period is specified.
Score 2.5 — consultation is discretionary (“may invite objections”), or mandated only for certain categories of amendment (e.g., only “substantial” modifications).
Score 0 — no statutory requirement for public consultation before notifying DCR amendments; amendments may be notified solely by executive/government order.
Where consultation is required for master plan amendments generally, but a separate provision empowers government to amend DCRs directly without consultation, score against the DCR-specific provision.</t>
  </si>
  <si>
    <t xml:space="preserve">Check the T&amp;CP act or any publicly available policy document (state govt/Urban Development Department (UDD)/T&amp;CP Dept. website)/newspaper reports/Green Rating for Integrated Habitat Assessments (GRIHA)/Leadership in Energy and Environmental Design (LEED)/Confederation of Indian Industry (CII) websites for incentives such as rebate in property tax or charges connected to building permission/development charges or other such incentives for construction of green buildings. </t>
  </si>
  <si>
    <t xml:space="preserve">Part A: Check if the state has passed a land titling law OR passed an order/circular to certify land titles.
Part B: If there is a mandate by act, check if the rules for the same are notified.</t>
  </si>
  <si>
    <t xml:space="preserve">Part A: Check if the state has passed a land pooling OR passed an order/circular to certify land titles.
Part B: If there is a mandate by act, check if the rules for the same are notified.  Scoresheet to also capture : What form of land assembly/reconstitution mechanism does the framework provide? (A full TPS model and a standalone land-pooling model are not necessarily the same.)</t>
  </si>
  <si>
    <t xml:space="preserve">Check for the existence of an online portal / platform that acts as a one-stop solution for filing complete application for development projects (education, health, affordable housing) and provides option for tracking status of application. Availability of any 2 out of the 3 project types can also be considered for scoring. </t>
  </si>
  <si>
    <t xml:space="preserve">"Check if the T&amp;CP act/relevant UDA act/rules corresponding to such relevant provisions of the act, mandates the following aspects.
1. Registry of public projects
2. An approval authority for projects at each level defined within the MPC Act or the T&amp;CP act
3. A defined process for rejections/variance approvals for plans not in conformity with Master Plan defined in the MPC Act or the T&amp;CP act; and
4. Disclosure of all approvals, denials and variance approvals in the public domain.
Mark 'Yes' only if all four conditions apply."</t>
  </si>
  <si>
    <t xml:space="preserve">Is there an effective system to monitor ongoing constructions/projects  for possible violations?</t>
  </si>
  <si>
    <t xml:space="preserve">"Check if the T&amp;CP act/relevant UDA act/rules corresponding to such relevant provisions of the act, mandates the following processes.
1. Online self-assessment of progress including uploading of photographs and requisite compliance documents
2. Periodic ground surveys of approved projects (all/sample); and
3. Disclosure of all information (compliance numbers, violations registered and action taken) collected in survey in the public domain
Mark 'Yes' only if all three conditions apply."</t>
  </si>
  <si>
    <t xml:space="preserve">"Check if the T&amp;CP act mentions the penal provisions under the following heads (at least five of the below to mark as 'Yes'):
1. Building code violations (at plan approval stage, these codes dictate details such as electric, water, door/window dimensions etc.)
2. Plumbing and sewage violations (discharge of waste into any public land, alley, stream, sidewalk etc.)
3. Setback violations (setbacks are the minimum space required between the plot boundary and building)
4. Building height violations (maximum permissible height according to the location)
5. Energy efficiency/consumption violations (particularly for large-scale/commercial buildings)
6. Absence of rainwater harvesting systems
7. Plot access violations (the points of entry/exit to your building/plot in accordance with the road)
8. Parking violations (with respect to your building and the road)
9. Fire code violations (primarily important at both plan approval level and again at Occupancy Certificate (OC) level)
10. Requirements for earthquake/flood/tsunami/flood resistance (in disaster prone areas)
11. Building refurbishment without permit (addition/demolition/remodeling etc.)
12. Change in building use/function/occupancy without permits (dwelling to commercial use; warehouse to office space etc.)
13. Violations in floor area ratio (far) or floor space index (fish) (in accordance with zoning codes of the area)
14. Business signage/outdoor display boards (zoning codes dictate permissible size/location of these on top of buildings etc.)
15. Non-permitted uses (some zones strictly dictate only residential/only commercial/uses)
16. Nuisance violations (these might be advertisements, banners, pamphlets on buildings, flyovers, etc.)
17. loading/unloading regulations (for commercial and industrial buildings, service access, safety etc. as detailed out by building code)
18. Urban design regulations (includes streetscapes, pedestrian circulation, open areas, plazas, arcades etc.)
19. Flight obstruction areas (around major airports)
20. Historical conservation/preservation of buildings/areas of the city. (violations occur if such areas/structures are recognised to be of historical importance)
21. Junk and thrash violations (designated areas as described in the zoning code)"</t>
  </si>
  <si>
    <t xml:space="preserve">Question Code</t>
  </si>
  <si>
    <t xml:space="preserve">&lt;Enter Question Code only&gt;</t>
  </si>
  <si>
    <t xml:space="preserve">← Back to Scores (start here)</t>
  </si>
  <si>
    <t xml:space="preserve">&lt;CHECK IF EXCEL TAB NAME IS SAME AS QUESTION CODE: IF NOT, ENTER TAB NAME AS QUESTION CODE&gt;</t>
  </si>
  <si>
    <t xml:space="preserve">DO NOT ALTER FORMULA BELOW</t>
  </si>
  <si>
    <t xml:space="preserve">Second column counts only if the first is YES: first YES = half marks, both YES = full marks.</t>
  </si>
  <si>
    <t xml:space="preserve">SELECT YES / NO</t>
  </si>
  <si>
    <t xml:space="preserve">DO NOT ALTER FORMULA</t>
  </si>
  <si>
    <t xml:space="preserve">AUTO - DO NOT ENTER</t>
  </si>
  <si>
    <t xml:space="preserve">City</t>
  </si>
  <si>
    <t xml:space="preserve">Act Name/Web name/Doc name</t>
  </si>
  <si>
    <t xml:space="preserve">Chapter</t>
  </si>
  <si>
    <t xml:space="preserve">Provision</t>
  </si>
  <si>
    <t xml:space="preserve">Clause</t>
  </si>
  <si>
    <t xml:space="preserve">Page Number</t>
  </si>
  <si>
    <t xml:space="preserve">Points (Auto-generate)</t>
  </si>
  <si>
    <t xml:space="preserve">SCORER COMMENTS</t>
  </si>
  <si>
    <t xml:space="preserve">AI points</t>
  </si>
  <si>
    <t xml:space="preserve">Chapter I – Preliminary</t>
  </si>
  <si>
    <t xml:space="preserve">Section 4 (State Town-Planning Board); see also s.2(1a), s.4A(3), s.4A(5), s.4B(2)(ii), s.4C(1)</t>
  </si>
  <si>
    <t xml:space="preserve">s.4 (whole section)</t>
  </si>
  <si>
    <t xml:space="preserve">YES</t>
  </si>
  <si>
    <t xml:space="preserve">AI (low confidence), from Step 2 answer (Partially Answered) and ULG-02: Part A is left blank because the evidence is not found, not because the Board is absent. Section 4 of the Karnataka Town and Country Planning (KTCP) Act 1961 (ULG-02, PRS compilation, amended up to Act 38 of 2015) only enables a State Town-Planning Board: the State Government "may, by notification, constitute" it. It is not a 'shall' provision. The methodology says a 'may' provision earns Part A only if a government notification or order, or an official department or planning-body website, shows the Board was actually set up. No such notification, order or web page is in the Citation Sheet. Other sections require consulting "the Board": s.4A(3) and (5), s.4B(2)(ii) and s.4C(1). Section 2(1a) defines the Board as "constituted under this Act". These sections assume a Board exists but do not prove it was set up, so they are not enough. I did not score NO, because there is no affirmative absence: the Board may well exist and the sheet simply lacks the proof.
What I checked: KTCP Act sections 2(1a), 3, 4, 4A-4H and 51 (ULG-02). Section 3 (the Director of Town Planning, a 'shall' duty) is an official, not a board. Section 51 Joint Town Planning Boards are local bodies, not a state-level body. I also checked the KTCP Amendment Bill 2025 (ULG-03). It creates a Commissionerate and Commissioner (new ss.2A-2B) and makes the Greater Bengaluru Authority the planning authority (new s.81-G). It leaves s.4 unchanged and does not say the Board exists. It is also a Bill: its commencement depends on a notification, which is not in the sheet. I found nothing relevant in the Greater Bengaluru Governance Act 2024 (ULG-01), the GBG Amendment Bill (ULG-05), the BBMP Act 2020 (ULG-19), the BDA Act (ULG-04), the BMLTA Act (ULG-18) or the BMRDA pages (ULG-10/20/21). A sheet-wide search for 'State Town Planning Board' returned only ULG-02.
Part B = YES. Section 4 explicitly gives the Board the job of "advising the State Government regarding planning and development and for determining principles and policies for achieving the balanced development of the State as a whole". That is a state-level planning-policy mandate. The word 'reforms' is not used, but under the scorer notes the Board's functions match the intent of the question. Per the column, Part B counts only if Part A = YES.
To confirm: find the notification or GO constituting the State Town-Planning Board under s.4, or the official department web page showing it. Also find the KTCP Rules that set its membership. If either is found, Part A = YES and the score would be 10/10. Also check the official law department or gazette text and any amendments after 2015 (the Act text here is a PRS republication, a secondary source).
Quote: "4. State Town-Planning Board. —The State Government may, by notification, constitute a State Town-Planning Board for the State with such members and in such manner as may be prescribed for advising the State Government regarding planning and development and for determining principles and policies for achieving the balanced development of the State as a whole."
"Part A: State planning board provided / constituted" left blank: the Citation Sheet doesn't decide it.</t>
  </si>
  <si>
    <t xml:space="preserve">AI: left for a person. Step 2 found no evidence (Insufficient Evidence). Source needed: A readable consolidated text of the Gujarat Town Planning and Urban Development Act, 1976 (official Legislative and Parliamentary Affairs Department or UD&amp;UHD copy), checked section by section for any state town planning or spatial planning board. If the Act only says the government 'may' set one up, a Gujarat government notification or order constituting it, or the UD&amp;UHD / Chief Town Planner page describing it and its functions.</t>
  </si>
  <si>
    <t xml:space="preserve">Answer</t>
  </si>
  <si>
    <t xml:space="preserve">Chapter IA – Local Planning Areas and Planning Authorities (inserted by Act 14 of 1964); Chapter III – Master Plan</t>
  </si>
  <si>
    <t xml:space="preserve">Section 4C(1) read with Section 4A(1) and Section 9(1)</t>
  </si>
  <si>
    <t xml:space="preserve">s.4A(1) (declare any area in the State to be a Local Planning Area, or include an adjacent area); s.4C(1) (constitute a Planning Authority for that area); s.9(1) (every planning authority shall prepare a master plan within two years of the area being declared)</t>
  </si>
  <si>
    <t xml:space="preserve">AI (medium confidence), from Step 2 answer (Answered — Verified Source) and ULG-02: I checked the Step 2 answer against the text of ULG-02 and the source supports it. The source is the KTCP Act 1961, Karnataka Act 11 of 1963, in a PRS compilation with amendments up to Act 38 of 2015. Three provisions decide the answer. s.4A(1) says 'The State Government may by notification declare any area in the State to be a Local Planning Area for the purposes of this Act, or include within such local planning area, any area adjacent thereto'. s.4C(1) lets the State set up a 'Planning Authority' for that area by Gazette notification, as a body corporate with set membership (s.4C(2)-(3)). s.9(1), substituted by Act 1 of 2005, says 'Every planning authority shall ... not later than two years from the date of declaration of the local planning area, prepare and publish ... a master plan for such area'. Taken together, the Act provides for setting up a Planning Authority for any newly notified area. It also covers the methodology's other route: an adjacent area added to an existing planning area must be planned by that area's authority. On that basis the answer is YES. Points for a reviewer: (1) s.4C uses 'may', so setting up an authority is discretionary. The methodology only asks whether a provision exists, so this still counts as YES. (2) The Act has no clause naming 'new towns' or 'special developments'. The general power to notify a new Local Planning Area and set up its authority is what meets the test. (3) ULG-02 is a PRS compilation, a secondary source. Amendments after 2015 are not in the Citation Sheet. The 2025 KTCP Amendment Bill (ULG-03) is not shown to be enacted, so I did not rely on it. (4) The KTCP Rules and the Karnataka Urban Development Authorities Act 1987 are not in the Citation Sheet. They are not needed for a YES. Context only, not used for scoring: ULG-01 (GBA Act 2024) makes GBA the Planning Authority under the KTCP Act for the Greater Bengaluru Area, and ULG-04 (BDA Act s.67, which inserted KTCP s.81-B) does the same for BDA in the City of Bangalore.
Quote: "As soon as may be, after declaration of a local planning area, the State Government in consultation with the Board, may, by notification in the official Gazette, constitute for the purposes of the performance of the functions assigned to it, an authority to be called the “Planning Authority” of that area, having jurisdiction over that area."</t>
  </si>
  <si>
    <t xml:space="preserve">1 Preamble; 1.1 Short Title, Applicability &amp; Commencement</t>
  </si>
  <si>
    <t xml:space="preserve">Regulation 1.1.3 Applicability, Table 1.1: Classification of Development Authorities, ULB's and other areas</t>
  </si>
  <si>
    <t xml:space="preserve">Categories D5 (Section 5 ADAs for Special Project Areas), D1/D2/D4 (Section 22 UDAs and Section 22 or 5 bodies), D3 (Section 5 ADAs)</t>
  </si>
  <si>
    <t xml:space="preserve">AI (low confidence), from Step 2 answer (Partially Answered) and ULG-14: Why YES: Under the methodology, the question is whether the state town planning law (here the Gujarat Town Planning and Urban Development Act, 1976, the GTPUD Act) provides for setting up a planning authority for notified new areas or special developments. I checked the Step 2 answer against the sources and it holds up. The evidence is the CGDCR 2017 (ULG-14, the same text as ULG-05). This is a binding Gujarat UD&amp;UHD notification made under GTPUD Act s.116A/122. Its Table 1.1 records the state government's statement of the legal basis for bodies that already exist. Category D5 is Area Development Authorities 'Constituted under Section 5' of the GTPUD Act for 'Special Project Areas' (Alang, Ambaji, Shamlaji, Khambhaliya). This fits 'special developments' directly. Other categories are D1, D2 and D4 (Urban Development Authorities under s.22, including SUDA), D3 (Section 5 Area Development Authorities in Seismic Zone V) and D7A/D7B (authorities designated under s.6). 
Other sources point the same way. (1) The GTPUD (Amendment) Act 2017, appended in ULG-01 (p.90), amends ss.7(2) and 23(2) so that the State 'may' delegate 'the powers and functions of the Area Development Authorities' and 'of the Urban Development Authorities' to local authorities. This shows that both kinds of authority are created by the Act. (2) GTPUD Rules 1979 (ULG-04) rr.3 and 5 refer to the 'area declared as development area' and the 'area development authority or ... the authorized officer'. So where no authority is constituted, an authorised officer prepares the plan, which also fits the methodology's alternative test. (3) SUDA's DP 2035 report (ULG-06, p.13) says the 1976 Act 'made the provision for formation of Urban / Area Development Authorities' for growth beyond municipal limits.
What to check (why confidence is low): The operative text of GTPUD Act ss.3, 5 and 22 cannot be read in ULG-01 (PRS copy; the principal Act's pages are scanned or blank). So I could not quote the exact trigger ('development area' or 'urban development area' declared by notification) or the verb ('may' or 'shall'). The YES rests on a binding state regulation and on amendment and Rules text that refer to these sections, not on the sections themselves. A reviewer should get readable official text of ss.3, 5 and 22 to confirm. Also confirm that UPD2 scores YES = 10 and NO = 0; the methodology does not state bands. I did not check the Gujarat Special Investment Region Act or the GIDC Act 1962 because they are not in the Citation Sheet. They are not needed for YES, since the GTPUD Act provision is enough.
Quote: "D5(4) Area Development Authority (Constituted under Section 5 of The Gujarat Town Planning and Urban Development Act, 1976 (Special Project Areas) viz.:Alang Area Development Authority (AlADA)"</t>
  </si>
  <si>
    <t xml:space="preserve">Chapter III – Greater Bengaluru Authority (section on the GBA's functions)</t>
  </si>
  <si>
    <t xml:space="preserve">Section on the functions of the Greater Bengaluru Authority, sub-section (2) 'Planning Functions' (the section number is probably 14, but the excerpt does not confirm it)</t>
  </si>
  <si>
    <t xml:space="preserve">(2)(c)</t>
  </si>
  <si>
    <t xml:space="preserve">AI (medium confidence), from Step 2 answer (Answered — Verified Source) and ULG-01: Scored YES. Bengaluru is a metropolitan city. In the Greater Bengaluru Governance Act, 2024 (Karnataka Act 36 of 2025), the 'Planning Functions' sub-section, clause (2)(c), says the State Government 'shall constitute' the Bengaluru Metropolitan Planning Committee (BMPC). The BMPC covers an area 'including but not limited to the Greater Bengaluru Area', and its membership follows Article 243ZE. The same clause says a draft development plan for the Greater Bengaluru Area as a whole 'shall' be prepared. Both duties use 'shall', so this is a binding requirement for a metropolitan plan, not a 'may'. The methodology lets us count a metropolitan authority Act as evidence. Section 103(1)(b) of the same Act backs this up: Ward Development Plans must be drawn up 'in accordance with the plans prepared by the Bengaluru Metropolitan Planning Committee'.
On the regional side, the official BMRDA Functions page (ULG-10) says the Authority's functions 'shall be' to 'prepare a structure plan' for the Bangalore Metropolitan Region. This is only the website's restatement of the BMRDA Act, 1985. The Act's own text is not in the Citation Sheet, so it is supporting evidence only.
I checked the source against the Step 2 answer and it supports it. The YES rests on the GBA Act provision.
Caveats for the reviewer:
(1) Drafting mismatch: the clause sets up the 'BMPC' but gives the plan-preparing duty to the 'Bengaluru Metropolitan Planning Authority', a body the excerpt never creates. The duty is mandatory either way. A reviewer should check the official Gazette text, because ULG-01 is a PRS copy.
(2) The mandated plan covers the Greater Bengaluru Area 'as a whole', not the wider BMRDA region.
(3) I could not confirm the commencement date or the GBA era from the Sheet.
(4) ULG-02 (KTCP Act) was not fully searched for a regional-plan chapter. This does not affect a YES that already rests on a binding provision.
I scored only the Metropolitan/Regional sub-question (SQ, max 3.33).
Quote: "The Chief Commissioner of the Greater Bengaluru Authority shall be its Member Secretary. The Bengaluru Metropolitan Planning Authority shall prepare a draft development plan for the Greater Bengaluru Area as a whole"</t>
  </si>
  <si>
    <t xml:space="preserve">Appended Gujarat Act No. 14 of 2019 (Gujarat Local Authorities and Town Planning Laws (Amendment) Act, 2019), clause 9</t>
  </si>
  <si>
    <t xml:space="preserve">New s.10C(3) inserted into the Gujarat Metropolitan Planning Committees Act, 2008 (also s.10A(1)-(3))</t>
  </si>
  <si>
    <t xml:space="preserve">s.10C(3)(a)</t>
  </si>
  <si>
    <t xml:space="preserve">98</t>
  </si>
  <si>
    <t xml:space="preserve">AI (low confidence), from Step 2 answer (Partially Answered) and ULG-01: The Answer is left blank because the Citation Sheet does not show whether a metropolitan plan is mandatory. A 'NO' would need affirmative absence, and that is not possible here.
What the sources show: Gujarat law does provide for a metropolitan-level development plan. The 2019 amending Act (Guj. 14 of 2019) is appended to the PRS copy of the Gujarat Town Planning and Urban Development Act, 1976 (TPUD Act) in ULG-01. It inserts the following into the Gujarat Metropolitan Planning Committees Act, 2008 (MPC Act):
- s.10A(1): the State Government 'may', on receipt of the draft development plan submitted by the Metropolitan Planning Committee, sanction it, refuse it, or return it.
- s.10A(3): the final plan 'shall be binding on the concerned all authorities functioning in the metropolitan area'.
- s.10C(3)(a): a State-appointed officer shall assist the Committee 'in the preparation of the development plan under the Act'.
The same Act also amends the TPUD Act. It adds a proviso to s.9(1) and a new s.19A, which say the local development plan 'shall include' the spatial proposals of the sanctioned MPC plan.
These provisions only cover sanctioning (and s.10A(1) uses 'may'), the plan's binding effect, and help with preparing it. They assume a metropolitan plan will exist. None of them is itself a 'shall prepare' duty.
The provision that would decide this question is not in the Citation Sheet: the MPC Act, 2008's own section requiring the Committee to prepare a draft development plan for the metropolitan area.
What I checked:
- ULG-01: appended amendments only. The main TPUD Act text could not be found in what I could read, and searches turned up no regional plan provision.
- ULG-02: the 2019 Bill, with the same wording.
- ULG-03: the GPMC Act, 1949. It covers re-development plans only.
- ULG-04: the TPUD Rules, 1979. They cover the authority's development plan, not a metropolitan or regional plan.
- ULG-05/14/15/16: the CGDCR 2017.
- ULG-06: SUDA DP 2035. This is context only. It says the Surat Metropolitan area was declared under the MPC Act on 11/03/2016, and that as of 2017 the MPC development plan was 'not in place'.
- ULG-09: the NITI Aayog plan, which is non-statutory.
- Searches for 'regional plan' and 'Metropolitan Planning Committee shall prepare draft development plan' found no mandate.
Other caveats:
- The 2019 Act comes into force on a date the State notifies, and no commencement notification is in the sheet.
- ULG-01 is a secondary PRS republication.
ACTION: The research team should add the official text of the Gujarat MPC Act, 2008 (Guj. 18 of 2008) and check whether it says the MPC 'shall' prepare a draft development plan for the metropolitan area. If it does, and Surat's declared metropolitan area falls under it, 'YES' would likely be right. Otherwise this needs checking against the full TPUD Act text for any regional plan mandate.
Quote: "(a) assist the metropolitan planning committee in the preparation of the development plan under the Act;"
"Answer" left blank: the Citation Sheet doesn't decide it.</t>
  </si>
  <si>
    <t xml:space="preserve">Chapter III (heading 'Outline Development Plan' in the compilation, changed to 'Master Plan' by Act 1 of 2005)</t>
  </si>
  <si>
    <t xml:space="preserve">Section 9(1), Preparation of Master Plan (substituted by Act 1 of 2005 w.e.f. 14.2.2005)</t>
  </si>
  <si>
    <t xml:space="preserve">s.9(1); read with s.2(3-b) (definition of master plan), s.9(2) (Director fallback), s.10(1), s.12 and s.13-B</t>
  </si>
  <si>
    <t xml:space="preserve">AI (medium confidence), from Step 2 answer (Answered — Verified Source) and ULG-02: UPD3b asks whether the state planning law requires a municipal/city plan. The answer is YES. Section 9(1) of the Karnataka Town and Country Planning Act, 1961 (PRS compilation, amended up to Act 38 of 2015; s.9 is in its 2005 substituted form) says every planning authority 'shall' prepare and publish a master plan for its area within two years of the local planning area being declared. Section 2(3-b), inserted by Act 1 of 2005, defines a master plan as 'a plan for the development or re-development of the area within the jurisdiction of a planning authority'. That is the city-level spatial plan.
Other provisions back this up:
- s.9(2): if the planning authority misses the deadline, the State may authorise the Director to prepare the plan and recover the cost from the authority.
- s.10(1): the authority 'shall' declare its intention to prepare the plan.
- s.12: 'The Master Plan shall consist of' set contents, such as land-use zoning and the street pattern.
- s.13-B: a master plan is also required for any area added to the authority's jurisdiction.
So the plan is mandatory ('shall'), not discretionary ('may'). Revision under s.13-D is discretionary unless the State directs it, but that does not affect whether a city plan must exist.
Applying this to Bengaluru: KTCP s.81-B (inserted by BDA Act s.67) names the Bangalore Development Authority (BDA) as the planning authority. The Greater Bengaluru Governance Act, 2024 (ULG-01, 'Planning Functions' provision) makes the Greater Bengaluru Authority (GBA) the 'Planning Authority' under KTCP for the Greater Bengaluru Area. I checked this against the Step 2 answer and the source text; I did not re-read ULG-01 here. The State approves the plan, but the planning authority must prepare it.
What a person should check:
- When the GBA designation took effect, and whether the KTCP Amendment Bill 2025 (ULG-03) was enacted. Neither changes the answer, because s.9 binds whichever body is the planning authority.
- The text relied on is a PRS compilation, not the Gazette copy.
- The planning authority (BDA, now GBA) is a development or metropolitan authority, not the municipal council itself. The methodology lets a development authority Act count as evidence, so this should not matter.
One point for scoring: the sheet gives a max of 3.33 but no rubric bands, so YES is treated as full marks for this sub-question (3 x 3.33 for UPD3). The metropolitan and ward levels belong to UPD3a and UPD3c and are not assessed here.
Quote: "Every planning authority shall, as soon as may be, carry out a survey of the area within its jurisdiction and shall, not later than two years from the date of declaration of the local planning area, prepare and publish in the prescribed manner a master plan for such area and submit it to the State Government, through the Director, for provisional approval."</t>
  </si>
  <si>
    <t xml:space="preserve">Statement of Objects and Reasons (Gujarat Bill No. 21 of 2019, Gujarat Government Gazette Extra No. 21, Part V, 20-07-2019), with GTPUD Act s.9 and GTPUD Rules 1979 r.3</t>
  </si>
  <si>
    <t xml:space="preserve">Statement of Objects and Reasons, page 21-7 of the Gazette; GTPUD Act s.9(1) proviso inserted by Gujarat Act of 2019 (ULG-01); GTPUD Rules 1979 r.3 and r.5(1) (ULG-04)</t>
  </si>
  <si>
    <t xml:space="preserve">SOR para: 'the appropriate authorities under the Gujarat Town Planning and Urban Development Act 1976 (TP Act) are required to prepare the draft development plan'</t>
  </si>
  <si>
    <t xml:space="preserve">AI (medium confidence), from Step 2 answer (Partially Answered) and ULG-02: I answered YES. This is the city/municipal-plan sub-question (SQ, max 3.33), which asks whether the T&amp;CP Act requires a city plan; the methodology lets the development authority Act count as evidence. In Gujarat the GTPUD Act, 1976 is both the T&amp;CP Act and the Urban Development Authority Act. Several instruments in the Citation Sheet, read together, support a mandatory development plan, which works as the city's master plan:
(1) ULG-02 is the State Government's official Gazette text of the 2019 Bill. Its Statement of Objects and Reasons says the appropriate authorities under the TP Act 'are required to prepare the draft development plan'. It also says 'all three Tp Act, Mpc Act &amp; Dpc Act mandates to prepare the development plans' (the quote above copies the source's OCR spelling exactly, e.g. 'Aet', 'toprepare').
(2) ULG-01 (PRS copy) shows the 2019 amendment Act adding a proviso to s.9(1): 'the development plan shall include the proposals, with regard to spatial planning...'. It also adds s.19A: 'the appropriate authority shall include in the development plan...'. Both treat the s.9 development plan as a required instrument.
(3) ULG-04, the GTPUD Rules 1979, r.3: 'The authorized Officer shall prepare and submit the draft development plan after carrying out the survey of the area within the jurisdiction of the area development authority'. r.5(1) refers to the draft 'prepared and submitted to the State Government under section 9'.
(4) ULG-06, SUDA's DP-2035 report, is a description of the law, not the law. It says the plan was submitted under s.9 and 'as per section 21 of the Act, the development plan is to be revised once in 10 years'. Plans came into force in 1986 and 2004, and the draft DP-2035 was submitted on 9-5-2016.
I checked the Step 2 answer against these sources. It is right that the operative text of s.9(1) and s.21 is not readable in ULG-01: only the appended amendment Acts came back again when I re-read it.
Things a person should check:
(a) The 'shall' and any deadline in s.9(1), and the 10-year revision duty in s.21, are confirmed only indirectly. The evidence is the Government's own Statement of Objects and Reasons, the 2019 proviso and the Rules, not the operative section text. A reviewer may want the consolidated Act text.
(b) The plan is prepared by the appropriate authority for its development area. For Surat that is SUDA, whose area includes the SMC area, and the State Government sanctions it. SMC (the ULG) does not itself prepare a city-wide plan. ULG-03, the GPMC Act s.284F, covers only re-development plans for declared areas. I scored YES because the methodology expressly allows evidence from the development authority Act; confirm the rubric accepts a SUDA plan covering the city as the 'municipal/city plan'.
Confidence is medium because the answer rests on 2+ instruments read together and on the PRS copy.
Quote: "Although all three Tp Act, Mpc Act &amp; Dpc Aet mandates toprepare the development plans"</t>
  </si>
  <si>
    <t xml:space="preserve">Type of plan mandated (zonal / ward / local area)</t>
  </si>
  <si>
    <t xml:space="preserve">Chapter III (Master Plan) and Chapter V (Town Planning Schemes)</t>
  </si>
  <si>
    <t xml:space="preserve">Sections 9(1), 12(1), 13-A and 26(1), Karnataka Town and Country Planning Act, 1961 (as substituted by Act 1 of 2005)</t>
  </si>
  <si>
    <t xml:space="preserve">s.9(1); s.12(1)(a)-(g); s.26(1)</t>
  </si>
  <si>
    <t xml:space="preserve">AI (low confidence), from Step 2 answer (Partially Answered) and ULG-02: I have left 'Answer' blank because the evidence shows no ward or local plan in the Act text, but it does not prove one is absent from every layer of the law. A NO would score 0, and that needs every relevant instrument to have been read. The KTCP Rules, the official gazette copy and any amendments made between 2020 and 2025 are not in the Citation Sheet. My provisional finding is NO. If a reviewer confirms those missing layers add nothing, the Answer should be NO.
What I checked in ULG-02 (the KTCP Act 1961, a PRS secondary copy with amending Acts up to 2015 and the 2020 amendment appended):
(1) The list of sections and Chapter III. Act 1 of 2005 replaced the Outline Development Plan and the Comprehensive Development Plan with a single Master Plan for 'such area', meaning the whole local planning area (s.9(1), which says 'shall'). That Act also deleted ss.19-23 and 25.
(2) s.12(1). The Master Plan covers 'the entire planning area' and includes 'zoning of land use ... together with Zoning Regulations'. These are land-use zones inside the one plan, not a separate zonal plan level.
(3) s.13-A. The Interim Master Plan is a stop-gap Master Plan, not a lower level of plan.
(4) s.26(1). A Planning Authority 'may' make town planning schemes to carry out the Master Plan. This is optional, and the methodology excludes TPSs anyway.
(5) The Act provides for no zonal, ward or local area plan. Nothing in the metropolitan, municipal and ward set of three levels appears as a requirement.
I also read ULG-03, the KTCP and certain other laws (Amendment) Bill 2025. It only makes the GBA the planning authority for the Greater Bengaluru Area, sets up a Commissionerate and adds s.81-G. It adds no plan level.
The Ward Development Plans in the city government's own laws (GBA Act 2024 s.103(1)(b), ULG-01; BBMP Act 2020 s.2(65), ULG-19) are in municipal law, not the T&amp;CP Act. Under the GBA Act it is an annual priority list for allocating funds, so it does not count as a T&amp;CP ward plan.
Still missing: the KTCP plan-preparation Rules, an official or current consolidated text of the Act (only the PRS copy is in the sheet), and any amendments between 2020 and 2025.
Scorers' note: no zonal, ward or local-area plan requirement was found in the KTCP Act. The only plan below the Master Plan is the optional Town Planning Scheme, which is excluded.
Quote: "Every planning authority shall, as soon as may be, carry out a survey of the area within its jurisdiction and shall, not later than two years from the date of declaration of the local planning area, prepare and publish in the prescribed manner a master plan for such area and submit it to the State Government, through the Director, for provisional approval."
"Answer" left blank: the Citation Sheet doesn't decide it.</t>
  </si>
  <si>
    <t xml:space="preserve">Gujarat Town Planning and Urban Development (GTPUD) Act, 1976: amending Act published in Gujarat Government Gazette Ex. 13-04-2017, Part IV (appended to the PRS copy, pp. 90-92)</t>
  </si>
  <si>
    <t xml:space="preserve">Amends s.7(1)(ii) (Area Development Authority) and s.23(1)(ii) (Urban Development Authority), and adds s.76A(7)-(8) (Local Area Plan)</t>
  </si>
  <si>
    <t xml:space="preserve">s.23(1)(ii) as amended; s.76A(7)-(8)</t>
  </si>
  <si>
    <t xml:space="preserve">90</t>
  </si>
  <si>
    <t xml:space="preserve">AI (low confidence), from Step 2 answer (Partially Answered) and ULG-01: I left the Answer blank because the Citation Sheet does not contain the provision that would decide it.
1) What the evidence shows. The 2017 amendment to the GTPUD Act (ULG-01, pp. 90-91) adds the words 'or Local Area Plan' after 'town planning schemes' in s.7(1)(ii) and s.23(1)(ii). Those clauses list the functions of area and urban development authorities. The amendment also adds s.76A(7)-(8). Under these, when the State Government sanctions a Local Area Plan (LAP) under s.76A(6)(a), it must say where the plan can be inspected and when its liabilities take effect; (8) covers eviction and enforcement. So the T&amp;CP Act does recognise a sub-development-plan instrument, the LAP.
2) What is missing. The text of s.76A(1)-(6) is not in the Sheet. That is the part that would say who prepares an LAP, for which areas, and whether preparation is mandatory ('shall') or optional ('may'). I searched ULG-01 three times for it, and also searched the whole Sheet, and could not find it. The original wording of s.7(1)(ii) and s.23(1)(ii) is not available either, so I cannot tell whether the authority must do these things or only may.
3) Why not YES. Being listed as a function, plus State sanction under s.76A(6)-(7), shows that LAPs exist. It does not show a mandate for a third tier of plan at zone or ward level. Nothing I saw ties LAPs to zones or wards, or requires them across the whole city.
4) Why not NO. A NO needs affirmative absence, and the decisive section is unread.
5) Other sources checked:
- 2019 Amendment Act (ULG-01, pp. 93-98; ULG-02 is its Bill): links the development plan to the Metropolitan and District Planning Committee plans (s.19A; s.10A-10C of those Acts). These are upper tiers only.
- GTPUD Rules, 1979 (ULG-04): written before LAPs existed. No LAP or zonal-plan rule seen.
- CGDCR 2017 (ULG-05/14), reg. 2.66: defines an LAP as 'a plan prepared for a specific area or a zone by the competent authority'. The LAP mandates for the CBD and transit-oriented zones apply to AUDA only. In any case these are regulations, not the Act.
- Gujarat Provincial Municipal Corporations Act s.284E-F (ULG-03): re-development plans, which the Corporation may make at its discretion. Not a third tier.
- SUDA Development Plan 2035 (ULG-06): implemented through town planning (TP) schemes, which the methodology excludes.
Plan type to note in comments: Local Area Plan (an area- or zone-specific plan prepared by the appropriate authority and sanctioned by the State under GTPUD s.76A). It is not a ward plan.
For the reviewer:
(a) Get GTPUD s.76A(1)-(6), inserted by a pre-2017 amendment, from the Gujarat Legislative and Parliamentary Affairs Department or the Urban Development and Urban Housing Department (UD&amp;UHD), to confirm 'shall' versus 'may' and the area coverage.
(b) Decide whether an LAP sanctioned by the State for a specific area counts as a 'zone/ward level' third tier under UPD3c.
Version relied on: GTPUD Act as amended up to Gujarat Act 14 of 2019 (PRS copy). The Step 2 answer's description of the evidence matches the source.
Quote: "in sub-section (1), in clause (ii), after the words "town planning schemes", the words "or Local Area Plan" shall be inserted;"
"Answer" left blank: the Citation Sheet doesn't decide it.</t>
  </si>
  <si>
    <t xml:space="preserve">Chapter III – Greater Bengaluru Authority</t>
  </si>
  <si>
    <t xml:space="preserve">Section 14(2) (Planning Functions)</t>
  </si>
  <si>
    <t xml:space="preserve">14(2)(a); see also s.3 (Declaration of the Greater Bengaluru Area) and s.15(1)</t>
  </si>
  <si>
    <t xml:space="preserve">AI (low confidence), from Step 2 answer (Partially Answered) and ULG-01: I left the answer blank because the documents that decide this question are not in the Citation Sheet. The method says the primary source is the notification or text defining the planning area, plus the plan map. The Sheet has no master plan in force for Bengaluru, no notification declaring a planning area and no plan map. It also lacks the s.3 notification declaring the Greater Bengaluru Area and the s.7(3) final notification setting City Corporation boundaries. I checked the Step 2 answer against the sources and agree that it is only partly answered.
What the law says: GBA Act 2024 s.14(2)(a) makes GBA the Planning Authority under the KTCP Act 'for the areas comprising of the Greater Bengaluru Area'. It applies 'notwithstanding anything contained in any other law'. s.15(1) makes GBA responsible for the master plan for that area, and that same area holds the City Corporations (s.4, s.5). Read together, the law points to a planning area that matches the city government's area. That would score YES (10). But this is the legal design only. It does not show where the boundary of the plan in force actually runs.
Competing arrangement:
- KTCP Act (ULG-02, PRS compilation to 2015) s.2(7)(a)(i) and s.81-B still make BDA the Planning Authority for the City of Bangalore. The same wording appears in BDA Act s.67 (ULG-04), whose 2026 amendment (Act 42 of 2026) changes only s.10 and s.38D, not planning jurisdiction.
- The KTCP amendment Bill 2025 (ULG-03) would split planning between GBA (the Greater Bengaluru Area) and BDA (the BMA excluding the Greater Bengaluru Area). The Sheet does not show it was enacted or brought into force.
- BCAP 2023 (ULG-16) is a secondary, BBMP-era source. It describes the BDA plan area (the BMA) as BBMP plus 251 villages, about 1,294 sq km. If BDA's RMP 2015 is still 'the city plan', the test is whether those 251 villages are included whole. The Sheet does not show the village list or a map.
- GBA Act s.7(1) and the s.7(4) proviso allow parts of local bodies to be included. That concerns the outer boundary of the Greater Bengaluru Area, not proof that the plan boundary splits a unit.
Why not NO: a NO (score 0) needs affirmative evidence that the boundary splits a unit, and there is none. Absence cannot be confirmed either, because the plan and notification are not in the Sheet.
What I checked: ULG-01 (s.3, s.4, s.5, s.7, s.14(2), s.15, s.26), ULG-02, ULG-03, ULG-04 (s.67 and Act 42 of 2026), ULG-16 and ULG-20, plus a search of the whole Sheet for the local planning area, master plan and villages.
A person needs to:
(a) decide which plan is the operative municipal/city plan: BDA's RMP 2015 or a GBA master plan;
(b) get the planning-area notification and map, or the RMP 2015 approval notification with its village list, and check the 251 villages are whole;
(c) get the s.3 Greater Bengaluru Area notification;
(d) confirm whether the KTCP amendment of 2025 has been enacted.
Quote: "(a) the Greater Bengaluru Authority shall be the “Planning Authority” as defined under the Karnataka Town and Country Planning Act, 1961, for the areas comprising of the Greater Bengaluru Area;"
"Answer" left blank: the Citation Sheet doesn't decide it.</t>
  </si>
  <si>
    <t xml:space="preserve">Chapter 21: Proposed Land-use (submitted under section 16)</t>
  </si>
  <si>
    <t xml:space="preserve">Section 21.1 Exclusion of Villages; Table 153 (area and population) and its Note</t>
  </si>
  <si>
    <t xml:space="preserve">Report pp.216-217 (pdf pp.233-234)</t>
  </si>
  <si>
    <t xml:space="preserve">234</t>
  </si>
  <si>
    <t xml:space="preserve">NO</t>
  </si>
  <si>
    <t xml:space="preserve">AI: left for a person. Step 2 found no evidence (Human Verification Required). Source needed: The Gujarat UD&amp;UHD notification sanctioning SUDA's Final Development Plan (GH/V/157 of 2020, dated 08.10.2020), with its schedule and plan map of the development area. The current s.22 notifications defining SUDA's development area, including whether Khajod is still outside SUDA and whether Velanja, Sandhiyer and Paria are still only partly included. The current SMC boundary notification.</t>
  </si>
  <si>
    <t xml:space="preserve">Final chapter (miscellaneous provisions), BBMP Act 2020</t>
  </si>
  <si>
    <t xml:space="preserve">Section 367 (Metropolitan Planning Committee)</t>
  </si>
  <si>
    <t xml:space="preserve">Sub-sections (6) and (8)</t>
  </si>
  <si>
    <t xml:space="preserve">118</t>
  </si>
  <si>
    <t xml:space="preserve">AI (low confidence), from Step 2 answer (Partially Answered) and ULG-19: I left the Answer blank: the evidence is not found, not absent. The law that would decide this, the Bangalore Metropolitan Region Development Authority (BMRDA) Act 1985 and any rules made under it, is not in the Citation Sheet. That is the regional-planning law for the Structure Plan (Revised Structure Plan 2031). Without it I cannot answer YES, and I cannot show affirmative absence for a NO.
What I checked:
(1) ULG-19, BBMP Act 2020 s.367. Under s.367(6) the Metropolitan Planning Committee 'shall prepare a draft development plan'. Under s.367(8) the Chairman 'shall forward' the plan to the State Government. The verb is 'forward'. No approval by the state is stated, and this section may have been superseded by the GBA Act.
(2) ULG-01, GBA Act 2024 (Kar. Act 36 of 2025), planning-functions clause (2)(c). It sets up the Bengaluru Metropolitan Planning Committee (BMPC), chaired by the Chief Minister, under Article 243ZE. The Committee prepares a draft development plan for the Greater Bengaluru Area. The text I read has no state-approval step.
(3) ULG-02, KTCP Act 1961 (PRS text, amended to 2015). Sections 13 and 13-B require state approval of a Master Plan prepared by a local Planning Authority. That is a local plan, not a metropolitan or regional plan. My searches found no regional-plan approval provision in this Act. The Act was not read in full.
(4) ULG-03, KTCP Amendment Bill 2025. This is a bill, not shown to be enacted. It changes which body is the planning authority (GBA or BDA) but has no regional-plan approval provision.
(5) ULG-10, BMRDA Functions page. It lists the function 'to prepare a structure plan' and says nothing about approval.
(6) ULG-18, BMLTA Act. Its state approval in s.21(4) covers only the Comprehensive Mobility Plan, which is not the metropolitan/regional plan.
The Step 2 'Partially Answered / not determined' result holds up against the sources.
For the reviewer:
(a) Add the BMRDA Act 1985 sections on preparing and approving the Structure Plan, from an official Karnataka source, and any BMRDA rules.
(b) Confirm which instrument counts as Bengaluru's 'metropolitan/regional plan'.
(c) Check whether rules prescribe a BMPC procedure that includes state approval.
Quote: "(8) The Chairman of the Metropolitan Planning Committee shall forward the development plan, as recommended by such Committee, to the State Government."
"Answer" left blank: the Citation Sheet doesn't decide it.</t>
  </si>
  <si>
    <t xml:space="preserve">Gujarat Local Authorities and Town Planning Laws (Amendment) Act, 2019 (Gujarat Act No. 14 of 2019), clause 9, which inserts new sections 10A-10C into the Gujarat Metropolitan Planning Committees Act, 2008</t>
  </si>
  <si>
    <t xml:space="preserve">MPC Act s.10A(1)-(3)</t>
  </si>
  <si>
    <t xml:space="preserve">s.10A(1)(a) and (b); s.10A(2) (final development plan); s.10A(3) (binding effect). Gazette Ex. 19-08-2019, PRS copy p.97</t>
  </si>
  <si>
    <t xml:space="preserve">97</t>
  </si>
  <si>
    <t xml:space="preserve">AI (low confidence), from Step 2 answer (Partially Answered) and ULG-01: Answer: YES, with low confidence and points for a person to check.
(1) The metropolitan plan. MPC Act s.10A(1), inserted by Gujarat Act 14 of 2019, says: 'The State Government may, on receipt of the draft development plan submitted by the Metropolitan Planning Committee, by notification in the Official Gazette, either' (a) sanction or refuse to sanction it, or (b) return it for changes. The OCR of this opening line in ULG-01 p.97 is garbled but readable. Under s.10A(2), only the plan the State sanctions becomes the 'final development plan', and it comes into force on a date the State notifies. Under s.10A(3), only that plan binds all authorities in the metropolitan area. Variations also need State sanction (s.10B), and the State's decision on disputes is final (s.10C(2)). The word 'may' sets the State's choice of outcome: sanction, refuse or return. It does not make State approval optional. No other body can sanction the plan, and no plan becomes final without the State. So I read this as State approval being required by law. A person should confirm this reading of 'may'.
(2) A second route via the development authority plan (GTPUD Act). If Surat's regional plan is taken to be the SUDA development plan, State approval is again required:
- GTPUD Rules 1979 r.3 (ULG-04): the officer 'shall submit the same to the State Government through the Chief Town Planner'.
- Rule 5 refers to the plan 'submitted to the State Government under section 9'.
- Gazette Ex. No.124 of 24-03-2025 (ULG-17) shows the SUDA Final Development Plan 'was sanctioned under Government Notification ... dated 08.10.2020', and its variation is made by the State under GTPUD s.19(1).
(3) Points to check:
- (a) s.1(2) of the 2019 amending Act says it comes into force on a date the State notifies. No commencement notification is in the Citation Sheet, so it is not proven that MPC s.10A is in force. The GTPUD route in point 2 does not depend on this.
- (b) The MPC amendment text exists only as a PRS republication (ULG-01, ULG-02), which is a secondary source.
- (c) The GTPUD Act's own sanctioning section (s.17) and the original 2008 MPC Act text are not in the Citation Sheet.
- (d) The Surat Metropolitan Area was declared under the MPC Act on 11/03/2016 (ULG-06). A person should confirm whether the MPC plan or the SUDA plan is the 'metropolitan/regional plan' for Surat.
(4) Step 2 answer. I agree with its reading of the source. Its quote is accurate.
Period: MPC Act as amended in 2019 (commencement not established); SUDA plan sanctioned 08.10.2020; variation notice 24-03-2025.
Quote: "(a) sanction or refuse to sanction the draft development plan so received for the whole of the area covered by the plan or separately for any part thereof, either without modification, or subject to such modification, as it may consider proper; or (b) return the draft development plan to the metropolitan planning committee or the authorized officer, as the case may be, for modifying the plan as it may direct."</t>
  </si>
  <si>
    <t xml:space="preserve">Chapter III (Outline Development Plan / Master Plan)</t>
  </si>
  <si>
    <t xml:space="preserve">Section 13 (Approval of the Master Plan), as substituted by Act 1 of 2005</t>
  </si>
  <si>
    <t xml:space="preserve">s.13(3); see also s.9(1), s.13(4), s.13-D, s.81-C</t>
  </si>
  <si>
    <t xml:space="preserve">AI (low confidence), from Step 2 answer (Partially Answered) and ULG-02: I left 'Answer' blank. The evidence strongly points to NO, but a NO scores 0, and a 0 needs proof that every legal layer was checked and found silent. The Citation Sheet does not let me show that.
What the sources say:
(1) KTCP Act 1961 (ULG-02, PRS compilation, amendments up to Act 38 of 2015). Under s.9(1) the Planning Authority 'shall' send the master plan 'to the State Government, through the Director, for provisional approval'. Under s.13(3) the State Government 'shall... give its final approval'. Under s.13(4) the plan is published 'as finally approved by the State Government'. Under s.81-C, plans in the Bangalore Metropolitan Region go 'to the State Government through the Bangalore Metropolitan Region Development Authority for approval'. BMRDA is a development authority, not the Metropolitan Planning Committee (MPC). None of the text I read has an MPC or District Planning Committee approval step.
(2) GBA Act 2024 (ULG-01). Under s.14(2)(a) GBA is the Planning Authority under the KTCP Act. Under s.14(2)(c) the State 'shall constitute' the BMPC. The Act then says the 'Bengaluru Metropolitan Planning Authority shall prepare a draft development plan for the Greater Bengaluru Area as a whole' (wording exactly as written). That is a power to prepare, not to approve the GBA Master Plan. Under s.15(1) GBA 'shall be responsible to make master plan'. Under s.103(1)(b) ward plans must conform to BMPC plans, which is not an approval power.
(3) KTCP Amendment Bill 2025 (ULG-03, passed by the Assembly; enactment not shown). It adds s.81-G (GBA as local planning authority) and the Commissionerate. It does not change s.13 and adds no MPC approval.
(4) GBA (Amendment) Bill 2025 (ULG-05) only amends ss.8 and 14(1). No planning-approval change.
Bengaluru is a metropolitan city, so the methodology's 'approval by the State' fallback does not apply. Approval by the State would mean NO.
Why blank, not NO: the Citation Sheet does not contain the KTCP Rules, a consolidated KTCP text with amendments after 2015 (2016–2024), any rules or notification under GBA s.14(2)(c) setting BMPC functions, or the BMRDA Act 1985. Without these, the absence of an MPC approval step cannot be confirmed across every layer.
Action for the research team: add these instruments. If none of them requires MPC or BMPC approval of the GBA Master Plan, enter NO (score 0).
Quote: "The State Government, after receiving the plan and the reports and the recommendations for modifications from the Planning Authority, shall, in consultation with the Director, give its final approval to the plan and the reports with such modifications as the Director may advice in the light of the comments and the recommendations of the Planning authority or otherwise."
"Answer" left blank: the Citation Sheet doesn't decide it.</t>
  </si>
  <si>
    <t xml:space="preserve">Chapter II (applied to urban development authorities by Rule 8, Chapter III)</t>
  </si>
  <si>
    <t xml:space="preserve">Rule 7, Gujarat Town Planning and Urban Development Rules, 1979</t>
  </si>
  <si>
    <t xml:space="preserve">Rule 7(1); see also Rule 6(1)-(2) and Rule 8</t>
  </si>
  <si>
    <t xml:space="preserve">AI: left for a person. Step 2 found no evidence (Human Verification Required). Source needed: The full consolidated text of the Gujarat Metropolitan Planning Committees Act, 2008 (Guj. 18 of 2008), especially its MPC functions and plan-preparation sections. Also the readable original text of GTPUDA 1976 ss.9-17 (preparation, submission and sanction of the development plan). Both are needed to confirm that no provision requires MPC approval of the city/municipal plan, before a 0 can be scored.</t>
  </si>
  <si>
    <t xml:space="preserve">Chapter V-VII (Town Planning Schemes); Chapter III (Master Plan)</t>
  </si>
  <si>
    <t xml:space="preserve">Section 34(3); see also Sections 13(3), 13-A(1), 13-B, 45(1)</t>
  </si>
  <si>
    <t xml:space="preserve">s.34(3): the State Government sanctions draft town planning schemes; s.13(3): the State Government gives final approval of the Master Plan</t>
  </si>
  <si>
    <t xml:space="preserve">51</t>
  </si>
  <si>
    <t xml:space="preserve">AI (low confidence), from Step 2 answer (Partially Answered) and ULG-02: I left Answer blank because the Citation Sheet does not show the provision is absent. The evidence points toward NO.
What the Karnataka Town and Country Planning (KTCP) Act (ULG-02, PRS compilation to Act 38 of 2015) says:
- The only local-level plan in the Act text read is the town planning scheme. Under s.34(2)-(3) the Planning Authority submits it and the State Government sanctions it. Under s.45(1) the State also sanctions the final scheme.
- The Master Plan gets final approval from the State Government (s.13(3)).
- An Interim Master Plan, even for 'any part' of the area, follows the same s.13 State approval route (s.13-A(1)).
- A Master Plan for an additional area also goes to the State for sanction (s.13-B).
- I found no zonal, ward or local area plan in the Act that the city government approves.
Other instruments checked:
- **KTCP Amendment Bill, 2025 (ULG-03):** it makes the Greater Bengaluru Authority (GBA) the Planning Authority (s.2(7)(a)(i), new s.81-G) and adds a Commissionerate. It contains no ward or zonal plan approved by the city government. It is also a Bill whose commencement is still to be notified.
- **Greater Bengaluru Governance (GBG) Act, 2024 (ULG-01), Planning Functions (2)(a)-(c):** the GBA is the KTCP Planning Authority, which prepares plans and does not approve them. The Bengaluru Metropolitan Planning Committee (BMPC), chaired by the Chief Minister, prepares the draft development plan for the area as a whole.
- **GBG Act s.2(79) 'Ward development plan':** this is a budget plan 'prepared by the Ward Committee for the allotment of budget to it by the City Corporation'. It is not a statutory spatial ward or zonal plan. The law also says 'submit', not 'approve'.
- **GBG Act, Ward Action Plan and s.279 Ward Micro Plan:** these are solid waste management plans, not spatial plans.
Why NO cannot be entered (no affirmative absence): the KTCP Rules, the zoning regulations for the Greater Bengaluru Area and any planning rules under the GBG Act are not in the Citation Sheet. I also saw the KTCP Act only as excerpts, so I could not search its full text for 'zonal plan' or 'local area plan'.
For the reviewer:
1. If you accept that the scope is the T&amp;CP Act alone, the provisions read support NO. Every plan type there is approved by the State Government, not the city government.
2. Confirm that the GBG Act's budget-type Ward Development Plan should not count as a 'ward plan'.
Period: KTCP Act as amended to 2015; GBG Act as enacted (notification of 24.04.2025), GBA era.
Quote: "After receiving such application and after making such inquiry as it may think fit, the State Government, in consultation with the Director, may by notification, within six months from the date of its submission, either sanction such scheme with or without modifications and subject to such conditions as it may think fit to impose, or refuse to give sanction."
"Answer" left blank: the Citation Sheet doesn't decide it.</t>
  </si>
  <si>
    <t xml:space="preserve">Amendment published in Gujarat Government Gazette Ex. 13-04-2017, appended to the GTPUD Act 1976 (PRS copy), p.90-91</t>
  </si>
  <si>
    <t xml:space="preserve">GTPUD Act 1976, s.76A(7), inserted 2017</t>
  </si>
  <si>
    <t xml:space="preserve">s.76A(7), which refers to s.76A(6)(a)</t>
  </si>
  <si>
    <t xml:space="preserve">AI (low confidence), from Step 2 answer (Partially Answered) and ULG-01: I left the Answer blank. Every source I could read says the State Government, not Surat Municipal Corporation (SMC), gives final approval to local plans. That points to NO, but I could not show affirmative absence, so a NO cannot be entered yet.
What the sources show:
(1) GTPUD Act s.76A(7), inserted in 2017 (ULG-01, p.90-91): Local Area Plans are sanctioned by the State Government under s.76A(6)(a), by notification. The same amendment adds a proviso to s.49(1)(b) that refers to a 'Draft Town Planning Scheme sanctioned under sub-section (2) of section 48 and in line with the notification of the Government'. The amended ss.7(2) and 23(2) say the State 'may' delegate a development authority's powers to the local authority. That is optional, not a requirement for SMC approval.
(2) GTPUD Rules 1979 (ULG-04): rules 16-18 give SMC, as the 'appropriate authority', the job of passing the resolution declaring a scheme (s.41) and of making and publishing the draft scheme (s.42). Rule 36(2) has the State Government sanction amendments to scheme regulations. I found no rule that makes SMC the approving body.
(3) DP-2035 report (ULG-06, p.44): 'draft schemes of SMC were sanctioned by the State Government in March, 2016'.
(4) CGDCR Part II (ULG-15): the authority prepares local area plans 'and seek approval of it from the government'.
(5) Municipal Act s.284F (GPMC Act, ULG-03): the Commissioner prepares a re-development plan 'with the approval of the Corporation'. It goes 'first to the Corporation and then to the State Government for approval'. The Corporation's approval is a middle step for a special re-development area, the State gives final approval, and the provision is in the Municipal Act, not the planning Act the method names. A reviewer should still decide whether ASICS counts it.
Why no NO: the text of GTPUD s.76A(1)-(6) (how Local Area Plans are prepared and processed) and ss.41-48 (how Town Planning Schemes are declared, made and sanctioned) could not be found in ULG-01. Repeated reads of the PRS copy returned only the amendment Acts appended at the end. So I cannot rule out a step in the Act where the ULG must approve a plan. Under the affirmative-absence rule, a NO, which scores 0, cannot be entered yet.
The Step 2 answer is consistent with what the sources say.
REVIEWER: read GTPUD s.76A(1)-(6) and ss.41-48 in full. If they confirm that the State sanctions and that SMC only declares, prepares and submits, enter NO.
Versions read: GTPUD Act as amended in 2017 and by Gujarat Act 14 of 2019; GTPUD Rules 1979; GPMC Act as modified up to 30-11-2017; CGDCR notified 12-10-2017.
Quote: "Where the State Government sanctions the Local Area Plan under clause (a) of sub-section (6), it shall state in the notification-"
"Answer" left blank: the Citation Sheet doesn't decide it.</t>
  </si>
  <si>
    <t xml:space="preserve">Points = share of YES answers x Max Score (each part carries an equal share).</t>
  </si>
  <si>
    <t xml:space="preserve">Chapter III (Master Plan); Chapter V (Town Planning Schemes)</t>
  </si>
  <si>
    <t xml:space="preserve">Section 12 (Contents of Master Plan, substituted by Act 1 of 2005); Sections 26 and 32 (Making of town planning scheme and its contents; Contents of draft scheme)</t>
  </si>
  <si>
    <t xml:space="preserve">s.12(1)(a)-(g), 12(2)(i)-(iv), 12(3); s.26(1), 26(2)(a)-(k); s.32(a)-(g)</t>
  </si>
  <si>
    <t xml:space="preserve">AI (low confidence), from Step 2 answer (Partially Answered) and ULG-02: Source: KTCP Act 1961, PRS compilation amended up to Act 38 of 2015 (a secondary copy). The Greater Bengaluru Authority (GBA) is the Planning Authority for the Greater Bengaluru Area: GBG Act s.14(2)(a) in ULG-01, and the proposed s.81-G in the 2025 Amendment Bill (ULG-03). Inputs, one by one. (1) MUNICIPAL/CITY = YES. s.12(1) sets the objective: maps and documents showing how 'the development and improvement of the entire planning area ... are to be carried out and regulated'. It also lists mandatory contents ('shall include proposals for' items (a) to (g)): land-use zoning with Zoning Regulations, street pattern and traffic circulation, parks, open spaces and public buildings, future expansion areas, reservations and land for acquisition, areas of special control, and stages of implementation. s.12(2) requires reports and zone regulations, and s.12(3) requires heritage buildings and precincts. I checked this against the source and it supports the Step 2 finding. (2) WARD/LOCAL = YES, but a reviewer should confirm. s.26(1) gives the objective of a town planning scheme: 'for the purpose of implementing the proposals in the Master Plan', for 'the area within its jurisdiction or any part thereof', so it is a sub-city, local-level spatial plan. s.26(2) lists its possible contents: layout or re-layout, reclamation, streets, buildings, reservations for roads, open spaces, schools, markets and so on, drainage, lighting, water supply, heritage, and building and use restrictions. That list uses 'may make provisions for any of the following'. But s.32 makes the contents of the draft scheme mandatory: it 'shall contain the following particulars', items (a) to (g). The methodology only asks that the Act 'broadly mention what each level of spatial plan should cover', and these sections do that for the local level. CAVEAT: this rests on treating a town planning scheme as the 'ward(s)/local plan'. The KTCP Act has no ward-level spatial plan. The GBG Act s.103(1)(b) Ward Development Plan is a budget-priority list, sits outside the T&amp;CP Act, and was not credited. If reviewers decide a town planning scheme does not count as a local plan, change this input to NO, which leaves 3.33. (3) METROPOLITAN/REGIONAL = blank (not found, not affirmatively absent). The KTCP Arrangement of Sections, as compiled to 2015, has no regional or metropolitan plan chapter. The 2025 KTCP Amendment Bill (ULG-03) only adds the Commissionerate (s.2A/2B), the planning-area definitions and s.81-G, with no regional plan contents. However, amendments between 2016 and 2024 and the KTCP Rules are not in the Citation Sheet, so a 0 cannot be confirmed. Two related sources do not count because they are outside the T&amp;CP Act: GBG Act s.14(2)(c), which on the Metropolitan Planning Committee only refers to Article 243ZE and lists no contents, and the BMRDA Act 1985 Structure Plan, which is not in the Sheet. If the current consolidated KTCP Act confirms there is no regional plan, the input would be NO, giving 6.67 in total. Things to check: the current official consolidated KTCP Act (rather than the PRS copy) and any post-2015 amendments.
Quote: "The Master Plan shall consist of a series of maps and documents indicating the manner in which the development and improvement of the entire planning area within the jurisdiction of the Planning Authority are to be carried out and regulated, such plan shall include proposals for the following, namely:-"
"Objectives/contents: Metropolitan/regional plan" left blank: the Citation Sheet doesn't decide it.</t>
  </si>
  <si>
    <t xml:space="preserve">AI: left for a person. Step 2 found no evidence (Insufficient Evidence). Source needed: A readable official copy of the GTPUD Act 1976 as amended, specifically s.12 (contents of the draft development plan), the town planning scheme contents section (around s.40) and s.76A (Local Area Plan). Also the Gujarat Metropolitan Planning Committees Act, 2008, specifically the provisions on what the metropolitan development plan must contain and aim to do, ideally from the Gujarat Legislative and Parliamentary Affairs Department or the Urban Development and Urban Housing Department (UD&amp;UHD).</t>
  </si>
  <si>
    <t xml:space="preserve">Chapter III – Greater Bengaluru Authority (functions section)</t>
  </si>
  <si>
    <t xml:space="preserve">Section 14(2)(c)</t>
  </si>
  <si>
    <t xml:space="preserve">Sub-section (2) 'Planning Functions', clause (c)</t>
  </si>
  <si>
    <t xml:space="preserve">AI (low confidence), from Step 2 answer (Partially Answered) and ULG-01: Bengaluru is a metropolitan city, so the question is about a Metropolitan Planning Committee (MPC), not a district one.
Part A is YES. The city's own municipal law, the Greater Bengaluru Governance Act, 2024 (Karnataka Act 36 of 2025), was checked in its enacted text (PRS copy of the Gazette text, DPAL notification dated 24.04.2025; GBA era). Section 14(2)(c) uses mandatory wording: the State Government 'shall constitute' the Bengaluru Metropolitan Planning Committee (BMPC), with a composition following Article 243ZE of the Constitution. This is enough for Part A. The earlier BBMP Act 2020 (ULG-19), s.367(1), also said 'The Government shall constitute a Metropolitan Planning Committee', but that Act has been repealed by GBA Act s.361.
One wording point: s.14(2)(c) says a 'Bengaluru Metropolitan Planning Authority' prepares the draft development plan, a different name from the committee. This is recorded exactly as written.
Part B is left blank because the rules were not found. That is different from finding that they do not exist. Section 14(2)(c) says the other members of the BMPC are to be 'as prescribed', so rules are expected. However, the Citation Sheet has none of the following:
- any Karnataka MPC rules made under the GBA Act;
- any notification constituting the BMPC;
- any MPC rules made under BBMP Act s.367 or the KMC Act 1976.
Rules of that last kind could still be in force under GBA Act s.360 (transitory provisions) or the provisos to s.361 (repeal and savings). Searches of the following found no MPC rules: ULG-01, ULG-02 (KTCP Act 1961), ULG-03 (KTCP Amendment Bill 2025), ULG-04 (BDA Act), ULG-18 (BMLTA Act) and ULG-19 (BBMP Act). Since the sheet does not contain the instrument, affirmative absence cannot be shown, so Part B cannot be scored NO (0).
A person needs to check whether Karnataka has notified rules on the constitution of, or election to, the MPC under the GBA Act. If not, they should check whether earlier MPC rules under BBMP Act s.367 or the KMC Act 1976 stay in force under s.360. The GBA Act commencement date is also unverified.
If Part A is accepted, it gives 2.5 of the 5 points. No total is given because Part B is open.
Quote: "The State Government shall constitute the Bengaluru Metropolitan Planning Committee (BMPC) for area including but not limited to the Greater Bengaluru Area and with composition as per Article 243 ZE of the Constitution of India. The BMPC shall be chaired by the Chief Minister and comprise of other members as prescribed."
"Part B: MPC/DPC rules notified" left blank: the Citation Sheet doesn't decide it.</t>
  </si>
  <si>
    <t xml:space="preserve">Chapter 1 (Introduction)</t>
  </si>
  <si>
    <t xml:space="preserve">Development Plan 2035 report, p.2 (PDF page 19)</t>
  </si>
  <si>
    <t xml:space="preserve">AI (low confidence), from Step 2 answer (Partially Answered) and ULG-06: Surat is a metropolitan city, so this question is about an MPC (Metropolitan Planning Committee). PART A = YES. The evidence is an official State planning law that provides for MPCs and was used for Surat. (1) ULG-06 is the SUDA Development Plan 2035 report of 22 Feb 2017. It says the Gujarat Metropolitan Planning Committees Act, 2008 (Guj. 18 of 2008) is in force. It also says that a State notification of 11/03/2016 declared the Surat Metropolitan Area under that Act and constituted the Metropolitan Committee for Surat, apart from its elected members. (2) ULG-02 is Bill No. 21 of 2019, a PRS copy of the Gazette. Its Statement of Objects says the MPC Act and the DPC Act 'are in force in the State of Gujarat'. It adds that s.10 of each Act requires the committees to prepare draft development plans. (3) ULG-01 and ULG-02 contain Gujarat Act 14 of 2019. It inserts ss.10A-10C into the MPC Act ('Every Metropolitan planning committee shall carry out such directions...'). It also inserts a proviso to s.9(1) and a new s.19A into the GTPUD Act, tying the development plans of appropriate authorities to the plan sanctioned under the MPC Act. Taken together, these show that Gujarat law provides for constituting an MPC and that one was constituted for Surat. Points a reviewer should confirm: (a) The methodology asks for a mandate 'in the Municipal or T&amp;CP Act'. Gujarat puts it in a separate MPC Act (a State planning law). I have treated that as meeting the intent; please confirm. (b) The text of the MPC Act's own constitution section is not in the Citation Sheet. So I cannot quote its exact verb ('shall' or 'may') or its section number. The support comes from SUDA's account of the 2016 notification and from the 2019 amending text. (c) The 11/03/2016 notification itself is not in the sheet. If the reviewer decides that Part A needs the Act's own constitution section, change Part A to blank. PART B = blank (NOT FOUND, not absent). I searched the Citation Sheet for Rules under the Gujarat MPC Act 2008, and for any notification applying such Rules to Surat, and found neither. What I checked: ULG-01 (GTPUD Act 1976 with amendments; amendment Act pp.93-98), ULG-02 (Bill 21 of 2019), ULG-03 (GPMC Act 1949 as of 30 Nov 2017; no MPC/DPC provision found), ULG-04 (GTPUD Rules 1979; development plans and TP schemes only), ULG-05, ULG-14, ULG-15 and ULG-16 (CGDCR 2017; development control only), and ULG-06. The MPC Act text, any MPC Rules (e.g. on electing members) and the 2016 notifications are not in the sheet, so absence cannot be confirmed. The research team should add the Gujarat MPC Act 2008 text, any MPC Rules with their Gazette notification, and the 11/03/2016 notifications. Other limits: the 2019 amending Act comes into force on a date the State notifies, and that date is not in the sheet. ULG-01 and ULG-02 are PRS republications (secondary copies).
Quote: "It is also necessary to mention that the State Government h as framed The Gujarat Metropolitan Planning Committees Act, 2008 ( Guj. 18 of 2008) and has also come into force. By the notification dated 11/03/2016, the Surat Metropolitan area has been declared under the said Act, 2008 which includes the SMC and Sachin  Municipality area."
"Part B: MPC/DPC rules notified" left blank: the Citation Sheet doesn't decide it.</t>
  </si>
  <si>
    <t xml:space="preserve">AI: left for a person. Step 2 found no evidence (Insufficient Evidence). Source needed: Dated evidence that the MPC/BMPC met between about Sept 2024 and Sept 2026: minutes, agendas, resolutions or meeting notices from the MPC/BMPC (Member Secretary: GBA Chief Commissioner) or the Urban Development Department, Karnataka. Also needed: the government order setting up the BMPC under GBA Act s.14(2)(c) and its membership rules, or an RTI reply listing the dates of MPC meetings.</t>
  </si>
  <si>
    <t xml:space="preserve">AI: left for a person. Step 2 found no evidence (Insufficient Evidence). Source needed: Any of these, dated within the past two years, would answer this: minutes, agendas or resolutions of the Surat Metropolitan Planning Committee (or of the Surat District Planning Committee, if that is the applicable body); a Gujarat UD&amp;UHD Department notification or webpage recording MPC meetings; or an RTI reply from the MPC's member-secretary or the UD&amp;UHD Department listing meeting dates.</t>
  </si>
  <si>
    <t xml:space="preserve">NA ONLY FOR NON-METROPOLITAN CITIES</t>
  </si>
  <si>
    <t xml:space="preserve">SELECT YES / NO / NA</t>
  </si>
  <si>
    <t xml:space="preserve">Section 9 (Constitution of the Greater Bengaluru Authority)</t>
  </si>
  <si>
    <t xml:space="preserve">s.9(1), read with s.1(3), s.9(2), s.8(3) and s.14(2)(a)</t>
  </si>
  <si>
    <t xml:space="preserve">AI (low confidence), from Step 2 answer (Partially Answered) and ULG-01: I left 'Answer' blank. The law creating the authority is in the Sheet, but nothing in the Sheet shows the authority has actually been set up (constituted) for the city. The methodology needs both to give 10.
(1) Created by law: shown. The Greater Bengaluru Governance Act, 2024 (Karnataka Act 36 of 2025; gazette text 24.04.2025 in the PRS copy, ULG-01) says in s.9(1) that the Government 'shall, by notification, constitute' the Greater Bengaluru Authority (GBA) within 120 days of the Act starting. s.9(2) makes the GBA a body corporate. s.8(3) makes it the coordinator of all agencies in the Greater Bengaluru Area. s.14(2)(a) makes it the 'Planning Authority' under the Karnataka Town and Country Planning (KTCP) Act, 1961, 'notwithstanding anything contained in any other law'.
(2) Set up for the city: not shown. The Act only starts on a date the Government sets by notification (s.1(3)), and the GBA comes into being only through the s.9(1) notification. Neither notification is in the Sheet. I checked these later laws and found no constitution notice or date:
- ULG-01's appended amending Acts: Act 60/2025 (12.09.2025) and Act 1/2026 (07.01.2026). They change GBA functions and add members under s.9(3), and replace s.9(5).
- ULG-05: the Amendment Bill and its Statement of Objects.
- ULG-03: the KTCP Amendment Bill 2025. Its new s.81-G would apply 'with effect from the date Greater Bengaluru Authority is constituted'. It is a Bill, and it has not been shown to be enacted.
- ULG-18: BMLTA Amendment Act 10/2026. It refers to 'City Corporations under the jurisdiction of the Greater Bengaluru Authority'.
- ULG-04: BDA Act, including Act 42/2026. It does not mention the GBA.
These later laws strongly suggest the GBA is up and running. But they are laws, not the s.9(1) notice, and treating them as proof would be inference. I checked the Step 2 answer against the sources and agree with it. Research-team dates for the GBA are guidance only and are not verified, so I did not use them.
Why not NO: the law exists, so the absence needed for NO cannot be shown. Why not NA: Bengaluru is a million-plus metropolitan city.
For a person to check:
- Get the s.9(1) gazette notification constituting the GBA, and the s.1(3) commencement notification. If they exist, Answer = YES (10).
- Confirm the GBA, not BMRDA, is the intended metropolitan authority. The methodology names the GBA, and the BMRDA Act is not in the Sheet.
Era: GBA-era.
Quote: "the Government shall, by notification, constitute an Authority for the Greater Bengaluru Area called the Greater Bengaluru Authority."
"Answer" left blank: the Citation Sheet doesn't decide it.</t>
  </si>
  <si>
    <t xml:space="preserve">Chapter 1 (Introduction), Development Plan 2035, SUDA (report dated 22 Feb 2017)</t>
  </si>
  <si>
    <t xml:space="preserve">Report p.2 (PDF page 19): Gujarat Metropolitan Planning Committees Act, 2008; report pp.9-11 (PDF pp.26-28): constitution of SUDA under GTPUD Act 1976 s.22</t>
  </si>
  <si>
    <t xml:space="preserve">AI (low confidence), from Step 2 answer (Partially Answered) and ULG-06: I left 'Answer' blank for a person to decide. NA does not apply: Surat is a million-plus city. ULG-06 Table 1 gives SMC's 2011 population as about 44.67 lakh, so the question applies. YES and NO are both unsafe on this Citation Sheet. Points for checking: (1) BODY TYPE. The only body called 'metropolitan' is the Surat Metropolitan Planning Committee (MPC) under the Gujarat Metropolitan Planning Committees Act, 2008 (Guj. 18 of 2008). Per ULG-06 (a 2017 SUDA report, not the notification itself), it was declared and constituted on 11/03/2016 'except for the elected members'. It covers only SMC and Sachin Municipality. Its job is planning: the MPC Act s.10A-10C, inserted by Gujarat Act 14 of 2019 (ULG-01, gazette pp.14-4 to 14-6, and ULG-02), say the State 'may' sanction its draft plan and the MPC 'shall carry out such directions' of the State. That makes it a planning committee under State control, not a metropolitan authority like the methodology's example, the Greater Bengaluru Authority under a dedicated Act. SUDA is an urban development authority set up by notification dated 30.01.1978 under GTPUD Act 1976 s.22(1), (2) and (4). Nothing in the sheet calls it a metropolitan-level authority. SREDA (ULG-09, NITI Aayog 2024) is only a proposal. Whether an MPC (or SUDA) counts as a 'metropolitan authority' for UPD8 is a methodology call that needs confirming. (2) CONSTITUTION. Even if the MPC counts, it was constituted without its elected members as of 2016-17. No later notification completing it is in the sheet. (3) NO WOULD NEED AFFIRMATIVE ABSENCE, AND I DON'T HAVE IT. I checked: ULG-01 (GTPUD Act 1976 plus amendments up to Act 14 of 2019); ULG-02 (Bill 21 of 2019); ULG-03 (GPMC Act 1949 as modified to 2017: only definition s.2(34A) 'Metropolitan area' per Art. 243P, and no metropolitan authority provision in the parts read); ULG-06; ULG-09; and a sheet-wide search for 'metropolitan authority Surat'. But these are not in the sheet: the full text of the Gujarat MPC Act 2008, the 11/03/2016 notifications, and any later GO. So I cannot rule out a metropolitan authority. Next steps: get the MPC Act 2008 and the 2016 notifications, and confirm whether an MPC qualifies. If it does, and the MPC is fully constituted, YES may be right. If it does not, NO needs the absence check finished. Period: MPC declared 2016 (per 2017 report); MPC Act amended 2019; SUDA from 1978. era=n/a.
Quote: "By the notification dated 11/03/2016, the Surat Metropolitan area has been declared under the said Act, 2008 which includes the SMC and Sachin  Municipality area. The Metropolitan Committee for Surat was also constituted by the notification of the State Government dt. 11/03/2016 except for the elected members."
"Answer" left blank: the Citation Sheet doesn't decide it.</t>
  </si>
  <si>
    <t xml:space="preserve">Section 14(2) Planning Functions (read with s.9(3) membership and s.15(1))</t>
  </si>
  <si>
    <t xml:space="preserve">s.14(2)(a); s.14(2)(c) (BMPC)</t>
  </si>
  <si>
    <t xml:space="preserve">AI (low confidence), from Step 2 answer (Partially Answered) and ULG-01: I left the Answer blank. The Citation Sheet shows that some conditions of the 10-point test are met, but it cannot settle all of them. A YES is not supported, and a NO cannot be shown by affirmative absence.
WHAT SUPPORTS PARTICIPATION:
(1) City/master-plan level. Under GBA Act 2024 (ULG-01) s.14(2)(a), the GBA 'shall be' the Planning Authority under the KTCP Act. Under s.9(3), the GBA 'shall consist of' the City Corporation Mayors and the heads of BDA, BWSSB, BMTC and BMRCL, among others. Under s.15(1), the GBA 'shall be responsible to make master plan' and the City Corporations 'shall incorporate' its plan. KTCP s.81-G (inserted by ULG-03, LA Bill 55 of 2025) also makes the GBA the local planning authority. ULG-03 is a Bill as passed by the Assembly; I did not check whether it has been enacted or notified. Separately, KTCP s.4C(3)(iii) (ULG-02) requires every Planning Authority to include 'representatives of local bodies', but it lists no parastatals.
(2) Metropolitan level. Under s.14(2)(c), the State 'shall constitute' the BMPC 'with composition as per Article 243 ZE'. Its other members are 'as prescribed', and those Rules are not in the Citation Sheet. The same clause names a 'Bengaluru Metropolitan Planning Authority' as the body that prepares the draft plan. This looks like a drafting error for BMPC; a reviewer should check it.
WHAT IS UNRESOLVED:
(a) Ward level. The only ward-level plan I found is the Ward Development Plan under GBA Act s.103. The Step 2 answer describes it as a priority list of projects for funding, not a spatial plan; I did not re-read s.103 myself. I found no provision requiring agencies to take part in ward-level spatial plans.
(b) Advisory council with civic-agency members. GBA Act s.18 creates Sectoral Expert Committees made up of 'domain experts', not representatives of civic agencies. KTCP s.4F says a Planning Authority 'may associate with itself' advisers, which is optional, not a mandate. KTCP s.4 does set up a State Board, which s.4C and s.4A say must be consulted. However, I could not read its composition or functions in ULG-02, even after repeated searches.
(c) Rules layer missing. The KTCP Rules, the BMPC Rules and any GBA planning regulations are not in the Citation Sheet.
WHAT I CHECKED:
- ULG-01: s.9, s.14, s.15, s.18
- ULG-02: s.4A to 4C, s.4F, s.74, s.82
- ULG-03: whole Bill
- Step 2's review of ULG-04, ULG-18 and ULG-19 (the BBMP Act MPC provision in ULG-19 has probably been superseded).
The methodology is ambiguous on two points, so a reviewer should decide them:
(i) Does membership of the Planning Authority, created by the GBA Act rather than the KTCP Act, count as participation in creating spatial plans?
(ii) Must both the three-level condition and the advisory-council condition be met to score 10?
If the reviewer finds that KTCP s.4 and the Rules contain no advisory council with civic-agency members, the likely result is NO (score 0).
Quote: "the Greater Bengaluru Authority shall be the “Planning Authority” as defined under the Karnataka Town and Country Planning Act, 1961, for the areas comprising of the Greater Bengaluru Area;"
"Answer" left blank: the Citation Sheet doesn't decide it.</t>
  </si>
  <si>
    <t xml:space="preserve">Gujarat Act No. 14 of 2019 (Gujarat Local Authorities and Town Planning Laws (Amendment) Act, 2019), appended to the PRS copy of the GTPUD Act 1976</t>
  </si>
  <si>
    <t xml:space="preserve">Gujarat Metropolitan Planning Committees Act, 2008, s.10A(3) (inserted by Gujarat Act 14 of 2019, clause 9)</t>
  </si>
  <si>
    <t xml:space="preserve">10A(3); see also GTPUD Act s.9(1) proviso and s.19A (inserted 2019), and ss.7(2)/23(2) (substituted 2017)</t>
  </si>
  <si>
    <t xml:space="preserve">AI (low confidence), from Step 2 answer (Partially Answered) and ULG-01: I left the answer blank because the citation sheet does not contain the main legal text needed to answer this question. Without it, the evidence is 'not found', which is different from proven absence. The Step 2 finding of 'not determined' is correct when checked against the source.
What the readable text actually says:
(1) MPC Act s.10A(3), inserted in 2019: the final development plan 'shall be binding on the concerned all authorities functioning in the metropolitan area'. This makes the finished plan binding on all authorities. It does not require them to take part in preparing it.
(2) GTPUD Act s.9(1) proviso and s.19A, inserted in 2019: the development plan 'shall include' the spatial-planning proposals of the plan sanctioned under the MPC or DPC Act. This only requires the plans to be consistent with each other. It is not a participation requirement.
(3) GTPUD Act ss.7(2) and 23(2), as amended in 2017: the State 'may' delegate authority powers to the local authority. This is optional ('may'), and it is about delegating powers, not taking part in plan-making.
(4) MPC Act s.10B(1)-(2): for a variation, objections are invited 'from any person', and the MPC is consulted. A notice to the general public is not consultation with the city government or with parastatals.
(5) Bill 21 of 2019 (ULG-02, p.7), statement of objects: says the MPC and DPC Acts require plans to be made 'in regard to' plans prepared by municipalities and panchayats. This is explanatory text, not an operative section, and the MPC Act's own section is not in the sheet.
(6) GTPUD Rules 1979 (ULG-04): Form A invites objections from the public. I found no advisory council.
(7) CGDCR 2017 (ULG-05, ULG-14 to ULG-16): the committees it sets up deal with development permission and heritage, not with plan-making.
(8) GPMC Act s.284F (ULG-03): notices to utilities, but for objections only and only for redevelopment plans.
(9) SUDA's Development Plan 2035 (ULG-06, p.183) records meetings with village sarpanchs. That is practice, not law, so it cannot score a Law/Policy question.
What I checked: I read ULG-01 three times, looking for UDA constitution (s.22), s.9 and s.13. Only the appended 2017 and 2019 amendments came back. I also searched the whole sheet for consultation with local authorities, advisory committees, MPC composition and consultation with municipalities. None of these searches found an operative provision.
Missing evidence: the readable operative text of the GTPUD Act 1976 is not in the sheet. That includes s.2(iii), ss.9-13 (how the draft plan is prepared and published) and ss.22-23 (who sits on the UDA, and whether it includes local-authority members). The full Gujarat MPC Act 2008 is also missing, including its composition section and any requirement to consult municipalities or agencies (the 'in regard to' wording). The DPC Act 2008 and the notification constituting the Surat MPC are missing too, and there is nothing on ward-level plans.
What a person should do: add official text of these instruments, then decide YES or NO. If the MPC Act contains a binding 'shall consult / have regard to plans of municipalities' clause, or the UDA or MPC composition includes ULG and agency representatives, that could support YES. NO can only be entered once all of these have been read and nothing is found.
Quote: "(3) A final development plan which has come into force shall be binding on the concerned all authorities functioning in the metropolitan area."
"Answer" left blank: the Citation Sheet doesn't decide it.</t>
  </si>
  <si>
    <t xml:space="preserve">Chapter III (Master Plan), Karnataka Town and Country Planning Act, 1961</t>
  </si>
  <si>
    <t xml:space="preserve">Section 10(1), as substituted by Act 1 of 2005; also s.10(2) and s.13(1)-(2), as substituted by Act 1 of 2005</t>
  </si>
  <si>
    <t xml:space="preserve">s.10(1) second sentence; s.10(2); s.13(1); s.13(2)</t>
  </si>
  <si>
    <t xml:space="preserve">AI (low confidence), from Step 2 answer (Partially Answered) and ULG-02: SCORE: Part B can be filled. Part A stays blank, so the total score is open. It would be 5 if Part A is confirmed NO, or 10 if YES.
PART B = YES. The Karnataka Town and Country Planning (KTCP) Act has two mandatory public-input steps for the Master Plan:
- s.10(1): the Planning Authority 'shall publish a notice' 'calling suggestions from the public within a period of sixty days'. s.10(2): the Planning Authority 'shall consider such suggestion'.
- s.13(1): the Planning Authority 'shall thereupon publish, by notification, the plan and the reports inviting public comments within sixty days'. s.13(2): it 'shall consider such comments' and resubmit with recommended changes.
Both use 'shall', and both are open to every member of the public. The methodology credits these under Part B even though no specific method is required.
WHO THE DUTIES FALL ON:
- Greater Bengaluru Governance (GBG) Act (ULG-01), Planning Functions sub-section (2)(a): the Greater Bengaluru Authority (GBA) 'shall be the "Planning Authority" as defined under the Karnataka Town and Country Planning Act, 1961'.
- The 2025 KTCP Amendment Bill (ULG-03) would add a new s.81-G with the same effect. It is still a Bill: it comes into force only on a date the State notifies, and it says nothing about participation.
PART A = BLANK. This is 'not found', not proven absent. What I checked:
- KTCP Act s.6, 7, 9, 10, 12, 13 and 13-A (ULG-02): none mentions ward committees, Ward Sabhas or Area Sabhas in preparing the Master Plan.
- The 2020 Second Amendment (Act 47 of 2020, appended in ULG-02):
  - It requires ward-level land-use maps and their display 'in the offices of the local authorities and the ward offices'.
  - It adds to s.13(1) that the plan 'shall be forwarded to the local authorities within the local planning area'.
  - That is display at offices and forwarding to the local authority, not a ward committee or Area Sabha process.
  - However, the rest of the s.13(1) insertion is cut off in the saved text, so I could not confirm all of its wording.
- GBG Act (ULG-01):
  - s.103(1)(b)-(c): the Ward Sabha's role covers only the annual Ward Development Plan, which is a budget priority list. That is not the city Master Plan.
  - The clause on the Bengaluru Metropolitan Planning Committee's draft development plan (Planning Functions (2)(c)) is cut off at 'and disc...', so I could not read whether it requires consulting ward committees.
- ULG-03 (2025 Bill): it deals only with the Commissionerate and the Planning Authority's jurisdiction. It has no participation provisions.
- The KTCP Rules, which set the 'prescribed manner' for these notices, are not in the Citation Sheet.
The 0 for Part A cannot be given until a reviewer checks three things: the full s.13(1) text from the 2020 amendment, the full GBG Act Bengaluru Metropolitan Planning Committee clause, and the KTCP Rules.
PERIOD: KTCP Act as compiled by PRS up to Act 38 of 2015, plus Act 47 of 2020. GBG Act as enacted (notified 24.04.2025). Era: GBA era.
I agree with the Step 2 answer and checked it against the source text.
Quote: "The planning authority shall publish a notice of such declaration in the Official Gazette and also in one or more local newspaper in the prescribed manner calling suggestions from the public within a period of sixty days"
"Part A: Formal platforms (ward committees / area sabhas)" left blank: the Citation Sheet doesn't decide it.</t>
  </si>
  <si>
    <t xml:space="preserve">Chapter II</t>
  </si>
  <si>
    <t xml:space="preserve">Rule 5 (Manner of publication of draft development plan and form of notice for inviting suggestions or modifications to the draft development plan under section 13); also Rule 6 and Form A</t>
  </si>
  <si>
    <t xml:space="preserve">r.5(1)-(2); r.6(1)-(2) (as amended by Notification dated 22-01-87); Form A (citing s.13(1))</t>
  </si>
  <si>
    <t xml:space="preserve">AI (low confidence), from Step 2 answer (Partially Answered) and ULG-04: PART B = YES. I checked the Step 2 answer against the source. Under ULG-04, the GTPUD Rules 1979 (made under the Gujarat Town Planning and Urban Development Act, 1976): r.5(1) says the authority 'shall' publish the draft development plan in the Official Gazette and in Gujarati newspapers. r.5(2) says the notice 'shall', 'in pursuance of the provisions of section 13', invite written objections or suggestions from any member of the public within two months. The authority 'shall consider' them. Only modifying the plan is discretionary ('may modify'). Form A is issued 'in pursuance of sub-section (1) of section 13 of the said Act' and says objections and suggestions 'from any person … shall be considered'. Under r.6(1) and (2), substantial modifications made by the authority or by the State are republished for public objections, which 'shall be considered' before sanction. This fits the methodology's footnote: a provision for consolidating suggestions and objections counts as 'other means'. The Act's own s.13 text cannot be read in ULG-01: the PRS copy's pages 2-86 are scanned with no text layer. So the YES rests on the Rules, which state they implement the mandate in s.13. The reviewer should confirm that the Rules are enough to show the Act 'mandates' this. That is why confidence is medium-to-low. This is a general notice to the public, not ward-level consultation. PART A = blank (not found; absence not proven). I found no provision requiring ward committees or area sabhas to take part in preparing the development plan in: GTPUD Rules r.3, r.5 and r.6; the readable GTPUD amendment Acts (6 of 2017, 22 of 2017, 14 of 2019 in ULG-01 and Bill 21 of 2019 in ULG-02); the 2019 amendments to the MPC and DPC Acts (ss.10A-10C, which provide only 'any person' objections to variations); and GPMC Act s.29A (ULG-03, Wards Committees, whose functions are left to State rules under s.29A(8)). A search across the whole Citation Sheet for 'ward committee area sabha development plan participation' returned nothing relevant. But I cannot record affirmative absence. The main text of the GTPUD Act, including ss.9-17, is unreadable. The Wards Committee rules under GPMC s.29A(8) are not in the sheet. The full text of the Gujarat Metropolitan Planning Committees Act, 2008 is not in the sheet. A human should check these three instruments. If none of them has a provision, Part A = NO and the total is 5; if a provision is found, the total is 10. Period: GTPUD Act 1976 as amended up to Act 14 of 2019; Rules 1979 with the 1987 amendment; GPMC Act as modified up to 30-11-2017.
Quote: "Every notice published under sub -rule (1) shall in pursuance of the provisions of section 13 announce that i f within two months from the date of publication of the notice in the Official Gazette any member of the public communicates in writing to the area development authority or as the case may be to the authorized officer, his objections or suggestions with re spect to the development plan, the development authority or as the case may be the authorized officer shall consider such objections or suggestions and may modify such plan as it/he thinks fit."
"Part A: Formal platforms (ward committees / area sabhas)" left blank: the Citation Sheet doesn't decide it.</t>
  </si>
  <si>
    <t xml:space="preserve">Karnataka Town and Country Planning Act, 1961 (Karnataka Act 11 of 1963), Chapter on Master Plans; PRS compilation with amendments up to Act 38 of 2015</t>
  </si>
  <si>
    <t xml:space="preserve">Section 13 (Approval of the Master Plan), as substituted by Act 1 of 2005 with effect from 14.2.2005; see also s.10(1)-(2) and s.13-A(1)</t>
  </si>
  <si>
    <t xml:space="preserve">s.13(1)-(2)</t>
  </si>
  <si>
    <t xml:space="preserve">AI (low confidence), from Step 2 answer (Partially Answered) and ULG-02: PART B = YES. The KTCP Act requires the Planning Authority to publicise the Master Plan and to answer what the public says. Under s.13(1), the plan returned by the State Government 'shall thereupon publish, by notification, the plan and the reports inviting public comments within sixty days'. Under s.13(2), the Planning Authority 'shall consider such comments and resubmit' the plan with recommended changes 'in the light of the public comments'. Section 10(1)-(2) adds a mandatory earlier step: the declaration of intention is published 'calling suggestions from the public within a period of sixty days', and the Planning Authority 'shall consider such suggestion'. Under s.13-A(1), the s.13 procedure also applies to Interim Master Plans. All of these are 'shall' duties covering scrutiny, comments and the response, so Part B is met (2.5). For Bengaluru, GBA Act s.14(2)(a) (ULG-01) makes the Greater Bengaluru Authority (GBA) the 'Planning Authority' under the KTCP Act for the Greater Bengaluru Area. ULG-03, a 2025 amendment Bill (inserting s.81-G), says the same, but it is the Bill as passed by the Assembly and I have not confirmed it is in force.
PART A = BLANK (not found; affirmative absence not shown). What I checked: (1) KTCP Act ss.9, 10, 12, 13 and 13-A (ULG-02). No ward committee, ward sabha or area sabha appears in the Master Plan procedure. (2) ULG-03, the KTCP Amendment Bill 2025. It covers the Commissionerate and the GBA as Planning Authority. It has no participation provisions. (3) BDA Act ss.17-18 (ULG-04). These cover development schemes, with representations from 'the Corporation' and notices to affected owners. That is not ward-level scrutiny of the Master Plan, and since the GBA was set up the BDA is no longer the Planning Authority for the Greater Bengaluru Area. (4) GBA Act s.103(1)(b)-(c) (ULG-01). The Ward Sabha meets only 'for providing inputs for the formulation of the Annual Ward Development Plan', which is a budget priority list. It is not scrutiny of the Master Plan. Section 103(1)(d) lets the Ward Committee call general meetings on any issue, but that is a general power, not a requirement to scrutinise the city plan. I did not use the BBMP Act 2020 (ULG-19), which had Area Sabhas: it is a BBMP-era law that the GBA Act replaced.
Why Part A is blank and not NO: (a) The GBA Act clause on the Bengaluru Metropolitan Planning Committee's draft development plan (s.14(2)(c)) is cut off at 'shall prepare a draft development plan ... and disc...' in every excerpt I could get, so I could not check it for a ward-level consultation step. (b) The KTCP Rules, which set the 'prescribed manner' of publication under ss.9, 10 and 13(4), are not in the Citation Sheet. A reviewer should read the full s.14(2)(c) and the KTCP Rules. If neither requires ward committee or area sabha scrutiny, Part A = NO (0) and the total = 2.5/5. If either does, Part A = YES and the total = 5/5.
Other notes: The Step 2 answer is consistent with the source. The KTCP text I used goes only to 2015 (PRS compilation, a secondary source), and later amendments are not in the Citation Sheet.
Quote: "If within sixty days of the publication under sub-section (1), any member of the public communicates in writing to the Planning Authority any comments on the plan and the reports, the Planning authority shall consider such comments and resubmit the plan and the reports to the State Government, through the Director with recommendations for such modifications in the plan and reports as it considers necessary in the light of the public comments made on the plan and reports."
"Part A: Formal platforms (ward committees / area sabhas)" left blank: the Citation Sheet doesn't decide it.</t>
  </si>
  <si>
    <t xml:space="preserve">Rule 5 (also Rule 6, as amended by Notification No. GH/VI 25 of 1987/TPA 1284-1871-V dt. 22-01-1987)</t>
  </si>
  <si>
    <t xml:space="preserve">r.5(1)-(2); r.6(1)-(2); Form A</t>
  </si>
  <si>
    <t xml:space="preserve">AI (low confidence), from Step 2 answer (Partially Answered) and ULG-04: PART B = YES (worth 2.50). The Gujarat Town Planning and Urban Development Rules, 1979 (ULG-04) set out a public scrutiny process for the draft development plan under GTPUD Act s.13. Under r.5(1), the plan 'shall' be published by notice in the Official Gazette and in Gujarati newspapers, and copies are pasted at the head office and at prominent places. Under r.5(2), any member of the public may send objections or suggestions in writing within two months, and the authority 'shall consider' them. Rule 6 adds another round of notice and objections when the planning authority or the State Government makes substantial changes. Form A says objections received 'from any person' 'shall be considered'. This is a binding rule ('shall'), so it meets Part B ('other means', including scrutiny or objections where no mode is specified). I checked this against the source text, and the Step 2 answer is supported. Two limits: changing the plan after objections is only 'may modify', and no written reply to each objector is required. The methodology only asks for scrutiny including objections and responses, and mandatory consideration meets that. The Act's own s.13 text is not readable in the PRS copy (ULG-01). In that copy, the 2019 amendments (new s.10B in the MPC Act / DPC Act) also require Gazette notice inviting objections 'from any person' on changes to a final development plan. PART A = blank (not found; absence not confirmed). The Rules 1979 provide only Gazette, newspaper and posted notices. Ward Committees and Area Sabhas are not mentioned in r.5, r.6 or r.17-18. A search of the Citation Sheet for 'ward committee area sabha' found no provision tying plan scrutiny to ward-level forums. But GPMC Act s.29A(8) (ULG-03) says the State Government 'shall by rules define the functions and duties of the Wards Committee'. Those Ward Committee rules are not in the Citation Sheet, and neither is any Gujarat Area Sabha / Community Participation law or the full main text of GTPUD Act s.13-17. So affirmative absence cannot be shown, and NO cannot be entered. What I checked: ULG-04 (Rules r.3-6, r.16-18, Forms A/B); ULG-01 (amendments of 2017 and 2019, including MPC/DPC s.10B); ULG-03 (s.29A, s.284F); a sheet-wide search for ward committee / area sabha. A reviewer should get the Gujarat Wards Committee rules made under GPMC s.29A(8). If those rules give Ward Committees no role in scrutinising plans, Part A = NO, and the total would be 2.50 out of 5. Scope note: the statutory development plan for Surat is prepared by SUDA and sanctioned by the State, not by SMC. The reviewer should confirm that this counts as the 'municipal/city plan' for the question. GPMC s.284F re-development plans also have notice and objections (the Commissioner 'shall' publish notice; the Standing Committee 'may' modify).
Quote: "Every notice published under sub -rule (1) shall in pursuance of the provisions of section 13 announce that i f within two months from the date of publication of the notice in the Official Gazette any member of the public communicates in writing to the area development authority or as the case may be to the authorized officer, his objections or suggestions with re spect to the development plan, the development authority or as the case may be the authorized officer shall consider such objections or suggestions and may modify such plan as it/he thinks fit."
"Part A: Formal platforms (ward committees / area sabhas)" left blank: the Citation Sheet doesn't decide it.</t>
  </si>
  <si>
    <t xml:space="preserve">AI: left for a person. Step 2 found no evidence (Insufficient Evidence). Source needed: Any of the following, from BDA, GBA or a city corporation, or from the Karnataka eGazette: (a) the Gazette or newspaper notice publishing the draft master plan (RMP 2015, or the draft RMP 2041 / Greater Bengaluru Area plan) and inviting public comments under s.13(1) of the Town and Country Planning Act, or the s.10(1) notice of intention calling for suggestions; (b) a record of objections received and how they were dealt with (a report on objections, hearing minutes, or the Planning Authority's recommendations to the State under s.13(2)); (c) the final approved master plan or approval GO describing the public scrutiny; (d) dated official consultation notices or minutes on the BDA or GBA website.</t>
  </si>
  <si>
    <t xml:space="preserve">Chapter 21: Proposed Land-use (submitted under section 16); also Chapter 16: Stakeholders Consultation</t>
  </si>
  <si>
    <t xml:space="preserve">Report pp.216-217 (PDF pages 233-234); Ch.16 pp.165-167 (PDF pages 182-184)</t>
  </si>
  <si>
    <t xml:space="preserve">Draft DP 2035 published under GTPUD Act s.13 in the gazette (10.05.2016) and a Gujarati daily (11.05.2016); opinion on objections under s.14; UD&amp;UHD letter of 21.11.2016</t>
  </si>
  <si>
    <t xml:space="preserve">233</t>
  </si>
  <si>
    <t xml:space="preserve">AI (medium confidence), from Step 2 answer (Answered — Verified Source) and ULG-06: This sub-question asks about implementation: was public scrutiny actually carried out? The methodology says to score 5 if there is evidence of public scrutiny in the Development Authority's or ULG's material, including the plan itself. I checked the Step 2 answer against ULG-06 (SUDA Development Plan 2035 report, dated 22 Feb 2017), and the report supports it.
What the report shows:
(1) The draft DP 2035 was published in the Official Gazette under s.13 on 10 May 2016. A notice in a Gujarati daily on 11 May 2016 invited suggestions and objections from the public within two months (p.216).
(2) Under s.14, SUDA had to submit the draft to the State Government together with its opinion on those objections and suggestions (p.216).
(3) In a letter dated 21.11.2016, UD&amp;UHD told SUDA to submit the draft 'along with the suggestions and objections received for the proposals on the Draft Development plan - 2035 published u/s 13' (p.217). This shows objections were actually received, not just invited.
(4) Ch.16 records stakeholder consultation: about 60 committee meetings, meetings with sarpanchs of 95 villages, institutional consultations, and a 22.04.2016 meeting with MPs, MLAs and the SMC Mayor at which 136 suggestions were tabulated (pp.165-167).
On that basis the answer is YES (5 points).
Points for the reviewer:
(a) SUDA prepared the plan, not the Surat Municipal Corporation. SUDA is a state development authority and its plan covers the SMC area. The methodology allows 'Development Authority/ULG websites (as applicable)', but please confirm that the SUDA DP counts as the municipal/city plan for this ULG.
(b) For the 'responses' part, the evidence is only the s.14 duty to give an opinion on objections and the state's direction to forward the objections received. The Citation Sheet has no itemised register of objections with a response to each.
(c) The Citation Sheet also does not contain the original 2016 s.13 gazette notice, the newspaper notice, or the 08.10.2020 sanction notification. The practice evidence is SUDA's own account in the report, an official A2-type source.
(d) Period: draft published May 2016; report dated Feb 2017. ULG-17 (2025) shows the plan is still current and that a s.19(1) variation is open for objections, but that is the state's own process. Era: n/a.
Quote: "As per the statutory requirement the same was published in the Official G azette the on 10 th May 2016 under section 13 for inviting public opinion. The notice was also issued in the prescribed manner in the Gujarati daily on 11th May, 2016 inviting suggestions and objections from the general public within the statutory time limi ts of two months."</t>
  </si>
  <si>
    <t xml:space="preserve">Chapter III (Master Plan)</t>
  </si>
  <si>
    <t xml:space="preserve">Section 13-D (Revision of Master Plan), read with Section 12(1)(a), 12(1)(f) and 12(2)(iii)</t>
  </si>
  <si>
    <t xml:space="preserve">s.13-D; s.12(1)(a) 'together with Zoning Regulations'; s.12(2)(iii) 'regulations in respect of each land use zone'</t>
  </si>
  <si>
    <t xml:space="preserve">119</t>
  </si>
  <si>
    <t xml:space="preserve">AI (medium confidence), from Step 2 answer (Answered — Verified Source) and ULG-02: The inputs add up to 7.5 of 10 (C2 + C3 + C4 at 2.5 each). I checked the Step 2 answer against the source text, and it holds.
C1, periodic review mandated = NO: This NO rests on a provision I found and read, not on a gap in the evidence. Under KTCP Act s.13-D the Planning Authority 'may' revise the plan. It 'shall' revise only 'if directed so by the State Government'. The law therefore allows periodic revision but does not require it. The methodology also says that ten-year wording about revision should not count for C1. Other provisions I checked do not create a periodic duty either:
- s.13-B proviso: 'shall revise', but only when an additional area is added or the State directs. That is triggered by an event, not periodic.
- s.13-E: the State Government 'may' amend regulations. Discretionary.
- GBG Act 2024 (ULG-01), Planning Functions sub-section (2)(a): makes the GBA the Planning Authority under the KTCP Act. Its s.315(l) only lets the GBA make regulations on Master Plan contents. Neither sets up a revision cycle.
- 2025 KTCP Amendment Bill (ULG-03): inserts s.81-G and amends s.2(7) and s.81-B. It does not touch s.13-D.
The KTCP Rules are not in the Citation Sheet, so I could not check them. The methodology points to the State Town Planning Act.
C2, timeline = YES: s.13-D says 'At least once in every ten years from the date on which the Master Plan has come into force'.
C3, responsible authority = YES: s.13-D names the 'Planning Authority', with the State Government able to direct it. Under GBG Act Planning Functions (2)(a), the GBA is the Planning Authority for the Greater Bengaluru Area. ULG-03 would make this explicit through s.81-G, but there is no evidence it has been enacted.
C4, matching DCR revision = YES, by reading two sections together: s.13-D says ss.9 to 12 'shall mutatis mutandis apply' to a revision. Under s.12(1)(a) the Master Plan 'shall include proposals for ... zoning of land use ... together with Zoning Regulations'. Under s.12(1)(f) it covers regulations on building line, height and FAR. Under s.12(2)(iii), 'regulations in respect of each land use zone to enforce the provisions of such plan' must be published with the plan. A revised plan must therefore come with revised zoning regulations.
For the reviewer to check:
(a) Whether the s.12 Zoning Regulations count as 'DCRs' under the rubric. The Act never uses the words 'Development Control Regulations'. If they do not count, the score drops to 5.
(b) Whether C2 and C3 can be credited even though revision is not mandatory (C1 not met).
(c) Whether s.13-D was amended after the PRS compilation (amendments up to Act 38 of 2015). The PRS copy is a secondary source, so an official consolidated text should be checked.
Quote: "At least once in every ten years from the date on which the Master Plan has come into force, subject to the provisions of section 13-C, the Planning Authority may and if directed so by the State Government shall, carryout a fresh survey of the area within its jurisdiction, with a view to revising the existing Master Plan and the provisions of  section 9 to section 12 (both inclusive) shall mutatis mutandis apply in respect of such revision of the Master Plan."</t>
  </si>
  <si>
    <t xml:space="preserve">Chapter 4: Review of Sanctioned Development Plan 2004 (also Chapter 1, p.30, and 19.4 Plan Period)</t>
  </si>
  <si>
    <t xml:space="preserve">Report's description of GTPUD Act 1976, s.21 (statute text not readable in the Citation Sheet)</t>
  </si>
  <si>
    <t xml:space="preserve">4.2.1 (p.40 of PDF / p.23 of report)</t>
  </si>
  <si>
    <t xml:space="preserve">AI (low confidence), from Step 2 answer (Partially Answered) and ULG-06: I left all four inputs blank. The deciding provision, s.21 of the Gujarat Town Planning and Urban Development Act 1976 (GTPUD Act), cannot be read anywhere in the Citation Sheet.
(1) ULG-01 (PRS copy of the GTPUD Act): I read it from the start. The principal Act is on pages 2-86, and those pages are a scan with no readable text; they came back empty. The only readable text is the amending Acts: Act 6 of 2017 (s.51), Act 22 of 2017 (ss.7, 23, 49, 52, 76A, 119) and Act 14 of 2019 (ss.9, 12, new s.19A, plus the DPC/MPC Acts). None of these amends or restates s.21. So the verb ('shall' or 'may'), the timeline, the responsible authority and any link to the regulations cannot be checked against the statute. This is a VERIFICATION-LIMIT, not a negative finding.
(2) ULG-06 (SUDA Development Plan 2035 report, 2017) is the only source. It says three times (pp.30, 40, 203) that under s.21 'the development plan is to be revised once in 10 years'. That is a planning body summarising the law, not the law itself. I don't treat it as enough to say the Act mandates a review, sets a timeline or names an authority.
There is also a methodology question for a human to decide. Component 1 says a provision 'alluding to the revision or creation of a new plan say after ten years' shall not be considered. So even a confirmed 'revise at least once in ten years' rule may not earn component 1, though it would still count toward the timeline component (component 2).
(3) Corresponding DCR revision: I can't record NO. Affirmative absence isn't met because the s.21 text, which may refer to 'development plan and regulations', was not readable. What I checked:
- ULG-04 (GTPUD Rules 1979): r.6/7 cover sanction of the draft development plan 'and the regulations' under ss.16-17, and r.36 covers variation of TP scheme regulations. I found no periodic-revision rule.
- ULG-05 / ULG-14 (CGDCR 2017): my searches found no clause tying DCR revision to plan revision.
- ULG-17 (Gazette, 24 March 2025): a one-off variation under s.19(1), not a periodic review.
- ULG-03 (Gujarat Provincial Municipal Corporations Act 1949): I found no periodic city-plan revision.
Note: Surat's development plan is prepared by SUDA (the Surat Urban Development Authority) and sanctioned by the State Government; Surat Municipal Corporation is not the planning authority.
ACTION: add a readable official copy of the GTPUD Act 1976 (the UD&amp;UHD or Legislative Department text) to the Sheet, then re-score from s.21 and any related provision on the regulations.
Quote: "As per the provisions of section 21 of the Act, the development plan is to be revised once in 10 years"
"Periodic review &amp; revision mandated" left blank: the Citation Sheet doesn't decide it.
"Review/revision timeline specified" left blank: the Citation Sheet doesn't decide it.
"Responsible authority specified" left blank: the Citation Sheet doesn't decide it.
"Corresponding DCR revision required" left blank: the Citation Sheet doesn't decide it.</t>
  </si>
  <si>
    <t xml:space="preserve">Chapter XX (Waste Management)</t>
  </si>
  <si>
    <t xml:space="preserve">Section 279 (Ward Micro Plan); read with Sections 14(2)(a), 15(1), 278(2)</t>
  </si>
  <si>
    <t xml:space="preserve">s.279(1)</t>
  </si>
  <si>
    <t xml:space="preserve">108</t>
  </si>
  <si>
    <t xml:space="preserve">AI (low confidence), from Step 2 answer (Partially Answered) and ULG-01: I left all three inputs blank. The Step 2 answer matches the sources, and I checked it again.
(1) Water supply/sewerage, and (2) City sanitation: no 'shall' provision found.
- KTCP Act s.12(1) (ULG-02, PRS text with amendments up to Act 38 of 2015, s.12 as substituted by Act 1 of 2005) says the Master Plan 'shall include proposals for' items (a)-(g). These are zoning, streets/traffic, parks and civic uses, future expansion, land reserved for government or a 'public utility undertaking', special control areas, and stages. Water supply, sewerage, sanitation and SWM are not listed. Reserving land for a utility is not a requirement to plan the service. s.12(3) covers heritage only.
- KTCP s.26(2)(f) (drainage/sewerage) and s.26(2)(h) (water supply) say a town planning scheme 'may make provisions for' these. That is a 'may' provision, so it does not count.
- BDA Act s.16(1)(c) (ULG-04) requires drainage and water supply, but only inside development schemes that are themselves optional under s.15(1) ('may'). Sanitary arrangements under s.16(2)(c) are 'may'. ULG-03 (KTCP Amendment Bill 2025) makes the Greater Bengaluru Authority (GBA) the Planning Authority for the Greater Bengaluru Area (new s.81-G, revised s.2(7)) and moves BDA outside that area. So BDA schemes no longer cover this ULG. The Bill does not change s.12's list of contents.
- GBA Act s.15(1) requires only a 'master plan and mobility plans'. s.14(4) is coordination of BWSSB and the solid waste corporation, not a plan. s.103(1)(h)-(j) are ward committee maintenance duties, and their recommendations are advisory (s.103(4)).
- I searched the sheet again for water supply, sanitation or sewerage plan duties and found none.
- Why not NO: not every relevant instrument is in the Citation Sheet. Missing are the KTCP Rules, any KTCP amendments after 2015 other than ULG-03, the GBA Act Rules, the BWSSB Act 1964, and the BMRDA Act. So this is 'not found', not confirmed absence. A 0 needs affirmative absence, so I cannot enter NO.
(3) SWM: there is a 'shall' provision, but whether it fits the rubric needs a reviewer's call.
- GBA Act s.279(1) says the City Corporation 'shall create a solid waste management plan for every block in a Ward'. s.278(2) says ward committees 'shall prepare Ward action plan' for SWM.
- Problem 1: the methodology wants a mandate on 'the planning authority'. Under s.14(2)(a), GBA is the Planning Authority, not the City Corporations.
- Problem 2: these are block/ward operating micro plans (collection times, vehicles, street sweeping, staff), not a city-level SWM plan or an SWM part of the master plan.
- Following the Step 2 request for confirmation, I left this blank rather than guess. If the reviewer accepts a duty on the City Corporations (part of the ULG) and ward/block micro plans as an 'SWM Plan', enter YES (0.55). Otherwise NO can only be confirmed once the missing instruments above have been read.
Period: GBA era. GBA Act as enacted (Karnataka Act 36 of 2025, DPAL notification 24.04.2025). ULG-19 (BBMP Act 2020 s.293) is the earlier BBMP-era version of the same provision and was not relied on.
Quote: "The City Corporation shall create a solid waste management plan for every block in a Ward"
"Water supply / sewerage" left blank: the Citation Sheet doesn't decide it.
"City sanitation" left blank: the Citation Sheet doesn't decide it.
"Solid waste management" left blank: the Citation Sheet doesn't decide it.</t>
  </si>
  <si>
    <t xml:space="preserve">Development Plan 2035 report, Chapter 19 (Proposals), s.19.11.5 Public Purpose (pp.195-196 of report / PDF pp.212-213)</t>
  </si>
  <si>
    <t xml:space="preserve">Gujarat Town Planning and Urban Development Act, 1976, Section 12(2), as paraphrased by SUDA</t>
  </si>
  <si>
    <t xml:space="preserve">s.12(2)(c) 'proposals for water supply, drainage, sewage disposal, other public utility amenities and services including supply of electricity and gas'; (f) 'flood control and prevention of river pollution'; clause (g) onward cut off</t>
  </si>
  <si>
    <t xml:space="preserve">212</t>
  </si>
  <si>
    <t xml:space="preserve">AI (low confidence), from Step 2 answer (Partially Answered) and ULG-06: All three inputs are left blank. Nothing has been scored. Reasons: (1) The only primary instrument that could carry the mandate is GTPUD Act 1976 Section 12 (ULG-01, PRS copy). Its principal-Act pages (PDF pp.2-86) come back with no text at all; they look like scanned images. Only the appended amending Acts can be read: 6 of 2017, 22 of 2017 and 14 of 2019. The 2019 Act changes s.9(1) and s.12(1) and adds s.19A, which requires spatial proposals from the plans of the Metropolitan or District Planning Committee. None of these amendments sets content for water, sanitation or solid waste. So the Act's own Section 12 text was not read. (2) The only text of s.12(2) is SUDA's paraphrase in the DP 2035 report (ULG-06). That is a secondary account by the planning authority, not the Act. The paraphrase says 'shall provide for all or any of the following'. 'All or any' arguably makes this a menu the authority can pick from, and the methodology does not count optional provisions. Even if it does count as a mandate, clause (c) covers water supply, drainage and sewage disposal. That would support Water supply / sewerage. Whether it also covers 'City sanitation' is a judgement call. Solid waste or refuse does not appear in clauses (a) to (f). Clause (g) and the later clauses are cut off in what could be read, so absence cannot be confirmed. (3) Other instruments checked: GTPUD Rules 1979 (ULG-04). The parts I could read cover the layout plan (r.13), the s.39 documents, Forms C to P and budget forms. I found no list of development plan contents. GPMC Act 1949 (ULG-03): s.63 makes sewage, rubbish and solid waste management services an obligatory duty of the Corporation. That is a duty to provide services, not a duty to plan, so it is not credited. CGDCR 2017 (ULG-05, ULG-14 to ULG-16): building-level rules only. DP 2035 p.16 shows that SUDA did plan for water supply, sewerage and solid waste management. That is practice, not a legal mandate. (4) Because the s.12 Act text was not read and the clauses from (g) onward are missing, a 'NO' would not meet the affirmative-absence test, and a 'YES' would rest only on a secondary paraphrase with ambiguous wording. FOR HUMAN REVIEWER: get a readable official text of GTPUD Act s.12(2), for example from the UD&amp;UHD or Legislative Department, or a gazette copy. Then decide three things: (a) whether 'shall provide for all or any of' counts as a mandate; (b) whether 'sewage disposal' or 'drainage' satisfies the sanitation component; (c) whether any later clause mentions refuse or solid waste. I could not read the end of clause list (g) onward because I hit the tool-call limit.
Quote: "As per provisions of section 12(2) of the Act, the draft development plan shall provide for all or any of  the following public purposes:"
"Water supply / sewerage" left blank: the Citation Sheet doesn't decide it.
"City sanitation" left blank: the Citation Sheet doesn't decide it.
"Solid waste management" left blank: the Citation Sheet doesn't decide it.</t>
  </si>
  <si>
    <t xml:space="preserve">Chapter XIX – Disaster Management</t>
  </si>
  <si>
    <t xml:space="preserve">Section 270</t>
  </si>
  <si>
    <t xml:space="preserve">Sub-section (3); see also s.270(1)-(2), and the 'Planning Functions' provision (p.14-15) making the Greater Bengaluru Authority the Planning Authority under the KTCP Act, 1961</t>
  </si>
  <si>
    <t xml:space="preserve">105</t>
  </si>
  <si>
    <t xml:space="preserve">AI (low confidence), from Step 2 answer (Partially Answered) and ULG-01: I left 'Answer' blank. A person needs to decide how to read the method; I have not guessed.
(1) What the planning law says. The Karnataka Town and Country Planning (KTCP) Act, 1961 is in the Citation Sheet as ULG-02, a PRS compilation with amendments up to Act 38 of 2015. I re-read it.
- Section 12(1), contents of the master plan, lists clauses (a) to (g): zoning, street pattern, parks and open spaces, future development, public-purpose reservations, special control areas and stages. None of them is about disaster, hazard, flood or resilience.
- Section 26(2) on town planning schemes uses 'may'. Clause (b), 'filling up or reclamation of low-lying, swamp or unhealthy areas', is optional and is not a disaster plan.
- The Bangalore Development Authority Act, 1976 (ULG-04, with amendments up to 42/2026) has no disaster or resilience planning provision in the passages I read. Those passages covered s.18-19 on schemes, s.51 on the Art Commission, s.69-70 on rules and regulations, and the 2020 amendment. That amendment only bars allotting land near storm water drains, tank beds and similar areas. That is a land-allotment limit, not a planning mandate.
(2) The only mandatory provision found is in an allied Act. Section 270(3) of the Greater Bengaluru Governance (GBA) Act, 2024 says the City Corporation 'shall prepare a Disaster Management Plan or Fire Hazard Response and Mitigation Plan every year'. I did not mark this YES, for three reasons:
- (a) The method asks for a duty on 'the planning authority'. The same Act's Planning Functions provision makes the Greater Bengaluru Authority (GBA) the Planning Authority under the KTCP Act, not the City Corporations. Section 17 gives the GBA a Climate Action Cell to 'formulate and implement' the Bengaluru Climate Action and Resilience Plan (BCAP). But that duty is to set up a cell, and the BCAP is a climate plan, not a statutory disaster plan or a part of the master plan.
- (b) The duty is worded 'or'. A Fire Hazard Response and Mitigation Plan alone would satisfy it, and that is narrower than a disaster resilience plan.
- (c) It is a separate yearly plan, not a disaster part of the master or city plan.
If the reviewer accepts a 'shall' duty on the ULG (the City Corporation) under an allied municipal Act as meeting the test, the answer should be YES (1.67).
(3) Why I cannot answer NO. Several layers are not in the Citation Sheet, so I cannot show the provision is absent:
- the KTCP Rules and Zoning Regulations
- KTCP amendments after 2015 (ULG-03 is a 2025 bill that has not been shown to be enacted)
- the BMRDA Act
- the Karnataka Urban Development Authorities Act
- any State rules prescribing the s.270(3) plan
The BCAP 2023 (ULG-16, actions UPGBD-2.1 and DM-2.6) recommends adding disaster and vulnerability content to the KTCP Act and the master plan. These are policy recommendations, not law. They hint that no mandate exists, but they do not prove it.
All legal texts here are PRS republications, not the official Gazette. The GBA Act's commencement date is not confirmed in the Citation Sheet.
Quote: "(3) The City Corporation shall prepare a Disaster Management Plan or Fire Hazard Response and Mitigation Plan every year as prescribed by the State Government after previous publication and publish the Plan in the Official Gazette."
"Answer" left blank: the Citation Sheet doesn't decide it.</t>
  </si>
  <si>
    <t xml:space="preserve">AI: left for a person. Step 2 found no evidence (Insufficient Evidence). Source needed: Readable official text of the Gujarat Town Planning and Urban Development Act, 1976 as amended (s.12, contents of the development plan); the Gujarat State Disaster Management Act, 2003, for any duty on local authorities or planning authorities to prepare disaster plans; the Gujarat Metropolitan Planning Committees Act, 2008, for the contents of the metropolitan development plan; and a full read of the GPMC Act, 1949.</t>
  </si>
  <si>
    <t xml:space="preserve">Chapter V – Preparation of policies and Comprehensive Mobility Plan</t>
  </si>
  <si>
    <t xml:space="preserve">Sections 21, 22 and 23</t>
  </si>
  <si>
    <t xml:space="preserve">s.21(1)-(2), s.22(1)-(3), s.23</t>
  </si>
  <si>
    <t xml:space="preserve">AI (medium confidence), from Step 2 answer (Answered — Verified Source) and ULG-18: The answer is YES because Karnataka law requires mobility planning to be done with 'shall', not 'may'. I checked the Step 2 answer against the source text and it holds. (1) Allied Act (ULG-18, the BMLTA Act 2022, Karnataka Act 6 of 2023). Section 21(1) says 'The Authority shall notify its intent to prepare a Comprehensive Mobility Plan'. Section 21(2) says it 'shall cause to prepare a Comprehensive Mobility Plan for the Urban Mobility Region' within two years, and lists what the plan must contain in items (a)-(m): road network, road hierarchy, public transport routes, footpaths and cycle tracks, and accessible mobility. Section 23 requires a revision 'at least once in every five years' ('shall'). Section 22(1) requires the Planning Authority to prepare the land-use part of the Master Plan taking the CMP 'in its entirety' ('shall'). Section 22(2)-(3) requires it to consult the BMLTA and send it the draft Master Plan for concurrence. (2) The KTCP Act itself (ULG-02, s.12(1), as substituted by Act 1 of 2005) says the Master Plan 'shall include proposals for ... (b) a complete street pattern ... and traffic circulation pattern, for meeting immediate and future requirements with proposals for improvements'. That is a required mobility part of the city plan. Either route meets the methodology: a required CMP, or a required mobility component in the municipal/city plan. Provisions I did not rely on because they say 'may': s.21(6) (review whenever necessary) and the proviso to s.23 (revising the plan alongside the Master Plan). Things a person should check: (a) both Acts are PRS secondary copies, not gazette copies; (b) the KTCP compilation stops at Act 38 of 2015, and I did not check whether Amendment Act 10 of 2026 to the BMLTA Act changes ss.21-23; (c) the CMP is prepared by the BMLTA, a state body, not by the city government, and the city government's own duty comes through KTCP s.12(1)(b) and BMLTA s.22, with the GBA being the KTCP Planning Authority under the GBG Act 2024 (ULG-01); (d) the notification declaring the Urban Mobility Region is not in the Citation Sheet. None of these changes the YES answer on the law.
Quote: "The Planning Authority  in  the  Urban Mobility Region shall prepare the land use plan as part of preparation or revision of Master Plan of the city or local planning area by taking into consideration the Comprehensive Mobility Plan in its entirety."</t>
  </si>
  <si>
    <t xml:space="preserve">Chapter 19 (Proposals), 19.11.5 Public Purpose, pp.195-196 of the report (PDF pp.212-213)</t>
  </si>
  <si>
    <t xml:space="preserve">Gujarat Town Planning and Urban Development Act, 1976 (GTPUDA) s.12(2), as quoted in SUDA's Development Plan 2035 report</t>
  </si>
  <si>
    <t xml:space="preserve">s.12(2)(b): 'transport and communications, such as roads, highways, railways, and airport, including their extension and development'</t>
  </si>
  <si>
    <t xml:space="preserve">AI (low confidence), from Step 2 answer (Partially Answered) and ULG-06: I left the Answer blank because the Citation Sheet does not support either YES or NO.
Why not YES:
- No source in the Sheet requires anyone to prepare a Comprehensive Mobility Plan (CMP).
- The closest wording is GTPUDA s.12(2). It is known here only from SUDA's own Development Plan 2035 report (ULG-06), which says the draft development plan 'shall provide for all or any of' a list of public purposes. Item (b) is 'transport and communications, such as roads, highways, railways, and airport'.
- 'All or any of' lets the authority choose which items to include, so including transport is in effect optional. The methodology says optional provisions are not credited.
- Item (b) is also about land for transport infrastructure. It is not a comprehensive mobility plan or mobility component.
- The 2019 amendment (ULG-01: s.9(1) proviso, s.12(1) change, new s.19A) only brings in the 'spatial planning' proposals of plans made under the Gujarat Metropolitan Planning Committees (MPC) Act or District Planning Committees Act. It says nothing about mobility.
- The GTPUD Rules 1979 (ULG-04) mention transport and roads only as map colours and as the index map of a town planning scheme. They do not require a mobility plan.
- The CGDCR 2017 duty to 'plan for proper access, circulation and mobility' (ULG-05) applies only to development in areas with no town planning scheme. It is a road network plan for those areas, not a city-level mobility plan.
- The Surat CMP of 2008 and the new one being prepared (ULG-07, ULG-06 p.201/216) show what happens in practice. They do not show a legal mandate.
Why not NO (affirmative absence is not established):
- The original GTPUDA s.12 text could not be read in ULG-01. That PRS copy shows only the appended amendment Acts, so the wording is known only from SUDA's paraphrase.
- Only the 2019 amendments (ss.10A-10C) of the MPC Act 2008 are in the Sheet, not the full Act.
- The whole Gujarat Provincial Municipal Corporations Act 1949 (ULG-03) has not been searched for transport or traffic planning duties.
- No Gujarat metro or urban transport authority law is in the Sheet.
What I checked: ULG-01, ULG-04, ULG-05, ULG-06, ULG-07, and a search of the whole Sheet for 'traffic and transportation plan mobility plan shall be prepared'.
For the reviewer:
- Get the primary GTPUDA s.12 text, the full MPC Act 2008 and the full GPMC Act 1949.
- If no mandatory mobility or CMP provision turns up, NO is the likely answer. 'All or any of' transport land reservation would not count under the 'may'/optional exclusion.
- Confirm whether s.12(2)(b) should count as a 'mobility component' under the methodology.
Quote: "As per provisions of section 12(2) of the Act, the draft development plan shall provide for all or any of  the following public purposes:"
"Answer" left blank: the Citation Sheet doesn't decide it.</t>
  </si>
  <si>
    <t xml:space="preserve">Section 17 (Climate Action Cell), read with the 'Planning Functions' sub-section (2)(a) of the GBA functions section</t>
  </si>
  <si>
    <t xml:space="preserve">s.17(1); also s.17(2)-(3); Planning Functions (2)(a)</t>
  </si>
  <si>
    <t xml:space="preserve">AI (medium confidence), from Step 2 answer (Answered — Verified Source) and ULG-01: I scored YES. The methodology accepts provisions in the T&amp;CP Act, a UDA Act or an allied Act that require the planning authority to prepare a sustainability plan. The Greater Bengaluru Governance Act, 2024 (Karnataka Act 36 of 2025) is such an allied Act. Under its Planning Functions provision (2)(a), 'the Greater Bengaluru Authority shall be the "Planning Authority" as defined under the Karnataka Town and Country Planning Act, 1961', and this applies 'notwithstanding anything contained in any other law'. Section 17(1) then says the GBA 'shall' set up a Climate Action Cell to 'formulate and implement' the Bengaluru Climate Action and Resilience Plan (BCAP) and plans to cut greenhouse gas emissions. Section 17(2) says the Cell 'shall' drive timely implementation of BCAP actions. The verb is 'shall', not 'may', so the planning authority is required to prepare a climate plan. I checked both provisions in the ULG-01 text and the Step 2 answer is supported.
Other instruments I checked:
- KTCP Act s.12 (Contents of Master Plan, as substituted by Act 1 of 2005; PRS text with amendments up to Act 38 of 2015). The required items are zoning, streets, parks and open spaces, and so on. There is no sustainability, climate or environmental-conservation requirement, so the second route (an environmental part inside the master plan) is not met under the KTCP Act.
- KTCP Act s.26(2)(e) and (i). Green belts and 'natural beauty' appear only as matters a town planning scheme 'may' cover, so they do not count.
- GBA Act s.315(l). The GBA 'may' make regulations on the chapters of the Master Plan. This is discretionary and was not relied on.
Points for a person to check:
(1) The GBA Act text is a PRS copy, which is a secondary source; the official Gazette copy should be confirmed.
(2) I could not confirm the section number of the Planning Functions provision from the excerpt.
(3) The 'Yes' rests on a separate climate plan required of the planning authority, not on a climate part inside the KTCP master plan.
(4) The KTCP Amendment Bill 2025 (ULG-03) and the GBA Amendment Bill 2025 (ULG-05) have not been shown to be enacted and were not relied on.
(5) No KTCP Rules or zoning regulations are in the Citation Sheet.
This question is about the law only. Whether the Cell or the BCAP exists in practice was not assessed.
Quote: "The Greater Bengaluru Authority shall, within one year of its constitution, establish a Climate Action Cell, with the Chief Commissioner as the chairperson, tasked with the responsibility to formulate and implement Bengaluru Climate Action and Resilience Plan and such other plans and strategies for mitigating Greenhouse Gas emissions."</t>
  </si>
  <si>
    <t xml:space="preserve">Chapter 19 (Proposals), 19.11.5 Public Purpose (pp.195-196 of the SUDA Development Plan 2035 report, 22 Feb 2017)</t>
  </si>
  <si>
    <t xml:space="preserve">Gujarat Town Planning and Urban Development Act 1976, s.12(2), as paraphrased by SUDA (secondary)</t>
  </si>
  <si>
    <t xml:space="preserve">s.12(2)(f): 'proposals for flood control and prevention of river pollution'</t>
  </si>
  <si>
    <t xml:space="preserve">AI (low confidence), from Step 2 answer (Partially Answered) and ULG-06: I left the answer blank. The Citation Sheet doesn't let me decide YES or NO.
(1) Only a secondary paraphrase of the key provision is available. The one passage on what a development plan must contain is SUDA's own restatement of Gujarat Town Planning and Urban Development Act (GTPUD Act) 1976 s.12(2) in its Development Plan 2035 report (ULG-06, pp.195-196). It says the plan 'shall provide for all or any of' a list of public purposes. Item (f) is 'proposals for flood control and prevention of river pollution'. I searched ULG-01 several times for the s.12 text (queries on 'contents of draft development plan', 'shall provide for all or any of', 'flood control and prevention of river pollution', and 'natural scenery / forest / natural resources'). It returned only appended amendments:
- Gujarat Act 2017, amending ss.7, 23, 49, 52, 76A and 119.
- Gujarat Act 14 of 2019. This adds a proviso to s.9(1) and a new s.19A requiring spatial-planning proposals from the Metropolitan Planning Committee (MPC) or District Planning Committee (DPC) plan to be included. It also deletes words from s.12(1). Neither touches environmental content.
The principal text of s.12 was never returned, so I couldn't check the exact verb or the full list of clauses against the Act.
(2) It's unclear how to apply the method. 'Shall provide for all or any of' leaves the authority free to choose which items go in. That works like the 'may'-type optional provision the Detailed Methodology excludes. Also, 'flood control and prevention of river pollution' is a narrow environmental item, not a general sustainability, climate or environmental-conservation component. A reviewer needs to decide both points.
(3) I can't record NO because absence isn't proven. The primary s.12 text is unread. The Gujarat MPC Act 2008 rules on plan contents aren't in the Sheet as a standalone text (only its 2019 amendment, ss.2 and 10A-10C, which is procedural). The Gujarat Provincial Municipal Corporations Act 1949 (ULG-03) was only partly read.
Other sources checked, none relevant:
- GTPUD Rules 1979 (ULG-04): r.3 covers how the plan is prepared; r.4 sets map colours. Neither is a content mandate.
- CGDCR 2017 (ULG-05, ULG-14, ULG-15, ULG-16): building and development-permission rules.
- NITI Aayog Economic Master Plan (ULG-09): a policy document, not law.
- Solar City Master Plan (ULG-19) and Disaster Management Plan (ULG-10): plans, not statutory mandates.
To decide, a reviewer needs: (a) the official primary text of GTPUD Act s.12 (from the Gujarat Legislative &amp; Parliamentary Affairs Department or UD&amp;UHD), to confirm the verb and whether any clause covers environment or natural-resource conservation; (b) a ruling on whether an 'all or any of' list counts as a mandate; (c) the GMPC Act 2008 provisions on what the development plan must contain.
For context, under the GTPUD Act the plan is prepared by the Surat Urban Development Authority (SUDA), not the Surat Municipal Corporation, and sanctioned by the State.
Quote: "As per provisions of section 12(2) of the Act, the draft development plan shall provide for all or any of  the following public purposes:"
"Answer" left blank: the Citation Sheet doesn't decide it.</t>
  </si>
  <si>
    <t xml:space="preserve">Chapter III – Master Plan</t>
  </si>
  <si>
    <t xml:space="preserve">Section 12 – Contents of Master Plan (substituted by Karnataka Act 1 of 2005, in force from 14.2.2005)</t>
  </si>
  <si>
    <t xml:space="preserve">Section 12(3); read with s.9(1) (every planning authority 'shall' prepare a master plan) and s.2(1ea)/(1eb) (definitions of Heritage Building and Heritage Precinct)</t>
  </si>
  <si>
    <t xml:space="preserve">AI (medium confidence), from Step 2 answer (Answered — Verified Source) and ULG-02: The answer is YES, which earns full marks for this sub-question (1.67). I checked the Step 2 answer against the text of ULG-02 and it holds up.
What the law says:
- Section 12(3) of the Karnataka Town and Country Planning (KTCP) Act, 1961 says the Master Plan 'shall indicate' Heritage Buildings and Heritage Precincts. It also says the plan 'shall include the regulations ... for conservation of the same'.
- This is a binding heritage-conservation part of the city master plan, which the methodology accepts in place of a separate heritage plan.
- The wording is 'shall', not 'may', so the rule against optional provisions does not apply.
- The quoted wording appears twice in ULG-02, word for word: in the consolidated s.12 text (page 32) and in the reproduced Amendment Act 1 of 2005 (page 117).
- Section 9(1) says every planning authority 'shall' prepare and publish a master plan.
- Section 13-D applies sections 9 to 12 to every revision of the master plan, so the heritage requirement also binds Revised Master Plans.
Why it applies to Bengaluru: the Step 2 evidence shows that the Greater Bengaluru Governance Act (GBA Act, ULG-01) makes the Greater Bengaluru Authority the 'Planning Authority' under the KTCP Act for the Greater Bengaluru Area. So section 12(3) governs its master plan. I did not re-read ULG-01; I relied on the Step 2 quote. The YES answer rests on section 12(3) alone.
Supporting provisions: the GBA Act's own heritage chapter (Chapter XXII, ss.296-301) adds binding duties: a heritage list, heritage regulations and a Heritage Conservation Committee. These support the answer but are not needed for it.
Things a reviewer should check:
1. ULG-02 is a PRS compilation, a secondary source, and only covers amendments up to Act 38 of 2015. Any later amendment to section 12 has not been checked against an official consolidated text. The KTCP Amendment Bill 2025 (ULG-03) is not shown to be enacted and does not touch section 12(3).
2. Step 2 inferred that the GBA planning-authority clause is section 14(2)(a); it should be confirmed against ULG-01.
Confidence is medium rather than high because the evidence is PRS-only text and the Bengaluru link needs two instruments read together (the KTCP Act and the GBA Act).
Quote: "Master Plan shall indicate “Heritage Buildings” and “Heritage Precincts” and shall include the regulations made therein for conservation of the same."</t>
  </si>
  <si>
    <t xml:space="preserve">AI: left for a person. Step 2 found no evidence (Insufficient Evidence). Source needed: A readable official text of the Gujarat Town Planning and Urban Development Act, 1976, mainly s.12 (contents of the draft development plan), to see whether heritage preservation is a 'shall' item. The CGDCR 2017 heritage regulations chapter, to see whether it requires the competent authority to prepare a heritage list or conservation plan. The Gujarat Metropolitan Planning Committees Act, 2008, and any Gujarat heritage conservation law or GO.</t>
  </si>
  <si>
    <t xml:space="preserve">Section 12 (Contents of Master Plan), as substituted by Act 1 of 2005 w.e.f. 14.2.2005</t>
  </si>
  <si>
    <t xml:space="preserve">s.12(1)(a) and (c); s.12(2); s.12(3)</t>
  </si>
  <si>
    <t xml:space="preserve">AI (low confidence), from Step 2 answer (Partially Answered) and ULG-02: I left all three inputs blank. None can be scored YES, and none can be scored NO (0) because I could not show that no such requirement exists anywhere.
1. Planning law read in the Citation Sheet:
- KTCP Act 1961 (ULG-02, PRS compilation with amendments up to Act 38 of 2015). Section 12(1) is a mandatory ('shall include proposals for') list of land-use items: (a) zoning for residential, commercial, industrial, agricultural, recreational, educational and other purposes; (b) street pattern; (c) parks and areas for 'public buildings and institutions'; (d) to (g) future expansion, land reservation, special control areas and phasing. Sections 12(2) and 12(3) cover survey and explanatory reports, zone regulations and heritage. Nothing in s.12 requires a social development plan or a social development component. Public health and affordable housing are not mentioned.
- KTCP Amendment Bill 2025 (ULG-03, as passed by the Legislative Assembly). It does not change s.12. It only adds the Commissionerate (s.2A/2B) and makes GBA the planning authority (s.2(7), s.81-B and s.81-G). It comes into force on a date the government notifies, and that date is not in the sheet.
- GBA Act 2024 (ULG-01). Section 15(1) makes GBA responsible for master plans and mobility plans 'for the infrastructure development'. The section 18 Sectoral Expert Committee on Social Inclusion, Education, Health and Welfare is advisory only. The Bengaluru Metropolitan Planning Committee draft plan has no contents set out.
- BDA Act (ULG-04). Section 16(3) says schemes 'may' provide houses. That is optional and is excluded by the methodology.
- BBMP Act 2020 (ULG-19). Its housing and education items are municipal functions, not required plan contents.
- BMLTA Act (ULG-18). Section 21(2) concerns the Comprehensive Mobility Plan, which is a mobility plan, not a social development plan.
2. Education. The only overlap is mandatory zoning of land for 'educational' purposes under s.12(1)(a). The methodology asks for a mandated social development plan, or a social development component of the plan, that covers education. In my view a land-use zoning category is not that, so I would not credit YES. A person should confirm this reading.
3. Why NO cannot be scored. Several layers are not in the Citation Sheet:
- the KTCP Rules and any rules on Master Plan or zoning regulation contents;
- KTCP amendments after 2015 other than those noted;
- the BMRDA Act 1985;
- rules under the GBA Act;
- any state affordable housing law or rules that tie housing to the master plan.
The rules require that every relevant instrument has been read before a 0 is given. Because these layers were not available to read, absence is not shown, so the result is 'not found' rather than NO for all three components.
4. Please check:
(a) whether the KTCP Rules or zoning regulations require health, education or affordable housing contents in the plan;
(b) whether the methodology credits educational land-use zoning as an Education component;
(c) the date the KTCP Amendment 2025 took effect, and so when GBA became the planning authority.
Quote: "such plan shall include proposals for the following, namely:- (a) zoning of land use for residential, commercial, industrial, agricultural, recreational, educational and other purposes together with Zoning Regulations;"
"Public health" left blank: the Citation Sheet doesn't decide it.
"Education" left blank: the Citation Sheet doesn't decide it.
"Affordable housing" left blank: the Citation Sheet doesn't decide it.</t>
  </si>
  <si>
    <t xml:space="preserve">Development Plan 2035, Chapter 19 (Proposals), section 19.11.5 Public Purpose</t>
  </si>
  <si>
    <t xml:space="preserve">GTPUDA 1976 s.12(2), as paraphrased in SUDA DP 2035, pp.195-196</t>
  </si>
  <si>
    <t xml:space="preserve">s.12(2)(a) (educational institutions, medical and public health institutions); s.12(2)(d) (community facilities and services)</t>
  </si>
  <si>
    <t xml:space="preserve">AI (low confidence), from Step 2 answer (Partially Answered) and ULG-06: I left all three inputs blank because the Citation Sheet does not settle them.
(1) Public health and Education. The only provision I found is GTPUDA 1976 s.12(2), and only as a paraphrase in SUDA's Development Plan 2035 (ULG-06, s.19.11.5). It says the draft development plan 'shall provide for all or any of' a list of public purposes. Item (a) is 'reservation of land for public purposes, such as schools, colleges, and other educational institutions, medical and public health institutions'.
- This is a clause about reserving land in the land-use plan. It does not require a social development plan, or a social development component that plans for health and education.
- 'All or any of' leaves each item to the authority's choice, which works like 'may'. The methodology says to disregard 'may' provisions.
- I could not check the Act's own text. In the PRS copy (ULG-01), the pages holding the main Act cannot be read, and the readable amendments of 2017 and 2019 only add Local Area Plans and links to MPC/DPC spatial plans.
- So I cannot give YES. I also cannot give NO, because I have not read the Act's text of s.12.
(2) Affordable housing. The DP's paraphrase of s.12(2) lists items (a) to (g), and none of them is housing. Item (g) covers land for the Union, a State, a local authority or other statutory body. The paraphrase may not be complete, though, and the Act text cannot be read, so this is not affirmative absence.
- GPMC Act s.284F (ULG-03) requires housing for the poorer classes only in re-development plans for areas the Corporation chooses to declare. That is not a duty for the city plan.
- CGDCR 2017 (ULG-05/14/15) only defines terms and provides an affordable housing zone; it imposes no planning duty.
What I checked:
- ULG-01: GTPUDA PRS copy; s.12 cannot be read.
- ULG-04: GTPUD Rules 1979. The parts I saw cover publication, development permission, development charges and forms. I found no rule on plan content covering health, education or housing.
- ULG-06: DP 2035, s.19.11.5.
- ULG-03: GPMC Act.
- I also searched the whole sheet for housing for weaker sections and for social development plan.
The Gujarat MPC Act 2008 is not in the Citation Sheet.
For a reviewer:
- (a) Read the official text of GTPUDA s.12(2), as amended, to confirm the full list and whether any clause covers housing for weaker or economically weaker sections.
- (b) Decide whether 'shall provide for all or any of' counts as a mandate under the methodology.
- (c) Read the text of the Gujarat MPC Act 2008 and the DPC Act 2008.
Confidence is low: the source is a plan's paraphrase rather than the Act, and every input is blank.
Quote: "As per provisions of section 12(2) of the Act, the draft development plan shall provide for all or any of  the following public purposes:"
"Public health" left blank: the Citation Sheet doesn't decide it.
"Education" left blank: the Citation Sheet doesn't decide it.
"Affordable housing" left blank: the Citation Sheet doesn't decide it.</t>
  </si>
  <si>
    <t xml:space="preserve">Chapter 2 – Urban planning, greening and biodiversity sector (Ongoing initiatives in the city); Chapter 5 action table UPGBD-2</t>
  </si>
  <si>
    <t xml:space="preserve">p.87 list of statutory and regulatory frameworks; p.265 action UPGBD-2.2</t>
  </si>
  <si>
    <t xml:space="preserve">UPGBD-2.2: 'Revision of the BMRDA Structure Plan (RSP 2031) should align with the regional imperatives of CAP' (lead agency BMRDA)</t>
  </si>
  <si>
    <t xml:space="preserve">87</t>
  </si>
  <si>
    <t xml:space="preserve">AI (low confidence), from Step 2 answer (Partially Answered) and ULG-16: I left the answer blank. The Citation Sheet shows that a metropolitan/regional plan exists, but not that it was notified, and the scorers' note requires a notified plan document (maps alone do not count). WHAT THE SHEET SHOWS: ULG-16 (BCAP 2023, BBMP era, about 2023) names the 'Revised Structure Plan, 2031 (RSP 2031) for Bengaluru Metropolitan Region, prepared under provisions of the BMRDA Act, 1985' among the frameworks that govern the city (p.87). Its action UPGBD-2.2 (p.265) asks BMRDA to revise RSP 2031. On the official BMRDA website, ULG-20 (Local Planning Areas page, captured 2026) links to 'Structure Plan' (https://bmrda.karnataka.gov.in/7/structure-plan/en) and 'Reports' (St report.pdf), and ULG-21 (BMRDA home page) links a structure plan, a report and 'Land Utilization Plan 2031'. Only the link labels were captured, not the documents. ULG-10 lists 'To prepare a structure plan' as a BMRDA function, which is a mandate, not proof of practice. WHY NOT YES: none of these sources contains the RSP 2031 plan document, a State Government approval, or a gazette notice. The only explicit mention is in a secondary city climate plan, and the methodology asks for a notified document. WHY NOT NO: the plan's existence is clearly indicated, so I cannot show affirmative absence. A 0 would be wrong. I checked ULG-01, ULG-02, ULG-10, ULG-16, ULG-19, ULG-20 and ULG-21, and searched the whole sheet for structure plan approval or notification. Nothing was found. VERIFICATION-LIMIT: the BMRDA 'Structure Plan' page and St report.pdf were not captured into the sheet. REVIEWER: open https://bmrda.karnataka.gov.in/7/structure-plan/en and St report.pdf (both linked from ULG-20). Confirm that the document is the RSP 2031 plan document (not just maps) and that the Government of Karnataka approved or notified it, and record the GO or notification number and date. If both are confirmed, the answer is YES (3.33). Era: BCAP evidence is BBMP era (about 2023); the BMRDA website was captured in 2026.
Quote: "Revised Structure Plan, 2031 (RSP 2031) for Bengaluru Metropolitan Region, prepared under provisions of the BMRDA Act, 1985"
"Answer" left blank: the Citation Sheet doesn't decide it.</t>
  </si>
  <si>
    <t xml:space="preserve">AI (low confidence), from Step 2 answer (Partially Answered) and ULG-06: I left the Answer blank because the Citation Sheet supports neither YES nor NO. A reviewer needs to decide one point of interpretation, and some evidence is missing.
(1) Metropolitan plan. ULG-06 (SUDA Draft DP 2035 report, 22 Feb 2017) says the Surat Metropolitan Area was declared under the Gujarat Metropolitan Planning Committees Act, 2008 on 11/03/2016. It also says the plan to be made under that Act 'is not in place as on today'. That status is from Feb 2017. The sheet does not include the 2008 Act or any later notification of a metropolitan plan.
(2) Change from the Step 2 answer. ULG-17 (Gujarat Government Gazette Extra No.124, 24 Mar 2025) shows that the SUDA Development Plan has now been notified. The gazette states that the 'Final Development Plan of Surat Urban Development Authority was sanctioned under Government Notification, Urban Development and Urban Housing Department No.GH/V/157 of 2020/DVP-142018-5731-L, dated 08.10.2020'. So the SUDA DP is a notified document. It covers SMC plus 195 villages (1351 sq.km). The DP 2035 text also uses the words 'SUDA region' and 'urban growth in the region'.
Point to confirm: does this notified UDA development plan count as a 'metropolitan/regional plan'? The methodology does tell scorers to check the urban development authority's website, which leans towards counting it. Against that, the plan was made under the Gujarat Town Planning and Urban Development Act, 1976 as an urban-area development plan. ULG-06 itself treats it as separate from the metropolitan plan under the 2008 Act. 'UDA area' is not clearly a safe synonym for a metropolitan region. If the reviewer accepts the UDA plan, the answer becomes YES, based on ULG-17 plus ULG-06.
(3) Surat Economic Region plan. ULG-09 (NITI Aayog Economic Master Plan for the Surat Economic Region, Sept 2024) covers a 6-district 'city-region'. It is an economic plan, and nothing in the sheet shows it was notified. The scorer notes say a notified document is required, so on the current evidence it does not count.
(4) Why not NO. A 0 needs affirmative absence, and that is not shown. The sheet does not include the text of the 2008 Act, any Surat metropolitan plan notification after 2017, or the SUDA or SMPC plans pages.
Sources checked: ULG-06, ULG-17 and ULG-09, plus ULG-01 to ULG-05, ULG-10 and ULG-14 to ULG-15 as reviewed in Step 2 (no metropolitan or regional plan found in those). I also searched the whole sheet for 'metropolitan region plan Surat notified'.
One more check for the reviewer: the gazette also shows a separate Rule 9 issue. ULG-17 cites the 2020 sanction notification but is not that notification itself. It is a later notification proposing a change (variation) to the plan.
Quote: "By the notification dated 11/03/2016, the Surat Metropolitan area has been declared under the said Act, 2008 which includes the SMC and Sachin  Municipality area. The Metropolitan Committee for Surat was also constituted by the notification of the State Government dt. 11/03/2016 except for the elected members. The Draft Development Plan to be framed under the provisions of the Gujarat Metropolitan Planning Committees Act, 2008, is not in place as on today."
"Answer" left blank: the Citation Sheet doesn't decide it.</t>
  </si>
  <si>
    <t xml:space="preserve">Chapter 1 (context); Chapter 2 urban planning sector (p.87, Table 7); Action tracks UPGBD-2.4 to 2.7 (pp.266-267)</t>
  </si>
  <si>
    <t xml:space="preserve">p.34; p.87; p.49 footnote 15; p.266</t>
  </si>
  <si>
    <t xml:space="preserve">AI (low confidence), from Step 2 answer (Partially Answered) and ULG-16: I left the Answer blank because the Citation Sheet does not contain the notified plan, so the plan's existence cannot be confirmed to the required standard. That standard comes from the methodology and the scorer's note: 'Please ensure an existence of a notified document of the plan. Maps alone will not make the cut'. The plan document must also be found on the urban development authority site (BDA, or GBA now), the city government site or the Town and Country Planning Department site. Step 2 reached the same result, and I checked it against the sources.
What I found:
(a) ULG-16 is the BBMP-era Bengaluru Climate Action Plan (BCAP) from 2023. It only mentions the plan second-hand. Page 34 calls RMP 2015 'a statutory planning instrument'. Page 87 lists 'Revised Master Plan, 2015 (RMP 2015) for the Bengaluru Metropolitan Area, prepared under the provisions of the KTCP Act, 1961', and Table 7 says the revised plan is 'under preparation (by BDA)'. Pages 266-267 mark '*RMP 2041 under preparation'. Footnote 15 on page 49 says the draft RMP 2031 'is no longer in action'.
(b) ULG-02 is the KTCP Act, amended to 2015. Sections 9 to 13-D set out how a master plan is prepared, approved and revised. That is the law, not evidence that a plan has been notified.
(c) ULG-01 is the Greater Bengaluru Governance Act 2024. It makes GBA the planning authority, and its building-plan provisions refer to 'the master plan'. Again this is law only.
(d) ULG-04 (the BDA Act), ULG-20 and ULG-21 (BMRDA pages) and ULG-03 (the 2025 KTCP Amendment Bill) contain no notified Bengaluru master plan and no gazette notification for one.
Why neither score: 'NO' (0) is not justified, because the evidence points to a statutory plan existing, so there is no affirmative absence. 'YES' (3.33) is not justified, because no notified plan document or gazette notification is in the sheet.
For reviewers:
1. Add the notified RMP 2015 document or its gazette notification (the BDA/UDD approval, reportedly 2007), from the BDA, GBA or Town and Country Planning site.
2. Check whether RMP 2041 has been approved or notified.
3. Confirm that RMP 2015 is still the operative plan in the GBA era.
4. Capture a dated screenshot.
Quote: "The city’s spatial growth , land use , and development are largely guided by the Master Plan (the Revised Master Plan for Bangalore - 2015), which is a statutory planning instrument."
"Answer" left blank: the Citation Sheet doesn't decide it.</t>
  </si>
  <si>
    <t xml:space="preserve">Gujarat Government Gazette Extraordinary No. 124, Part IV-B, 24-03-2025</t>
  </si>
  <si>
    <t xml:space="preserve">UD&amp;UHD Notification No. GH/V/107 of 2025/UDUHD/DVP/e-file/18/2025/0548/L dated 20.03.2025, issued under s.19(1) of the Gujarat Town Planning and Urban Development Act, 1976</t>
  </si>
  <si>
    <t xml:space="preserve">Opening recital (page 124-1) and the Schedule (page 124-2)</t>
  </si>
  <si>
    <t xml:space="preserve">AI (medium confidence), from Step 2 answer (Answered — Verified Source) and ULG-17: Answer is YES because the sources show a notified city-level development plan. ULG-17 is a Gujarat Government Gazette notification dated 20/24-03-2025. It says the Final Development Plan of the Surat Urban Development Authority (SUDA) was sanctioned by UD&amp;UHD Notification No. GH/V/157 of 2020/DVP-142018-5731-L dated 08.10.2020, and it proposes a variation to that plan under s.19(1) of the GTPUD Act. So the plan is a notified document named a 'Development Plan', not just maps, and it was in force as of March 2025. ULG-17 is hosted on SUDA's website, which the methodology accepts as an urban development authority site. I checked that the plan covers the city in ULG-06 (SUDA Development Plan 2035 report, 22-02-2017). It says 'the jurisdiction of SUDA includes the area of SMC (326.52 sq.km.)'. It also says SUDA was set up in 1978 for a development area 'consisting of Surat Municipal Corporation and 148 villages'. The Step 2 answer matches the sources. Caveats for the reviewer: (1) The plan was prepared by SUDA and sanctioned by the State; it was not adopted by the SMC itself. The SQ methodology accepts a plan from the urban development authority, the city government or the T&amp;CP department. (2) The 08.10.2020 sanction notification and the sanctioned plan document itself are not in the Citation Sheet. We know they exist only from the recital in the 2025 gazette. The link between the 2020 sanctioned plan and the DP-2035 draft (published under s.13 on 10.05.2016) comes only from the order of events. (3) ULG-06 also says a development plan under the Metropolitan Planning Committees Act 2008 was 'not in place' in 2017. That is a different, metropolitan-level plan and is relevant to the MQ, not this SQ. Confidence is medium because two instruments have to be read together (the gazette recital and the jurisdiction coverage), and the primary sanction notification is not in the sheet. Reviewer should add the 08.10.2020 notification and capture a dated screenshot.
Quote: "WHEREAS the Final Development Plan of Surat Urban Development Authority was sanctioned under Government Notification, Urban Development and Urban Housing Department"</t>
  </si>
  <si>
    <t xml:space="preserve">AI: left for a person. Step 2 found no evidence (Insufficient Evidence). Source needed: Any current ward development plan, local area plan or zonal plan for the Greater Bengaluru Area. This could be annual ward development plans adopted by Ward Committees or city corporations under GBG Act s.103(1)(b), local area or zonal plans published by GBA as Planning Authority, or Transit Zone Plans notified by BDA or GBA. Each should be dated and published on an official GBA, city-corporation or UDD site.</t>
  </si>
  <si>
    <t xml:space="preserve">Title block of TP Scheme map (Drg. No. 59/3, Plan No. 3)</t>
  </si>
  <si>
    <t xml:space="preserve">STAGE :-- DRAFT SANCTIONED</t>
  </si>
  <si>
    <t xml:space="preserve">AI (low confidence), from Step 2 answer (Partially Answered) and ULG-12: I left the Answer blank. The evidence can't support YES under the wording test, and NO would need proof of absence that the sheet doesn't give.
1. What the sheet shows: SMC makes neighbourhood-scale spatial plans, called Town Planning (TP) Schemes. The TP Scheme No. 59 (Unn) map (ULG-12) comes from SMC's Town Planning Department, goes through the sign-off chain up to the Commissioner, and is marked 'STAGE :-- DRAFT SANCTIONED'. It shows local facilities such as a ward office, gardens, a school, a health centre and S.E.W.S. housing. The SUDA DP 2035 report (ULG-06, p.13, dated 22 Feb 2017) says 'SMC has prepared 129 TP schemes'. It also says SMC's draft schemes 'were sanctioned by the State Government in March, 2016'. It calls TP Schemes the 'micro level planning mechanism' and the 'primary tool' for carrying out the Development Plan.
2. Why not YES: The method says the document must 'mention the word ward development plan/zonal plan/local area plan'. The ULG-12 map does not use any of those words. I searched the whole sheet for 'local area plan', 'zonal plan' and 'ward development plan'. Nothing from SMC or SUDA about Surat uses those terms for a plan that actually exists. 'Local Area Plan' appears only in the CGDCR 2017 (ULG-05/ULG-15) as a rule for when such a plan is made. That is a legal framework, not proof a plan exists, and its CBD LAP clause names AUDA, not Surat. ULG-10's ward-level disaster management plan is not a ward development or land-use plan.
3. Why not NO: I checked ULG-12, ULG-06, ULG-05, ULG-15 and ULG-10, and ran sheet-wide searches. But the sheet does not hold all of SMC's planning documents: it has no list of TP Schemes or LAPs and no Town Planning Department index. So this result is 'not found', not proof of absence.
4. For the reviewer to decide: Does a Gujarat TP Scheme (prepared by SMC under the GTPUD Act 1976, about 100 ha, local-area scale, sanctioned by the State) count as a 'Local area/neighbourhood Plan' even without the exact words? If yes, YES (3.33) is well supported by ULG-12 and ULG-06 p.13. If no, look for an SMC document actually titled Local Area Plan before scoring.
Other limits: the TP 59 map is undated, and there is no evidence from 2024-26 on scheme status. The 'Local area plan' label on ULG-12 is the research team's own description, not words from the document.
Quote: "DRAFT TOWN PLANNING SCHEME SURAT NO. 59(UNN)"
"Answer" left blank: the Citation Sheet doesn't decide it.</t>
  </si>
  <si>
    <t xml:space="preserve">Months elapsed since end of validity period</t>
  </si>
  <si>
    <t xml:space="preserve">Annexure: stakeholder consultation, sector group discussion (e) Urban Planning, Greening and Biodiversity</t>
  </si>
  <si>
    <t xml:space="preserve">BCAP Full Report 2023, p.394. Related passages: p.34 (RMP 2015 is the statutory instrument), p.49 fn 15 (draft RMP 2031 'no longer in action'), pp.262-267 ('RMP 2041 under preparation', target 2025)</t>
  </si>
  <si>
    <t xml:space="preserve">Goal 'Prepare and adopt the RMP 2041 and set up the Master Plan Coordination Committee, by 2025'</t>
  </si>
  <si>
    <t xml:space="preserve">394</t>
  </si>
  <si>
    <t xml:space="preserve">AI (low confidence), from Step 2 answer (Partially Answered) and ULG-16: I left 'Answer' blank. The Citation Sheet does not let me decide YES or NO for the current period (2026).
Why not YES: no source shows a city plan notified within its statutory period. The statutory period comes from KTCP Act s.13-D (ULG-02, PRS compilation up to Act 38 of 2015): 'At least once in every ten years from the date on which the Master Plan has come into force ... the Planning Authority may and if directed so by the State Government shall' revise it. The 10 years count from when the plan came into force. No source in the sheet gives the gazette or approval date of RMP 2015, or of the plan before it (CDP). So I cannot say whether RMP 2015 is still within that period.
Why not NO (which scores 0 and needs affirmative absence): the 2023 evidence in ULG-16 points strongly to a lapse. It says: (a) RMP 2015, with a 2015 horizon year, was still the statutory plan (p.34, p.87); (b) the draft RMP 2031 was 'no longer in action' (p.49 fn 15); (c) RMP 2041 was 'under preparation', but BDA said the tender had been cancelled and timelines were 'not clear'; the BDA representative added 'the current RMP can be amended' (p.394). ULG-17, an Executive Summary file dated 2025, still lists RMP 2015 as an ongoing instrument (per the Step 2 answer). But affirmative absence is not established, for four reasons:
(1) '2015' is a horizon year in the plan's name, not a notification date. The in-force date that s.13-D counts from is missing.
(2) The Act has no lapse provision. s.13-D says 'may' revise, and 'shall' only if the State directs. Whether ASICS treats a plan past its horizon year as 'lapsed' is a method question that needs confirmation.
(3) Since the Greater Bengaluru Governance Act 2024 (ULG-01, 'Planning Functions' (2)(a)), the Greater Bengaluru Authority (GBA) is the Planning Authority. No 2025-26 record from GBA or BDA in the sheet shows whether a new plan has been notified or started. My search of the sheet found none.
(4) ULG-03 (proposed s.81-G, deeming BDA's Master Plan to be GBA's) is a Bill not shown to be enacted.
The question also asks for the months passed since the validity period ended. I cannot calculate this because the in-force date is missing.
What I checked: ULG-02 (s.9, 13, 13-C, 13-D and the amendment Acts appended), ULG-01 (Planning Functions), ULG-16 (pp.34, 49, 87, 262-267, 394-395), and searches across the sheet for the RMP 2015 approval notification or GO and for GBA master plan activity. None was found.
To decide this, a person needs: (i) the gazette notification of RMP 2015's final approval (the in-force date) and of the plan before it; (ii) the status as of 2026 of any revised master plan by GBA or BDA (notice of intention, draft, approval); (iii) confirmation of how ASICS treats a KTCP plan more than 10 years in force and not revised. If (i) shows RMP 2015 came into force about 2007 and (ii) shows no replacement, the answer would be NO (score 0), with months elapsed counted from 10 years after the in-force date.
Quote: "Representative from BDA informed that the tender for preparation of Revised Master Plan (RMP 2041) has been cancelled as the Terms of Reference and Scope of Work has changed."
"Answer" left blank: the Citation Sheet doesn't decide it.</t>
  </si>
  <si>
    <t xml:space="preserve">Gujarat Government Gazette Extraordinary No. 124, Part IV-B, 24 March 2025 (UD&amp;UHD Notification dated 20 March 2025)</t>
  </si>
  <si>
    <t xml:space="preserve">Notification No. GH/V/107 of 2025/UDUHD/DVP/e-file/18/2025/0548/L, issued under GTPUD Act 1976 s.19(1)</t>
  </si>
  <si>
    <t xml:space="preserve">Preamble (first WHEREAS) and Schedule, pp.124-1 to 124-2</t>
  </si>
  <si>
    <t xml:space="preserve">AI (medium confidence), from Step 2 answer (Answered — Verified Source) and ULG-17: Answer is YES: the current plan is in force and within its validity period. Months passed since the end of the validity period = 0. The current plan is valid until about October 2030, assessed as of September 2026.
How I checked the Step 2 answer:
(1) ULG-17, the UD&amp;UHD notification of 20.03.2025 in the gazette of 24.03.2025, confirms that SUDA's Final Development Plan was sanctioned by Notification GH/V/157 of 2020 dated 08.10.2020. The notification proposes a variation to it under s.19(1). That shows the plan was still treated as the live plan in March 2025, which is dated evidence of practice for an Implementation question.
(2) ULG-06, SUDA's DP 2035 report of 22.02.2017, says at p.30 and p.40: 'as per section 21 of the Act, the development plan is to be revised once in 10 years'. A 10-year cycle from October 2020 runs to about October 2030.
(3) Preceding plan: DP-2004 came into force on 15.09.2004 (ULG-06 pp.30 and 40; ULG-11 p.6). Its revision was due about September 2014. It was replaced only on 08.10.2020, about 73 months late. This is for the record; it does not affect the current status.
Why confidence is medium, not high: the answer needs two instruments read together (ULG-17 and ULG-06). The 10-year rule is cited second-hand. I tried to read s.21 in ULG-01, the PRS copy of the GTPUD Act, but the saved text only returned the appended 2017 and 2019 amendments. The principal Act's s.21 could not be checked. ULG-04, the GTPUD Rules 1979, sets no separate validity period.
What a reviewer should check:
(a) Whether SUDA's State-sanctioned Development Plan counts as Surat's 'municipal/city plan'. It covers the SMC area, but SMC did not prepare it. ULG-03, the GPMC Act, provides only for re-development plans (s.284E-F), not a city-wide master plan.
(b) Section 21 in the official text of the Act.
(c) The sheet has no record dated after March 2025. Get a current dated screenshot or notification showing the plan is still in force in 2026.
(d) The sources never link the 2020 sanctioned plan to the name 'DP 2035'.
(e) If 'notified within the statutory period' is read as 'renewed on time', the 73-month delay in replacing DP-2004 would need re-assessment.
Quote: "WHEREAS the Final Development Plan of Surat Urban Development Authority was sanctioned under Government Notification, Urban Development and Urban Housing Department N o.GH/V/157 of 2020/DVP -142018-5731-L, dated 08.10.2020"</t>
  </si>
  <si>
    <t xml:space="preserve">Chapter 2: Urban planning, greening and biodiversity sector, 'Ongoing initiatives in the city'; Action table UPGBD-2</t>
  </si>
  <si>
    <t xml:space="preserve">p.87: list of statutory and regulatory frameworks (RMP 2015; RSP 2031). pp.265-266: actions UPGBD-2.2 and UPGBD-2.4</t>
  </si>
  <si>
    <t xml:space="preserve">AI (low confidence), from Step 2 answer (Partially Answered) and ULG-16: I left the Answer blank because the Citation Sheet does not show the validity periods of the two plans. I checked the Step 2 answer against the sources and it holds up. Here is what the sources do and do not show.
1. **The plans named.** ULG-16 (BCAP 2023, BBMP era), p.87, names the two plans only by their horizon years: RMP 2015 for the Bengaluru Metropolitan Area under the KTCP Act, 1961, and RSP 2031 for the Bengaluru Metropolitan Region under the BMRDA Act, 1985.
2. **Horizon years are not validity periods.** No source in the sheet gives either plan's sanction or notification date, or the date it came into force. So the overlap the methodology asks about cannot be checked. A 2015 horizon ending before 2031 hints that the city plan sits inside the regional one. But that comes from plan titles in a secondary city document (BCAP), not from the plans or their gazette notifications. That is too weak to answer YES.
3. **The current position is unknown.** RMP 2015's horizon has passed. BCAP pp.266-267 shows its replacement, RMP 2041, as '*RMP 2041 under preparation', with BDA responsible. If RMP 2041 is adopted with a 2041 horizon, it would run past RSP 2031. That could mean NO, unless RSP 2031 is revised, and p.265 (UPGBD-2.2) shows a revision being proposed. Nothing in the sheet shows the master plan currently in force for the GBA-era Greater Bengaluru Area, or the status of RSP 2031 or its revision, as of 2026. So NO is not established either, and there is no affirmative absence.
4. **What I checked:**
   - ULG-16 pp.87 and 264-267
   - ULG-10 (BMRDA Functions page): says BMRDA prepares a structure plan, with no dates
   - ULG-20 (BMRDA Local Planning Areas page): lists the planning authorities and their master-plan functions under KTCP ss.5-13, with no plan dates
   - A search of the whole sheet for structure plan approval or notification: nothing found
   - From the Step 2 review: ULG-01 (GBA Act: GBA is the Planning Authority; a BMPC prepares a draft development plan), ULG-02 (KTCP s.13-D: revision 'At least once in every ten years'), ULG-03 (Bill, s.81-G deeming clause, not shown to be enacted) and ULG-19 (BBMP Act s.367 MPC). None of these gives validity dates.
   - BMRDA's Structure Plan page and the 'St report.pdf' are linked from ULG-10 and ULG-20, but their contents are not in the sheet.
5. **Evidence needed for a person to score this:**
   - The Government notification sanctioning RSP 2031 (BMRDA), with its validity period.
   - The notification approving RMP 2015 (BDA), and any extension or continuation order.
   - The status and horizon of RMP 2041 or any GBA-era master plan, and of the RSP revision, as of 2026.
   - Possible RTI requests: BMRDA PIO and GBA/BDA Town Planning PIO.
6. **A question for reviewers.** Which plans should be compared for the current period: RSP 2031 against the lapsed RMP 2015 (still in force until it is replaced), or against the upcoming RMP 2041?
Era: the BCAP evidence is BBMP era (2023 full report; executive summary file dated 18-07-2025). The institutional framework is GBA era.
Quote: "Revised Master Plan, 2015 (RMP 2015) for the Bengaluru Metropolitan Area, prepared under the provisions of the KTCP Act, 1961"
"Answer" left blank: the Citation Sheet doesn't decide it.</t>
  </si>
  <si>
    <t xml:space="preserve">DP 2035 report, p.19 (page 2 of the report)</t>
  </si>
  <si>
    <t xml:space="preserve">AI (low confidence), from Step 2 answer (Partially Answered) and ULG-06: I left 'Answer' blank because the Citation Sheet has no current metropolitan or regional plan, or a validity period for one, to compare with the city-level plan. This question is about how plans work in practice. YES needs evidence that the plan periods actually overlap or nest. NO would score 0, so it needs proof that no aligned plan exists today. The sheet gives neither.
What I checked:
(1) ULG-06, SUDA DP 2035 report dated 22 Feb 2017, p.19. The State declared the Surat Metropolitan Area under the Gujarat Metropolitan Planning Committees Act, 2008 on 11/03/2016, and set up the committee the same day without its elected members. The report says the MPC draft development plan was 'not in place as on today'. This proves absence only as of Feb 2017. DP 2035 plans for the year 2035 (pp.185, 202). Earlier SUDA plans came into force in 1986 and on 15.09.2004. Section 21 of the 1976 Act requires revision every 10 years.
(2) ULG-17, Gazette Extra No.124 of 24 Mar 2025. It shows the SUDA Final Development Plan was sanctioned by Notification No. GH/V/157 of 2020, dated 08.10.2020. Step 2 lacked this date. It gives no validity period and does not mention any metropolitan plan.
(3) ULG-01 and ULG-02, Gujarat Act 14 of 2019. It inserts s.10A into the MPC Act: the State 'may' sanction an MPC draft plan, which then becomes a binding 'final development plan'. It also inserts s.19A into the 1976 Act: the appropriate authority 'shall include' the MPC plan's spatial proposals. This aligns the content of the plans, not their validity periods. It is law, not evidence of practice, and no s.10A date has been notified for Surat in the sheet.
(4) ULG-09, NITI Aayog EMP 2047. This is an advisory economic plan, not a statutory metropolitan or regional land-use plan, so I did not treat it as the regional plan.
(5) Searching the whole sheet for an MPC development plan for Surat found nothing after 2017. No ward-level or local-area plans with validity periods were found either.
A reviewer also needs to settle a method point. SUDA DP 2035 covers the SMC area itself, and the sheet has no separate SMC city plan. So it is unclear whether there are two levels of plan to compare.
Next step (RTI): ask UD&amp;UHD Gujarat or the Surat MPC Member Secretary whether a Surat MPC development plan has been sanctioned since 2016, and its plan period. Also get the validity period stated in the SUDA DP sanction notification of 08.10.2020.
Quote: "The Metropolitan Committee for Surat was also constituted by the notification of the State Government dt. 11/03/2016 except for the elected members. The Draft Development Plan to be framed under the provisions of the Gujarat Metropolitan Planning Committees Act, 2008, is not in place as on today."
"Answer" left blank: the Citation Sheet doesn't decide it.</t>
  </si>
  <si>
    <t xml:space="preserve">NA ONLY WHERE THE CITY HAS NO WARD/LOCAL PLAN</t>
  </si>
  <si>
    <t xml:space="preserve">AI: left for a person. Step 2 found no evidence (Insufficient Evidence). Source needed: Needed: (1) the notified Revised Master Plan for Bengaluru now in force (RMP 2015, or RMP 2041 if approved), with the gazette notification giving its plan period; (2) any notified ward, zonal or local area plan, or Town Planning Scheme, for the GBA or City Corporation area, with its validity period; (3) a current GBA, BDA or UDD planning page or order saying which plans are in force.</t>
  </si>
  <si>
    <t xml:space="preserve">AI: left for a person. Step 2 found no evidence (Insufficient Evidence). Source needed: (1) The Government of Gujarat notification sanctioning the final Development Plan 2035 under s.17 of the GTPUD Act, with its date of coming into force and validity. (2) Any ward-level or Local Area Plan for Surat from SMC or SUDA with stated validity periods, or confirmation that none exists. (3) Sanction notifications for TP Schemes, if those are treated as the local-level plan, showing their validity periods relative to the Development Plan.</t>
  </si>
  <si>
    <t xml:space="preserve">https://bdakarnataka.in/
https://data.opencity.in/dataset/bda-revised-master-plan-2015/resource/dc23b4ae-e020-4499-b18d-8e4ed2f86a24
</t>
  </si>
  <si>
    <t xml:space="preserve">AI: left for a person. Step 2 found no evidence (Insufficient Evidence). Source needed: Each level of city plan with its preparation record: the notified Revised Master Plan 2015 and the draft or notified RMP 2041 (BDA, or the GBA as Planning Authority under the GBG Act), including chapters on stakeholder or inter-departmental consultation; minutes of any GBA, BDA or BMPC committee or technical consultation for plan preparation showing invitations to BWSSB, the traffic police, BESCOM, BMTC/BMLTA, health and education departments; the BMLTA concurrence record under BMLTA Act s.22; the BMRDA RSP 2031 consultation record; and ward or zonal plan preparation records for the GBA city corporations.</t>
  </si>
  <si>
    <t xml:space="preserve">16 Stakeholders Consultation (also 2.2 Process; 19.6 Suggestions from Stakeholders)</t>
  </si>
  <si>
    <t xml:space="preserve">16.3.2 Secondary Stakeholders – Consultations with Committees</t>
  </si>
  <si>
    <t xml:space="preserve">p.166 (PDF page 183); Figure 8, p.15; 19.6, pp.186-187</t>
  </si>
  <si>
    <t xml:space="preserve">183</t>
  </si>
  <si>
    <t xml:space="preserve">AI (low confidence), from Step 2 answer (Partially Answered) and ULG-06: I left the Answer blank. The Citation Sheet does not show a YES, and it also does not show a NO.
Why not YES: The methodology asks whether the committee for each plan level had all sectoral public departments and agencies invited, at least water and sewerage, traffic, electricity, transport, health and education. ULG-06 (SUDA Development Plan 2035 report, 22 Feb 2017) shows a Core Committee and eight sub-committees with 'internal as well as external members from all fields', and about 60 meetings. SC-5 covered Traffic and Transportation and SC-6 covered Infrastructure Planning. Ch. 19.6 adds 'experts from several Government and Semi Government institutes'. None of these passages names who sat on the committees or who was invited. The only institutions named in 16.3.1 are the Chamber of Commerce, IIA, GICEA, GIDC estate members and SVNIT. The SMC Mayor was invited only to the 22.04.2016 meeting of elected representatives. GWSSB comes up in the SC-6 suggestions only as a water supplier to villages. GPCB and the Traffic Police appear (p.161/178) only as future participants in an air-quality study. Nothing in the report shows that the electricity distribution company, traffic police, GSRTC/transport, health or education bodies were members or invitees. 'Members from all fields' is a general phrase, not proof that specific departments were invited. I also read ULG-11 (SUDA launch presentation, 03-08-2013). It lists the planned 'Expert Committees' (4 committees) with no membership. Its 'Meeting of authorities for which land is reserved', held Jan 2013, was about land acquisition, not plan deliberation. The reservation table, which names agencies such as GSRTC, GEB and PWD, lists acquiring agencies, not invitees.
Why not NO: A NO needs affirmative absence. The Citation Sheet has no committee constitution orders, membership lists or minutes of the roughly 60 DP 2035 meetings. So the gap is 'not found', not 'absent'. Records for other plan levels (town planning schemes, local area or zone plans) are not in the sheet either. ULG-12 is only a TP Scheme 59 map. ULG-09 (NITI Aayog economic master plan), ULG-10 (disaster plan), ULG-07 (parking policy) and ULG-19 (solar city plan) are not city development plans. Their committees do not include all the required sectors. ULG-01/03/04/05/14-16 are law and regulations, which are not evidence of practice.
I agree with the Step 2 answer ('Partially Answered'). It matches the source.
For the team to confirm: (1) whether SUDA's DP 2035 counts as the 'municipal/city plan' for the SMC (ULG) question. SUDA, not the SMC, prepared it under the GTPUD Act, 1976. (2) Whether the YES test needs every plan level.
Evidence needed (RTI): SUDA PIO, for the office orders constituting the Core Committee and SC-1 to SC-8, with members and minutes (2013-2016). SMC Town Planning Department PIO, for records of inter-departmental committees used in preparing TP schemes and local area plans.
Quote: "Following committees were formed that included internal as well as external members  from all fields, to  focus on key areas. Consultation meetings with the committees were held at regular intervals."
"Answer" left blank: the Citation Sheet doesn't decide it.</t>
  </si>
  <si>
    <t xml:space="preserve">https://data.opencity.in/dataset/bda-revised-master-plan-2015/resource/dc23b4ae-e020-4499-b18d-8e4ed2f86a24</t>
  </si>
  <si>
    <t xml:space="preserve">AI: left for a person. Step 2 found no evidence (Insufficient Evidence). Source needed: The current notified master plan for the Greater Bengaluru / Bengaluru Metropolitan Area: RMP 2015 report and its sanction notification, or the RMP 2041 draft or approved version. Specifically its economic, employment and land-use chapters (land allocated for industrial or commercial use, jobs projections, provision for street vendors), along with any city development plan or development plan adopted by GBA or the City Corporations.</t>
  </si>
  <si>
    <t xml:space="preserve">Ch. 19 Proposals (19.2 Plan Objective; 19.11.2 Industrial Zone; 19.11.3 Surat Industrial Growth Region; 19.11.4 Commercial Zone; 19.11.9 Logistics Zone; 19.14 Land Use Table) and Ch. 21 (Table 154)</t>
  </si>
  <si>
    <t xml:space="preserve">19.11.3 Surat Industrial Growth Region (SIGR) Zone</t>
  </si>
  <si>
    <t xml:space="preserve">Tables 137/138 (draft published under s.13) and Table 154 (version submitted under s.16)</t>
  </si>
  <si>
    <t xml:space="preserve">AI (low confidence), from Step 2 answer (Partially Answered) and ULG-06: I scored both inputs YES, which gives the 10-point band, but a person should check two things before accepting it. (A) Priorities and interventions = YES. The Development Plan 2035 report (ULG-06, 22 Feb 2017) lists 'Diversification of economic activities' as one of the broad principles in s.19.2 Plan Objective. It then sets out specific economic interventions: (1) new industrial zones and a separate obnoxious/hazardous industrial zone; (2) moving polluting industries out of residential areas into an Industrial Shift Zone of about 4.35 sq.km.; (3) the SIGR from Hazira to Gothan, to be delivered through TP Schemes and an SPV; (4) commercial zones at Chaltan (for APMC) and inside the SIGR, aimed at the vision of SUDA as the 'growth engine of South Gujarat region'; (5) a logistics zone. These are clear priorities with interventions, not just general wording. (B) Measurable targets = YES. The plan gives land areas set aside for economic use, which the methodology names as an acceptable measure ('Land identified/allocated for economic activities'). Table 138: industrial 74.61 sq.km. in 2015 rising to 136.30 sq.km. in 2035; commercial 5.71 to 11.82 sq.km.; logistics park 0.80 sq.km.; SIGR 40.09 sq.km. Table 154, the version submitted under s.16, revises these to industrial 112.96 sq.km. and commercial 10.48 sq.km. I found no targets for jobs, workforce participation or street vending. The measurable part is land allocation only. CHANGE FROM STEP 2: Step 2 left the score blank because sanction was not shown. ULG-17 (Gujarat Gazette Extra No. 124, 24 Mar 2025, UD&amp;UHD notification under s.19(1)) states that 'the Final Development Plan of Surat Urban Development Authority was sanctioned under Government Notification ... No.GH/V/157 of 2020/DVP-142018-5731-L, dated 08.10.2020'. So a final SUDA plan is now confirmed to be in force. ULG-06 is the draft submitted for that sanction. CHECK BEFORE ACCEPTING: (1) ULG-17 does not name the plan '2035', and the sanctioned text and land-use table are not on the Citation Sheet. That the 2020 sanction is the DP 2035 is an inference from timing (submitted under s.16 in 2017). The economic land figures in the sanctioned version may differ from Table 154. Please confirm with the 08.10.2020 notification and the final plan. (2) The plan is SUDA's statutory Development Plan. It covers the whole SMC area, but SMC did not prepare it. Please confirm it counts as the 'municipal/city plan' for UPD18. (3) I excluded the NITI Aayog Economic Master Plan for the Surat Economic Region (ULG-09, Sept 2024). It is a regional plan covering 6 districts, made by a central body, not the city's statutory plan. It does contain economic targets, so if reviewers treat it as the city plan, the result would still be 10. Other sources checked: ULG-03 (GPMC Act), ULG-05/14/15/16 (CGDCR) and ULG-01/04 (GTPUD Act and Rules) are law or regulations, not the plan. ULG-10 is a disaster management plan, not an economic one. ULG-11 is a 2013 workshop presentation. ULG-19 is a solar plan. Confidence is low: the content comes from the 2017 submitted draft, and how much of it survived into the sanctioned version is not shown on the sheet.
Quote: "Total area proposed under Industrial Growth Region zone is 40 sq.km., which is 5.09% of the total urbanised area proposed in DP 2035."</t>
  </si>
  <si>
    <t xml:space="preserve">Chapter 1 (Introduction / approach to preparation of the BCAP)</t>
  </si>
  <si>
    <t xml:space="preserve">p. 34, text after Figure 1</t>
  </si>
  <si>
    <t xml:space="preserve">AI (low confidence), from Step 2 answer (Partially Answered) and ULG-16: I left both inputs blank because the Citation Sheet does not contain the plan this question is about. A person needs to score this. (1) Which plan counts. BCAP (ULG-16, full report 2023, BBMP-era) describes itself on p. 34 as different from the statutory city plan. It says Bengaluru's spatial growth and land use are 'largely guided by the Master Plan (the Revised Master Plan for Bangalore - 2015), which is a statutory planning instrument'. Infrastructure and services are guided by 'sector-specific plans'. BCAP's stated aim is to 'add a climate lens' to these existing plans. On pp. 86-87 it lists RMP 2015 (made under the KTCP Act) as the statutory plan and says a new RMP is 'under preparation (by BDA)'. So the 'municipal/city plan' for UPD19a looks like RMP 2015 or its successor, not BCAP. (2) That plan is not in the Citation Sheet. I searched the whole sheet for RMP 2015, the master plan, and city development or ward plans. RMP 2015 and its notification are not there, and neither is any RMP 2031 or 2041 document. ULG-02 (KTCP Act s.12) only lists what a master plan must contain. It is law, not evidence of what the plan actually says, so it cannot support an Implementation question. ULG-01 (GBA Act) s.17 only requires a Climate Action Cell to prepare and implement BCAP. That is a mandate, not a city plan. (3) If reviewers decide BCAP does count as the city plan, both inputs would be YES, giving 5. The UPGBD-3 priorities (nature-based solutions, conserving and restoring all blue-green networks) come with actions UPGBD-3.1 to 3.5. Quantified targets include tree canopy +10% by 2030 and +20% by 2040, green cover and permeable surfaces at 40% of city area by 2040, and 75% of footpaths permeable by 2050 (pp. 268-269). There are also GHG reduction targets of 16%, 26% and 56% by 2030, 2040 and 2050 (p. 135), and indicator tables on p. 380. BCAP's adoption or notification status is not shown anywhere in the sheet. This is a missing source, not evidence of absence, so a NO/0 score would not be justified. CONFIRM: Is the scoring object the statutory master plan (RMP 2015 or its successor) or BCAP? Please add RMP 2015 or the current master plan to the Citation Sheet.
Quote: "The city’s spatial growth , land use , and development are largely guided by the Master Plan (the Revised Master Plan for Bangalore - 2015), which is a statutory planning instrument."
"Clear priorities &amp; interventions identified" left blank: the Citation Sheet doesn't decide it.
"Measurable targets / outcome indicators (counts only if priorities = YES)" left blank: the Citation Sheet doesn't decide it.</t>
  </si>
  <si>
    <t xml:space="preserve">Chapter 19: Proposals, Development Plan 2035 (SUDA, report dated 22 Feb 2017)</t>
  </si>
  <si>
    <t xml:space="preserve">§19.11.6 Recreational Zone; also §19.8.3.5, §19.8.3.6, §19.8.3.9, §19.8.3.10, residential zone proposals (report p.191), Tables 137, 138 and 154</t>
  </si>
  <si>
    <t xml:space="preserve">§19.11.6 (report p.198); Table 154 (report p.222)</t>
  </si>
  <si>
    <t xml:space="preserve">215</t>
  </si>
  <si>
    <t xml:space="preserve">AI (medium confidence), from Step 2 answer (Answered — Verified Source) and ULG-06: I checked the Step 2 answer against ULG-06 (SUDA Development Plan 2035, report dated 22 Feb 2017, plan horizon 2035). Its main passages are confirmed.
1. Priorities and interventions = YES. The plan names at least two clear natural-environment and climate-resilience priorities, each with a specific action:
(a) Green space. §19.8.3.5 'Emphasis on green development' commits to connecting gardens, open spaces and roads with a network of 'Green Streets'. §19.11.6 proposes gardens and recreational uses on the land around existing talavs (ponds), with the main block of recreational land on government land at Gabheni.
(b) Water bodies. §19.8.3.6 aims 'To preserve the water bodies and natural drains by discouraging development around water bodies' and to promote farming around them.
(c) Flood risk. On report p.191, a Digital Elevation Model of the whole SUDA area was laid over the land-use map so that new residential zones sit outside flood-prone areas.
(d) Pollution. §19.8.3.10 and report p.191 move polluting industries out of residential areas, with a 4.35 sq.km Industrial Shift Zone in Tables 138 and 154.
2. Measurable targets = YES. The recreational zone has a quantified 2035 target: 46 sq.km, compared with 12.36 sq.km in DP 2004 and 2.46 sq.km existing in 2015. This rises to 5.84% of urbanised land (Tables 137 and 138).
- Correction to Step 2: Table 154 shows that the land use proposed under section 16, after villages were excluded from SUDA's area on 24.10.2016, is 39.48 sq.km of recreational zone (5.80% of urbanised land). The 45.97 sq.km figure is the section 9 draft. Either figure is a quantified target.
- SMC's own share of the recreational zone is 16.90 sq.km (Table 137).
Please confirm these points:
(i) SUDA's DP 2035 is the statutory development plan covering the SMC area, but SUDA prepared it, not SMC. Should it count as the 'municipal/city plan'?
(ii) The only measurable targets are land-allocation figures: recreational zone area and share, and the industrial shift zone. There are no targets for green cover, air quality, greenhouse gases, biodiversity or water-body restoration. If a reviewer does not accept land allocation as an outcome indicator, the measurable-targets input becomes NO and the band drops to 2.5.
(iii) The rubric mentions 'two components', but this sub-question lists only one (Natural Environment and Climate Resilience). I scored that single component against a maximum of 5.
Other points:
- I did not count the §16.4.4 (SC 7) sector-committee suggestions. They use 'should'/'promote' and are recommendations, not plan proposals.
- ULG-19 (SMC Solar City Master Plan) and ULG-10 (SMC Disaster Management Plan) are separate plans, not the city plan, so I did not rely on them.
- The Citation Sheet does not include the sanction notification of DP 2035.
Quote: "The land around e xisting Talavs are proposed for Ga rdens and Recreational uses. Garden and open spaces at the neighbourhood level can be obtained in the TP schemes. Considering the large area and future population  of SUDA region, total 46 sq.km. of recreational spaces are proposed in DP 2035 as compared to 12 sq.km. proposed in DP 2004."</t>
  </si>
  <si>
    <t xml:space="preserve">AI: left for a person. Step 2 found no evidence (Insufficient Evidence). Source needed: The current notified master plan for the Bengaluru Metropolitan Area (Revised Master Plan 2015 or its notified successor) and its gazette notification. Specifically its heritage chapter, the heritage buildings and precincts it identifies, its zoning and development-control regulations for heritage zones, and any targets. Also any heritage list or heritage regulations notified by the GBA or its city corporations under GBA Act ss.296-299, and any GBA or corporation development plan with a heritage component.</t>
  </si>
  <si>
    <t xml:space="preserve">Chapter 14 Heritage and Conservation (report pp.146-149; PDF pp.163-166); also 19.2 Plan Objective, 19.11 Zoning, Table 154, Annexure 7</t>
  </si>
  <si>
    <t xml:space="preserve">14.1-14.4 (Tangible heritage, Intangible heritage, Built heritage and sites, Issues)</t>
  </si>
  <si>
    <t xml:space="preserve">14.4.1-14.4.5 Issues</t>
  </si>
  <si>
    <t xml:space="preserve">163</t>
  </si>
  <si>
    <t xml:space="preserve">AI (low confidence), from Step 2 answer (Partially Answered) and ULG-06: Both inputs are blank. Surat's city plan points towards band 0, but I could not confirm that heritage measures are absent from the whole plan, and it is unresolved which plan counts as the city plan.
**What I checked in ULG-06 (SUDA Development Plan 2035, report dated 22 Feb 2017):**
- **Chapter 14 'Heritage and Conservation'** (pp.146-149) does not do what its opening line promises: it never sets out 'the strategies to be adopted for its preservation'. It contains only:
  - lists of heritage categories (14.1);
  - Table 107, seven buildings of national importance;
  - urban villages and the Walled City (14.1.4);
  - intangible heritage categories (14.2);
  - definitions from the Ancient Monuments and Archaeological Sites and Remains Act, 1958 (14.3);
  - five issues (14.4): lack of interest by the local government, the failed SMC heritage walk, lack of facilities, lack of public awareness, and the absence of rules around sites (encroachment at Gopi Talav and Mirza Sami's tomb).
  There are no priorities, interventions, heritage zone or precinct designation, or targets. Chapter 15 (Environment) follows straight after.
- **19.2 Plan Objective** has no heritage objective. It speaks only generally of 'conservation' and of protecting 'the best of existing character of Surat', which is aspirational wording.
- **19.11 Zoning** lists Residential, Industrial, Commercial, Institutional/Educational, Recreational, Logistics and Surat Industrial Growth Region. There is no heritage zone, and Table 154 (proposed land use 2035) has no heritage category.
- **19.6 working groups** cover GDCR, housing and socio-economics, transport, infrastructure, environment and industries. None covers heritage.
- **Annexure 7 'Heritage structures in SMC'** (pp.281-283): only the heading could be read. The content appears to be images. At most it would be identification, which is not an intervention.
This points to band 0 for the DP. A firm NO still needs affirmative absence, and I could not reach it. The excerpt tool did not let me fully read the Recreational and Public Purpose zone maps (Figs 72-73), the reservations list, the stakeholder sub-committee sections in 16.4 (only SC 7 and SC 8 were seen) or the content of Annexure 7.
**Other plans in the sheet:**
- ULG-09 (NITI Aayog Economic Master Plan for the Surat Economic Region, Sept 2024) contains more than 2 heritage actions: an adaptive reuse and restoration scheme, site identification, feasibility studies, leasing to private players, and a Parsi Irani Zoroastrian Experience Center. It has no measurable targets. It is a tourism-led plan for six districts prepared by NITI Aayog, not the municipal/city plan. If a reviewer decides it does count, this question would score 2.5 (priorities YES, targets NO).
- ULG-05, ULG-14 and ULG-15 (CGDCR 2017) are state-wide development control regulations (Heritage Zone SZ4, Heritage Conservation Committee). They are not a city plan with priorities.
- ULG-19 (Solar City Master Plan) and ULG-07 (Parking Policy) are sectoral plans. ULG-10 (Disaster Management Plan) has no relevant heritage content.
- Chapter 14.2 mentions a 'recent initiative taken by the Surat Municipal Corporation towards Heritage Conservation', but no SMC heritage plan is in the sheet.
**To confirm:**
- (a) Is the SUDA DP 2035, or ULG-09, the 'municipal/city plan' for SMC?
- (b) Do the full DP maps, reservation list and Annexure 7 contain any heritage interventions?
If both checks find nothing beyond the chapter, priorities = NO, and the targets input is not counted (score 0).
Quote: "This chapter focuses on the need for identification of the heritage structures in the city and the strategies to be adopted for its preservation."
"Clear priorities &amp; interventions identified" left blank: the Citation Sheet doesn't decide it.
"Measurable targets / outcome indicators (counts only if priorities = YES)" left blank: the Citation Sheet doesn't decide it.</t>
  </si>
  <si>
    <t xml:space="preserve">5.3 Sector-wise action recommendations – Urban Planning, Greening and Biodiversity (UPGBD)</t>
  </si>
  <si>
    <t xml:space="preserve">Action track UPGBD-5 (Improve access to essential services and infrastructure); action UPGBD-5.4; see also UPGBD-1.1 outcome (a)</t>
  </si>
  <si>
    <t xml:space="preserve">pp. 279-280 (UPGBD-5.4), p. 262 (UPGBD-1.1)</t>
  </si>
  <si>
    <t xml:space="preserve">280</t>
  </si>
  <si>
    <t xml:space="preserve">AI (low confidence), from Step 2 answer (Partially Answered) and ULG-16: Both inputs are blank. A person needs to decide this question.
(1) Which plan counts. The question asks about the 'municipal/city plan'. That means the city's master plan or development plan, or a city development plan. None of these is in the Citation Sheet. I searched the sheet for master plan, education, schools, anganwadi and targets and found none. BCAP itself says RMP 2041 is 'under preparation' (p.262). ULG-01 (GBA Act), ULG-02 (KTCP Act), ULG-04 (BDA Act) and ULG-19 (BBMP Act 2020) are laws, not plans.
(2) What BCAP contains on education. The only plan in the sheet is BCAP, a sectoral climate plan from 2023, written in the BBMP era. Its education content is incidental:
- UPGBD-5.4 (pp.279-280) gives one clear priority with an action: primary education within a 15-minute walk for 100% of the population, measured by the indicator '% of population having access to amenities/services within a 15-minute walking distance'. Lead agency is BDA. Timeline is 2025-2040.
- UPGBD-1.1 (p.262) repeats this as an outcome indicator for the master plan revision (10/12-minute walk).
- DM-2.5 (disaster-resilient design for critical facilities including schools) and UPGBD-5.5 (universal accessibility of streets, spaces and buildings, with no mention of schools) are not clearly education priorities.
- The 'Sasya Shamala' item (p.314) is a summary of the state budget (saplings planted around schools). It is not an education intervention in BCAP.
- BCAP's baseline (p.57) already reports 100% of the population within a 10-minute walk of a school. So the education 'target' has effectively been met; it is not a new intervention.
- BCAP has nothing on anganwadis or pre-primary facilities, or on school supply against population norms.
(3) Why no score. Even if BCAP counted, the rubric needs at least two clear education priorities with interventions. That threshold is doubtful, so the evidence fits no band clearly (RUBRIC-GAP).
(4) Why not 0. A NO, which would score 0, is not supported. The relevant plans are missing from the sheet, not shown to be absent, so the rule requiring affirmative absence is not met.
CHECK: Is the notified RMP 2015, RMP 2041 or any GBA or city corporation development plan available, and does it set education priorities and targets? Does the research team accept BCAP as the 'municipal/city plan'? Has the GBA adopted or continued BCAP?
Sources checked: ULG-16, ULG-17, ULG-01, ULG-02, ULG-04, ULG-19, plus a search across the whole sheet.
Quote: "facilities within a 15-minute walking distance for 100% of the population. Promote this through spatial plans and DCRs."
"Clear priorities &amp; interventions identified" left blank: the Citation Sheet doesn't decide it.
"Measurable targets / outcome indicators (counts only if priorities = YES)" left blank: the Citation Sheet doesn't decide it.</t>
  </si>
  <si>
    <t xml:space="preserve">Chapter 12 Social Infrastructure</t>
  </si>
  <si>
    <t xml:space="preserve">12.1 Education (report pp.128-130)</t>
  </si>
  <si>
    <t xml:space="preserve">Tables 95-99; also Ch.19.11.5 Public Purpose (pp.195-198)</t>
  </si>
  <si>
    <t xml:space="preserve">146</t>
  </si>
  <si>
    <t xml:space="preserve">AI (low confidence), from Step 2 answer (Partially Answered) and ULG-06: Both inputs are left blank. The Citation Sheet does not hold enough evidence to decide them.
(1) What I checked. The only city-level plan in the Citation Sheet is ULG-06, SUDA's Development Plan 2035 (report dated 22 Feb 2017). Its education section, Ch.12.1 (pp.128-130), only describes what exists. It gives counts of primary schools (475 and 474, from the Revised CDP 2008-2013), 65 anganwadis and 108 schools across 95 villages, 10 villages with no primary school, 632 primary schools in the SUDA area, teacher counts and 24 high schools. It then goes straight to 12.2 Health. There is no strategies or future-requirements subsection for education, unlike the solid waste section (11.5.3.6/11.5.3.7). Ch.19.11.5 only repeats the s.12(2) list of possible public purposes ('schools, colleges, and other educational institutions'). It says about 36.54 sq.km is reserved, but the list of reservations (Annexure-7) is marked 'removed' in this copy. Even if school reservations exist, a land reservation is not a stated priority with an intervention and a target. Read on its own, DP 2035 would point toward NO on priorities, which is the 0 band.
(2) Why I am not entering NO. A 0 needs affirmative absence, and that cannot be shown here. First, it is unclear which document is the 'municipal/city plan' for the Surat city government. DP 2035 is a SUDA development-authority plan made under the GTPUD Act 1976, not a plan of the city government. Second, the Citation Sheet holds none of the city government's own plans: no City Development Plan, Smart City proposal, education or ICDS plan, or outcome budget. Third, the sanctioned final DP 2035 is not in the sheet. The NITI Aayog Economic Master Plan (ULG-09, Sept 2024) is a regional economic plan by a Government of India body. It is not a municipal/city plan, so I did not use it. My search across the sheet for education targets, school requirements and anganwadi targets found nothing in any other ULG source.
(3) Age of the evidence. DP 2035's education data runs from 2008 to 2014, so it is at most partial evidence of current practice.
What a person should check: confirm which document is the municipal/city plan for the Surat city government, and obtain the city government's own plan. If DP 2035 is confirmed as the plan to assess, the evidence supports 'Clear priorities' = NO, which scores 0.
Quote: "In total, there are 632  primary schools within SUDA area including the SMC region."
"Clear priorities &amp; interventions identified" left blank: the Citation Sheet doesn't decide it.
"Measurable targets / outcome indicators (counts only if priorities = YES)" left blank: the Citation Sheet doesn't decide it.</t>
  </si>
  <si>
    <t xml:space="preserve">5.3.4 Air quality; Disaster management sector (DM-2); Urban planning, greening and biodiversity sector (UPGBD-1)</t>
  </si>
  <si>
    <t xml:space="preserve">Action tracks AQ-4 (AQ-4.1, AQ-4.2), DM-2.5, DM-2.7, UPGBD-1.1</t>
  </si>
  <si>
    <t xml:space="preserve">pp.223-230, 262, 291-292</t>
  </si>
  <si>
    <t xml:space="preserve">229</t>
  </si>
  <si>
    <t xml:space="preserve">AI (low confidence), from Step 2 answer (Partially Answered) and ULG-16: Both inputs are left blank and need a person to confirm what counts as the plan. The only city-level plan in the Citation Sheet is the Bengaluru Climate Action and Resilience Plan (BCAP, 2023, ULG-16/ULG-17). It is a sectoral climate plan from the BBMP era, not a general municipal or city development plan. It covers the BBMP area, not the GBA or its City Corporations. I searched the sheet ('city development plan health dispensary hospital target') and found no other city or municipal plan, master plan (RMP 2015 / draft RMP 2041), or city health plan. Checking the source confirms the Step 2 reading.
IF the team accepts BCAP as 'the municipal/city plan', both inputs would be YES (3.33 band). It sets at least two health priorities with actions:
- AQ-4: a city-level Health Action Plan on air pollution. AQ-4.1 is annual free health check-ups at ward and city level; AQ-4.2 is a team to evaluate health systems.
- DM-2.5: disaster-resilient design for hospitals.
- DM-2.7: an assessment of how climate hazards affect public health and how prepared health systems are.
It also has measurable indicators: 'Number of free health check-ups', '% reduction in health impacts', 'Number of health facilities available for air pollution-related health issues' (due 2025), and, under UPGBD-1.1, '% increase in population with access to ... primary education and healthcare facility within 10/12-min walking distance'.
CAVEATS:
- AQ-4 is led by the Commissionerate of Health and Family Welfare (a state body), with BBMP Health as secondary. UPGBD-1.1 is led by BDA.
- No BCAP action covers dispensary, primary health centre or hospital coverage, maternity and child welfare centres, or vector-borne disease.
NO is not given because there is no affirmative absence: no general municipal or GBA-era city plan was in the sheet to check. ULG-01 and ULG-19 contain only legal mandates for health functions, which do not show implementation.
CONFIRM:
(a) Does a sectoral climate plan count as the city plan?
(b) Can a BBMP-era plan count for the GBA era?
(c) Should actions led by state agencies be credited?
RTI-TARGET: GBA (Chief Commissioner's office / Health Department PIO) for the current city development plan or health action plan with targets.
Quote: "AQ-4: Develop a city-level comprehensive Health Action Plan for tackling health risks posed by short-term and long-term exposure to air pollution. "
"Clear priorities &amp; interventions identified" left blank: the Citation Sheet doesn't decide it.
"Measurable targets / outcome indicators (counts only if priorities = YES)" left blank: the Citation Sheet doesn't decide it.</t>
  </si>
  <si>
    <t xml:space="preserve">Chapter 12 Social Infrastructure; Chapter 21.3 Reservations</t>
  </si>
  <si>
    <t xml:space="preserve">12.2 Health (12.2.1 Health Facilities, 12.2.2 Present Health Services), pp. 130-133; Table 156 List of reservations</t>
  </si>
  <si>
    <t xml:space="preserve">Tables 101-104; Table 156 item 151 (P-106 Hospital, S.U.D.A., Damka)</t>
  </si>
  <si>
    <t xml:space="preserve">148</t>
  </si>
  <si>
    <t xml:space="preserve">AI (low confidence), from Step 2 answer (Partially Answered) and ULG-06: Both inputs are left blank. The Citation Sheet does not let me decide either one.
(1) It is unconfirmed which document counts as 'the municipal/city plan' for Surat Municipal Corporation. The nearest candidate, ULG-06, is SUDA's Development Plan 2035. This is the report dated 22 Feb 2017 on the draft submitted under s.16 of the Gujarat Town Planning and Urban Development Act, 1976. It is a plan of the development authority, not SMC's own plan, and the sanctioned final DP is not in the sheet. ULG-17 (2025 gazette) refers to a Final DP of SUDA, but its text is only a proposed variation.
(2) What I checked in ULG-06:
- Section 12.2 Health (pp. 130-133) is a status survey only. It gives facility, bed and staff counts for 2006-07 and 2009, notes the 1994 plague and flood-related malaria, filaria and dengue, and mentions SMC's vector-borne disease department. Tables 101-104 use 2009 and 2014 data.
- Unlike solid waste (11.5.3.6 Strategies, 11.5.3.7 Future Requirements), the health section has no strategies, no future requirements and no targets.
- Section 19.11.5 restates the s.12(2) power to reserve land for 'medical and public health institutions'. That is a statutory provision, not a priority set by the plan.
- Table 156: the only health reservation found in the parts shown is item 151, P-106 Hospital (SUDA, Damka, 1,58,099 sq.m). The full table was not visible in the excerpts returned.
This points towards 'NO' for priorities (band 0). But a 0 needs affirmative absence, and the whole DP was not read: the complete Table 156, Annexure-7 (marked 'removed') and the sanctioned version are missing. So I leave it blank and do not enter NO.
(3) Other sources in the sheet that are not the municipal/city plan:
- ULG-09 (NITI Aayog Economic Master Plan, Sept 2024) has quantified hospital-bed needs and proposed facilities. It is a regional economic plan by a Government of India body.
- ULG-10 (SMC Disaster Management and Preparedness Plan, undated) describes health programmes (immunisation, Vitamin A) and disease action plans. It is a sectoral disaster plan.
If the research team decides either of these counts as the city plan, the answer could change: ULG-09 might support YES/YES. A person should score this.
To confirm:
(a) which document is Surat's municipal/city plan;
(b) whether sectoral or regional plans can count;
(c) the full DP 2035 reservation list and the sanctioned DP, for any further hospital, dispensary or health-centre proposals.
The targets input counts only if priorities = YES, so it is also blank.
Quote: "The ev er‐increasing population in the city is expected to put pressures on the existing health facilities."
"Clear priorities &amp; interventions identified" left blank: the Citation Sheet doesn't decide it.
"Measurable targets / outcome indicators (counts only if priorities = YES)" left blank: the Citation Sheet doesn't decide it.</t>
  </si>
  <si>
    <t xml:space="preserve">AI: left for a person. Step 2 found no evidence (Human Verification Required). Source needed: The current statutory master plan for the Greater Bengaluru area: RMP 2015, or the notified or draft RMP 2041 and its gazette notification, including its housing chapter (housing need assessment, slum upgrading targets, EWS/LIG land reservations). Also any city development plan adopted by the GBA or city corporations, and a GBA or city-corporation resolution adopting the BCAP. These would show whether the BCAP counts as the city plan, or whether the master plan itself contains affordable-housing priorities and targets.</t>
  </si>
  <si>
    <t xml:space="preserve">Ch. 9 Housing (pp.74-87 of the report, PDF pp.91-104); Ch. 19 Proposed Land-use (submitted under Section 9), residential zone proposals</t>
  </si>
  <si>
    <t xml:space="preserve">Ch. 19 residential zone proposals (report p.191 / PDF p.208); s.9.4 Housing Need, Tables 57-58 (report pp.76-77)</t>
  </si>
  <si>
    <t xml:space="preserve">8.58 sq km reserved for housing by public bodies; affordable housing projects allowed in any urbanised land use; housing shortfall worked out to 2035</t>
  </si>
  <si>
    <t xml:space="preserve">208</t>
  </si>
  <si>
    <t xml:space="preserve">AI (low confidence), from Step 2 answer (Partially Answered) and ULG-06: SCORED COMPONENT: (c) Affordable housing. PLAN USED: the Surat Development Plan 2035, prepared by SUDA under the Gujarat Town Planning and Urban Development Act, 1976, which covers the SMC area. The copy in the sheet is the report of 22 Feb 2017, sent to the State for approval under s.16. ULG-17 (Gazette, 24 Mar 2025) shows the Final Development Plan was sanctioned by notification GH/V/157 of 2020 dated 08.10.2020. That sanctioned text is NOT in the sheet, so what I found may differ from the current plan.
INPUT 1, PRIORITIES &amp; INTERVENTIONS = YES. The submitted plan has at least two specific housing interventions, not just general statements: (1) about 8.58 sq km of land reserved for SMC, SUDA, GHB, PWD and others to develop housing, with the parcels said to be in the list of reservations. This matches the methodology's example 'identification of land parcels'. (2) 'It is proposed to allo w the affordable housing project as per the Government guidelines in any of the urbanized land use.' The plan also assesses housing need, which matches the example 'assessment of existing and projected requirements': a 60,455-unit backlog in 2011 (Table 57) and a projected shortfall of 1,23,385 units in 2035 (Table 58). CAVEAT: the land reservation is 'for housing' in general and is not labelled affordable or EWS/LIG. The need figures cover all housing, not affordable housing.
INPUT 2, MEASURABLE TARGETS = BLANK. The plan has numbers: the 8.58 sq km reservation and the overall housing-shortfall projections. But I found no target or outcome indicator that is specific to affordable housing: no EWS/LIG unit target, no number or share of the 399 slum pockets to be rehabilitated, and no target share of the housing stock. Section 9.8 lists past or approved schemes (EWS 7,424 units built; BSUP; MGY), not targets for the plan period. Sections 9.9.3-9.9.4 only describe issues. Section 16.4.1 contains stakeholder suggestions only. I am not entering NO because I cannot show the targets are absent: (a) the sanctioned 2020 plan is not in the sheet; (b) I could not read the housing entries in the reservation table (Table 156, Ch. 21) before the tool limit; (c) whether a quantified land reservation 'for housing' by public agencies counts as an affordable-housing target is a scorer's judgement. Other sheet sources do not change this. ULG-05, ULG-14, ULG-15 and ULG-16 (CGDCR 2017) are state-wide regulations, not the city plan's own targets. ULG-09 (NITI Aayog 2024) is a regional economic plan and addresses housing only in general terms. ULG-11 is only a 2013 presentation launching the plan's preparation. The sheet has no SMC housing, slum-free city or PMAY plan.
FOR THE REVIEWER TO CONFIRM: (1) whether the SUDA DP 2035 counts as the 'municipal/city plan' for the SMC; (2) obtain the sanctioned DP 2035 (08.10.2020) to check whether these proposals were kept and whether it adds affordable-housing targets; (3) decide whether the 8.58 sq km reservation and the shortfall projections count as measurable targets. That decision gives 3.33 if YES and 1.67 if NO.
Quote: "Also, about 8.58 sq.km. of land has been proposed for reservation for different acquiring bodies like SMC, SUDA, GHB, PWD, etc. for the purpose of developing these lands for h ousing. The land under these reservations has been listed in the list of reservations."
"Measurable targets / outcome indicators (counts only if priorities = YES)" left blank: the Citation Sheet doesn't decide it.</t>
  </si>
  <si>
    <t xml:space="preserve">Chapter 5 – Sector-wise action tables (Transport; Solid Waste Management)</t>
  </si>
  <si>
    <t xml:space="preserve">BCAP 2023 Actions T 2.1 (p.184), T 2.4 (p.186; monitoring p.324-325), SWM 1.11 (p.212)</t>
  </si>
  <si>
    <t xml:space="preserve">Output indicator columns: 'b. % of buses with ramps, special seats for women and the elderly'; 'No. of passes issued for low-income groups, women, and the elderly'; 'c. Total no. of women involved in recycling waste'</t>
  </si>
  <si>
    <t xml:space="preserve">AI (low confidence), from Step 2 answer (Partially Answered) and ULG-16: Both inputs are left blank on purpose. I agree with Step 2 after checking the source.
(1) The statutory city plan is missing from the Citation Sheet. BCAP p.34 says Bengaluru's development is 'largely guided by the Master Plan (the Revised Master Plan for Bangalore - 2015), which is a statutory planning instrument'. Pages 87 and 262 say RMP 2041 is 'under preparation' by BDA. There is no copy of RMP 2015, a draft or notified RMP 2041, or any GBA or city-corporation development plan in the sheet. So I can't check whether the actual municipal/city plan has women-specific priorities or targets.
(2) BCAP 2023 (ULG-16) is the only city-level plan in the sheet. It does contain women-specific actions with countable output indicators:
- T 2.1: % of buses with special seats for women (lead: BMLTA/DULT, 2028).
- T 2.4: fare incentives for women, measured by the number of passes issued to women and others, monitored quarterly (lead: BMLTA/DULT, 2025).
- T 4.10: number of women trained (lead: Commerce and Industries Department).
- SWM 1.11: training for women in slums, measured by the total number of women involved in recycling waste (lead: BBMP-BSWML, 2030).
Women are also mapped as a vulnerable group in the vulnerability assessment (p.38). Other references, such as 'Gender equality' as a co-benefit in the water actions and 'gender-neutral toilets', are general references and don't count under the methodology.
If BCAP were accepted as the 'municipal/city plan', it would appear to meet the 10-point band: YES / YES (mobility and livelihoods priorities, each with countable indicators). But BCAP is a sector climate plan. Most of its women-related actions are led by bodies other than the city government (BMLTA/DULT, state departments). It was prepared in the BBMP era, and the sheet doesn't show that the GBA or its corporations have adopted it. Treating it as the city plan is a methodology decision for a reviewer.
(3) I can't record NO (score 0). There is no affirmative absence, because the statutory plan wasn't in the sheet to read.
What I checked: ULG-16 (full report, including searches for women, gender and safety), ULG-17 (executive summary), and the sheet-wide search. ULG-01, ULG-02, ULG-04 and ULG-19 are laws, not plans, so they can't show what a plan contains.
CONFIRM:
(a) Does BCAP count as the city plan for UPD21?
(b) Please add RMP 2015 or the draft RMP 2041, and any GBA or corporation plan, to the Citation Sheet.
This is an Implementation question, so the reviewer should capture a dated screenshot of the plan. Era: BBMP-era for BCAP.
Quote: "conduct IEC campaigns and training sessions for women in slums/vulnerable communities/poor pockets to nudge social behaviour in relation to segregation and recycling/reusing waste, to improve waste segregation and create livelihoods."
"Clear priorities &amp; interventions identified" left blank: the Citation Sheet doesn't decide it.
"Measurable targets / outcome indicators (counts only if priorities = YES)" left blank: the Citation Sheet doesn't decide it.</t>
  </si>
  <si>
    <t xml:space="preserve">Chapter 19: Proposals (Planning Concept)</t>
  </si>
  <si>
    <t xml:space="preserve">Section 19.8.3 Principles</t>
  </si>
  <si>
    <t xml:space="preserve">19.8.3.3 Guided and balanced inclusive development (report p.188); see also 19.8.3.7 Improved safety and security environment (p.189)</t>
  </si>
  <si>
    <t xml:space="preserve">205</t>
  </si>
  <si>
    <t xml:space="preserve">AI (low confidence), from Step 2 answer (Partially Answered) and ULG-06: Both inputs are left blank. Nothing found is not the same as proven absent, and the question of which document counts as the city plan is still open. I checked the Step 2 answer against the source and agree with it. ULG-06 is SUDA's Development Plan 2035 (report dated 22 Feb 2017, prepared under the Gujarat Town Planning and Urban Development Act, 1976). The parts I read are the Vision, the Aim and the Principles in 19.8 (pp.187-189), the Recreational and Traffic &amp; Transport zone proposals (19.11.6-19.11.7), the parks and open-space chapter (Ch.10), the physical infrastructure chapter (Ch.11) and the reservations annex. They contain only general wording: 'inclusive development', 'safety and security of the population' and 'efficient, safe ... public transport'. None of it names women, and the methodology says general or aspirational references like these do not count. Step 2 also reports that women appear only in descriptive data (sex ratio, female share of workers, in Sections 6.4 and 6.7) and in a list of Gujarat Twelfth Plan objectives quoting 'Empowerment of the youth and women' (13.2). Neither is a priority of this plan with interventions attached. I could not give NO, which would score 0. The read tool shows only selected passages, so I could not read all of DP 2035. Chapter 12 (social infrastructure), the housing chapter and the detailed proposals were not fully checked, so absence is not proven. Three things need a person to decide. (a) Which document is the 'municipal/city plan' for Surat Municipal Corporation (the ULG)? DP 2035 is SUDA's statutory plan, not SMC's own. The sheet has no plan prepared by SMC itself, such as a City Development Plan, a Smart City proposal or a gender plan. (b) Was DP 2035 sanctioned, and is it the current plan? ULG-17 (2025) refers to a variation of the SUDA Final Development Plan, which suggests it was, but I did not confirm this. (c) ULG-09, NITI Aayog's Economic Master Plan for the Surat Economic Region (Sept 2024), has women-specific interventions: a workers' hostel specially for women, rental housing for workers 'particularly women', and creches at the industrial parks. It is a national agency's plan for a multi-district region, not the city's plan. Its interventions are marked tentative and it sets no targets. If reviewers decided it counts anyway, the best it could support is priorities = YES and targets = NO (5 points), and I do not recommend that. ULG-19 (Solar City Master Plan), ULG-07 (Parking Policy) and ULG-10 (Disaster Management and Preparedness Plan) are sector plans, and my searches found nothing on women in them.
Quote: "To support all scales of development so that holistic inclusive development for the benefit of population can take place"
"Clear priorities &amp; interventions identified" left blank: the Citation Sheet doesn't decide it.
"Measurable targets / outcome indicators (counts only if priorities = YES)" left blank: the Citation Sheet doesn't decide it.</t>
  </si>
  <si>
    <t xml:space="preserve">https://ksrsac.karnataka.gov.in/map.aspx</t>
  </si>
  <si>
    <t xml:space="preserve">AI: left for a person. Step 2 found no evidence (Insufficient Evidence). Source needed: The official KSRSAC website or Karnataka state geoportal (e.g. a KGIS or state spatial data infrastructure portal), showing (a) a state base map open to all agencies and parastatals, and (b) a data catalogue or download page with at least 2 shapefile/KML layers among land use, transport (roads, railway or metro lines) and administrative boundaries (GBA or City Corporation wards, BMRDA metropolitan boundary). Ideally also a GO or data-sharing policy that sets how often sectoral agencies update their layers. All dated and captured in screenshots.</t>
  </si>
  <si>
    <t xml:space="preserve">AI: left for a person. Step 2 found no evidence (Insufficient Evidence). Source needed: Current pages from Gujarat's state spatial data or remote sensing centre, or the state geoportal, showing two things: (a) a common map available to all state agencies and parastatals, and (b) downloadable shape files or KML for at least 2 of land use, transport (roads, rail, metro) and administrative boundaries (ward, corporation, metropolitan). Each needs a date and should be backed by a dated screenshot.</t>
  </si>
  <si>
    <t xml:space="preserve">https://bwssb.karnataka.gov.in/storage/pdf-files/documents/Vision%20Document%202050%20%20new.pdf</t>
  </si>
  <si>
    <t xml:space="preserve">AI: left for a person. Step 2 found no evidence (Insufficient Evidence). Source needed: Copies of each plan as adopted or notified: (a) the Water Supply and Sewerage Master Plan from BWSSB or the state government, with its approval or notification date and plan period; (b) the City Sanitation Plan adopted by BBMP or GBA or the city corporations, as a full plan rather than a one-page Swachh Bharat Mission document, with the council or government approval; (c) the city-level Solid Waste Management Plan prepared under the Solid Waste Management Rules, 2016 or the GBA Act, with its adoption record. These should come from the official GBA, city corporation, BWSSB or Urban Development Department websites, or from the Karnataka gazette, and show that each plan is currently in force.</t>
  </si>
  <si>
    <t xml:space="preserve">AI: left for a person. Step 2 found no evidence (Insufficient Evidence). Source needed: SMC's own current Water Supply and Sewerage Master Plan, City Sanitation Plan and Solid Waste Management Plan, each with its approval record (General Board or Standing Committee resolution, or a state or parastatal approval) and the period it covers, taken from the SMC website or official state sources. Each plan must be a full city-level sectoral plan, not a scheme-compliance document (for the CSP, not a one-page SBM document).</t>
  </si>
  <si>
    <t xml:space="preserve">AI: left for a person. Step 2 found no evidence (Insufficient Evidence). Source needed: Each currently active plan for the city, as notified or adopted, with its targets: (a) the BWSSB water supply and sewerage master plan, with coverage, treatment-capacity, network and NRW targets; (b) the City Sanitation Plan, covering sanitation, FSSM and untreated-discharge targets; (c) the GBA or city corporation Solid Waste Management Plan, with segregation, processing-capacity and disposal targets. Each should show the year it covers and that it is currently active.</t>
  </si>
  <si>
    <t xml:space="preserve">Chapter 20 (Cost estimates for infrastructure); also Chapter 11.4 (Sewerage)</t>
  </si>
  <si>
    <t xml:space="preserve">20.1.2 Sewerage estimates (Tables 143-145, pp.210-211); 20.1.3 Solid Waste Management estimates for 2035 (Tables 146-148, pp.211-212); 20.1.1 Water supply (Tables 139-140, p.209)</t>
  </si>
  <si>
    <t xml:space="preserve">p.116-117 of report (PDF page 133-134)</t>
  </si>
  <si>
    <t xml:space="preserve">227</t>
  </si>
  <si>
    <t xml:space="preserve">AI (low confidence), from Step 2 answer (Partially Answered) and ULG-06: All three inputs are left blank. Under this question the inputs need a sector plan whose content can be tested, and none is in the Citation Sheet. I searched the sheet and reviewed the source list. It holds no dedicated Water Supply &amp; Sewerage Plan, SWM Plan or City Sanitation Plan for Surat Municipal Corporation (SMC) or any other agency. The other sources are Acts and Rules (ULG-01 to 04, 13, 18), building regulations (CGDCR, ULG-05 and ULG-14 to 16), a parking policy (ULG-07), an organogram (ULG-08), the NITI economic plan (ULG-09), a disaster plan (ULG-10), a 2013 DP workshop presentation (ULG-11), a town planning scheme map (ULG-12), a DP variation notice (ULG-17) and a Solar City plan (ULG-19). None is a water, sanitation or SWM plan.
The only candidate is SUDA's Development Plan 2035 report (ULG-06, dated 22 Feb 2017). It is a land-use plan for the whole SUDA area, prepared by the development authority, not by SMC. It does set sector priorities with measurable targets:
- Water supply: demand of about 1410 MLD by 2025 and 1750 MLD by 2035, with phased works.
- Sewerage: first priority is the 43 sq.km of urban area with no drainage; 206 sq.km to be covered by 2025 and a further 163 sq.km by 2035; 60 pumping stations in total.
- SWM: segregation at source and decentralised processing; 3420 TPD (2025) and 4325 TPD (2035) projected in the city; 325/455 TPD of capacity to be built in the villages.
If UPD23a accepts DP 2035 as performing the role of a city-level sector plan, the content would support YES for water supply &amp; sewerage and for SWM. It would not support YES for City Sanitation. DP 2035 has no faecal sludge or septage targets and no CSP-type content, but that is 'not found', not affirmative absence.
I am not entering NO for any input, because absence has not been shown. DP 2035 (Ch. 11.4.10) says 'SMC has prepared a master plan for comprehensive sewerage system ... for the year 2026'. The Step 2 notes also mention SMC's 'Water Supply Master Plan 2041'. Neither document was collected, and no SMC SWM plan or DPR, or City Sanitation Plan, was searched for or collected either.
I agree with the Step 2 answer (Partially Answered, no score), and the source supports its reading of DP 2035.
For a person to check:
- (1) The UPD23a decision on whether DP 2035 counts as 'the plan'.
- (2) Collect SMC's sewerage master plan, Water Supply Master Plan 2041, SWM plan and City Sanitation Plan, if they exist.
- (3) Whether the 2017 report is the sanctioned DP text.
- (4) The 3.33 maximum is split across three YES/NO inputs; the workbook formula handles the points.
Quote: "The priority would be to lay down sewerage in this area in addition to the expansion of the city area which is estimated to be around 163 sq.km. The total area to be covered with sewerage by 2025 comes out to be 206 sq.km."
"UPD23b1: Water Supply &amp; Sewerage Plan" left blank: the Citation Sheet doesn't decide it.
"UPD23b2: Solid Waste Management Plan" left blank: the Citation Sheet doesn't decide it.
"UPD23b3: City Sanitation Plan" left blank: the Citation Sheet doesn't decide it.</t>
  </si>
  <si>
    <t xml:space="preserve">AI: left for a person. Step 2 found no evidence (Insufficient Evidence). Source needed: The current notified or adopted city plans: the Water Supply and Sewerage (master) plan for the GBA/BWSSB area, the City Sanitation Plan, and the city Solid Waste Management Plan. In each, the institutional, roles or implementation chapter that assigns tasks to the GBA or the City Corporations. Also any GBA-era adoption or notification that confirms the plan applies to the current city government.</t>
  </si>
  <si>
    <t xml:space="preserve">Ch.11 Physical Infrastructure (water supply tables cite 'Water Supply Master Plan 2041, SMC'); Ch.15 Environment</t>
  </si>
  <si>
    <t xml:space="preserve">15.13.2.2 Strategies (report page 162, PDF page 179); tables 69-76 (report pages 99-104)</t>
  </si>
  <si>
    <t xml:space="preserve">179</t>
  </si>
  <si>
    <t xml:space="preserve">AI: left for a person. Step 2 found no evidence (Insufficient Evidence). Source needed: The current SMC Water Supply and Sewerage Master Plan (e.g. the Water Supply Master Plan 2041 and any sewerage master plan), the Surat City Sanitation Plan and the SMC Solid Waste Management Plan, as official SMC or Gujarat UD&amp;UHD documents. Each should include its implementation or institutional-roles chapter and an approval date.</t>
  </si>
  <si>
    <t xml:space="preserve">BCAP – Executive Summary, Introduction</t>
  </si>
  <si>
    <t xml:space="preserve">Page 2 (printed page 2): 'BCAP was launched on November 27, 2023'</t>
  </si>
  <si>
    <t xml:space="preserve">AI (low confidence), from Step 2 answer (Partially Answered) and ULG-17: I left 'Answer' blank. The Citation Sheet can support neither YES nor NO under the Detailed Methodology.
**Why not YES:** The methodology scores only a plan that has been formally adopted or approved by the competent authority. That means a ULG or council resolution, a Government Order, or integration into the statutory city plan or Development Plan.
- **What the sources show:**
  - ULG-17 (BCAP Executive Summary, a BBMP file dated 18-07-2025, on apps.bbmpgov.in) says BCAP was 'initiated in 2021 and formalized in 2023'.
  - It also says BBMP launched BCAP on 27-11-2023, under the BBMP Administrator (the ACS, UDD) and the Chief Commissioner.
  - ULG-16 (BCAP 2023 full report) thanks WRI India for its support 'until the final approval stage'. It does not name the approving authority or any approval instrument.
  - ULG-16 also includes minutes of a 13-03-2023 meeting at Vikasa Soudha. Their only relevant agenda item is 'In-principle consensus on mitigation and adaptation goals and targets'. In-principle consensus at a meeting is not a formal adoption.
- **What is missing:** Neither document cites a resolution, an Administrator's order, a GO number or a master-plan integration. A launch event is not the formal adoption instrument the methodology names.
- **Implementation not shown:** The governance chapter still only 'proposes' the Climate Action Cell (CAC) within BBMP. No source shows it has been constituted.
**Why not NO:** A NO would score 0, which needs affirmative absence. That test is not met:
- A final plan owned by BBMP exists. It is not a draft. WRI India and C40 were knowledge and technical partners, so it is not an independent consultant's report.
- The wording 'formalized' and 'final approval stage' suggests an approval may exist that is not in the Citation Sheet.
- I searched and read the sources below and found no approval instrument. That shows the instrument is not in the sheet; it does not show that none exists.
**What I checked:**
- ULG-17 and ULG-16.
- Searched the whole Citation Sheet for an approving resolution or Government Order. Only GBA Act provisions on resolutions in general came back (ULG-01, s.129).
- Step 2 also reviewed these and found nothing on BCAP adoption: ULG-01 (GBA Act 2024), ULG-19 (BBMP Act 2020), ULG-02 (KTCP Act), ULG-04 (BDA Act), ULG-18 (BMLTA Act) and ULG-20 (BMRDA Local Planning Areas page).
- No city Disaster Management Plan is in the Citation Sheet.
**Era:** The plan is from the BBMP era. Nothing shows that the GBA or its city corporations are continuing BCAP, so it is unclear whether the plan is still 'active'.
**For the reviewer:**
1. Decide whether a launch led by the Administrator, who held the council's powers while there was no elected council, counts as adoption.
2. Get the BBMP Administrator's resolution or order, or the UDD GO, approving BCAP.
3. Get any GBA-era order continuing BCAP or constituting the CAC.
If an approval instrument is found, the answer is YES (3.33).
Quote: "BCAP was launched on November 27, 2023,  by the Bruhat Bengaluru Mahanagara Palike (BBMP), under the leadership of Shri Rakesh Singh, Administrator  - Bruhat Bengaluru Mahanagara Palike and Additional Chief Secretary, Urban Development Department, Gok and Shri Tushar Girinath, Chief Commissioner, BBMP."
"Answer" left blank: the Citation Sheet doesn't decide it.</t>
  </si>
  <si>
    <t xml:space="preserve">Title page; Preface (p.3); Chapter 12 (Flood in the Creeks: Information &amp; Management); Chapter 15 (Office Bearers, as on 28/05/26)</t>
  </si>
  <si>
    <t xml:space="preserve">SMC Disaster Management and Preparedness Plan (final, current 2025-26 edition)</t>
  </si>
  <si>
    <t xml:space="preserve">Preface signed by the Municipal Commissioner and the Mayor; Chapter 12, p.85 of the plan (PDF p.91)</t>
  </si>
  <si>
    <t xml:space="preserve">91</t>
  </si>
  <si>
    <t xml:space="preserve">AI (medium confidence), from Step 2 answer (Answered — Verified Source) and ULG-10: I scored YES because the methodology says a Disaster Management Plan may count as evidence. The citation is ULG-10, a final plan published by Surat Municipal Corporation on its own website (suratmunicipal.gov.in). It is not a draft and not a consultant or academic report. The title page names Municipal Commissioner M. Nagarajan IAS as 'Publisher'. The preface is signed by the Commissioner and by Mayor Mayaben Dharmendrabhai Mavani. It says SMC 'is publishing the Disaster Management &amp; Preparedness Plan since 2002' and that the plan 'is updated with latest information every year'.
The plan is active. Its rainfall table runs to 2025, Chapter 15 lists office bearers 'As on Date 28/05/26', and Chapters 32 and 35 cite Standing Committee Resolution No.931/2025 (17/05/2025) and No.830/2025 (24/04/2025). It covers floods, cyclones, heatwave (Ch.8), disease outbreaks, pre-monsoon contingency, standing instructions to departments and zones, creek floods and the Tapi flood protection scheme. It also assigns roles to named SMC officers.
REVIEWER CHECK: The methodology asks for formal adoption by a competent authority, and gives as examples a ULG/Council resolution, a Government Order, or integration into the statutory plan. The Citation Sheet has no resolution or GO adopting the DMP itself. The two Standing Committee resolutions only approve items inside the plan (food-packet supplier, vehicle hire rates). My YES therefore rests on this being the corporation's own official plan: issued by the Commissioner, who is SMC's executive head, endorsed by the Mayor, and reissued every year. If the reviewer requires a Council or Standing Committee resolution or a GO, change the input to blank (not NO), because adoption has not been shown to be absent.
Other sources I checked:
- No Climate Action Plan or City Resilience Strategy is in the Citation Sheet (search run across all sources).
- ULG-19 (Solar City Master Plan, 2013) was only 'submitted to SMC', and is old.
- ULG-09 (NITI Aayog Economic Master Plan, 2024) is a regional economic plan. It recommends a resolution strategy and heat action plan for the region; it does not show that the city adopted one.
- ULG-06 (SUDA DP 2035 report) is a development plan, not a resilience strategy.
Please also capture a dated screenshot of the SMC DMP page as the QB evidence requirement asks.
Quote: "This Disaster Management Preparedness Plan includes most of the preplanning and necessary steps to be taken during the disasters situation that arises due to hea vy rain, flood, cyclone in the areas in the banks of the above creeks in the city"</t>
  </si>
  <si>
    <t xml:space="preserve">Sectoral Goals and Actions (BCAP Executive Summary)</t>
  </si>
  <si>
    <t xml:space="preserve">Solid Waste Management sector, Action Track 01 (p.10); also Table 1 'Scope of BCAP' (p.4) and Energy &amp; Buildings Action Tracks (p.8)</t>
  </si>
  <si>
    <t xml:space="preserve">Solid Waste Management Action Tracks 01–03 targets; Table 1 Interim GHG Reduction Targets</t>
  </si>
  <si>
    <t xml:space="preserve">AI (medium confidence), from Step 2 answer (Answered — Verified Source) and ULG-17: Answer is YES. I checked the Step 2 answer against ULG-17 (BCAP Executive Summary, file dated 18-07-2025, summarising the 2023 BCAP), and the source supports it. The rule asks for at least two clear priorities, each with measurable objectives or targets. The plan meets it.
(1) Clear priorities: p.8 says 'Seven priority sectors have been identified for developing mitigation and adaptation/resilience strategies'. These are Energy &amp; Buildings, Transport, Solid Waste, Air Quality, Water &amp; Wastewater, Urban Greening and Disaster Risk. Each has a stated sector goal and numbered Action Tracks, and actions are ranked high, medium or low priority.
(2) Measurable, time-bound targets against those priorities:
- Whole plan (Table 1, p.4): net zero by 2050, with interim greenhouse-gas cuts of '16% by 2030, 26% by 2040, 56% by 2050'.
- Energy &amp; Buildings (p.8): 'Increase non-fossil fuel share in grid electricity to 68% by 2030 and 89% by 2050'.
- Transport (p.9): 92% of new households in transit-oriented development zones by 2050; 85% mode share for public and non-motorised transport by 2050; 90% clean private vehicles and 75% clean buses by 2050; 47% clean freight vehicles by 2050.
- Solid Waste (p.10): 100% segregation by 2025; landfill diversion of 60%, 75% and over 90% by 2030, 2040 and 2050; paper and plastic recycling above 60%, 75% and 90% by the same years; landfill gas capture of 25%, 50% and 75%.
So at least three priority sectors carry numeric targets, which is well above the threshold. This is far more than a general statement of intent.
Caveats for the reviewer:
- The plan is from the BBMP era. It covers the BBMP area (713 sq km), not necessarily the whole Greater Bengaluru Area.
- The evidence here is the official Executive Summary hosted on apps.bbmpgov.in. The full report (ULG-16) is also in the Citation Sheet but was not re-read for this check.
- This sub-question only tests the plan's content (priorities and targets). Whether the plan was adopted and is being implemented belongs to UPD24a.
Confidence is medium, not high, because of the BBMP-era and coverage questions and because the evidence is an executive summary of the full plan.
Quote: "Enhance waste segregation at source to divert waste from landfills. Target: 100% segregation by 2025; waste diversion from landfills: 60% by 2030, 75% by 2040, and over 90% by 2050."</t>
  </si>
  <si>
    <t xml:space="preserve">Chapter 5 – Pre-monsoon contingency plan (SOP), All Zones; also Chapter 7 – Vector Borne Diseases Control Department</t>
  </si>
  <si>
    <t xml:space="preserve">Pre-monsoon contingency plan, 'All Zones' item 1 (p.17-18 of plan / PDF p.23); Ch.7 (A) Active surveillance items 1 and 3 (plan p.37 / PDF p.43)</t>
  </si>
  <si>
    <t xml:space="preserve">All Zones item 1; Ch.7 (A) items 1 and 3</t>
  </si>
  <si>
    <t xml:space="preserve">AI (medium confidence), from Step 2 answer (Partially Answered) and ULG-10: I propose YES, but the Step 2 answer left this blank, so a reviewer should confirm the reading below.
**Why YES.** UPD24b says that a 'disaster management plan' can qualify. It needs at least two clear priorities, with measurable objectives or targets for them, and it accepts 'quantitative or qualitative indicators, as appropriate'. The methodology's examples are introduced with 'may include', so they are illustrations, not a closed list. The current (2026) SMC Disaster Management and Preparedness Plan (ULG-10, official SMC site, signed by the Commissioner and the Mayor) meets this test:
- **Priorities.** It sets out separate hazard priorities, each with its own chapter: urban floods / pre-monsoon (Ch.5, 10-13, including the Tapi River flood protection scheme), water-borne diseases (Ch.6), vector-borne diseases (Ch.7) and extreme heat (Ch.8).
- **Flood targets.** Ch.5 sets quantified, dated and assigned targets: 'minimum 2000 bags of sand' per zone or department; excavation completed and made safe 'by 20th May 2026'; a survey of dilapidated buildings 'by 20th May 2026'; flood-gate service certificates 'by 15th May of every year'; control rooms running 'from 1st June or first rain'.
- **Vector-borne disease targets.** Ch.7 sets surveillance targets: slide collection at '1.5%' from January to June and '2%' from July to December; an intradomestic survey of '10,000 people on a fortnightly basis'; fogging 'in and around 50 houses' of positive cases.
This goes well beyond a general statement of intent.
**Caveat for review.** These are readiness and operational targets, not outcome targets such as reduced exposure, more green cover or emission cuts. If ASICS requires outcome or resilience targets, this answer should be revised. I found no outcome targets in the passages read. The extreme-heat chapter (Ch.8) has advisories but no quantified objectives in the parts read. The plan runs to more than 200 pages and was read only in part.
**Other sources checked.**
- ULG-19 (SMC Solar City Master Plan presentation) has explicit measurable targets: a 10% cut in energy use (2,136.38 GWh, about 1,794.56 thousand tCO2e of GHG) across municipal, commercial, residential and industrial sectors, with energy-efficiency and renewable-energy breakdowns. However, its period is 2011-12 to 2015-16, its targets are marked 'Proposed', and it is a presentation, not the adopted plan. I treated it as outdated and did not rely on it for current practice.
- ULG-09 (NITI Aayog Economic Master Plan, 2024) contains regional recommendations, not an SMC plan, so I did not credit it.
- There is no SMC Climate Action Plan, Resilience Strategy or Heat Action Plan document in the Citation Sheet.
**Depends on UPD24a.** This answer relies on UPD24a accepting the DMP as 'the plan'. No council or standing-committee adoption resolution is in the sheet.
Quote: "All zones / departments should keep a ready stock of minimum 2000 bags of sand."</t>
  </si>
  <si>
    <t xml:space="preserve">Chapter 6 – Governance of BCAP and Institutional Structures</t>
  </si>
  <si>
    <t xml:space="preserve">Section 6.2 – Setting up a Climate Action Cell and support mechanisms for the BCAP (pp.305-306); Table 17 (p.303)</t>
  </si>
  <si>
    <t xml:space="preserve">CAC key responsibilities 1-5; 'Headed by the Chief Commissioner, BBMP...'; Table 17 Action 1.2 responsible office 'BBMP in coordination with stakeholder departments'</t>
  </si>
  <si>
    <t xml:space="preserve">305</t>
  </si>
  <si>
    <t xml:space="preserve">AI (medium confidence), from Step 2 answer (Answered — Verified Source) and ULG-16: Answer is YES because the plan sets out the city government's (ULG's) role in both writing and carrying out the plan, which meets the 3.33 rule.
I read ULG-16 (the 2023 Bengaluru climate plan, BCAP) myself to check the Step 2 answer. It is supported:
(a) Section 6.2: the Climate Action Cell (CAC) 'will be primarily anchored in BBMP'. The plan lists the CAC's five tasks: coordinating departmental nodal officers, running the monitoring, evaluation and reporting (MERL) platform, getting approvals and channelling funds, coordinating data for the greenhouse gas inventory and climate risk assessment, and linking departments with the Project Preparation Facility.
(b) The CAC is 'Headed by the Chief Commissioner, BBMP' and run by an officer of Special Commissioner rank.
(c) Table 17, Action 1.2: 'Create and operationalise a climate action cell' is assigned to 'BBMP in coordination with stakeholder departments'. Action 1.1 is 'GoK in consultation with BBMP'. In the enabling-actions table, action 1.5 is 'BBMP and GoK'.
(d) Preparation: the acknowledgements credit WRI India with 'supporting the Bruhat Bengaluru Mahanagara Palike as a knowledge partner in preparing the BCAP since its inception and throughout its development and until the final approval stage'. The governance figure is sourced 'As identified by BBMP'.
ERA CAVEAT for the reviewer: the plan dates from the BBMP era and names BBMP, not the Greater Bengaluru Authority (GBA) or the City Corporations. ULG-01, the GBA Act, s.17, gives a GBA Climate Action Cell chaired by the Chief Commissioner the job to 'formulate and implement Bengaluru Climate Action and Resilience Plan'. That links the plan to the current city government, but the plan itself has not been revised for the GBA era. The Citation Sheet has no GBA-era revision of the plan and no evidence that the CAC has actually been set up. That does not change this sub-question, which asks only whether the plan sets out the ULG's role.
Annexure I (sector-by-sector roles) and Figure 70 are images and could not be read as text.
Confidence is medium: the BBMP-to-GBA link needs two documents read together (ULG-16 and ULG-01).
Quote: "The CAC will be primarily anchored in BBMP , with collaboration and participation from other departments/agencies as discussed below."</t>
  </si>
  <si>
    <t xml:space="preserve">Chapter 5: Pre-monsoon contingency plan (also the Preface and Chapter 11, Standing instructions given to the Departments / Zones)</t>
  </si>
  <si>
    <t xml:space="preserve">Pre-monsoon contingency plan (SOP) items 15–23, and the action lists for All Zones, the Fire Brigade, PRO and Watch &amp; Ward</t>
  </si>
  <si>
    <t xml:space="preserve">Item 18 (who prepares the yearly update); item 22 (central control room at ICCC and zone control rooms, assigned to Ex.Eng.- All Zone / CFO)</t>
  </si>
  <si>
    <t xml:space="preserve">AI (medium confidence), from Step 2 answer (Answered — Verified Source) and ULG-10: I checked the Step 2 answer against ULG-10 and the source supports it. The plan is the Surat Municipal Corporation (SMC) Disaster Management and Preparedness Plan, 2026 edition. SMC publishes it, and the Commissioner and Mayor sign the preface. It sets out SMC's role in both preparing and carrying out the plan. (1) Preparation: SMC has published the plan since 2002 and updates it every year. Under item 18, every head of department must send changes to last year's plan to the central office by 1 April 2026. The preface also says SMC prepares zone-level and ward-level plans. (2) Implementation: the preface says the plan 'enlists the specific roles and responsibilities of employees/officers in case of disaster'. Each SOP action names the SMC officer or department responsible and gives a deadline. Examples: control rooms (Ex.Eng.- All Zone / CFO); boats, cranes and wireless sets (CFO); press notes (PRO); the emergency traffic plan (CSO); excavation safety (All ZO / HE / Drng.Engr.). These are dated 2026 actions, so they count as evidence of current practice for an Implementation question. This sub-question is only about whether the ULG's role is clearly articulated, so the answer is YES. Points to check: (a) The answer assumes this disaster management plan counts as the UPD24 plan (sustainability, resilience or climate action). The research family accepts a disaster management plan, but a reviewer should confirm it. No council or standing committee resolution adopting it is in the Citation Sheet; this matters for UPD24a. (b) The roles are internal SMC roles. The plan does not set out how SMC relates to state or district bodies, apart from contact lists. (c) ULG-19, the Solar City Master Plan (SMC presentation, about 2013), also names SMC roles: a Solar City Cell chaired by the City Engineer, and the Energy Efficiency Cell. But it is an old presentation, not the plan itself, so I did not rely on it. ULG-06 (SUDA Development Plan 2035) and ULG-09 (NITI Aayog Economic Master Plan) are not UPD24-type plans. (d) I read excerpts of ULG-10, not the full document. A reviewer should capture a dated screenshot of the SMC download page.
Quote: "Whatever changes / suggestions to be made in disaster management plan prepared last year should be sent to the central office in fixed proforma by 1st April 2026.( All HOD )"</t>
  </si>
  <si>
    <t xml:space="preserve">https://dult.karnataka.gov.in/assets/front/pdf/Comprehensive_Mobility_Plan.pdf</t>
  </si>
  <si>
    <t xml:space="preserve">AI: left for a person. Step 2 found no evidence (Insufficient Evidence). Source needed: A Government of Karnataka (UDD/Transport Department) order or gazette notification approving the Bengaluru CMP (2020 or later), or BMLTA's publication of a State-approved CMP under s.21(4)-(5) of the BMLTA Act, or a GBA/City Corporation council resolution adopting it. Ideally also the CMP document itself, from the DULT/BMLTA official website.</t>
  </si>
  <si>
    <t xml:space="preserve">Chapter 8 (Traffic and Transportation)</t>
  </si>
  <si>
    <t xml:space="preserve">Section 8.8 BRTS Concept and Implementation</t>
  </si>
  <si>
    <t xml:space="preserve">p.73 of report (PDF page 90)</t>
  </si>
  <si>
    <t xml:space="preserve">AI (low confidence), from Step 2 answer (Partially Answered) and ULG-06: I left the Answer blank because the Citation Sheet does not show whether Surat's Comprehensive Mobility Plan (CMP) was formally adopted. The methodology gives 3.33 only for a CMP that a competent authority has formally adopted or approved: an urban metropolitan transport authority (UMTA), the Gujarat Urban Development and Urban Housing Department (UD&amp;UHD), the Transport Department, or a Surat Municipal Corporation (SMC) resolution. Drafts, consultants' reports and unadopted studies do not qualify.
What the sources say:
(1) ULG-06 (SUDA Development Plan 2035 report, 22 Feb 2017), s.8.8, p.73, says only that Surat 'had prepared' a CMP in 2008. The approval it mentions is the Ministry of Urban Development (MoUD) approving the BRTS proposal for JnNURM funding. That approval is for the BRTS project, not the CMP.
(2) ULG-07 (Parking Policy, sanctioned by GR dated 05/12/2018), s.5.2, p.14, says 'Surat is currently preparing a new Comprehensive Mobility Plan'. The state sanction in that GR covers the Parking Policy, not a CMP. This also means the 2008 CMP was being replaced, so it is unlikely to be the current plan.
(3) ULG-09 (NITI Aayog Economic Master Plan, Sept 2024) mentions approval of the Surat Metro detailed project report (DPR). It does not mention a CMP being approved or notified.
(4) Sheet-wide searches for 'Comprehensive Mobility Plan approved' and 'CMP Surat mobility plan resolution sanctioned' found nothing beyond these passages. ULG-03 (GPMC Act), ULG-05/14/15/16 (CGDCR) and ULG-10 do not deal with CMP adoption.
Why I did not answer NO: a NO would need affirmative absence, and that is not met. The sheet has none of the places the methodology says to check: no SMC CMP page, no SMC General Board or Standing Committee resolution, no UMTA source, no UD&amp;UHD or Transport Department order or GR on a CMP, and no copy of the 2008 CMP or its successor. So the result is 'not found', not absent.
To score this question, a person needs to check:
- whether the 2008 CMP, or the newer CMP that was being prepared in 2018, was approved by UD&amp;UHD, the Transport Department, an UMTA or an SMC resolution;
- whether that approved plan is still in force.
The evidence covers 2017–2018. There is nothing on the CMP from 2019 onward.
Quote: "Surat had prepared a Comprehensive Mobility Plan (CMP) in 2008. The CMP looked at road network issues in Surat and suggested provision of additional rings to decongest the city centre."
"Answer" left blank: the Citation Sheet doesn't decide it.</t>
  </si>
  <si>
    <t xml:space="preserve">Chapter 4 (Transport, ambitious scenario), p.143; Table 3, p.70-71, footnote 24</t>
  </si>
  <si>
    <t xml:space="preserve">p.143, footnote 62; p.70, footnote 24</t>
  </si>
  <si>
    <t xml:space="preserve">143</t>
  </si>
  <si>
    <t xml:space="preserve">AI (low confidence), from Step 2 answer (Partially Answered) and ULG-16: Answer left blank because the plan itself is not in the Citation Sheet. This question asks what the Bengaluru Comprehensive Mobility Plan (CMP) contains: at least two clear priorities, each with measurable objectives or targets. The CMP document (2020, or any revised version) is not in the Citation Sheet. The only evidence is second-hand, from the BBMP-era Bengaluru Climate Action and Resilience Plan (BCAP), 2023 (ULG-16). I checked the Step 2 answer against that source and it is correct.
What ULG-16 shows:
(1) p.70, footnote 24 lists 11 CMP 'Strategies/Themes', such as the PT Improvement Plan, NMT Plan and Freight Movement Plan. These could count as priorities.
(2) p.143 and footnote 62 give one measurable CMP target: public transport at 70% of motorised trips by the 2035 target year.
(3) The actions on pp.179-193 refer back to CMP 2020 themes, but their indicators, timelines (2024-2030) and funding are BCAP's own. They cannot be credited to the CMP.
(4) The other targets, such as public transport plus walking/cycling at 75% by 2030 and 85% by 2050, and the clean-fuel shares in Table 15, are BCAP climate targets. ULG-17 (the BCAP Executive Summary) also has only BCAP targets.
So the evidence shows one measurable CMP target against one priority, and that comes second-hand. That is not enough for YES, which needs two or more priorities with measurable targets.
NO, which scores 0, is also not allowed. It needs affirmative absence, and the deciding document (the CMP) was never in the sheet to be read. I also checked ULG-18 (the BMLTA Act, 2022 as amended by Act 10 of 2026). Section 21(2) lists what the CMP 'shall include', but that is a legal mandate, not evidence of what the plan contains. ULG-01, ULG-02, ULG-04, ULG-06, ULG-07 and ULG-19 do not contain the CMP's contents. Searching the sheet for CMP targets, mode share, phasing and approval found nothing beyond ULG-16.
What a reviewer needs to do:
(a) Get the CMP for Bengaluru (the 2020 DULT version, or a revision by BMLTA under BMLTA Act s.23) from an official DULT, UDD or BMLTA source. Check whether it sets measurable targets, or phased and costed projects, against at least two priorities. A mode-share target plus, for example, a costed and phased project list for the public transport or NMT plan would support YES.
(b) Confirm whether the CMP has been approved (question UPD25a).
The era is BBMP-era (BCAP 2023).
Quote: "This also aligns with the Comprehensive Mobility Plan (CMP) for Bengaluru 2020, which aims to increase the share of public transport to 70% by 2035"
"Answer" left blank: the Citation Sheet doesn't decide it.</t>
  </si>
  <si>
    <t xml:space="preserve">AI: left for a person. Step 2 found no evidence (Insufficient Evidence). Source needed: Surat's current, adopted CMP: the full document, ideally with its priorities and objectives chapter, any targets (e.g. mode share, road safety, emissions) and its implementation or phasing plan with budgets and timelines. It would come from SMC, the Surat UMTA or Sitilink, or Gujarat's Urban Development and Urban Housing Department, together with the adoption resolution or approval order.</t>
  </si>
  <si>
    <t xml:space="preserve">AI: left for a person. Step 2 found no evidence (Insufficient Evidence). Source needed: The full text of the Comprehensive Mobility Plan for Bengaluru (CMP 2020, prepared by DULT, or any later version prepared or revised by BMLTA), from an official DULT, BMLTA or UDD Karnataka source. In particular, its chapters on institutional arrangements, implementation, phasing, agency responsibility and monitoring, plus the Government order or notification approving it. Any GBA or City Corporation council resolution adopting the CMP or assigning responsibilities would also help.</t>
  </si>
  <si>
    <t xml:space="preserve">AI: left for a person. Step 2 found no evidence (Insufficient Evidence). Source needed: The current adopted Comprehensive Mobility Plan for Surat (full report), especially its chapters on implementation, institutional arrangements, funding and monitoring, and any committee lists. Also the adoption or approval record for the CMP (an SMC General Board resolution, a state UD&amp;UHD approval, or an UMTA approval if an UMTA exists).</t>
  </si>
  <si>
    <t xml:space="preserve">https://www.thehindu.com/news/cities/bangalore/proposed-economic-masterplan-for-bengaluru-metropolitan-region-targets-75-public-transport/article71420718.ece</t>
  </si>
  <si>
    <t xml:space="preserve">AI: left for a person. Step 2 found no evidence (Insufficient Evidence). Source needed: Any final Bengaluru economic vision or economic development strategy approved by the competent authority (the GBA, a city corporation council, or the Karnataka government by GO), with its approval resolution or GO and its period of validity. Alternatively, the currently notified master plan (BDA RMP or a GBA-era successor) and its gazette notification, if it includes an economic development strategy. Also any regulations or outputs of the GBA Economic Development Agency under s.16. Sources: the GBA and city corporation websites, the Karnataka eGazette and UDD GOs.</t>
  </si>
  <si>
    <t xml:space="preserve">Disclaimer (p.2); Key Highlights s.7 (pp.xxii-xxiii); Chapter 1 s.1.3 (pp.4-5); Chapter 10 s.10.1 (pp.144-145); Annexure I (pp.157-158)</t>
  </si>
  <si>
    <t xml:space="preserve">Disclaimer p.2; pp.27-28 (GoG Order No. UDUHD/MSM/e-file/18/2023/8053/DH Section dated 15.09.2023); pp.144-148 (proposed SREDA/DMO/PMU)</t>
  </si>
  <si>
    <t xml:space="preserve">AI (low confidence), from Step 2 answer (Partially Answered) and ULG-09: I left the Answer blank because I couldn't decide it from the Citation Sheet. A YES needs proof of formal adoption, and none is in the sheet. A NO needs proof that no adoption exists, and that isn't in the sheet either.
1. What the plan is: The only economic strategy in the sheet that covers Surat is NITI Aayog's 'Economic Master Plan for Surat Economic Region' (ULG-09, September 2024, horizon 2047). It is a final published document and runs to 2047, so it would be current if adopted.
2. No proof of adoption by a competent authority:
- Gujarat Order No. UDUHD/MSM/e-file/18/2023/8053/DH Section, dated 15.09.2023 (p.4, Annexure I), only set up a Steering Committee, a G-Hub Crack Unit, staff and a Nodal Officer to prepare and coordinate the plan. It does not approve the final plan.
- NITI Aayog and WRI India officials were placed at Surat Municipal Corporation (SMC) (p.5). That shows help with preparation, not adoption.
- The bodies that would carry out the plan are only proposed in the plan itself: an Empowered Group of Ministers to 'approve broad policies', a State High Power Steering Committee, and a Surat Regional Economic Development Authority (SREDA). The plan calls itself 'indicative' and says 'The EMP may act as a rolling vision'.
- Its disclaimer says the projects are 'based on initial analysis'.
- The pages with the Chief Minister's message and the Chief Secretary's foreword (pp.i-iii) are images with no readable text. That is a verification limit, not a negative finding.
- Without proof of adoption, the plan could fall under the methodology's exclusion of reports that have not been formally adopted.
3. Other sources I checked:
- ULG-06 (SUDA Development Plan 2035 report, 2017) is a spatial Development Plan, labelled 'Draft' in its text. Economic activities appear only as a background chapter. ULG-17 shows the Final DP was sanctioned on 08.10.2020 (GH/V/157 of 2020). But nothing in the sheet shows the plan includes an economic vision or the 2024 Economic Master Plan, which came later.
- ULG-17 itself is only a land-use variation at Dumas.
- ULG-03 (GPMC Act), ULG-05/14/15/16 (CGDCR), ULG-07 (Parking Policy), ULG-10 (Disaster Management Plan) and ULG-19 (Solar City presentation) contain no economic vision plan.
- Searches of the whole sheet found no resolution or Government Order adopting the plan.
4. Also needs confirmation: The plan covers six districts (Surat, Bharuch, Navsari, Tapi, Valsad, Dang). Whether a regional plan counts as an 'equivalent city-level economic strategy' needs a reviewer's decision.
5. Evidence still needed: a Government of Gujarat order or resolution, or an SMC General Board or Standing Committee resolution, adopting or approving the plan; or notifications setting up SREDA or the Empowered Group of Ministers to implement it. Suggested RTI targets: the PIO of the Urban Development &amp; Urban Housing Department, Government of Gujarat, and the PIO of SMC.
Whoever scores this should choose YES only if such adoption evidence is found. They should choose NO only if they confirm that no adoption exists and that no other adopted city economic plan exists.
Quote: "This document presents the Economic Master Plan for the Surat Economic Region (SER). It describes the growth drivers and roadmap that will steer the region to its goal by 2047."
"Answer" left blank: the Citation Sheet doesn't decide it.</t>
  </si>
  <si>
    <t xml:space="preserve">AI: left for a person. Step 2 found no evidence (Insufficient Evidence). Source needed: A final, formally adopted city economic plan for Greater Bengaluru that is currently in force: an Economic Vision Plan, Economic Development Plan, or the economic chapter of a notified master plan (e.g. RMP 2041) or the GBA/BMPC development plan. It should come with its adoption resolution or Government Order, so its economic priorities and measurable targets can be checked. Also any strategy issued by the GBA's Economic Development Agency (GBG Act s.16).</t>
  </si>
  <si>
    <t xml:space="preserve">Ch.3 Vision and targets for SER (p.18-20, PDF pp.41-43); Ch.4-5 growth drivers and strategic interventions (p.27-32, PDF pp.50-55)</t>
  </si>
  <si>
    <t xml:space="preserve">s.3.2-3.3 Economic targets of SER; Figure 11 Projected sectoral GDP and incremental employment targets; Box 1 Primary growth drivers; s.5.1 Chemical and Pharmaceutical</t>
  </si>
  <si>
    <t xml:space="preserve">AI (low confidence), from Step 2 answer (Partially Answered) and ULG-09: Answer is YES because the plan's content meets the test. The confidence is low because whether this is 'the plan' depends on UPD26a. Checked against the source: the Economic Master Plan for the Surat Economic Region (ULG-09, NITI Aayog, Sept 2024, horizon 2047) names clear economic development priorities. Box 1 lists three primary growth drivers: (1) Chemical &amp; Pharma, (2) Textile &amp; apparel, (3) Gems &amp; Jewelry (particularly diamonds). It also sets four pillars: manufacturing, services/trading, new growth avenues, and lifestyle and learning. It sets measurable targets against these priorities: (a) manufacturing adds about two million jobs by 2047 (s.3.3); (b) chemical sector to reach '15 times growth by 2047' (s.5.1: 'The Economic Master Plan (EMP) envisions SER to be a Global Chemical Hub and recommends a set of measures that can enable the sector to achieve 15 times growth by 2047'); (c) per-capita GDP from about $4,600 to over about $45,000 by 2047 (s.3.2); (d) a $1.3-1.5 trillion economy and about 2 million more jobs by 2047 (p.27); (e) sector-wise GDP and incremental employment targets in Figure 11 (an image; its figures could not be read as text). This is more than a general statement of intent. At least two priorities have measurable targets (chemicals: 15x growth; manufacturing overall: about 2M jobs), so the 3.33 band is met. CHECK / DEPENDENCY: this answer only holds if UPD26a accepts the EMP as the city's Economic Vision Plan. Reasons to doubt that: the EMP covers a 6-district region (Surat, Bharuch, Navsari, Valsad, Tapi, Dang), not the SMC area alone. It was prepared by NITI Aayog with the state, not by SMC. The Citation Sheet has no adoption instrument for it from SMC or the state. Its targets are for the region, not the city. If UPD26a finds that no qualifying city plan exists, this sub-question should be blank or not applicable, not this YES. The other candidate, SUDA Development Plan 2035 (ULG-06, 2017), has economic principles but measurable targets only for land use (industrial and commercial zone areas). It would not clearly meet the two-priorities-with-targets test.
Quote: "This trend is expected to continue in the future, with manufacturing estimated to contribute almost half of the GDP growth aspirations while adding about two million jobs by 2047."</t>
  </si>
  <si>
    <t xml:space="preserve">AI: left for a person. Step 2 found no evidence (Insufficient Evidence). Source needed: A final, formally adopted and currently active Economic Vision Plan or Economic Development Plan for Bengaluru (or a notified master plan or RMP 2041 economic chapter). It would need its adopting Council resolution or Government Order and the implementation chapter that sets out GBA or City Corporation responsibilities. Any Regulations made under GBA Act s.16(3) defining the Economic Development Agency's functions would also help.</t>
  </si>
  <si>
    <t xml:space="preserve">Chapter 10: Regulatory &amp; governance framework to achieve the transformation of SER; Annexure I (Multi-tiered institutional framework); Annexure VII (List of Tourism Projects and Policy Interventions)</t>
  </si>
  <si>
    <t xml:space="preserve">10.1 Institutional Framework (printed p.145, PDF p.168); Annexure I Tables 9-10 (PDF p.181)</t>
  </si>
  <si>
    <t xml:space="preserve">SREDA representation paragraph; G-Hub Crack Unit membership table</t>
  </si>
  <si>
    <t xml:space="preserve">168</t>
  </si>
  <si>
    <t xml:space="preserve">AI (low confidence), from Step 2 answer (Partially Answered) and ULG-09: I left 'Answer' blank. I could not find enough to answer YES, and I could not prove the absence needed for NO.
Why not YES: in the parts of the NITI Aayog Economic Master Plan for the Surat Economic Region (Sept 2024, horizon 2047) that I could read, the city government (SMC) has no defined role or specific responsibilities of its own for carrying out the plan.
(a) Ch.10.1 makes the proposed SREDA 'the key responsible entity'. SMC appears only as one of 'all Urban Local Bodies (ULBs)' that would have 'official representation' in SREDA. The methodology says membership or stakeholder status like this does not qualify.
(b) Under Ch.10.1 the G-Hub Crack Unit, the DMO and the PMU carry the defined duties: coordination, KPI monitoring, resource allocation, project structuring and financing. Those duties belong to the bodies, not to SMC.
(c) In Annexure I (Tables 9-10), the SMC Municipal Commissioner sits on the State Steering Committee, which the Chief Secretary chairs. The Municipal Commissioner, Deputy Municipal Commissioner, City Engineer and Chief Town Planner sit on the G-Hub Crack Unit. The state chairs and constituted that Unit (UD&amp;UHD Order dated 15.09.2023). This is participation by SMC officers, not a responsibility given to the city government.
(d) Ch.10.1 says the 'ICCC of Surat Smart City can be scaled up' for regional monitoring. That is permissive wording ('can'), and the Citation Sheet does not show how the Smart City SPV relates to SMC.
(e) The plan also says ULBs 'should aim for inclusive, sustainable growth' (executive summary). That is generic and not a defined responsibility.
Why not NO: the methodology would score this 0, but I cannot show affirmative absence. The project annexures name an implementing agency for each project in brackets. For example, Annexure VII item 1.1 reads 'Surat as a docking point for Cruise Tourism (GMB, Private)'. The tool only returned excerpts of Annexures IV, V, VII and VIII, so I cannot rule out SMC being named as implementing agency for a project. If it is, that could count as a specific responsibility.
I agree with the Step 2 answer (undetermined). The source supports it.
Other caveats:
- The plan covers a 6-district region, not just the city.
- Ch.10 calls its framework 'indicative' and uses 'may' throughout.
- SREDA, the DMO and the PMU are proposed, not existing bodies.
- The prerequisite UPD26a (whether a valid adopted Economic Vision Plan exists for the city) is unresolved. The Citation Sheet shows no adoption of this plan by SMC, the state or SUDA.
- ULG-06 (SUDA Development Plan 2035, 2017) gives SMC no economic-implementation role either.
What would decide this: a reviewer should read the full annexure project tables in ULG-09 (Annexures IV, V, VII, VIII), checking every bracketed agency for 'SMC'. If any project names SMC as implementing agency, the answer is YES. If none does, and the reviewer accepts that membership of the state-chaired Crack Unit is not a defined role for SMC, the answer is NO.
Quote: "It would have official representation from all 6 districts in the region, including Surat Urban Development Authority (SUDA) and other development authorities in the region and all Urban Local Bodies (ULBs)."
"Answer" left blank: the Citation Sheet doesn't decide it.</t>
  </si>
  <si>
    <t xml:space="preserve">Points = (city planners per lakh / highest planners per lakh among cities assessed) x 5. Every city's score updates as other cities are entered.</t>
  </si>
  <si>
    <t xml:space="preserve">ENTER A WHOLE NUMBER</t>
  </si>
  <si>
    <t xml:space="preserve">ENTER POPULATION</t>
  </si>
  <si>
    <t xml:space="preserve">Filled town planners - ULG</t>
  </si>
  <si>
    <t xml:space="preserve">Filled town planners - Development/Planning Authority</t>
  </si>
  <si>
    <t xml:space="preserve">Census 2011 population</t>
  </si>
  <si>
    <t xml:space="preserve">Town planners per lakh (auto)</t>
  </si>
  <si>
    <t xml:space="preserve">Sanctioned positions - ULG</t>
  </si>
  <si>
    <t xml:space="preserve">Sanctioned positions - Development/Planning Authority</t>
  </si>
  <si>
    <t xml:space="preserve">Vacancies &amp; vacancy rate</t>
  </si>
  <si>
    <t xml:space="preserve">Women among filled positions</t>
  </si>
  <si>
    <t xml:space="preserve">Men among filled positions</t>
  </si>
  <si>
    <t xml:space="preserve">AI: left for a person. Step 2 found no evidence (Insufficient Evidence). Source needed: Current, dated staffing records for (a) the GBA (Chief Town Planner's wing) and each City Corporation (Additional Chief Town Planner's wing), and (b) the BDA's Town Planning wing, if the BDA still plans for the city. For each: sanctioned town-planner posts, filled posts, vacancies, and women/men among filled posts. Sources could be the government-sanctioned schedule of officers under GBA Act s.11(9), the Common Cadre and Recruitment Rules, RTI s.4(1)(b) staff lists, DTCP deputation and posting orders, or annual reports tabled in the legislature. Also needed: Census 2011 population for the city's planning area, taken from a Census of India source.</t>
  </si>
  <si>
    <t xml:space="preserve">Chapter 9 (Housing), Table 56: Housing Stock as per Census of India; also Chapter 18 (Population Projection), Tables 129-130</t>
  </si>
  <si>
    <t xml:space="preserve">Table 56 (zone-wise population of SMC, Census 2001 and 2011); Table 130 (SMC population 2011: 44,67,797)</t>
  </si>
  <si>
    <t xml:space="preserve">PDF p. 93 (report p. 76); pp. 195-196 (report pp. 178-179)</t>
  </si>
  <si>
    <t xml:space="preserve">93</t>
  </si>
  <si>
    <t xml:space="preserve">AI (low confidence), from Step 2 answer (Partially Answered) and ULG-06: I filled one input and left two blank because the Citation Sheet does not settle them.
1. CENSUS 2011 POPULATION = 4,467,797 (filled).
- Source: ULG-06, the SUDA Development Plan 2035 report (dated 22 Feb 2017). Its Table 56 total row gives 4467797 for the 326.52 sq km SMC area. Tables 129 and 130 repeat the figure: 'Population within SMC 44,67,797' and '2011 44,67,797'.
- I used the SMC figure because the question is about the city government's own planners. The Step 2 answer used ULG-19's rounded '~4.45 Million'; the exact Census figure in ULG-06 replaces it.
- Other bases in the same report, if a reviewer prefers a wider area: 48,05,101 for the old SUDA area (SMC plus 95 villages) and 50,85,556 for the extended SUDA area.
2. FILLED TOWN PLANNERS – ULG (left blank).
- What the sheet has: ULG-10, SMC's Disaster Management and Preparedness Plan, includes a list of officers who must report during emergencies, dated 16/05/26. It names 17 officers in the Town Planning department: entries 15-24 are 10 Deputy Town Planners (entry 15 also holds Town Planner (A) as extra duty) and entries 25-31 are 7 Assistant Town Planners.
- Why that is not enough:
  (a) It is an emergency-duty roster, not an establishment return. It gives no sanctioned posts and no vacancies, and may not list everyone.
  (b) It says nothing about planning qualifications, but the method counts only qualified planners.
  (c) ULG-08, the SMC organogram, shows 'I/c' Town Planners. One of them, T. T. Patel, is also listed as an Executive Engineer, so he may not be a planner.
  (d) One Assistant Town Planner is listed as 'Working with Suda', so he could be counted for both SMC and SUDA.
- Indicative figure only, not to be scored: 17 people, about 0.38 per lakh.
3. FILLED TOWN PLANNERS – DEVELOPMENT/PLANNING AUTHORITY (left blank).
- ULG-06 shows that SUDA prepares the Development Plan, so its planners would count. But no source in the sheet gives SUDA's staffing.
- What I checked: searched the whole sheet for sanctioned posts, establishment and Town Planner staffing; read ULG-06 and ULG-10. Nothing relevant was found.
- This is 'not found', not a confirmed absence, so I have not entered 0.
4. OTHER GAPS.
- The score needs the highest planners-per-lakh figure among all cities assessed. That figure is not in the sheet.
- Gender cannot be told from the roster, because every officer is listed as 'Shri', including names that look female.
5. NEXT STEPS (RTI requests).
- SMC (Town Planning Department / Central Establishment): sanctioned, filled and vacant posts of Town Planner, Deputy Town Planner and Assistant Town Planner, with each officer's qualifications and gender.
- SUDA: the same for its town-planner posts.
Quote: "TOTAL 326.52 2876374 4467797 13680 55.29"
"Filled town planners - ULG" left blank: the Citation Sheet doesn't decide it.
"Filled town planners - Development/Planning Authority" left blank: the Citation Sheet doesn't decide it.</t>
  </si>
  <si>
    <t xml:space="preserve">Points: &gt;= 33% = 5; 15% to below 33% = 2.5; below 15% = 0.</t>
  </si>
  <si>
    <t xml:space="preserve">ENTER %, e.g. 25%</t>
  </si>
  <si>
    <t xml:space="preserve">% women in town-planning workforce (enter %)</t>
  </si>
  <si>
    <t xml:space="preserve">Share of women in senior / decision-making posts</t>
  </si>
  <si>
    <t xml:space="preserve">AI: left for a person. Step 2 found no evidence (Insufficient Evidence). Source needed: Current, dated staffing data that gives filled qualified town-planner posts by gender. Examples: the GBA/City Corporation town-planning wing staff list or RTI Act s.4(1)(b) directory of officers; DTCP deputation/posting orders for officers posted to the GBA, City Corporations and BDA; the BDA town-planning staff list; or GBA/BDA/DTCP annual reports with a gender breakdown of posts, ideally including senior posts (Chief / Additional Chief Town Planner, Joint/Deputy Directors).</t>
  </si>
  <si>
    <t xml:space="preserve">List of Officers / Employees to remain present at time of / during emergency (As On Dt.16/05/26)</t>
  </si>
  <si>
    <t xml:space="preserve">Items 15-31 (Town Planning Department: Dy. Town Planners and Asst. Town Planners), pp. 73-74 of the PDF; officers' telephone list item 46, p. 106</t>
  </si>
  <si>
    <t xml:space="preserve">73</t>
  </si>
  <si>
    <t xml:space="preserve">AI: left for a person. Step 2 found no evidence (Insufficient Evidence). Source needed: Needed: (a) a dated, gender-disaggregated list or establishment statement of filled town-planner posts (Town Planner, Deputy Town Planner, Asst. Town Planner, with qualifications) for SMC's Town Planning department, e.g. from Central Establishment or the RTI suo-motu staff list; (b) the same for SUDA staff attributable to Surat; (c) the gender of senior posts (in-charge Town Planner(s), SUDA senior/chief planner).</t>
  </si>
  <si>
    <t xml:space="preserve">DULT website: Centres &gt; Centre for Urban Design</t>
  </si>
  <si>
    <t xml:space="preserve">About Centre for Urban Design</t>
  </si>
  <si>
    <t xml:space="preserve">AI (low confidence), from Step 2 answer (Partially Answered) and ULG-08: I left 'Answer' blank. The Citation Sheet does not support YES, and it does not prove NO. I agree with the Step 2 answer.
Why not YES: The only urban design unit in the Citation Sheet is ULG-08, the Centre for Urban Design. The page says it was set up under the Karnataka Non-motorised Transport Agency and that its content is owned by the 'Directorate of Urban Land Transport, Urban Development Department, Government of Karnataka'. That makes it a state-level unit covering the whole state, not part of the Greater Bengaluru Authority (GBA) or the City Corporations. The page does list Bengaluru projects (Alexandria Street, Wilson Garden, Puttani Park, the Gandhi Bazaar ideas competition), but it also lists work in Hubballi-Dharwad. Under the methodology, a shared state or district resource counts only for towns below five lakh, and Bengaluru is far above that. The page is also undated: the footer says ©2020 and 'Last Updated' is site-wide. That is weak evidence for an Implementation question.
Why not NO: A 0 needs affirmative absence, and the city's own sources are missing. Neither the GBA website, the City Corporations' websites, nor any GBA organisation chart or office order is in the Citation Sheet. What I checked:
- ULG-01, the GBA Act 2024:
  - s.16 Economic Development Agency
  - s.17 Climate Action Cell
  - s.18 Sectoral Expert Committees, including one for Urban, Regional and Town Planning (advisory only)
  - s.108 Legal cell
  - the provision letting a City Corporation appoint 'engineers, architects or experts in town improvement or town planning'
  - the Heritage Conservation Committee, which includes an Urban Designer, and the Schedule's call for 'Urban Design Guidelines' for heritage precincts
  None of these sets up an urban design cell. They are legal provisions anyway, not evidence of practice.
- ULG-04, the BDA Act: the s.51 Art Commission, which the Government 'may' constitute. It is not an urban design cell.
- A search of the whole Citation Sheet for 'urban design cell' found nothing else at city level.
This is a verification limit, not a negative finding.
For a reviewer to decide:
(a) Check the GBA and City Corporation websites, or file an RTI with the PIO of GBA (Chief Town Planner's office), for any Urban Design Cell, Unit or Vertical, with the constitution order and staffing for 2025-26.
(b) Confirm whether the DULT Centre for Urban Design can count as an 'equivalent' for a city above five lakh. On a strict reading of the methodology, it cannot.
Quote: "The Centre for Urban Design has been set up under the Karnataka Non-motorised Transport Agency with the aim to develop proposals that improves the experienced quality of public space, particularly mobility related infrastructure as the quality of one’s environment is instrumental in determining whether a person chooses to walk, cycle, or take public transport."
"Answer" left blank: the Citation Sheet doesn't decide it.</t>
  </si>
  <si>
    <t xml:space="preserve">SMC organogram / allocation of departments (as on 07/09/2026)</t>
  </si>
  <si>
    <t xml:space="preserve">Public Infrastructure Cell (Dt.25/03/2026)</t>
  </si>
  <si>
    <t xml:space="preserve">Page 1: Central Designing Cell entry, under the Public Infrastructure Cell</t>
  </si>
  <si>
    <t xml:space="preserve">AI (low confidence), from Step 2 answer (Partially Answered) and ULG-08: I left 'Answer' blank because it cannot be decided from the Citation Sheet in either direction.
Why not YES: SMC's organogram (ULG-08, as on 07/09/2026) names a 'Central Designing Cell' under the Public Infrastructure Cell. It is headed by an Executive Engineer (Shri Mita B. Gandhi, Exe. Eng. (PIC)). The organogram gives only the unit's name. It does not describe the unit's functions or say whether urban designers or architects work there. The cell sits in an engineering-led wing, so it could be an engineering or structural design office rather than an Urban Design Cell/Unit/Vertical. Calling it 'equivalent' would be an inference. Other units I considered: the 'Garden Project Cell (Including City Beautification)', the 'Heritage Cell' (Dt.25/03/2026) and 'City Development' under the Town Planning Department. Again, only names are given and none is shown to be an urban design unit.
Why not NO: there is no affirmative absence. The methodology says to check the ULG website and allows other official sources, media reports and RTI. Apart from the organogram, no SMC department pages, office orders or Standing Committee resolutions are in the Citation Sheet. There is also a candidate unit whose functions are not documented. 'Not found' is not proof of absence, so a 0 is not allowed.
What I checked: ULG-08 in full. A search of the whole sheet for 'urban design' found only CGDCR (ULG-05) text about building design and structural forms, which is not relevant. A search for 'Central Designing Cell architect urban designer' found nothing relevant. Step 2 also reviewed ULG-03, ULG-05, ULG-06, ULG-09, ULG-10, ULG-14 and ULG-15 and found nothing relevant. I agree with the Step 2 finding of 'not determined'.
The five-lakh shared-resource route does not apply: Surat's population is far above 5 lakh (ULG-06).
For the reviewer: find the SMC office order or web page that defines the Central Designing Cell's mandate and staff, and confirm whether it does urban design. Otherwise, use an RTI to the SMC PIO (Public Infrastructure Cell / Town Planning Department) asking whether SMC has an Urban Design Cell, Unit or Vertical as of 2026. If the cell is confirmed to do urban design, the answer is YES (2.5 points).
Quote: "- Central Designing Cell (Dt.10/01/2024) 
► Shri Mita B. Gandhi, Exe. Eng. (PIC)(Dt.10/03/2026)"
"Answer" left blank: the Citation Sheet doesn't decide it.</t>
  </si>
  <si>
    <t xml:space="preserve">Section 17 (Climate Action Cell)</t>
  </si>
  <si>
    <t xml:space="preserve">s.17(1)-(3)</t>
  </si>
  <si>
    <t xml:space="preserve">AI (low confidence), from Step 2 answer (Partially Answered) and ULG-01: Left blank (score cannot be set). This is an Implementation question. A YES needs evidence that a climate, sustainability, resilience or disaster management cell exists for the ULG and is working. The Citation Sheet has none. (1) ULG-01, GBA Act s.17(1): the GBA 'shall, within one year of its constitution, establish a Climate Action Cell'. s.17(3) says it is to be headed by the Special Commissioner (Forest, Environment and Climate Change). This is a legal duty, not proof that the cell exists. The GBA's constitution date is not in the Sheet, so we cannot tell whether the deadline has passed. (2) ULG-16, BCAP 2023, s.6.2, pp.305-310: the Climate Action Cell is still a proposal. The plan says a new BBMP Department of Environment and Climate Change 'is being considered' and that 'Once functional, the CAC will be instituted under this department'. Fig. 71 shows a 'proposed structure'. (3) ULG-17, BCAP Executive Summary (file dated 18-07-2025): the cell is still described as proposed. (4) ULG-16, Figs 100-101 and the abbreviations list (pp.423-425), plus SWM actions 4.1-4.3: these name a 'DMC Disaster Management Cell, BBMP'. That is a 2023, BBMP-era agency mapping inside a plan. It shows neither that the cell is working now nor that it was carried over to the GBA or the City Corporations, so it is not enough for YES. (5) ULG-33 (EMPRI, Department for Climate Change) is a state body. Bengaluru's population is well above 5 lakh, so a shared state or district resource does not qualify. NO is also not justified. The ULG (GBA or City Corporation) website, office orders and notifications are not in the Citation Sheet, so absence is not proven: not found is not the same as absent. Searches run: 'Climate Action Cell constituted BBMP climate cell functioning'; 'Disaster Management Cell control room flood monitoring'; read of ULG-16 on existing disaster management arrangements. For the reviewer: find the GBA order or notification setting up the s.17 Climate Action Cell, and current GBA or City Corporation web pages or dated activity records for the Climate Action Cell or Disaster Management Cell (e.g. a disaster or flood control room). Capture a dated screenshot. RTI to the PIO, GBA (Special Commissioner, Forest, Environment and Climate Change).
Quote: "The Greater Bengaluru Authority shall, within one year of its constitution, establish a Climate Action Cell, with the Chief Commissioner as the chairperson, tasked with the responsibility to formulate and implement Bengaluru Climate Action and Resilience Plan and such other plans and strategies for mitigating Greenhouse Gas emissions."
"Answer" left blank: the Citation Sheet doesn't decide it.</t>
  </si>
  <si>
    <t xml:space="preserve">SMC organogram / allocation of departments, as on 07/09/2026</t>
  </si>
  <si>
    <t xml:space="preserve">Subjects allocated to Sh. M. D. Chavda, Add. City Eng. (Civil)</t>
  </si>
  <si>
    <t xml:space="preserve">Item '- Disaster Management (Dt.01/07/2026)'. The same page lists the 'Environment Improvement &amp; Protection Cell (Tapi Rejuvenation &amp; Creek Rehabilitation) (Dt.01/07/2026)' and the 'Light &amp; Energy Efficiency Cell (Dt.29/08/2023)'</t>
  </si>
  <si>
    <t xml:space="preserve">AI (medium confidence), from Step 2 answer (Answered — Verified Source) and ULG-08: Answer is YES, worth 2.5 points. I checked the Step 2 answer against both sources and they support it. (1) Existence: SMC's own organogram (ULG-08, suratmunicipal.gov.in, as on 07/09/2026) lists 'Disaster Management' as a separate subject, assigned from 01/07/2026 to the Additional City Engineer (Civil). The methodology accepts a 'cell/unit/vertical or equivalent', and this counts as a vertical. The organogram also lists an Environment Improvement &amp; Protection Cell and a Light &amp; Energy Efficiency Cell, which are on the sustainability side. (2) Working in practice: SMC's Disaster Management and Preparedness Plan (ULG-10) is the 2026 edition. Its Ch.2 sets out an 'Emergency Control Room, Surat Municipal Corporation' structure. It gives a Central Flood Control Room at the ICCC (the city's Integrated Command and Control Centre) with phone, fax and mobile numbers. Pre-monsoon instruction 22 says the ICCC central control room and a control room in each zone must be started from 1st June or the first rain, whichever is earlier. Ch.10 puts the City Engineer in charge of the ICCC control room. The instructions also carry 2026 deadlines (1st April, 1st May and 20th May 2026). Surat is well above five lakh population, so the shared-resource rule does not apply. Caveats for the reviewer: (a) the organogram assigns Disaster Management to an officer as a subject; it does not call it a 'cell' or name dedicated staff. (b) 'Functional' rests on the current annual plan, its 2026 deadlines and the standing control rooms. No dated 2026 activation or after-action report is in the Citation Sheet. (c) No climate action cell as such was found. Per the QB evidence requirement, the reviewer should capture a dated screenshot of the organogram page.
Quote: "Disaster Management (Dt.01/07/2026)"</t>
  </si>
  <si>
    <t xml:space="preserve">NA ONLY FOR NON-MILLION-PLUS CITIES</t>
  </si>
  <si>
    <t xml:space="preserve">AI: left for a person. Step 2 found no evidence (Insufficient Evidence). Source needed: Any of the following would answer it: GBA website pages showing an Economic Development Agency, cell or vertical; a GBA order, resolution or regulation under s.16 setting it up, naming its members and defining its functions; a gazette notification; or dated records showing it is working (meetings, staff, projects, annual report). An RTI or official reply from the GBA would also do.</t>
  </si>
  <si>
    <t xml:space="preserve">Municipal Commissioner's Office entry; Women &amp; child, Social Welfare &amp; Cultural Department entry; North Zone entry</t>
  </si>
  <si>
    <t xml:space="preserve">AI: left for a person. Step 2 found no evidence (Insufficient Evidence). Source needed: An SMC office order, standing committee or corporation resolution, or a page on the SMC website that sets up an economic development cell, unit or vertical (or names a unit as its equivalent) and gives its functions. Also needed: dated evidence that it is working, such as named officers, an activity or annual report, or investment-promotion or local-economic-development work. Alternatively, an RTI or official reply from SMC confirming whether such a cell exists.</t>
  </si>
  <si>
    <t xml:space="preserve">AI: left for a person. Step 2 found no evidence (Insufficient Evidence). Source needed: Any one of the following would answer this: the official GBA or City Corporation website page listing departments, cells or verticals and showing a women's welfare or development cell, with its officer, contact details and recent activity; or a GBA or Corporation office order or circular setting up such a cell; or a recent annual report or budget document showing the cell is working. If none of these is published, an RTI or official email reply from the GBA would do.</t>
  </si>
  <si>
    <t xml:space="preserve">Department heading 'Women &amp; child, Social Welfare &amp; Cultural Department' and the units listed under it</t>
  </si>
  <si>
    <t xml:space="preserve">page 1</t>
  </si>
  <si>
    <t xml:space="preserve">AI (low confidence), from Step 2 answer (Partially Answered) and ULG-08: I left 'Answer' blank because the Citation Sheet doesn't support YES, NO or NA. A person needs to score this.
(1) NA doesn't apply. Surat is a million-plus city, so the question applies. The Step 2 note cites ULG-07 for this: 2011 Census population 44,62,826.
(2) YES isn't supported. The SMC organogram (ULG-08), as on 07/09/2026, lists a combined 'Women &amp; child, Social Welfare &amp; Cultural Department (Dt.25/03/2026)'. The units under it are Heritage Cell, Tourism, ICDS (all units), UCD (including the Ummid project), Sports &amp; Sports Development, the Employment &amp; Livelihood Cell, the Cultural Department and Kavi Narmad Central Library. None of these is a women-only cell. The heading covers several unrelated subjects, so it is not clearly a 'dedicated' women's welfare cell or vertical. ICDS covers women and children together. The sheet also has no evidence that the department is working: no activity reports, schemes, staff named for women's welfare, budget lines or dated records. An organogram listing shows that a portfolio has been allocated, not that a cell is working.
(3) NO also isn't supported. A score of 0 needs affirmative absence. The combined department may count as 'equivalent', and the sheet has no SMC women's-cell web page, no government order setting one up, and no RTI or email reply. The rest of the SMC website couldn't be checked (VERIFICATION-LIMIT).
What I checked: I read ULG-08 in full. I searched the whole sheet for 'women welfare cell Mahila' and 'gender women empowerment SMC department'. The only hits were seat reservations for women in the Gujarat Provincial Municipal Corporations Act, 1949 (ULG-03, s.5) and irrelevant passages in ULG-10 and ULG-06. The other sources are planning, regulatory or economic documents.
For the reviewer: (a) decide whether the combined department counts as a 'dedicated women's welfare/development cell/unit/vertical or equivalent'; (b) find current, dated evidence of women-specific work, such as a UCD/Ummid or women's wing page, an annual report or an RTI reply; (c) take a dated screenshot.
Quote: "Women &amp; child, Social Welfare &amp; Cultural Department (Dt.25/03/2026)"
"Answer" left blank: the Citation Sheet doesn't decide it.</t>
  </si>
  <si>
    <t xml:space="preserve">Per category: SHALL = full share, MAY = half share, NONE = 0.</t>
  </si>
  <si>
    <t xml:space="preserve">SHALL / MAY / NONE</t>
  </si>
  <si>
    <t xml:space="preserve">Chapter XVI (Streets); building bye-laws section (s.224, number inferred); Chapter XXIV rule/regulation/bye-law powers (s.318)</t>
  </si>
  <si>
    <t xml:space="preserve">GBA Act 2024 s.201; s.224(1)(d),(h),(l),(p),(q); s.318(1)(xxv)</t>
  </si>
  <si>
    <t xml:space="preserve">s.201 minimum width of streets by road hierarchy; s.224(1)(d) height relative to street width, (h) materials of walls/roofs/floors, (p) minimum quality of materials, (l) ramps and amenities for differently challenged, (q) provision for specially abled; s.318(1)(xxv) regulating construction, maintenance and control of drains and sewers</t>
  </si>
  <si>
    <t xml:space="preserve">86</t>
  </si>
  <si>
    <t xml:space="preserve">SHALL</t>
  </si>
  <si>
    <t xml:space="preserve">MAY</t>
  </si>
  <si>
    <t xml:space="preserve">AI (low confidence), from Step 2 answer (Partially Answered) and ULG-01: Source: Greater Bengaluru Governance Act, 2024 (Karnataka Act 36 of 2025), as enacted. This is the PRS copy of the Gazette text (DPAL notification 24.04.2025). Era: GBA.
(1) Roads = SHALL. Under s.201, 'The Commissioner shall, from time to time, specify the minimum width of different public streets ... to maintain hierarchy of roads'. This is a binding width standard for each category of road.
(2) Footpaths = blank (not found). I checked the following in ULG-01, and none of them is a design standard for footpaths:
- s.198(1): a general power to improve streets 'for the safety of pedestrians'
- s.204(1)(c): 'paving ... flagging' as details an applicant must show for a private street
- s.215 and s.216(2): encroachment on footpaths
- Sch. I(1)(iv): a list of functions
- s.318(1)(xxvii): vehicle transit risk to pedestrians
Searches of ULG-02 (KTCP) and ULG-04 (BDA Act) for footpath and pedestrian standards found nothing. The retrieval tool shows only passages of these documents, so I cannot confirm the whole of each Act was read. That means I cannot claim affirmative absence, so I left the input blank rather than NONE. The BMLTA Act (ULG-18) requires the Comprehensive Mobility Plan to include standards for pedestrian paths. I did not count it because the methodology limits this question to the T&amp;CP Act or Municipal Act. A reviewer should decide whether it counts.
(3) Underground utilities = MAY. I checked the operative verb: s.318(1) says 'Every City Corporation may from time to time, with the approval of the Government make regulations ... for'. Item (xxv) covers 'regulating ... the construction, maintenance and control of drains, sewers ... and drainage or sewage works of every description'. This is an enabling power aimed at how sewerage and drainage are built, which is more than a general power to regulate development. It covers only sewerage and drainage, though: I found nothing for water supply, electricity, telecom or gas networks.
- s.318(1)(iii) (maps of underground utilities) is about keeping records, not design.
- s.224(1)(q) ('Telecom services and other utilities') applies only inside buildings.
- KTCP s.17 Table-A is a condition that works be completed before sites are released, not a design standard.
A reviewer should confirm that a 'may' power over drains and sewers alone deserves 0.5.
(4) Built form = SHALL. Under s.224(1), the City Corporation 'shall make building bye-laws' in line with the GBA's model bye-laws, and 'the bye-laws shall provide for':
- (d) height of building relative to the width of the street
- (h) materials and methods of construction of external and party walls, roofs and floors
- (p) minimum quality of materials
There is also supporting text: s.204(1)(b) (building line) and KTCP s.12(1)(f) (which says 'may' be made, for regulations on building line, height and architectural features).
(5) Universal accessibility = SHALL, but for buildings only. Under 'shall provide for', s.224(1)(l) requires 'ramps and amenities for differently challenged' and s.224(1)(q) requires 'Provision for specially abled'. I found no Municipal Act or KTCP provision requiring accessibility standards for streets or public spaces. Please CONFIRM whether accessibility limited to buildings earns the full 1 point.
The s.224 number is inferred (the passage comes just before s.225). I did not see the section heading.
Total if confirmed: at least 3.5 out of 5, with footpaths still to be scored by a person. The Rules and model building bye-laws made under the GBA Act are not in the Citation Sheet.
Quote: "the City Corporation in its jurisdiction shall make building bye-laws for the regulation and restriction of the use of sites or buildings in accordance with model building bye-laws prepared by the Greater Bengaluru Authority with suitable"
"Footpaths / pedestrian infrastructure" left blank: the Citation Sheet doesn't decide it.</t>
  </si>
  <si>
    <t xml:space="preserve">Chapter XV, Building Regulations (BPMC/GPMC Act 1949, as applied to Surat), 'Regulation of certain classes of buildings in particular localities'</t>
  </si>
  <si>
    <t xml:space="preserve">Section 269(1)</t>
  </si>
  <si>
    <t xml:space="preserve">s.269(1)(a) frontage elevation and architectural features; (b)-(c) detached or semi-detached buildings and minimum plot size</t>
  </si>
  <si>
    <t xml:space="preserve">AI (low confidence), from Step 2 answer (Partially Answered) and ULG-13: I filled in only one input. The other four are blank because the evidence was not found, not because it shows the standards are absent. The state planning Act cannot be read, so none of these can be scored 0.
Built-form codes = MAY:
- Section 269(1) opens 'The Commissioner may give public notice of his intention to declare...'. A declaration can require that frontage elevation and construction match architectural features 'suitable to the locality' on named streets. It can also allow only detached or semi-detached buildings and set minimum plot sizes. After the State confirms it (s.269(6)), it binds builders (s.269(7)).
- The Municipal Act (Gujarat Provincial Municipal Corporations Act 1949, ULG-03, as modified to 30.11.2017) adds s.458: 'The Corporation may from time to time make by-laws ... with respect to the following matters'. These include (6) wall and roof structure and the materials and dimensions of floors; (12) 'prescribing set-backs from the street margin for all or particular classes of buildings on specified streets or classes of streets'; and (13) 'regulating the height of structures generally or with reference to the materials ... or the width of the streets'. Section 210(1) also says the Commissioner 'may' prescribe a regular street line.
- All of these use 'may', so they enable rather than require. The Step 2 answer could not confirm the verb; I have now read it in s.458's opening words and in s.269(1).
- Caveat: MAY is a floor taken from the Municipal Act only. The Gujarat Town Planning and Urban Development Act 1976 (ULG-01, PRS copy) has no readable text on pp.2-86. So its development-plan contents section (s.12) and its regulation-making power were not checked. If either uses 'shall' for building lines or height, this input becomes SHALL. Please check against a readable official copy.
Roads &amp; streetscapes, blank:
- Section 458(1) lets the Corporation make by-laws 'regulating ... the construction, maintenance ... of ... private streets and public streets'. Section 210 covers the regular line of the street.
- Neither sets road categories or hierarchies, or streetscape design standards. Whether s.458(1) counts as MAY, or is only a general power to regulate, needs a reviewer's judgement.
- I could not read the text of s.206 ('Minimum width of new public streets') before I hit the tool limit.
- The planning Act's s.12 could not be read.
Footpaths, blank:
- The only thing found is Schedule rule 3: the Commissioner 'may call for' plans showing carriage-way and foot-way widths for private streets. That is a power to ask for documents, not a design standard.
- The planning Act and the rest of the Municipal Act's Chapter XIV were not read in full.
Underground utilities, blank:
- Section 458(1) covers by-laws on the construction of drains, drainage works, municipal water-works and private communication pipes. This would at most be a MAY candidate, and only for water, sewerage and drainage. Nothing was found for electricity, telecom or gas.
- The Gujarat Town Planning and Urban Development Rules 1979 (ULG-04) only require layout plans to show water and drainage lines. That is a submission requirement, not a standard.
- A reviewer needs to decide whether partial coverage under s.458(1) counts as MAY.
Universal accessibility, blank:
- The state-wide regulations, the Comprehensive General Development Control Regulations (CGDCR) 2017, Part III (ULG-16, notified 12.10.2017), set mandatory standards. Examples: 'Minimum one entrance shall be provided that is accessible by people with disability', ramps at a gradient of 1:12, accessible parking, toilets and signage.
- This is mandatory language, but it sits in regulations. The methodology asks whether the planning Act or Municipal Act provides for such standards.
- No accessibility provision was found in the Municipal Act. The planning Act's regulation-making clause cannot be read.
- CONFIRM: does a mandatory standard in regulations made under the Acts count? If it does, this input would be SHALL.
Reading limits: I reached the tool limit before reading s.206, the rest of s.458's clauses and Gujarat Bill No. 21 of 2019 (ULG-02).
The Step 2 answer is mostly supported. My one correction is that I confirmed the built-form verb is 'may'.
Quote: "that in any streets or portions of streets specified in such notice the elevation and construction of the frontage of all buildings or any classes of buildings thereafter erected or re-erected shall in respect of their architectural features be such as the Corporation may consider suitable to the locality;"
"Roads &amp; streetscapes" left blank: the Citation Sheet doesn't decide it.
"Footpaths / pedestrian infrastructure" left blank: the Citation Sheet doesn't decide it.
"Underground public utilities" left blank: the Citation Sheet doesn't decide it.
"Universal accessibility" left blank: the Citation Sheet doesn't decide it.</t>
  </si>
  <si>
    <t xml:space="preserve">AI: left for a person. Step 2 found no evidence (Insufficient Evidence). Source needed: Any of the following, with the adoption or notification order: the notified building bye-laws and zoning regulations that apply to the GBA/City Corporation area (covering built form, frontage, materials and accessibility); the notified Revised Master Plan zoning regulations; TenderSURE or other street and footpath design guidelines, with a GO or council resolution adopting them for Bengaluru; utility-corridor or underground utility design standards adopted by GBA/BBMP/BWSSB/BESCOM; universal accessibility guidelines adopted by the city; or an approved Comprehensive Mobility Plan containing road-hierarchy and pedestrian standards.</t>
  </si>
  <si>
    <t xml:space="preserve">Section A (Applicability, Table 1.1.1); General Development Requirements (Regulations 8.x); Access Path / provisions for persons with disability (pp.178-185)</t>
  </si>
  <si>
    <t xml:space="preserve">CGDCR 2017, Table 1.1.1 (SUDA in category D1); Table 8.3.1 (road width and building height); Table 8.4.1 (road-side margins); Build-to-Line; Access Path rules for all buildings except Dwelling-1&amp;2</t>
  </si>
  <si>
    <t xml:space="preserve">Access Path, 'For all Buildings (Except dwelling-1&amp;2)' item 1 (p.178); Build-to-Line items 1-2 (p.112); Table 8.3.1 'D1 except GMC area' row (p.112)</t>
  </si>
  <si>
    <t xml:space="preserve">178</t>
  </si>
  <si>
    <t xml:space="preserve">AI (low confidence), from Step 2 answer (Partially Answered) and ULG-05: I checked the Step 2 answer against ULG-05 and agree with it. Two inputs are YES; three are blank as 'not found'.
(d) Built-form codes: YES. The CGDCR 2017 (UD&amp;UHD Notification GH/V/269 of 2017, dated 12.10.2017) says it 'shall apply to the land development and building construction in the entire Gujarat State'. Table 1.1.1 lists the Surat Urban Development Authority (SUDA) in category D1. For D1 areas the CGDCR sets:
- maximum building height by abutting road width (Table 8.3.1: 10/15/25/45/70 m);
- road-side margins by road width (Table 8.4.1);
- a Build-to-Line rule (the line left after the road-side and side margins). This applies only to building units named in Local Area Plans;
- minimum road frontage for fuelling stations (Table 18-1) and signage/billboard controls (Reg. 19).
The method accepts DCRs for (d), so these count.
(e) Universal accessibility: YES. All buildings except Dwelling-1&amp;2 need:
- an entrance accessible to people with disability, with signage;
- ramps no steeper than 1:12, with handrails;
- guiding floor material for visually impaired people;
- non-slip finishes a wheelchair can cross.
Why the CGDCR applies to the Surat Municipal Corporation (SMC): the CGDCR names SUDA, not SMC. ULG-06 (SUDA DP-2035, page 185) says the SUDA area 'consists of Surat Municipal Corporation (SMC) Area and 195 villages', so SMC falls inside the D1 jurisdiction. A reviewer should confirm that the team accepts this state-wide DCR as 'applicable to the city'.
(a) Roads/streetscapes, (b) footpaths and (c) underground utilities: left blank ('not found', not NO).
- No Surat street design guideline, road-hierarchy standard or utility design standard is in the Citation Sheet.
- ULG-07 (Parking Policy 2018) covers parking management, permits, informal public transport (IPT) and freight. It has no street or footpath design standards.
- ULG-03 (GPMC Act) has only powers to set street widths and regular lines, not design standards.
- The CGDCR's internal-road rules and Schedule 26 illustrations are DCR content. The method allows DCR evidence only for (d) and (e), so they do not count for (a).
- The SMC, SUDA, UD&amp;UHD and BRTS/Sitilink websites are not in the Citation Sheet. Absence therefore cannot be shown, and this is a VERIFICATION-LIMIT.
Period: I relied on the CGDCR as notified on 12 October 2017. I did not check later amendments.
Quote: "Minimum one entrance shall be provided that is accessible by people with disability and accompanied by appropriate signages as per Regulation 21.7"
"Roads &amp; streetscapes" left blank: the Citation Sheet doesn't decide it.
"Footpaths / pedestrian infrastructure" left blank: the Citation Sheet doesn't decide it.
"Underground public utilities" left blank: the Citation Sheet doesn't decide it.</t>
  </si>
  <si>
    <t xml:space="preserve">SHALL = full marks, MAY = half marks, NONE = 0.</t>
  </si>
  <si>
    <t xml:space="preserve">Mandate for city parking policy in law</t>
  </si>
  <si>
    <t xml:space="preserve">Section 20(1)</t>
  </si>
  <si>
    <t xml:space="preserve">(a) Parking policy</t>
  </si>
  <si>
    <t xml:space="preserve">AI (low confidence), from Step 2 answer (Partially Answered) and ULG-18: I left the input blank. It needs a methodology decision, and the check for absence is not complete.
(1) What I found: Karnataka law does require a city-level parking policy for Bengaluru, using 'shall'. It is in s.20(1)(a) of the BMLTA Act, 2022 (Karnataka Act 6 of 2023, as amended by Act 10 of 2026; PRS republication, ULG-18). But the duty falls on the Bengaluru Metropolitan Land Transport Authority (BMLTA), which is a state body. Urban Local Bodies are only listed as bodies to be consulted. The Act 10 of 2026 amendment makes the City Corporation Mayors and Commissioners ex-officio members of BMLTA, but that is membership, not a duty to prepare or adopt the policy. The rubric asks whether the T&amp;CP Act or the Municipal Act requires the ULG itself to prepare or adopt a standalone parking policy. The BMLTA Act is neither of those Acts, and BMLTA is not the ULG. Whether this counts as SHALL (5) or NONE (0) is a methodology question for a person to decide. I am not guessing.
(2) The other Acts:
- Municipal Act: the Greater Bengaluru Governance Act, 2024 (ULG-01, as enacted, notified 24.04.2025). It only gives powers to regulate and functions. s.202(1): 'The Commissioner may prohibit vehicular traffic or on street parking'. s.206: closed streets may be used for vehicle parking. Schedule I(1)(xvii): providing 'parking spaces for vehicles'. s.15(1): master plan and mobility plans. The rubric excludes all of these.
- The GBA (Amendment) Bill, 2025 (ULG-05) changes only ss.8 and 14 and has nothing on parking.
- T&amp;CP Act: the KTCP Act, 1961 (ULG-02, amended up to 2015). It has only building and scheme standards: s.26(2)(j) uses 'may' for parking space in town planning schemes, and s.28(2) mentions parking spaces. The rubric excludes these.
- The KTCP Amendment Bill, 2025 (ULG-03) makes GBA the planning authority (s.81-G). It has no parking-policy provision.
(3) Why I did not enter NONE: a NONE needs proof that nothing exists, and I could not get that. The tools returned the GBA Act only in excerpts, so I could not check it section by section. No Rules or bye-laws made under the GBA Act are in the Citation Sheet. The KTCP compilation stops at 2015, and ULG-03 is a Bill, not the enacted text.
Not used as evidence: DULT Parking Policy 2.0 (ULG-06/07) is a GoK policy from the BBMP era, not law.
This agrees with the Step 2 answer (Partially Answered, score left blank).
To confirm: (a) Does a 'shall' duty on BMLTA, with the ULG as member and consultee, count as a mandate for the city? (b) If not, NONE needs the full GBA Act text and its Rules checked first.
Quote: "The Authority shall prepare and implement the following policies in connection with Urban Mobility and shall update periodically the existing policies on Urban Mobility in consultation with the Urban Transport Agencies, Urban Local Bodies, Traffic Management Agencies, Urban Development Department, etc."
"Mandate for city parking policy in law" left blank: the Citation Sheet doesn't decide it.</t>
  </si>
  <si>
    <t xml:space="preserve">By-laws (Chapter on Rules, By-laws and Standing Orders)</t>
  </si>
  <si>
    <t xml:space="preserve">Section 458</t>
  </si>
  <si>
    <t xml:space="preserve">458(36)</t>
  </si>
  <si>
    <t xml:space="preserve">218</t>
  </si>
  <si>
    <t xml:space="preserve">AI (low confidence), from Step 2 answer (Partially Answered) and ULG-03: I have left the input blank. I found no SHALL or MAY provision for a city-level parking policy, but I cannot prove that none exists, so NONE (score 0) is not justified. The Step 2 answer was checked against the sources and holds up.
What the sources say:
(1) GPMC Act 1949, text modified up to 30.11.2017 (ULG-03). The only parking provision is s.458(36). It is a power: the Corporation may make by-laws to protect and regulate the management of public parking places, and (added by Guj. 11 of 2010) to levy fees in them. By-laws are drafted by the Commissioner (s.459), go through public notice (s.460) and need State Government confirmation (s.461-462). The methodology excludes a power to regulate parking. I read s.63 (compulsory duties) and the parts of s.66 (optional duties) available, including (8B) 'urban planning including town planning and regulation of land use' and (42). None of them mentions a parking policy.
(2) GTPUD Rules 1979 (ULG-04). The parts I read are forms and account schedules. I found no parking-policy provision.
(3) GTPUD Act 1976 (ULG-01, PRS copy). The readable text is mostly the amending Acts of 2017 and 2019 (Guj. Act 14 of 2019, on development plans, Metropolitan Planning Committees and District Planning Committees). Nothing in them is about a parking policy. The main text, especially s.12 on what a development plan contains, could not be read.
(4) CGDCR 2017 (ULG-05, ULG-14, ULG-15). These set parking standards for individual buildings (Planning Regulation 8.12), which the methodology excludes.
(5) Surat Parking Policy (ULG-07). It was sanctioned by a government resolution (GR P.R.CH./10018/CM-419/P dated 05.12.2018). It names GPMC s.458(36) only as the basis for new rules to enforce parking, not as a duty to prepare a policy. It shows that a policy exists in practice, which is relevant to other sub-questions, not a mandate in law.
Why NONE cannot be recorded: these gaps remain.
- The main text of the GTPUD Act 1976 is not readable in ULG-01.
- The Gujarat Metropolitan Planning Committees Act 2008 and the Gujarat District Planning Committees Act 2008 are not in the Citation Sheet.
- GPMC s.66 was only partly visible.
If the research team adds these and they show nothing, the input should be NONE (score 0). On the evidence so far, SHALL or MAY looks unlikely.
Quote: "securing the protection of public parks, gardens, public parking places and open spaces vested in or under the control of the Corporation from injury or misuse, regulating their management and the manner in which they may be used by the public and providing for the proper behaviour of persons in them"
"Mandate for city parking policy in law" left blank: the Citation Sheet doesn't decide it.</t>
  </si>
  <si>
    <t xml:space="preserve">DULT website: Parking Policy 2.0 page</t>
  </si>
  <si>
    <t xml:space="preserve">G.O. UDD 208 PRJ 2020, dated 02-02-2021 (Government of Karnataka approval of Parking Policy 2.0)</t>
  </si>
  <si>
    <t xml:space="preserve">Paragraph after the BBMP zone table; link to 'Parking Policy 2.0 for Bengaluru' PDF</t>
  </si>
  <si>
    <t xml:space="preserve">AI (medium confidence), from Step 2 answer (Answered — Verified Source) and ULG-06: Answer is YES, which gives 5/5. The Detailed Methodology gives 5 if a city-level parking policy exists or its formal adoption can be shown with reliable evidence. It also says to score this regardless of any legal mandate. ULG-06 is the official DULT (Urban Development Department, Government of Karnataka) page. It is the kind of competent-authority website the methodology tells us to check. The page says the parking policy for Bengaluru was first prepared in 2012 and adopted by BBMP. It says the Government of Karnataka approved 'Parking Policy 2.0' in February 2021 by G.O. UDD 208 PRJ 2020 dated 02-02-2021, and it links to the policy document. The policy applies only to Bengaluru, so it counts as city-level. I checked the Step 2 answer against the source text and the source supports it. ULG-07 (DULT Area Parking Plans status page, 2022) backs this up: according to the Step 2 record, it lists Detailed Project Reports sent to BBMP from June to September 2022. Points for a reviewer to check: (1) The question title asks whether the policy has been 'implemented', but the Detailed Methodology tests only whether it exists or was adopted. I scored by the methodology. The Citation Sheet has no evidence after 2022 that Area Parking Plans or paid parking are running. (2) The policy was approved by the state, not passed by the city council. (3) Era: the policy dates from the BBMP era (2021). Nothing in the Citation Sheet shows the Greater Bengaluru Authority or its city corporations confirming or withdrawing it. (4) I did not read the policy PDF or the G.O. itself. The evidence is the DULT web page, which shows 'Last Updated 2026-10-09'.
Quote: "The GoK approved the Parking Policy 2.0 vide vide G.O. UDD 208 PRJ 2020, BENGALURU dated 02-02-2021. As per the orders, DULT is directed to prepare Area Parking Plans in accordance with the policy and BBMP would take up implementation of Area Parking Plans."</t>
  </si>
  <si>
    <t xml:space="preserve">Cover page (p.1); Section 9 Parking Policy Directives (p.18 onward)</t>
  </si>
  <si>
    <t xml:space="preserve">Cover statement of sanction by Government Resolution No. P.R.CH./10018/CM-419/P dated 05/12/2018</t>
  </si>
  <si>
    <t xml:space="preserve">p.1 cover; p.18 Policy 1: Charging for parking ('The entire area under SMC shall have similar parking charges...')</t>
  </si>
  <si>
    <t xml:space="preserve">AI (medium confidence), from Step 2 answer (Answered — Verified Source) and ULG-07: I scored this from the Detailed Methodology, not the question title. The methodology gives 5 points if a city-level parking policy exists or its formal adoption can be shown. It also says to score this independently of any legal mandate. ULG-07 is a 'Parking Policy for Surat City' hosted on the official Surat Municipal Corporation website (suratmunicipal.gov.in, Traffic Cell section). It covers the whole city: 'The entire area under SMC shall have similar parking charges'. It sets out eight policy directives on charging, enforcement, proof of parking, shared parking, reduced parking minimums, permits, IPT parking and freight. Its cover says it was sanctioned by Government Resolution No. P.R.CH./10018/CM-419/P dated 05/12/2018. That is enough for Answer = YES (5 points). I checked the Step 2 answer against the source and it is supported. Points for a reviewer to check: (1) The contents page (p.2) is still headed 'DRAFT PARKING POLICY FOR SURAT CITY', while the cover says 'sanctioned'. The only proof of adoption is that cover statement, because the Government Resolution itself is not in the Citation Sheet. The reviewer may want to get the GR from UD&amp;UHD or SMC. (2) The question title asks 'has it been implemented?' The Citation Sheet has no dated evidence of the policy working in practice, such as parking fees being collected, notified parking zones or enforcement by the Traffic Cell. The methodology does not require such evidence, so I make no claim about it. (3) Other sources do not count as a city parking policy: CGDCR 2017 (ULG-05, ULG-14, ULG-15, ULG-16) only sets parking standards for buildings, and the SUDA Development Plan 2035 (ULG-06) is a development plan. (4) Period: the policy was sanctioned on 05/12/2018. The Citation Sheet shows no later revision. The reviewer should also capture a dated screenshot of the SMC page.
Quote: "PARKING POLICY FOR SURAT CITY SANCTIONED VIDE GOVERNMENT RESOLUTION NO. P.R.CH./ 10018/CM-419/P DATE. 05/12/2018"</t>
  </si>
  <si>
    <t xml:space="preserve">NA ONLY FOR CITIES BELOW ONE MILLION</t>
  </si>
  <si>
    <t xml:space="preserve">DCR applicable to the city &amp; its status</t>
  </si>
  <si>
    <t xml:space="preserve">Chapter 2, Section 2.2.6 Urban planning, greening, and biodiversity (and the action tables)</t>
  </si>
  <si>
    <t xml:space="preserve">Footnote 36 (p.88); Action UPGBD-3.4 (p.271); Action W/WW/SW-2.15 (p.246)</t>
  </si>
  <si>
    <t xml:space="preserve">Footnote 36 to the TOD / additional-FAR paragraph</t>
  </si>
  <si>
    <t xml:space="preserve">88</t>
  </si>
  <si>
    <t xml:space="preserve">AI (low confidence), from Step 2 answer (Partially Answered) and ULG-16: I answered YES, but the Citation Sheet does not contain the regulation itself, so a reviewer should confirm.
Why YES: the Citation Sheet points to Bengaluru-specific development controls, not a generic state-wide set, even though the regulation text is missing.
(1) ULG-16, the BCAP 2023, is an official BBMP plan. Footnote 36 says the Revised Master Plan 2015 (RMP 2015) for the Bengaluru Metropolitan Area, prepared under the Karnataka Town and Country Planning Act 1961, sets FAR of 1.5–3.25 'for the entire conurbation area', varying by land use, road width and plot size. That is DCR content, and it applies only to this city.
(2) In the same plan, action UPGBD-3.4 asks BDA and BBMP to 'Adopt changes to DCRs/Building Bye-laws', and names 'BBMP Building Bye-laws 2003' as the existing instrument, with 'RMP 2041 under preparation'. Action W/WW/SW-2.15 also cites the BBMP Building Bye-laws, 2003.
(3) ULG-02, the KTCP Act 1961 as amended up to 2015, s.12(1)(a) and s.12(2)(iii): every master plan must come with its own Zoning Regulations. So zoning rules are set per planning area by design.
(4) ULG-01, the Greater Bengaluru Governance Act (in force from 24.04.2025), s.230(2): building plans are checked against 'the Act, the master plan and building bye-laws'. s.230(8) refers to 'the master plan, the zoning regulation plan and building bye-laws'.
(5) ULG-01 s.360 and s.361 (third proviso): any 'bye-law or scheme framed' under the repealed BBMP Act 2020 continues in force until superseded. This supports the BBMP bye-laws continuing under the GBA.
The BCAP also lists the 'Karnataka Model Building Bye-laws, 2016'. That is a state model, and nothing in the Citation Sheet shows the city follows it instead of its own instruments.
NA does not apply: Bengaluru's population is far above one million (BCAP, Census 2011 figures).
What a reviewer should check:
(a) The RMP 2015 Zoning Regulations and the BBMP Building Bye-laws 2003 are not in the Citation Sheet. The only evidence is a reference to them in the 2023 BBMP-era plan.
(b) ULG-03 is the KTCP Amendment Bill 2025. Its proposed s.81-G(2) would treat BDA's 'Master Plan and Regulations' as made by GBA. It is a Bill, not shown to be enacted, so I did not rely on it. Whether the RMP 2015 regulations formally continue under the GBA is not proven.
(c) The RMP 2015 plan period has ended, and RMP 2041 was still being prepared in 2023.
(d) Please get the RMP 2015 Zoning Regulations and the current bye-laws from an official BDA/GBA/UDD source and take a dated screenshot.
Confidence is low because the evidence is a secondary reference in an official plan, not the regulation itself, and it does not show the regulations are still current under the GBA.
Quote: "The RMP 2015 permits a FAR between 1.5 and 3.25 for the entire conurbation area, based on land use, access road width, and plot size, with higher provisions for larger plots along wider roads."</t>
  </si>
  <si>
    <t xml:space="preserve">Part I: Procedure Regulations, Chapter 1 Preamble</t>
  </si>
  <si>
    <t xml:space="preserve">Regulation 1.1.3 Applicability</t>
  </si>
  <si>
    <t xml:space="preserve">1.1.3(1) with Table 1.1 (Category D1 includes SUDA)</t>
  </si>
  <si>
    <t xml:space="preserve">AI (low confidence), from Step 2 answer (Partially Answered) and ULG-14: Answer left blank because the evidence does not decide YES or NO.
What the sources show:
(1) Surat's development control falls under the Comprehensive General Development Control Regulations 2017 (CGDCR). This is a single instrument issued by the state government. It was made under s.116A read with s.122 of the Gujarat Town Planning and Urban Development Act 1976 (GTPUDA) and the other Acts named in its Preamble. Its Reg. 1.1.3(1) says it applies to all development in the entire Gujarat State (ULG-14; also ULG-05, Notification GH/V/269 of 2017 dated 12 Oct 2017).
(2) Table 1.1 puts the Surat Urban Development Authority (SUDA) in Category D1, together with the Ahmedabad, Gandhinagar, Vadodara and Rajkot authorities (AUDA, GUDA, VUDA, RUDA).
(3) The CGDCR does have a table only for Surat: Table 6.8 in Part II (ULG-15) and Table 7.7.4 in the AUDA copy (ULG-05), 'Category D1 SUDA'. It sets Surat's own use zones and floor-space-index (FSI) limits. All other rules (procedure, building and fire) are common to the whole state.
Why no score:
- Interpretation: it is unclear whether a Surat-only table inside a state-wide DCR counts as 'a city-specific DCR is applicable' (YES, score 10) or as 'relies on a generic/state-wide DCR' (NO, score 0). The method does not settle this, so a reviewer needs to decide.
- A NO would also need affirmative absence (proof that nothing else exists), which we don't have. The Citation Sheet has no Surat Municipal Corporation (SMC) or SUDA web page saying which DCR applies, and no list from the state urban development department (UD&amp;UHD) of CGDCR amendments or city-specific regulations. So a separate Surat DCR or local regulation cannot be ruled out.
What I checked: ULG-14 (Reg. 1.1.3, Table 1.1); ULG-17 (Gazette Extra No.124, 24 Mar 2025: proposed variation to the SUDA Final Development Plan, which was sanctioned by notification GH/V/157 of 2020 dated 08.10.2020; it says nothing about the DCR); a search of the whole Citation Sheet for a Surat-specific DCR or GDCR (only CGDCR passages came up); and the sources reviewed for the Step 2 answer (ULG-05, ULG-15, ULG-06, ULG-03).
NA does not apply: ULG-06 (the SUDA Development Plan 2035 report) gives Surat's population as about 4.5 million in 2011, well above one million.
Period: CGDCR notified 12 Oct 2017. The copies on file are hosted on the RMC and AUDA websites and may include later amendments. That it is still the version in force in 2026 is not confirmed.
Reviewer:
(a) Decide whether a city-specific use-zone and FSI table inside the state-wide CGDCR counts as city-specific. If it does, the answer is YES. If not, the answer is NO, but only once the absence of any other Surat DCR is shown.
(b) Get an SMC, SUDA or UD&amp;UHD page confirming which DCR is currently in force.
Quote: "These regulations shall apply to all development in the entire Gujarat State . Different areas are grouped in different categories as specified in Table 1.1."
"Answer" left blank: the Citation Sheet doesn't decide it.</t>
  </si>
  <si>
    <t xml:space="preserve">SELECT 2 / 1 / 0</t>
  </si>
  <si>
    <t xml:space="preserve">Score (select 2 / 1 / 0)</t>
  </si>
  <si>
    <t xml:space="preserve">AI: left for a person. Step 2 found no evidence (Insufficient Evidence). Source needed: The notified Zoning Regulations of the Revised Master Plan 2015 for the Bengaluru Metropolitan Area (or any later notified revised master plan) with its gazette notification, especially the tables of permissible land uses by zone, mixed-use and ancillary-use rules, and FAR, setback, parking and plot-size standards for commercial, industrial and home-based uses. Also the building bye-laws in force for the Greater Bengaluru city corporations (or the BBMP Building Bye-laws while they still apply), plus any GOs or notifications amending the zoning regulations.</t>
  </si>
  <si>
    <t xml:space="preserve">Part II Planning Regulations, Chapter 7: Use zones, permissible uses, use classification and FSI</t>
  </si>
  <si>
    <t xml:space="preserve">Table 7.4 'Use permitted in each category' (Dwelling-2, Dwelling-3, Mercantile-1, Mercantile-3); Table 7.3.1 permissible uses for D1 to D7(A) and D7(B); notes below Table 7-6.2 (road width and commercial use)</t>
  </si>
  <si>
    <t xml:space="preserve">Table 7.4, Sr. No. 2 (Dwelling-2); Table 7.3.1, Sr. No. 4-7 (R1, R2, R4); notes 1-2 below Table 7-6.2</t>
  </si>
  <si>
    <t xml:space="preserve">92</t>
  </si>
  <si>
    <t xml:space="preserve">AI (medium confidence), from Step 2 answer (Answered — Verified Source) and ULG-05: Score 2. The Step 2 answer is supported by ULG-05 (CGDCR 2017, Notification GH/V/269 of 2017 dated 12 October 2017). These regulations apply to Surat: Table 1.1.1 lists 'Surat Urban Development Authority(SUDA)' under category D1.
The regulations do more than zone land for commercial or industrial use. They enable at least two types or scales of economic activity through specific provisions:
(1) Home-based and small enterprise. Table 7.4 lists Cottage Industry under Dwelling-2 and Dwelling-3, on condition that it causes no noise, vibration or fumes. Home occupation and cottage industry are not allowed in tenements or flats. Mercantile-1 includes 'Light Home Workshop' and 'Service Establishment'.
(2) Professional offices in homes. Part of a house can be used as an office for advocates, doctors, architects, engineers or CAs. A note below Table 7-6.2 caps this at 50 sq m and requires parking on a commercial basis.
(3) Mixed use. Zones R1, R2 and R4 allow 'All uses except Industrial-1,2,3,4 and Agriculture'. Note 1 below Table 7-6.2 allows non-residential uses on any floor of a residential building if it has a separate access or staircase. Table 7-6.2 also allows commercial use on more floors as the abutting road gets wider.
(4) Specialised economic uses. Mercantile-3 names wholesale markets, the diamond industry and IT activity.
I did not rely on the Transit Oriented Zone (TOZ) parking relaxation for Mercantile-1. Several TOZ clauses name AUDA or RUDA, so its use in the SUDA area is unconfirmed.
I found no provision on street vending or hawking. This does not change the score, because the band needs only two types of economic activity.
Please check:
(a) whether amendments to CGDCR after 2017 changed Table 7.4 or the uses permitted in residential zones;
(b) that the SUDA FSI table under Reg 7.7, which I did not see in the excerpts, does not change the conclusion.
Confidence is medium because the score rests on several provisions of a statewide instrument read together, and later amendments were not checked.
Quote: "Part of Re sidential building may be permitted to use as office in case of professional requirement such as advocate, doctors, arch. Engg. C.A."</t>
  </si>
  <si>
    <t xml:space="preserve">Text of relevant provisions &amp; incentives</t>
  </si>
  <si>
    <t xml:space="preserve">AI: left for a person. Step 2 found no evidence (Insufficient Evidence). Source needed: Needed: the full text of the notified Zoning Regulations of the Revised Master Plan 2015 for Bengaluru (and of RMP 2041 if notified), with the gazette notification; the current building bye-laws of BBMP / GBA and its city corporations; and any state rules or GOs on affordable housing, slum redevelopment or TDR that add extra FAR or relaxations for EWS/LIG housing. All of these should come from official UDD / BDA / GBA / eGazette sources.</t>
  </si>
  <si>
    <t xml:space="preserve">Residential Affordable Housing (RAH) regulations (CGDCR 2017, consolidated notification, pp.157-158); same text in CGDCR Part II Planning Regulations reg. 8.2</t>
  </si>
  <si>
    <t xml:space="preserve">RAH Permissible FSI, Table 12.2.1 (Chargeable FSI for RAH Dwelling), Table 12.4.1 (Parking); Part II reg. 8.2.1(3), 8.2.2(2)(a)-(c), Table 8.2, 8.2.3, 8.2.4</t>
  </si>
  <si>
    <t xml:space="preserve">RAH FSI clause (a)-(b); zone-split incentive clause (e); Part II 8.2.2(2)(c) staircase/passage/corridor FSI exemption</t>
  </si>
  <si>
    <t xml:space="preserve">157</t>
  </si>
  <si>
    <t xml:space="preserve">AI (medium confidence), from Step 2 answer (Partially Answered) and ULG-05: Score: 1. The DCR clearly helps the urban poor through at least two provisions. I found nothing written specifically for women.
Applicability: the state-wide CGDCR 2017 (Notification GH/V/269 dated 12.10.2017) applies to SUDA, which is Category D1 in Table 1.1.1 (ULG-05).
Urban poor (met, at least two specific provisions). These are the Residential Affordable Housing (RAH) rules, for dwellings up to 80 sq.m:
(1) Cheaper extra FSI. Extra FSI up to a maximum of 2.7 is charged at 10%, 20% or 30% of jantri rates depending on unit size (ULG-05 Table 12.2.1; ULG-15 Table 8.2). For comparison, ordinary chargeable FSI is charged at 40% of jantri (ULG-15 Table 6.5).
(2) FSI exemption. 'the areas of staircase, passages and corridors shall also be exempted for the computation of FSI' (ULG-15 reg. 8.2.2(2)(c)).
(3) Zone-split 'incentive'. Where the RAH zone line splits a plot, the full maximum FSI is allowed on the whole plot (ULG-05 cl. (e); ULG-15 8.2.1(3)).
(4) Other RAH-specific rules: parking (10% of utilised FSI for units up to 66 sq.m), a 10% common plot and a minimum density of 225 DU/ha. I did not count these as relaxations because I could not confirm they are lower than the general standard.
The RAH rules also cover Mukhya Mantri Awas Yojana / Gruh Yojana.
Women (not met). The only candidate is CGDCR Part III Performance Regulation 13.9.2(2) (ULG-16): 'Water closets shall be provided for each gender', with Table 13.9.1 setting counts 'per gender' and 13.9.3 covering special buildings. I re-read it. It is a sanitation rule for all non-residential buildings and treats every gender the same. It does not address women's needs specifically, so under the scorer note excluding 'General provisions applicable to all developments or users' it does not count.
What else was checked for women:
- ULG-16 13.3 (Lighting) is general: lighting to National Building Code standards in all buildings.
- ULG-16 13.7 (Signage) concerns disability access.
- Searches of the whole Citation Sheet for women, female, ladies, crèche/childcare, women's safety and lighting/visibility (Step 2 and this step) found no women-specific DCR provision. The only hits were seat reservations for women in the GPMC Act (ULG-03), which is not a development control.
For these reasons the score is 1, not 2.
Caveats:
- The Citation Sheet holds only the CGDCR as notified on 12.10.2017. Later CGDCR amendments, any Gujarat slum rehabilitation regulations and any SUDA/SMC-specific supplements are not in the sheet. If any of them adds a women-specific provision (e.g. crèche or women's toilet rules), the score could rise to 2. A reviewer should check this.
- The fee figure for 66-80 sq.m units differs: Schedule 19 says 40%, while Table 12.2.1 / Table 8.2 say 30%. This does not affect the score.
- I disagree with the Step 2 answer on one point: it left the score blank pending a ruling on the WC rule. I read the source and the scorer note as settling it: the rule is general, so the score is 1.
Quote: "Projects under Residential Affordable Housing (RAH) shall utilize a minimum FSI of 1.8 and maximum 2.7 to avail the benefits of “RAH”."</t>
  </si>
  <si>
    <t xml:space="preserve">Chapter on building regulation (building bye-laws); page 87 of the PRS copy</t>
  </si>
  <si>
    <t xml:space="preserve">Section on building bye-laws, apparently s.224(1). The section number is cut off in the excerpt. Also s.225, the rainwater harvesting obligation.</t>
  </si>
  <si>
    <t xml:space="preserve">s.224(1)(n), (o) and (j); s.225</t>
  </si>
  <si>
    <t xml:space="preserve">AI (low confidence), from Step 2 answer (Partially Answered) and ULG-01: SCORE LEFT BLANK. The question asks what the city's development control regulations (DCRs) actually say. Those are the Revised Master Plan 2015 Zoning Regulations (or a later version) and the building bye-laws that apply to the GBA City Corporations. Neither is in the Citation Sheet, so a score of 2 or 1 cannot be checked against DCR text. A 0 also can't be given, because that needs affirmative absence: the DCR text itself would have to have been read.
What the sheet does contain:
(1) GBA Act 2024 (ULG-01), apparently s.224(1). The City Corporation 'shall make building bye-laws ... in accordance with model building bye-laws prepared by the Greater Bengaluru Authority'. The bye-laws 'shall provide for' (n) minimum plantation, (o) rainwater harvesting and renewable energy applications, and (j) paving of yards. This is a mandate on what the bye-laws must cover. It does not prove what the DCRs actually say.
(2) GBA Act s.225. Every khatadar building on a site 'shall provide rain water harvesting structure for storage, use or for ground water recharge' on the terms set by the BWSSB Act, 1964 and its regulations. This is a binding statutory development control. However, it sits in the municipal Act, not in a DCR, and the BWSSB rainwater harvesting regulations are not in the sheet.
What I checked:
- I searched the whole sheet for 'zoning regulations green building FAR incentive rainwater harvesting bye-laws' and for 'buffer lake valley no development zone regulation'. Both searches returned only Act text and BCAP material, and no DCR text.
- KTCP Act (ULG-02): its s.14B transferable development rights and s.18B Premium FAR are generic, with no environmental incentive.
- BDA Act (ULG-04), s.16(1)(d): requires 15% of a layout for parks. This is at Act level, not in a DCR.
- BCAP 2023 (ULG-16), p.90: says current development regulations 'do not adequately incorporate climate resilience parameters'. This is the plan's own 2023 view, not regulatory text.
FOR THE REVIEWER:
(a) Add the RMP 2015 Zoning Regulations and the building bye-laws in force (whether BBMP-era bye-laws or GBA model bye-laws). Check them for rainwater harvesting, solar or green building, permeability or green cover standards, and lake or valley buffers.
(b) Add the BWSSB rainwater harvesting regulations.
(c) If the team accepts statutory development controls in the GBA Act as DCR-equivalent, s.225 would point towards a 2, because it is an operative rainwater harvesting standard on every new building. That is a team decision.
Period: GBA Act as enacted, notified 24.04.2025. Era: GBA-era.
Quote: "(n) Minimum plantation required with in a building site; (o) Installation of rain water harvesting systems with in the building and provisions of renewable energy applications;"
"Score (select 2 / 1 / 0)" left blank: the Citation Sheet doesn't decide it.</t>
  </si>
  <si>
    <t xml:space="preserve">CGDCR 2017, Part III: Performance Regulations, Regulation 17</t>
  </si>
  <si>
    <t xml:space="preserve">Regulation 17.6, Energy Efficient Buildings (also 17.2 Rain Water Harvesting, 17.3 Grey water Recycling, 17.4 Tree Plantation, 17.5 and 17.5.1 Solar)</t>
  </si>
  <si>
    <t xml:space="preserve">17.6 (GRIHA-rated green building: 5% discount on chargeable FSI); 17.2.2 and 17.2.3 (percolating wells, retention pond, rainwater storage tank); 17.5 and Table 17.3 (solar water heating; rooftop solar PV must supply at least 5% of connected load)</t>
  </si>
  <si>
    <t xml:space="preserve">47</t>
  </si>
  <si>
    <t xml:space="preserve">AI (medium confidence), from Step 2 answer (Answered — Verified Source) and ULG-16: Score 2 (band: 'Specific controls, standards or incentives actively promote environmental sustainability or climate resilience').
Why this score: I checked the Step 2 answer against the source and it holds.
- ULG-16, Reg.17.6: the Competent Authority 'shall offer' a 5% discount on the chargeable-FSI amount for buildings with a GRIHA (or other government-recognised) green rating. This is a binding green-building incentive.
- The same Part III also sets mandatory environmental standards:
  - Rainwater recharge and storage (17.2.2: percolating wells, or a water retention pond for building units over 4000 sq.mt; 17.2.3: a rainwater storage tank is mandatory for building units over 1000 sq.mt).
  - Grey-water reuse for set building uses and sizes (17.3, Table 17.1).
  - Tree plantation: at least five trees per 200 sq.mt, preferably shade-giving, backed by a forfeitable deposit (17.4).
  - Solar water heating that buildings 'shall provide' (17.5).
  - Rooftop solar PV of at least 5% of connected load or 20W/sqft of available roof space (17.5.1).
- The methodology names these as band-2 examples (green-building incentives, green-cover and permeability standards).
- The SEIAA environmental clearance rule (17.7) is size-based, so I did not count it, as the methodology directs.
Applicability to Surat: ULG-05 (CGDCR, Notification GH/V/269 of 2017, 12 Oct 2017), Applicability clause and Table 1.1.1, p.33. The regulations 'shall apply to the land development and building construction in the entire Gujarat State', and Surat Urban Development Authority (SUDA) is listed as Category D1.
Points a person should check:
1. Version. ULG-16 is an AUDA-hosted Part III copy that appears amended (five trees per 200 sq.mt, where the 2017 notified copy ULG-05 says three). The current consolidated or gazette text and the list of amendments after 2017 are not in the Citation Sheet. Please confirm that Reg.17.6 (the 5% GRIHA discount) is still in force.
2. Copy host. Both copies are hosted by AUDA/RMC, not by a Surat body. The state UD&amp;UHD notification is the authority.
3. The Step 2 answer also cites restrictive provisions in ULG-15 (no development on water bodies; eco-sensitive zones; CRZ). These would support band 1 only, so they do not change the score.
Confidence is medium because the inputs rest on two instruments read together (ULG-05 for applicability, ULG-16 for the provisions) and the copies differ in version.
Quote: "According to that ratin g certificate, The Competent Authority shall offer some incentives in the rate of chargeable FSI for the energy efficient buildings (Green Building) as 5% discount in the total payable amount."</t>
  </si>
  <si>
    <t xml:space="preserve">AI: left for a person. Step 2 found no evidence (Insufficient Evidence). Source needed: The DCR documents in force for the GBA / City Corporation area: (a) the Zoning Regulations of the approved Revised Master Plan for Bengaluru, with its gazette notification, especially provisions on industrial or hazardous use zoning, buffers and separation distances, and density or FAR limits; (b) the building bye-laws in force (BBMP Building Bye-laws, or GBA model building bye-laws / City Corporation bye-laws under GBG Act s.224 once notified), especially provisions on light and ventilation, sanitation, open space and incompatible uses; (c) any notification or GO confirming which bye-laws and zoning regulations apply in the GBA era.</t>
  </si>
  <si>
    <t xml:space="preserve">CGDCR 2017, Planning Regulations, Regulation 7 (Use Zones and Permissible Uses)</t>
  </si>
  <si>
    <t xml:space="preserve">Zone description Special Zone-2 (SZ2), p.88; Table 7.3.1 Use Zone and Permissible Uses for D1 to D7(A) &amp; D7(B), pp.88-90; Industrial-4 use class, p.93; Closed Textile Mill Zone conditions, p.172; Performance Regulations on light and ventilation, pp.186-187</t>
  </si>
  <si>
    <t xml:space="preserve">SZ2 buffer zone; Table 7.3.1 row 4 (R1: 'All uses except Industrial- 1,2,3 , 4 ...'); CZ condition 1 (Gujarat Pollution Control Board certification)</t>
  </si>
  <si>
    <t xml:space="preserve">AI (medium confidence), from Step 2 answer (Partially Answered) and ULG-05: I propose Score 2. This is higher than Step 2, which left the score blank because it had not read the use-zone table. I read that table in ULG-05, and it contains health-related spatial controls that go beyond routine building minimums, in more than one place.
(1) Applicability to Surat: ULG-14, Reg. 1.1.3 and Table 1.1, says the regulations 'shall apply to all development in the entire Gujarat State'. It puts Surat Urban Development Authority (SUDA) in Category D1, and Table 7.3.1 governs D1 to D7. ULG-05 Table 7.7.4 sets FSI for SUDA's R1/C2 zones.
(2) Hazardous uses kept out of homes: Table 7.3.1 limits Residential 1 (R1) and Residential 4 (R4) to 'All uses except Industrial- 1,2,3 , 4 and Agriculture...'. Industrial-4 is defined on p.93 as 'Storage of Hazardous Materials, Obnoxious and Hazardous Industries, Chemical Industries, Obnoxious and Hazardous Uses, Dying House'. These uses go only in IZ2 and IZ5/IZ6. In IZ5/IZ6, dwellings are capped at 20% of utilised FSI, in units of no more than 50 sq.mt.
(3) Buffer zone: Special Zone-2 (SZ2) is 'primarily Intended as a Buffer of Industrial and Highly Dense Residential use'. Its permitted uses are restricted, for example only Industrial-1.
(4) Contaminated land: on Closed Textile Mill Zone land, 'When permissible uses - Dwelling-1,2&amp;3 are allowed ... certification shall be required from Gujarat Pollution Control Board' (p.172). Also, Residential Affordable Housing is not permitted in any type of industrial zone (p.157).
(5) Basic standards that support Score 1 on their own, and which Step 2 checked correctly: room openings of at least one-seventh of floor area and ventilation for WCs and bathrooms (pp.186-187); minimum sanitary accommodation (ULG-16, Reg. 13.9 and Table 13.9.1); dry/wet waste segregation (ULG-16, Reg. 17.2.3.1). Schedule 2 makes sanitary facilities and light and ventilation mandatory design standards.
The Vadodara (VUDA) air-pollution-boundary controls in ULG-15 do not apply to Surat and were not credited.
For a reviewer to check:
(a) Whether the SUDA Development Plan 2035 actually designates SZ2 or CZ zones in Surat. The quoted SZ2 sentence is a general CGDCR zone definition. The R1 exclusion of Industrial-4 under Table 7.3.1 clearly applies to D1, including SUDA, and is enough for Score 2 alongside one other provision.
(b) Version: this is the CGDCR as notified on 12 October 2017. The Citation Sheet has no later amendments or consolidated text.
(c) The R1 row text has OCR quirks ('Agriculture- !,2 , 3'), so I quoted the SZ2 sentence for exact matching.
Quote: "This zone is primarily Intended as a Buffer of Industrial and Highly Dense Residential use."</t>
  </si>
  <si>
    <t xml:space="preserve">Chapter XXII (Urban Heritage)</t>
  </si>
  <si>
    <t xml:space="preserve">Section 298 (also ss.296, 299(2), 300, 301 and Schedule II)</t>
  </si>
  <si>
    <t xml:space="preserve">s.298 main text; Schedule II 'Scope for Change' row</t>
  </si>
  <si>
    <t xml:space="preserve">113</t>
  </si>
  <si>
    <t xml:space="preserve">AI (low confidence), from Step 2 answer (Partially Answered) and ULG-01: SCORE LEFT BLANK. The question asks about the city's DCR, and the Citation Sheet has no DCR for Bengaluru. My searches for 'heritage transferable development rights zoning regulations' and 'heritage building bye-laws conservation incentive FAR' found only the parent Acts. Missing from the sheet: the RMP 2015 Zoning Regulations or any newer master plan, the building bye-laws, any heritage regulations or bye-laws under GBA Act ss.296(2) and 299(2), and any Rules prescribing incentives under s.298. Because the instrument the question names cannot be read, the rubric cannot be applied to it. A 0 is not allowed: absence of heritage provisions in the DCRs is not shown, and the Acts point to heritage regulations existing or being required.
I checked the Step 2 answer against ULG-01 and it is accurate. What the Act layer contains (ULG-01, GBA Act 2024 as enacted, GBA-era):
(a) Restrictive controls. s.300(2) allows changes to façade, interior or exterior only 'to the extent permitted in Schedule II'. Under s.301(b) and (d), the Heritage Conservation Committee recommends whether development permission is granted and approves height and façade controls. Schedule II Grade I allows no interventions except the minimum needed for strengthening.
(b) Enabling provisions. Schedule II Grade II(A): 'Internal changes and adaptive re-use may be allowed, subject to strict scrutiny'. Grade II(B) and Grade III allow extensions or additional buildings on the same plot. Precinct reconstruction 'should not follow the prevailing bye laws'. Under s.298 the Corporation 'may' give incentives, but only 'in such manner as may be prescribed'. This is discretionary, and the Rules are not in the sheet.
KTCP Act s.12(3) (ULG-02) requires the Master Plan to 'include the regulations made therein for conservation' of heritage buildings and precincts. That confirms heritage DCR provisions should exist, but they are not in the sheet. The development rights under KTCP s.14B are for land surrendered for public purposes and are not linked to heritage. The BBMP Act 2020 (ULG-19) has parallel provisions but is BBMP-era.
FOR THE REVIEWER: If the GBA Act's Schedule II, which refers to the bye-laws and to Urban Design Guidelines 'as extension of the bye laws', is accepted as a development-control standard, the adaptive re-use permissions (Grade II(A), Grade III), the same-plot extensions and the precinct bye-law relaxation are at least two enabling provisions, which would support Score 2. Otherwise, add the RMP Zoning Regulations' heritage chapter or the GBA heritage bye-laws to the sheet and score from them. CONFIRM needed.
Quote: "The Corporation may provide incentives to the owners or occupiers of heritage buildings included in the Heritage Conservation List, in such manner as may be prescribed, which may include provisional financial support, exemption from property tax, and such other incentive as may be deemed necessary to assist in the preservation of heritage buildings in the existing state, and to preserve its heritage state with due repairs:"
"Score (select 2 / 1 / 0)" left blank: the Citation Sheet doesn't decide it.</t>
  </si>
  <si>
    <t xml:space="preserve">Part II Planning Regulations, Chapter 6 (General Planning and Development Regulations)</t>
  </si>
  <si>
    <t xml:space="preserve">Reg. 6.9 Addition to existing structure</t>
  </si>
  <si>
    <t xml:space="preserve">6.9(3)(a); read with Part I Reg. 3.2 (ULG-14)</t>
  </si>
  <si>
    <t xml:space="preserve">43</t>
  </si>
  <si>
    <t xml:space="preserve">AI (low confidence), from Step 2 answer (Partially Answered) and ULG-15: Score 1, provisional. A reviewer should check the scope question described below.
Which rules apply. Surat's DCR is the state-wide CGDCR 2017 (Notification GH/V/269 dated 12 Oct 2017), which places SUDA in category D1. It is read here in three copies: ULG-05 (AUDA copy), ULG-14 and ULG-15 (Rajkot copies, which appear to be a later amended version but are undated).
Restrictions that reach Surat. Two heritage restrictions apply state-wide:
(1) ULG-14, Reg. 3.2: minor works are exempt from development permission 'except those buildings, buildings in precincts, precincts and natural features listed by the Heritage Conservation Committee'.
(2) ULG-15, Reg. 6.9(3)(a): additions and alterations 'in core wall and gamtal' must follow the Heritage Conservation Plan guidelines 'without compromising the original character'. Chapter 7 applies to 'other gamtal', which is not limited to Ahmedabad.
These meet the score-1 test of at least two heritage restriction or approval provisions.
Why not 2. The enabling and incentive provisions are tied to Ahmedabad in the ULG-15 copy:
- Reg. 7.6 is headed 'Heritage Conservation Plan – Ahmedabad'.
- Its TDR clause is 'Tradable Development Right (TDR)for Heritage Area of Ahmedabad' (50% or 30% of utilised FSI).
- The permitted uses in heritage areas (Dwellings, Mercantile, Hospitality) sit in the same Ahmedabad section.
- Reg. 6.12 (steel-structure repair, existing uses and FSI regardless of road width) is headed 'Core Walled City of Ahmedabad'.
In the AUDA copy (ULG-05), the CW chapter (pp.140-143) has no city named in its text. However, it cites AUDA local area plans, and its steel-structure provision extends to 'Gamtal'. The two copies therefore conflict.
The one enabling provision written in the general chapter is the Reg. 6.15 item 21(a) parking waiver for 'sympathetic adaptive re-use'. It applies only to buildings 'identified in the Heritage Conservation Plan', its heading is 'heritage areas &amp; other areas in core walled city', and Reg. 7.6 frames that plan as Ahmedabad's. Even if it reached Surat, it would be only one enabling provision, and the band needs two or more.
Surat-specific evidence. The Surat DP 2035 (ULG-06, Ch.14, pp.146-149) only describes Surat's heritage. At 14.4.5 it notes the 'Absence / Enactment of rules and regulations' around heritage sites. It contains no heritage DCR.
Other sources checked. ULG-09 (the NITI Aayog plan) is a policy recommendation, not a DCR. ULG-03 has no heritage DCR content. Reg. 7.7 (the Udawada Heritage Core Area) applies only to Udawada.
The Step 2 answer was checked against these sources and is consistent with them. Step 2 left the score blank; I resolve it to 1 because the Surat-applicable layer contains only restrictions.
For a person to check:
(a) which CGDCR copy is the current consolidated text;
(b) whether Surat or SUDA has notified a Heritage Conservation Plan or a CW zone, which could bring the Reg. 6.15(21)(a) waiver and other incentives into play and support a 2.
Quote: "Additions and/or alterations in core wall and gamtal: a. Shall have to be carried out based on the g uidelines provided in the Heritage Conservation Plan without compromising the original character of the buildings."</t>
  </si>
  <si>
    <t xml:space="preserve">Final chapter (Repeal and Savings); Chapter XIV Taxation</t>
  </si>
  <si>
    <t xml:space="preserve">Greater Bengaluru Governance Act, 2024, s.361(1) (repeal of BBMP Act 2020); s.147–148 (property tax)</t>
  </si>
  <si>
    <t xml:space="preserve">s.361(1); compared with BBMP Act 2020 s.144(19) (ULG-19, p.53)</t>
  </si>
  <si>
    <t xml:space="preserve">132</t>
  </si>
  <si>
    <t xml:space="preserve">AI (low confidence), from Step 2 answer (Partially Answered) and ULG-01: I left the Answer blank. A person needs to decide this one.
(1) The only enabling provision is in an Act that has been repealed. BBMP Act, 2020 s.144(19) (ULG-19, p.53) says a property-tax concession of up to 50% 'may be given' where a 'socially or ecologically beneficial scheme' is being implemented. The Explanation lists rain water harvesting, solar and other non-conventional energy, waste-water reuse and 'environment friendly and ecologically beneficial building construction'. This would count as an enabling green-building incentive and could support YES (5). However, GBA Act, 2024 s.361(1) (ULG-01) repeals the BBMP Act and its Rules, so that provision is no longer current law. The savings proviso to s.361 keeps 'anything done' under the old Act, such as a tax imposed or a scheme framed, until it is superseded. That keeps actions, not the enabling power. The sheet has no evidence that any ecologically beneficial scheme or concession was ever identified or notified under s.144(19).
(2) The GBA Act text I read has no equivalent provision:
- s.147(1)–(6), levy of property tax: covers the capital value system, unauthorised buildings, a 50% cut for self-occupied homes, and slabs. Nothing green.
- s.148: the early-payment rebate of up to 5% is not green-linked.
- s.146 (taxes the corporation may levy), s.168 (development charges) and s.169 (surcharge): nothing green.
- Step 2 also reports these, which I did not re-read: s.153 (a general power to reduce tax), s.154 (exemptions, none green) and s.298 (incentives for heritage buildings only).
- s.224(1)(o) says building bye-laws 'shall provide for' installing rain water harvesting and renewable energy. That is a requirement, not an incentive. s.225 is a duty to provide rain water harvesting.
(3) Other Acts:
- KTCP Act (ULG-02): Step 2 found that s.18-B premium FAR and s.14B development rights are not tied to green performance.
- KTCP Amendment Bill 2025 (ULG-03) and GBA Amendment Bill 2025 (ULG-05): I read both. Neither has a green incentive.
(4) Why I did not answer NO: there is no full affirmative absence.
- My tool limit was reached before I could search the whole GBA Act for 'incentive' or 'energy efficiency'.
- The sheet does not include the Act's commencement notification, so whether the GBA Act is in force, and therefore whether s.361 has taken effect, cannot be confirmed from the sheet.
- The Rules and regulations layer is also missing: GBA model building bye-laws, RMP 2015 zoning regulations and property-tax rules.
(5) What a person should do:
- Confirm the GBA Act's commencement date. If it is not yet in force, the BBMP s.144(19) enabling 'may' provision would support YES.
- If it is in force, search the full GBA Act and its rules or bye-laws for a green or ecological concession. If none is found, answer NO.
- Decide whether a property-tax concession for ecologically beneficial schemes counts as a green-building incentive. I think it does, given the Explanation's wording about 'ecologically beneficial building construction'.
Quote: "The provisions of the Bruhat Bengaluru Mahanagara Palike Act, 2020 (Karnataka Act No. 53 of 2020) and Rules made thereunder are hereby repealed."
"Answer" left blank: the Citation Sheet doesn't decide it.</t>
  </si>
  <si>
    <t xml:space="preserve">CGDCR 2017, Part III Performance Regulations, Chapter 17 Environmental Management</t>
  </si>
  <si>
    <t xml:space="preserve">Regulation 17.6 Energy Efficient Buildings</t>
  </si>
  <si>
    <t xml:space="preserve">AI (low confidence), from Step 2 answer (Partially Answered) and ULG-16: I left the Answer blank because the Citation Sheet can't settle this question at the level of an Act. The method asks for a provision in the Town Planning (T&amp;CP) Act or the Municipal Act that mandates or enables green-building incentives.
What I found:
(1) A binding incentive exists one layer below the Act. Regulation 17.6 of the CGDCR 2017 (ULG-16; state-wide notification GH/V/269 of 2017, dated 12 Oct 2017) says the Competent Authority 'shall offer' a 5% discount on the chargeable FSI amount for GRIHA-rated or government-recognised green buildings. The CGDCR applies to SUDA, which is listed under category D1 (ULG-14, Table 1.1).
(2) Per its preamble (ULG-14), the CGDCR was issued under GTPUDA 1976 s.116A(1) read with s.122(1). That looks like a general power to make regulations. Nothing on the sheet shows it specifically mandates or enables green-building incentives.
(3) The principal text of GTPUDA 1976 (ULG-01, the PRS copy) is blank on pages 2-86. So I could not check s.116A, s.122 or s.12 (contents of a development plan) for an enabling provision. The amending Acts that can be read (2017, 2019) cover Local Area Plans and the planning committees, not green buildings.
(4) The GPMC Act 1949, as modified to 30 Nov 2017 (ULG-03): the s.141E rebates apply only to buildings without a municipal water supply (15%) and to non-ground floors of non-residential buildings (20%). I found no green-building rebate in the parts I read, but not every section was read.
(5) The GTPUDA Rules 1979 (ULG-04): no green-building or incentive provision in the parts I read.
Why not YES: under the method, the Act itself must hold the mandate or enabling provision. A mandate that exists only in a regulation doesn't meet that rule unless an Act-level enabling power is shown, and none could be read.
Why not NO: a NO needs proof of absence, and that isn't possible while the GTPUDA principal text is unreadable.
I did not take the Step 2 answer on trust. I re-checked the CGDCR 17.6 quote against ULG-16, the s.141E text in ULG-03, and the blank pages of ULG-01.
For the reviewer to decide:
(a) Get a readable official GTPUDA 1976 text (UD&amp;UHD or the Legislative Department) and check s.12, s.116A and s.122 for an enabling clause.
(b) Decide whether a binding regulation made under the Act's power to make regulations (CGDCR 17.6) counts as the Act 'enabling' incentives. If yes, the Answer would be YES.
(c) Check for later CGDCR amendments and any Gujarat green-building GO.
Quote: "According to that ratin g certificate, The Competent Authority shall offer some incentives in the rate of chargeable FSI for the energy efficient buildings (Green Building) as 5% discount in the total payable amount."
"Answer" left blank: the Citation Sheet doesn't decide it.</t>
  </si>
  <si>
    <t xml:space="preserve">AI: left for a person. Step 2 found no evidence (Insufficient Evidence). Source needed: Needed: (a) the current building bye-laws / zoning regulations of the Revised Master Plan (DCR) for Bengaluru, checked for extra FAR/FSI or fee concessions for IGBC/GRIHA/LEED-rated or ECBC/ENS-compliant buildings; (b) GBA or City Corporation property-tax notifications or council resolutions granting rebates for green or eco-friendly buildings (for example, under the GBA Act provision that matches the BBMP Act 2020 property-tax clause on 'environment friendly and ecologically beneficial building construction'); (c) any Karnataka UDD/Energy Department/KREDL green-building incentive guidelines or GO; (d) IGBC/GRIHA lists of state or city incentives for Karnataka/Bengaluru, as secondary leads; (e) evidence, such as rebate claims or sanctioned plans, that any such incentive is actually operating.</t>
  </si>
  <si>
    <t xml:space="preserve">AI: left for a person. The AI's quote couldn't be found word for word in ULG-05, so its answer was discarded. AI comments: I scored YES. The source supports the Step 2 answer. The CGDCR 2017 (UD&amp;UHD Notification GH/V/269 of 2017, 12-10-2017; ULG-05, pp.234-235) says the Competent Authority 'shall' give a 5% discount on the total amount payable for chargeable FSI. This applies to any building that produces a GRIHA certificate, or one from another government-recognised institute. The owner must register with GRIHA before work starts. Because the verb is 'shall', the discount is mandatory once the certificate is produced. These regulations apply to the whole state. Table 1.1.1 lists SUDA under Category D1, and SUDA's area includes the SMC area (ULG-06, DP 2035 report). So the incentive is in force in Surat. The same clause also appears, word for word, as 17.6 'Energy Efficient Buildings' in the CGDCR Part III: Performance Regulations (ULG-16, AUDA copy). That copy appears to be a later restructured version, since it mentions EV stations in its NOC clause. This suggests the incentive survived later revisions, but ULG-16 does not give a date, so a person should confirm it is current in 2026. The question's methodology names the DCR as an accepted source for 'evidence of any incentives provided', and it lists 'building-permission fees or development charges, or other fiscal or development-control incentives' as qualifying. A discount on chargeable FSI fits that list, so YES (5) is the matching band. Caveat for the reviewer: this is an Implementation question, and the Citation Sheet has no SMC or SUDA record showing the discount was actually granted to any Surat project. It also has no IGBC, GRIHA or LEED page listing a Gujarat or Surat incentive. If the reviewer needs proof of uptake beyond a binding DCR provision in force, this input should be revisited. Other sources I checked gave no extra or contrary evidence. The ULG-06 suggestion of extra FSI for green industrial units (s.13.5.14) and the ULG-09 NITI Aayog recommendation are only recommendations, so I gave them no credit. ULG-19 (SMC Solar City Master Plan) covers SMC's own energy-efficiency and renewable-energy measures and asks the Ministry for subsidies, but it contains no green-building incentive for private builders. A search of ULG-03 (GPMC Act) found property-tax rebate provisions, but none linked to green buildings.</t>
  </si>
  <si>
    <t xml:space="preserve">AI: left for a person. Step 2 found no evidence (Insufficient Evidence). Source needed: Any Karnataka land titling Act providing for certification or guarantee of title, with its notified Rules (from the state legislation portal or eGazette). Or a Karnataka Revenue Department GO, circular or notification setting up a title certification framework. Also the state land-revenue law and Rules on records of rights, to confirm whether they provide for guaranteed title or only presumptive records and mutation.</t>
  </si>
  <si>
    <t xml:space="preserve">Chapter VIII; Form R</t>
  </si>
  <si>
    <t xml:space="preserve">Rule 53(3), Gujarat Town Planning and Urban Development Rules, 1979</t>
  </si>
  <si>
    <t xml:space="preserve">Form R 'Certificate of Tenure and Title' (pp. 56-57)</t>
  </si>
  <si>
    <t xml:space="preserve">57</t>
  </si>
  <si>
    <t xml:space="preserve">AI: left for a person. Step 2 found no evidence (Insufficient Evidence). Source needed: Any Gujarat state law or instrument on land titling: a Gujarat land titling Act and its rules if one exists; a Revenue Department GO, circular or notification setting up certification or guarantee of urban land titles; the Bombay Land Revenue Code 1879 as applied in Gujarat and its record-of-rights rules (to confirm whether they provide only presumptive records); all from the official Gujarat Revenue Department, Legislative and Parliamentary Affairs Department, or the Gujarat Government Gazette.</t>
  </si>
  <si>
    <t xml:space="preserve">Mechanism: TPS / land pooling / both</t>
  </si>
  <si>
    <t xml:space="preserve">Chapters V-VII (Town Planning Schemes), Karnataka Town and Country Planning Act, 1961</t>
  </si>
  <si>
    <t xml:space="preserve">Sections 26-33 (s.26 making of TPS; s.28 land covered; s.29 declaration of intention; s.30 draft scheme; s.32 contents; s.33 reconstituted plot); s.74 rules</t>
  </si>
  <si>
    <t xml:space="preserve">s.33(1); s.32(b) 'the extent to which it is proposed to alter the boundaries of original plots'</t>
  </si>
  <si>
    <t xml:space="preserve">50</t>
  </si>
  <si>
    <t xml:space="preserve">AI (low confidence), from Step 2 answer (Partially Answered) and ULG-02: MECHANISM TYPE: Town Planning Scheme (TPS) / land reconstitution only. I found no separate land pooling mechanism in the Citation Sheet. My searches for 'land pooling' returned only unrelated definitions in the GBG Act. That is 'not found', not proof that Karnataka has no land pooling instrument.
PART A = YES. The Karnataka Town and Country Planning Act, 1961 (KTCP Act; PRS compilation, amended up to Act 38 of 2015) formally provides a TPS / land reconstitution mechanism in ss.26-68:
- a Planning Authority 'may by resolution declare its intention to make a town planning scheme' (s.29(1));
- a draft scheme is made in consultation with the Director (s.30);
- the draft scheme states the extent to which original plot boundaries will be altered (s.32(b));
- the draft scheme sets out reconstituted plots (s.33).
The Step 2 answer also cites s.57 (contribution) and s.59 (transfer of rights). The Act's wording is enabling ('may'), but Part A only asks whether a mechanism is formally provided, and it is. I checked the Step 2 claim against the source text of ss.28-33 and it holds. Step 2 also reports that GBG Act 2024 (ULG-01) makes the Greater Bengaluru Authority the Planning Authority under the KTCP Act. I did not re-read that passage myself, but Part A does not depend on it, because the question is about state legislation.
PART B = blank. The TPS procedure depends on 'prescribed' rules: publication 'in the prescribed manner' (ss.29(2), 30), notice to owners 'as may be prescribed' (s.27), 'any other prescribed particulars' (s.32(g)), and the rule-making power in s.74. The rules made under s.74 (e.g., KTCP Rules or TPS rules) are not in the Citation Sheet. None of ULG-01 to ULG-33 contains them. My search 'Town Planning Scheme Rules notified' returned nothing relevant. ULG-20 (BMRDA page) only describes TPS as a function; it is not a rules notification. Because the rules layer is missing, I cannot show affirmative absence, so Part B cannot be scored 0 or 5.
ACTION FOR REVIEWER:
1. Add the rules made under KTCP Act s.74 that govern TPS procedure, and confirm they are notified and in force.
2. Check for KTCP amendments after 2015, and whether any land pooling Act or GO exists.
3. Note that ULG-03 (the KTCP Amendment Bill 2025) is a Bill, not shown to be enacted, and was not relied on.
This gives a provisional score of 5 for Part A; Part B is pending.
Quote: "In the draft scheme the size and shape of every reconstituted plot shall be determined, so far as may be, to render it suitable for building purposes and where the plot is already built upon, to ensure that the building as far as possible complies with the provisions of the scheme as regards open spaces."
"Part B: Rules notified &amp; in force" left blank: the Citation Sheet doesn't decide it.</t>
  </si>
  <si>
    <t xml:space="preserve">Chapter V (Town Planning Schemes), Gujarat Town Planning and Urban Development Rules, 1979</t>
  </si>
  <si>
    <t xml:space="preserve">Rule 17 (meeting of owners and framing of tentative proposals under s.42). Supporting: Rule 16 (declaration under s.41), Rule 18 (publication of draft scheme), Rule 26 and Forms H/J/K (Town Planning Officer procedure; Original Plot to Final Plot), Rule 53(3) and Form R (Certificate of Tenure and Title for the Final Plot)</t>
  </si>
  <si>
    <t xml:space="preserve">Rule 17 (meeting of owners and framing of tentative proposals, for the draft scheme under s.42)</t>
  </si>
  <si>
    <t xml:space="preserve">AI (medium confidence), from Step 2 answer (Answered — Verified Source) and ULG-04: The mechanism is Town Planning Schemes (TPS), i.e. land reconstitution. A separate land pooling law or GO was not found in the Citation Sheet. Part B is answered for the TPS mechanism only.
Part A = YES. The Gujarat Town Planning and Urban Development Act, 1976 provides for TPS. In the PRS copy (ULG-01) the main Act's pages are scanned and can't be read. But the Gujarat amendment of 13-04-2017, printed at the end of that copy, adds a proviso to s.49(1)(b) about 'the Draft Town Planning Scheme sanctioned under sub-section (2) of section 48', amends s.52(1), and adds 'or Local Area Plan' after 'town planning schemes' in ss.7 and 23. That shows the Act's TPS chapter exists and is in force.
Part B = YES. The 1979 Rules (ULG-04, copy hosted by SUDA) are made under the 1976 Act. Their Chapter V puts the TPS procedure into operation step by step:
- r.16: publishing the s.41 declaration of intention.
- r.17: owners' meetings for the s.42 draft scheme.
- r.18: publishing the draft scheme.
- r.24 and r.26: appointing the Town Planning Officer and the procedure under ss.51-52.
- Forms J/K: rights 'transferred to the Final Plot'; compensation and contribution under ss.78-80.
- r.53 and Form R: Certificate of Tenure and Title for the Final Plot.
On 'currently in force': the copy notes an amendment of 22-01-87. Step 2 reports that the CGDCR 2017 (ULG-05/ULG-15) uses these Rules and requires land in non-TP areas to be adjusted through TPS. I did not re-read the CGDCR myself.
Points for a person to check:
(1) Check the Act's TPS sections (about ss.40-52) against the official Gujarat Legislative Department text. The only copy here is PRS, and its main-Act pages can't be read.
(2) The Citation Sheet has no official consolidated text of the Rules, so 'in force' rests on references from 2017. No repeal is known.
(3) The question title says 'guaranteed land pooling'. But the methodology accepts TPS/land reconstitution or land pooling, so TPS alone meets both parts.
I checked the Step 2 answer against ULG-04, ULG-01 and ULG-02. ULG-02 (the 2019 amendment Bill) is about development plans, not TPS.
Quote: "For the purpose of making the draft scheme under section 42  the appropriate authority shall call a meeting or meetings of the owners of the lands included in a town planning scheme by a public notice as well as by individual notice to ever y owner whose address is known to the appropriate authority and explain in such meeting the tentative proposals of the draft scheme for eliciting public opinion and suggestions on the said proposals."</t>
  </si>
  <si>
    <t xml:space="preserve">AI: left for a person. Step 2 found no evidence (Insufficient Evidence). Source needed: Dated captures of the official online building-plan or development-approval portal used by GBA / City Corporations (or by BDA/GBDA as planning authority). They should show one-stop filing of a complete application, application status tracking, and that the portal covers project categories such as education, health and affordable housing. The state single window clearance platform, or a Sakala service listing for building or development permission, would also help.</t>
  </si>
  <si>
    <t xml:space="preserve">AI: left for a person. Step 2 found no evidence (Insufficient Evidence). Source needed: A dated official page from the portal Surat uses for development or building permission (SMC's, SUDA's, or the Gujarat state online development permission / single-window system). It should show (a) online filing of a complete application, (b) status tracking, and (c) which project types can be filed: education, health, affordable housing. An official user manual, circular or GO making that portal operational for Surat would support it.</t>
  </si>
  <si>
    <t xml:space="preserve">Full marks only if ALL columns are YES; otherwise 0.</t>
  </si>
  <si>
    <t xml:space="preserve">Approval authority at each level</t>
  </si>
  <si>
    <t xml:space="preserve">Process for rejection / variance approvals</t>
  </si>
  <si>
    <t xml:space="preserve">Registry of public &amp; private projects</t>
  </si>
  <si>
    <t xml:space="preserve">Public disclosure of approvals / denials / variances</t>
  </si>
  <si>
    <t xml:space="preserve">Chapter XVII – Regulation of Buildings and Town Planning (with Planning Functions in the GBA functions provision)</t>
  </si>
  <si>
    <t xml:space="preserve">Section 236 (also ss. 223, 230; GBA functions provision sub-section (2) 'Planning Functions')</t>
  </si>
  <si>
    <t xml:space="preserve">s.236(1)(a) and (2); s.230(2), (3), (5), (11); s.223(a)-(b)</t>
  </si>
  <si>
    <t xml:space="preserve">AI (low confidence), from Step 2 answer (Partially Answered) and ULG-01: No score yet: aspects 1 and 2 are met in law, but aspects 3 and 4 cannot be decided from the Citation Sheet. The rubric gives 10 only if all four aspects are met, and 0 otherwise.
Aspect 1, approval authority at each level (YES). I checked this in the source. Under the GBA Act 2024 (ULG-01), Planning Functions sub-section (2)(a), GBA 'shall be the "Planning Authority" as defined under the Karnataka Town and Country Planning Act, 1961' for the Greater Bengaluru Area. Under (2)(b), GBA approves layouts 'in conformity with the master plan', and the City Corporation sanctions plans for industrial units. Under the proviso, KIADB sanctions plans in its industrial areas only in conformity with the master plan and with prior approval of the Local Planning Authority. Under s.230(1)-(2), the Corporation Commissioner sanctions building plans on the advice of the Additional Chief Town Planner. Under s.230(5), a case can be referred to the GBA Chief Commissioner.
Aspect 2, process for rejection or variance (YES). The source supports this:
- GBA Act s.223: Corporation powers must follow the Master Plan, and it 'shall not grant any permission' without proof of compliance with the KTCP Act.
- s.230(2): applications that do not conform to the Act, master plan and bye-laws are rejected.
- s.230(3): the conditions for approval or rejection 'shall' be published.
- s.236(1)(a): permission 'shall be refused' if it would break a master plan. s.236(2): a refusal must give reasons.
- s.237: modified licences.
- KTCP Act (ULG-02, as amended up to 2015): s.15 grant or refusal of commencement certificates, with deemed approval only where the work conforms to the ODP; s.17(2) refusal of layouts that do not conform; s.14A change of land use only with prior State Government approval after public objections, which is the variance route.
- Caveat: s.14A(3) deems some changes approved on payment of a fee.
Aspect 3, registry of public and private projects (blank, VERIFICATION-LIMIT). The question bank expects website evidence, and the Citation Sheet has no GBA, City Corporation, BDA or KIADB portal or registry page. I searched ULG-01, ULG-16, ULG-19 and the BMRDA pages (ULG-10, ULG-20, ULG-21) and found only legal mandates. Because the relevant websites were never captured, absence is not established, so I cannot enter NO.
Aspect 4, public disclosure of approvals, denials and variances (blank, VERIFICATION-LIMIT). Under GBA Act s.230(11), a sanctioned plan 'shall be published in the website of the City Corporation'. That is a legal duty covering sanctions only. It does not cover denials or s.14A variances, and nothing in the sheet shows it is carried out. A NO would need the official disclosure pages to have been checked, and they were not.
For a person to check:
1. Is GBA acting as Planning Authority in place of BDA? Weigh the GBA Act 'notwithstanding' clause against the BDA Act s.73 override (ULG-04).
2. When did the GBA Act take effect?
3. The KTCP Act text used here runs only to the 2015 amendments. ULG-03, the 2025 amendment Bill, may change ss.14A, 15 and 17.
4. Missing evidence: the Rules layer (KTCP Rules, the Revised Master Plan zoning regulations, building bye-laws) and website evidence from the online plan-sanction and disclosure portals. Capture dated screenshots of these, or send an RTI to the Town Planning PIO at GBA or the City Corporation.
Quote: "(a) that the work or the use of the site for the work or any of the particulars comprised in the site plan, floor plans, elevations, sections, or specification would contravene some specified provisions of any law or some specified order, rule, master-plan or bye-law made under any law;"
"Registry of public &amp; private projects" left blank: the Citation Sheet doesn't decide it.
"Public disclosure of approvals / denials / variances" left blank: the Citation Sheet doesn't decide it.</t>
  </si>
  <si>
    <t xml:space="preserve">Comprehensive General Development Control Regulations 2017, Part I, Section B: Procedure Regulations, Chapter 3 (Development Permission and Building Use Permission)</t>
  </si>
  <si>
    <t xml:space="preserve">Reg 3.6.3 (Scrutiny of Application, Grant or Refusal of a Development Permission); also Reg 3.1 and Reg 3.12</t>
  </si>
  <si>
    <t xml:space="preserve">3.6.3(1)(iii)</t>
  </si>
  <si>
    <t xml:space="preserve">49</t>
  </si>
  <si>
    <t xml:space="preserve">AI (low confidence), from Step 2 answer (Partially Answered) and ULG-14: No score: this is all-or-nothing (10 only if all four aspects are met), and aspects 3 and 4 cannot be decided from the Citation Sheet. A 0 is not justified either, because absence has not been shown.
ASPECT 1 (YES, medium certainty):
- CGDCR Reg 3.1 (ULG-14): no development may be carried out without a written application to the 'Competent Authority'.
- The CGDCR forms (ULG-05, e.g. Forms 4, 9, 10, 13, 18) are addressed to 'The Chief Executive Authority / Municipal Commissioner / Chief Officer, Urban Development Authority / Municipal Corporation / Area Development Authority / Nagarpalika'. This sets out the approval authority at each tier.
- For Surat Municipal Corporation, BPMC Act 1949 Chapter XV (ULG-13) applies. Under s.254 notice is given to the Commissioner; s.258 lets the Commissioner cancel a permission obtained by misrepresentation; s.260 lets the Commissioner act against work done contrary to the rules or by-laws.
- Caveats: the CGDCR definition of 'Competent Authority' was not found in the excerpts. The sheet has no delegation notification splitting the Surat Municipal Corporation and SUDA areas. GTPUD Act ss.26-29 could not be read in the PRS copy (ULG-01). A reviewer should confirm.
ASPECT 2 (YES):
- CGDCR Reg 3.6.3(1) (ULG-14): the Competent Authority scrutinises the application and either grants it (Form 7) or 'refuse[s] to grant permission with reasons'. Reasons must be communicated to the applicant.
- Conformity to the Development Plan is required: Reg 2 (ULG-05), and Reg 6.21 (ULG-15): 'All development work shall conform to the Development Plan proposals'.
- There is a variance route. Reg 3.12.1 allows relaxation for reasons recorded in writing, including for building units affected by Development Plan proposals (3.12.1(4)). Reg 3.12.2(3) allows public-utility use even where the land-use class does not permit it. Reg 3.12.3 sets out a grievance mechanism.
- GTPUD Rules 1979 (ULG-04) rr.10 and 13(2) add sanction or refusal forms.
- The methodology says 'rejection and/or variance', so a defined rejection process is enough.
ASPECT 3 (blank): the sheet has no evidence of a registry of public or private projects (bus terminals, metro or railway stations, heritage buildings, private projects). ULG-08 (organogram), ULG-12 (TP scheme map) and ULG-06/ULG-11 (DP 2035 report and presentation) are about planning or organisation, not a registry. No SMC or SUDA permission portal or registry page is in the sheet. This is not proof of absence. VERIFICATION-LIMIT.
ASPECT 4 (blank): the sheet has no SMC or SUDA web page that discloses approvals, denials or variances. Searches for disclosure or approved-permission lists found nothing. Without the website pages this cannot be NO. VERIFICATION-LIMIT.
The Step 2 answer agrees with the sources; I treated aspects 1 and 2 as met on the strength of the CGDCR forms and the BPMC Ch. XV provisions. A reviewer should:
- capture SMC's online building-permission portal and any SUDA pages listing approved, rejected or relaxed permissions, plus any project registry, with dated screenshots;
- confirm the Competent Authority for Surat Municipal Corporation and SUDA areas.
Quote: "iii. refuse to grant permission with reasons. The Development Permission shall be in the format of Form No.  7 and it shall be issued by an officer authorised by the Competent Authority in this behalf. Reason s for rejection of application shall be communicated to the applicant."
"Registry of public &amp; private projects" left blank: the Citation Sheet doesn't decide it.
"Public disclosure of approvals / denials / variances" left blank: the Citation Sheet doesn't decide it.</t>
  </si>
  <si>
    <t xml:space="preserve">Authority to inspect ongoing construction</t>
  </si>
  <si>
    <t xml:space="preserve">Stage-wise inspections / monitoring</t>
  </si>
  <si>
    <t xml:space="preserve">Power to issue notices / stop-work directions</t>
  </si>
  <si>
    <t xml:space="preserve">Chapter on building regulation (sections 230-248), Greater Bengaluru Governance Act, 2024 (Karnataka Act 36 of 2025)</t>
  </si>
  <si>
    <t xml:space="preserve">Sections 230(9), 230(10), 239(1)(a), 240(1), 241(3), 243(2), 243(3)(c), 243(4)</t>
  </si>
  <si>
    <t xml:space="preserve">s.239(1)(a) is the main quote. Supporting clauses: s.230(9) and s.243(2) (inspection), s.241(3) (completion), s.230(10), s.240(1), s.243(3)(c) and s.243(4) (notices and stop-work)</t>
  </si>
  <si>
    <t xml:space="preserve">AI (medium confidence), from Step 2 answer (Answered — Verified Source) and ULG-01: All three inputs are YES, so the score is 5. I checked each one against the ULG-01 text myself rather than copying the Step 2 answer.
(1) Authority to inspect: YES. s.230(9): the Commissioner or officers he authorises 'may undertake such periodical physical verification of buildings as necessary for the purposes of enforcing the provisions of this Act'. s.243(2): the Commissioner 'may authorise an officer subordinate to him to conduct site inspection for verification of the construction being under taken as per sanction plan'. Both are 'may' powers. But the question asks only for authority to inspect, and these sections clearly give it.
(2) Stage-wise inspection: YES. Inspection is mandatory at two stages. s.239(1): construction 'shall not be proceeded without obtaining plinth certificate', and on the application the Commissioner 'shall carryout physical verification of the building under construction'. s.241(3): on an application for an occupancy certificate, the Additional Chief Town Planner 'shall undertake such physical inspection of the building'. s.232(2)(e) charges a compounding fee for not obtaining a plinth certificate 'at the commencement of the construction'.
(3) Notices and stop-work: YES. s.230(10): the Commissioner 'shall have the power to order for the stoppage of any construction' that endangers public health or safety. s.240(1): notice to make alterations where work departs from the sanctioned plans. s.243(2): 'notice shall be served' if the construction deviates. s.243(3)(c): a provisional order that 'may also direct that until the said order is complied with the khatadar or builder shall refrain from proceeding with the building'. s.243(4): sealing 'before or after making an order of demolition or of the stoppage of the erection of any building'. The Step 2 answer also cites KTCP Act s.15(4) (ULG-02) as a further stop-work power, but the score does not depend on it.
Caveats a person should check:
(a) The question is labelled Implementation, but the Detailed Methodology only checks legal provisions. I scored it on the law. These sections are not proof that inspections happen in practice.
(b) GBA Act s.1(3) says the Act comes into force on a date the Government sets by notification. No source in the Citation Sheet gives that date. The text does include the amending Acts 60 of 2025 and 1 of 2026, which suggests the Act is operative, but neither touches these sections. If the GBA Act is not in force, the BBMP Act 2020 (ULG-19) applies. In that case the completion inspection (s.246(3)) and the stop-work order (s.248(1)) are confirmed, but a plinth-stage inspection was not found in the excerpts read.
(c) Exemptions and loopholes: the Government may exempt classes of building from the plinth certificate (s.239(2)) and the occupancy certificate (s.241(7)). If no plinth certificate is issued within 15 days, building may continue (s.239(1)(c)).
(d) ULG-01 is a PRS copy of the Gazette text, not the Gazette itself. Building bye-laws and Rules are not in the Citation Sheet.
Quote: "Construction shall not be proceeded without obtaining plinth certificate. On the application made for issue of plinth certificate.– (a) the Commissioner or officer authorized by him, shall carryout physical verification of the building under construction."</t>
  </si>
  <si>
    <t xml:space="preserve">Procedure During Construction (CGDCR 2017, Part I Procedure Regulations), read with GPMC/BPMC Act 1949 Chapter XV (Building Regulations)</t>
  </si>
  <si>
    <t xml:space="preserve">CGDCR 2017 Reg. 5.1.1, 5.1.2, 5.5.1, 5.5.3, Schedule 13; GPMC Act ss.259, 260, 262, 263, 267</t>
  </si>
  <si>
    <t xml:space="preserve">Reg. 5.1.2 (periodic inspection where Development Permission is granted); Schedule 13 (stages of construction); GPMC s.267(1) (stop-work notice)</t>
  </si>
  <si>
    <t xml:space="preserve">64</t>
  </si>
  <si>
    <t xml:space="preserve">AI (medium confidence), from Step 2 answer (Answered — Verified Source) and ULG-05: I checked each of the three aspects against the source text, and all three are met. Score: 5/5.
(1) Authority to inspect: YES. GPMC Act s.259 (ULG-13, and ULG-03 as modified to 30.11.2017) says 'The Commissioner may at any time during the erection of a building ... make an inspection thereof, without giving previous notice'. CGDCR 2017 reg. 5.1.1 (ULG-05) says the Competent Authority 'reserves the right to inspect such buildings at any time during the Period of Construction'. Reg. 5.1.2 says buildings with Development Permission 'shall be subject to periodic inspection by the Competent Authority during construction'.
(2) Stage-wise inspection: YES. Reg. 5.5.1 and Form 10 require notice before work starts. Reg. 5.5.3, Schedule 13 and Form 11 require progress notices at the lower basement slab, plinth, ground floor, middle storey (buildings above 15 m) and last storey. On receiving a progress notice, the Competent Authority has a duty, 'if found necessary', to check for departures from the sanctioned plan and decide within 7 days. At completion, GPMC s.263 requires a completion notice and inspection facilities, and the CGDCR final-inspection regulation says the Competent Authority 'shall undertake final inspection' within 21 days. This covers commencement, plinth, intermediate stages and completion, as the methodology asks. Caveat: the checks mid-construction depend on owners and Persons on Record reporting each stage, and the authority checks only 'if found necessary'.
(3) Notices and stop-work: YES. GPMC s.260(1): for work begun or carried out against the rules or bye-laws, the Commissioner 'shall' issue a written show-cause notice. Under s.262 he may serve notice at any time during the work requiring contraventions to be fixed. Under s.267(1), if the work 'is being unlawfully carried on', he 'may, by written notice, require the person ... to stop the same forthwith', and s.267(2) allows removal by the police. I confirmed the wording of s.267 in both ULG-03 and ULG-13. The Step 2 answer also cites GTPUD Rules 1979 r.11 and Form E (ULG-04). I did not re-read those, and the score does not depend on them.
The Step 2 answer matches the sources. Because the inputs rest on two instruments (the CGDCR and the GPMC Act), I rated confidence medium, not high.
FOR A PERSON TO CHECK:
(a) The question bank labels this question 'Implementation', but the question ('Does the law mandate...') and the Detailed Methodology both test legal provisions. I scored on law. The Citation Sheet has no evidence of SMC inspections actually happening. Please confirm the level.
(b) The CGDCR copies are hosted by AUDA and Rajkot MC. They are state UD&amp;UHD regulations that apply across Gujarat. Later amendments were not reviewed.
(c) SMC building bye-laws are not in the Citation Sheet.
Quote: "All buildings for which Development Permission has been granted shall be subject to periodic inspection by the Competent Authority during construction. It shall be the responsibility of the Owner, the Architect on Record or Engineer on Record, and the Clerk of Works on Record for the building to report commencement, progress at various stages, and completion of construction to the Competent Authority as specified in Regulation No. 5.5."</t>
  </si>
  <si>
    <t xml:space="preserve">Online self-reporting with photos / documents</t>
  </si>
  <si>
    <t xml:space="preserve">Periodic ground surveys / inspections</t>
  </si>
  <si>
    <t xml:space="preserve">Public disclosure of monitoring information</t>
  </si>
  <si>
    <t xml:space="preserve">AI: left for a person. Step 2 found no evidence (Insufficient Evidence). Source needed: Current, dated pages from the GBA or City Corporation online building plan approval and monitoring portal, and from BDA's website, showing: (1) owners uploading construction-progress reports, photographs and compliance documents online; (2) records or SOPs of periodic or sample-based site inspections of approved projects; (3) public dashboards or reports of compliance status, violations registered and action taken. Building bye-laws or rules on stage-wise inspection or self-certification would help as context.</t>
  </si>
  <si>
    <t xml:space="preserve">AI: left for a person. Step 2 found no evidence (Insufficient Evidence). Source needed: Current, dated evidence from the SMC and/or SUDA websites showing three things: (1) an online building-permission or progress portal where owners or Persons on Record upload stage-wise progress, photos and compliance documents; (2) records or reports of periodic site inspections of approved projects, covering all projects or a defined sample; (3) a published dashboard or report giving compliance status, violations registered and action taken, e.g. notices, sealing, demolitions.</t>
  </si>
  <si>
    <t xml:space="preserve">Points = 2 per provision, capped at 10 (5 or more provisions = 10)</t>
  </si>
  <si>
    <t xml:space="preserve">No. of penalty provisions found</t>
  </si>
  <si>
    <t xml:space="preserve">Chapter X – Offences and Penalties, Rules and Bye-laws (read with Chapter III ss.12, 14, 15)</t>
  </si>
  <si>
    <t xml:space="preserve">Section 73 (read with sections 14(1), 14(2), 14 Explanation (a), 12(1)(a), 12(1)(f), 12(3))</t>
  </si>
  <si>
    <t xml:space="preserve">s.73(a), (c), (d)</t>
  </si>
  <si>
    <t xml:space="preserve">77</t>
  </si>
  <si>
    <t xml:space="preserve">AI (medium confidence), from Step 2 answer (Partially Answered) and ULG-02: The count is 7. That is at least five, so the answer is 'Yes'. I counted the methodology's listed items (1a–1i, 5 and so on), because it says 'at least five of the below'. I counted only the Town and Country Planning Act, as the methodology says. Source: KTCP Act 1961, PRS compilation with amendments up to Act 38 of 2015 (secondary copy). It does not show whether there were later amendments.
The penalty provision: s.73 punishes anyone who '(a) does any work in contravention of the provisions of section 14; ... (c) contravenes the conditions of the commencement certificate granted under sub-section (1) of section 15 ... (d) does any work in spite of refusal to grant a commencement certificate'. The penalty is 'imprisonment for a term which may extend to three months or with fine which may extend to five thousand rupees or with both'. If the offence continues after conviction, there is a further fine of up to Rs 250 a day.
The 7 items counted:
(1) Zoning/land use (1a). s.14(1): 'every land use, every change in land use and every development ... shall conform to the provisions of this Act, the Master Plan and the Report'. s.12(1)(a): the Master Plan includes 'zoning of land use ... together with Zoning Regulations'.
(2) Change in building use (1b). s.14 Explanation (a): 'development' includes 'the making of any material change in the use of any building or other land'.
(3)–(5) Setbacks/building line (1c), height (1d) and FAR (1e). s.12(1)(f): Master Plan 'regulations ... in regard to building line, height of the building, floor area ratio'. These are enforced through s.14(1) and s.73(a).
(6) Heritage (1g). s.12(3): the Master Plan 'shall indicate Heritage Buildings and Heritage Precincts and shall include the regulations made therein for conservation'.
(7) Building work without permits (head 5). s.14(2): no development 'except with the written permission of the Planning Authority ... contained in a commencement certificate'. s.73(d) punishes work done after a commencement certificate is refused. This covers alterations except interior-only works (s.14 Explanation (b)(i)). s.15(4) also allows stop-work orders and demolition.
Things a person should confirm:
(a) Items (1c)–(1g) are covered only by reading ss.73, 14 and 12 together. s.73 is a general penalty for breaching s.14 and the Master Plan; it does not name each item. Also, the s.12(1)(f) regulations are framed for 'areas of special control'. The strict count of items the Act names directly is 3: land use, change of use, and work without a permit. That would score below five. Please confirm the counting method.
(b) I did not count the following:
- s.76FF and the municipal regularisation provisions. They mention setback, FAR, fire and KSPCB (state pollution board) conditions, but they set regularisation fees, not penalties.
- s.76FFF, which punishes officials, not the people who break the rules.
- The GBA Act 2024 (ULG-01). It is the municipal law, not the T&amp;CP Act. It has a fine for unauthorised advertisements (s.163 proviso) and demolition and penalties for unauthorised construction (ss.243–245). Counting it would add urban design/signage (head 6).
(c) I found no penal provisions for NOC violations (head 3) or encroachment (head 4) in the KTCP Act. That is only 'not found': the Citation Sheet does not include the KTCP Rules, the RMP-2015 zoning regulations or the building bye-laws.
(d) ULG-03 is a 2025 amendment Bill, not law in force. I did not use it.
The Step 2 answer's citations are accurate, and I agree with its sub-item reading.
Quote: "does any work in contravention of the provisions of section 14;"</t>
  </si>
  <si>
    <t xml:space="preserve">CGDCR 2017 Part I (Procedure Regulations), Regulation 3 (Development Permission)</t>
  </si>
  <si>
    <t xml:space="preserve">Regulation 3.10 (action on unauthorised development), Table 3.4: Penalties for Undertaking Unauthorized Development</t>
  </si>
  <si>
    <t xml:space="preserve">Table 3.4 rows a-d (penalty multiples of 15x, 10x, 5x and 2x the scrutiny fee)</t>
  </si>
  <si>
    <t xml:space="preserve">55</t>
  </si>
  <si>
    <t xml:space="preserve">AI (low confidence), from Step 2 answer (Partially Answered) and ULG-14: I left the count blank because the Act the method names can't be read. The method asks whether the T&amp;CP Act, here the Gujarat Town Planning and Urban Development Act, 1976, has penal provisions under at least five heads. The only copy in the Citation Sheet is ULG-01 (PRS, amended up to Gujarat Act 14 of 2019). Its pages 2-86, which hold the whole principal Act including its unauthorised-development and penalty sections, have no readable text. I searched it again and still found only the appended amendments.
A count below 5 means 'No' and scores 0. That needs affirmative absence, which isn't possible while the principal Act is unreadable. A 'Yes' also can't be shown from what can be read. The Step 2 answer ('Not determined') is supported by the sources.
What I did find, which a person should weigh against the readable Act:
(1) ULG-01, s.76A(8), added by the amendment in the Gazette (Extraordinary) of 13-04-2017. Text: 'the appropriate authority shall take following measures, namely:- (a) remove, pull down, or alter any building or other work in the area of the land included in the Local Area Plan which is such as contravenes the Local Area Plan...; (b) any expenses incurred ... shall be recovered from the person in default'. This is removal with cost recovery for encroachment and Local Area Plan breaches, and applies only where a Local Area Plan has been sanctioned. Heads: 4 (encroachment), partly 1.
(2) ULG-14 / ULG-05, CGDCR 2017 (notified 12-10-2017 under the Act). For unauthorised development the Competent Authority 'shall: a. Take suitable action which may include demolition as provided in the Act'. It may remove the work at the owner's cost and seal the building unit. Table 3.4 sets penalties for: 'a. Development commenced without taking any permission. 15', 'b. ... Development commenced which is not as per the submitted plan. 10', '... as per the submitted plan. 5', 'd. Open Uses of Land including Layout and Sub-division without taking any permission. 2'. Heads: 5 (work without permit) and partly 1 (deviation from plan).
(3) ULG-05, Schedule 16: 'Financial Penalty for Making Unauthorised Use of a Building shall be four times the Development Permission Scrutiny Fees'. Head: possibly 1b (permitted use). It is not clear whether this covers change of use or only occupation without a Building Use Permission.
(4) Outside the T&amp;CP Act: the Municipal Act (ULG-03, GPMC Act as modified to 30-11-2017) has ss.260, 397, 399 and Chapter XXV (s.392 fines). These are demolition powers and small fines. ULG-18 (2022 Ordinance) is a regularisation law, not a penalty law.
I found no readable penal provision for building-code heads (fire, lifts, corridors), NOC heads or urban-design heads in the readable parts of the T&amp;CP Act stack.
To do: get a readable official copy of the GTPUD Act, 1976 (its unauthorised-development and penalty sections) and decide whether CGDCR and GPMC Act penalties count toward the heads. Then count the heads and record the provision text in the scorer comments, as the scorer notes require.
Quote: "For such development, considering it to unauthorised penalty , as specified in table 3.4, shall be charged in addition to other fees/ charges/ deposits etc."
"No. of penalty provisions found" left blank: the Citation Sheet doesn't decide it.</t>
  </si>
</sst>
</file>

<file path=xl/styles.xml><?xml version="1.0" encoding="utf-8"?>
<styleSheet xmlns="http://schemas.openxmlformats.org/spreadsheetml/2006/main">
  <numFmts count="4">
    <numFmt numFmtId="164" formatCode="General"/>
    <numFmt numFmtId="165" formatCode="0.00"/>
    <numFmt numFmtId="166" formatCode="0"/>
    <numFmt numFmtId="167" formatCode="0%"/>
  </numFmts>
  <fonts count="44">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u val="single"/>
      <sz val="11"/>
      <color rgb="FF1F4E9C"/>
      <name val="Cambria"/>
      <family val="0"/>
      <charset val="1"/>
    </font>
    <font>
      <sz val="11"/>
      <color theme="1"/>
      <name val="Noto Sans"/>
      <family val="2"/>
    </font>
    <font>
      <sz val="10"/>
      <color theme="1"/>
      <name val="Verdana"/>
      <family val="2"/>
      <charset val="1"/>
    </font>
    <font>
      <i val="true"/>
      <sz val="10"/>
      <color theme="1"/>
      <name val="Verdana"/>
      <family val="2"/>
      <charset val="1"/>
    </font>
    <font>
      <b val="true"/>
      <sz val="10"/>
      <color rgb="FF000000"/>
      <name val="Verdana"/>
      <family val="2"/>
      <charset val="1"/>
    </font>
    <font>
      <b val="true"/>
      <sz val="10"/>
      <color theme="1"/>
      <name val="Verdana"/>
      <family val="2"/>
      <charset val="1"/>
    </font>
    <font>
      <b val="true"/>
      <i val="true"/>
      <sz val="10"/>
      <color rgb="FF000000"/>
      <name val="Verdana"/>
      <family val="2"/>
      <charset val="1"/>
    </font>
    <font>
      <sz val="10"/>
      <color rgb="FF000000"/>
      <name val="Verdana"/>
      <family val="2"/>
      <charset val="1"/>
    </font>
    <font>
      <i val="true"/>
      <sz val="10"/>
      <color rgb="FF000000"/>
      <name val="Verdana"/>
      <family val="2"/>
      <charset val="1"/>
    </font>
    <font>
      <sz val="10"/>
      <name val="Verdana"/>
      <family val="2"/>
      <charset val="1"/>
    </font>
    <font>
      <b val="true"/>
      <sz val="10"/>
      <name val="Verdana"/>
      <family val="2"/>
      <charset val="1"/>
    </font>
    <font>
      <i val="true"/>
      <sz val="10"/>
      <name val="Verdana"/>
      <family val="2"/>
      <charset val="1"/>
    </font>
    <font>
      <b val="true"/>
      <sz val="10"/>
      <name val="Calibri"/>
      <family val="0"/>
      <charset val="1"/>
    </font>
    <font>
      <b val="true"/>
      <sz val="11"/>
      <color rgb="FF0070C0"/>
      <name val="Calibri"/>
      <family val="0"/>
      <charset val="1"/>
    </font>
    <font>
      <b val="true"/>
      <sz val="11"/>
      <color rgb="FFC00000"/>
      <name val="Calibri"/>
      <family val="0"/>
      <charset val="1"/>
    </font>
    <font>
      <sz val="10"/>
      <name val="Calibri"/>
      <family val="0"/>
      <charset val="1"/>
    </font>
    <font>
      <sz val="11"/>
      <name val="Calibri"/>
      <family val="0"/>
      <charset val="1"/>
    </font>
    <font>
      <b val="true"/>
      <sz val="11"/>
      <name val="Calibri"/>
      <family val="0"/>
      <charset val="1"/>
    </font>
    <font>
      <sz val="10"/>
      <color theme="1"/>
      <name val="Calibri"/>
      <family val="2"/>
      <charset val="1"/>
    </font>
    <font>
      <sz val="11"/>
      <color theme="1"/>
      <name val="Verdana"/>
      <family val="0"/>
      <charset val="1"/>
    </font>
    <font>
      <b val="true"/>
      <sz val="10"/>
      <color rgb="FF000000"/>
      <name val="Verdana"/>
      <family val="0"/>
      <charset val="1"/>
    </font>
    <font>
      <b val="true"/>
      <sz val="10"/>
      <color theme="1"/>
      <name val="Verdana"/>
      <family val="0"/>
      <charset val="1"/>
    </font>
    <font>
      <sz val="10"/>
      <color rgb="FF000000"/>
      <name val="Verdana"/>
      <family val="0"/>
      <charset val="1"/>
    </font>
    <font>
      <sz val="10"/>
      <color theme="1"/>
      <name val="Verdana"/>
      <family val="0"/>
      <charset val="1"/>
    </font>
    <font>
      <i val="true"/>
      <sz val="10"/>
      <color rgb="FF000000"/>
      <name val="Verdana"/>
      <family val="0"/>
      <charset val="1"/>
    </font>
    <font>
      <i val="true"/>
      <sz val="10"/>
      <color rgb="FFFF0000"/>
      <name val="Verdana"/>
      <family val="2"/>
      <charset val="1"/>
    </font>
    <font>
      <sz val="11"/>
      <color rgb="FF000000"/>
      <name val="Verdana"/>
      <family val="0"/>
      <charset val="1"/>
    </font>
    <font>
      <sz val="10"/>
      <name val="Verdana"/>
      <family val="0"/>
      <charset val="1"/>
    </font>
    <font>
      <b val="true"/>
      <sz val="11"/>
      <color theme="1"/>
      <name val="Calibri"/>
      <family val="2"/>
      <charset val="1"/>
    </font>
    <font>
      <sz val="10"/>
      <color rgb="FFFF0000"/>
      <name val="Verdana"/>
      <family val="2"/>
      <charset val="1"/>
    </font>
    <font>
      <i val="true"/>
      <sz val="9"/>
      <color rgb="FF000000"/>
      <name val="Verdana"/>
      <family val="0"/>
      <charset val="1"/>
    </font>
    <font>
      <i val="true"/>
      <sz val="12"/>
      <color rgb="FF000000"/>
      <name val="Verdana"/>
      <family val="0"/>
      <charset val="1"/>
    </font>
    <font>
      <sz val="11"/>
      <color rgb="FFFF0000"/>
      <name val="Calibri"/>
      <family val="2"/>
      <charset val="1"/>
    </font>
    <font>
      <b val="true"/>
      <sz val="10"/>
      <color rgb="FFFF0000"/>
      <name val="Verdana"/>
      <family val="2"/>
      <charset val="1"/>
    </font>
    <font>
      <i val="true"/>
      <sz val="10"/>
      <color theme="1"/>
      <name val="Verdana"/>
      <family val="0"/>
      <charset val="1"/>
    </font>
    <font>
      <i val="true"/>
      <sz val="11"/>
      <color rgb="FF000000"/>
      <name val="Verdana"/>
      <family val="0"/>
      <charset val="1"/>
    </font>
    <font>
      <b val="true"/>
      <u val="single"/>
      <sz val="11"/>
      <color rgb="FF1F4E9C"/>
      <name val="Cambria"/>
      <family val="0"/>
      <charset val="1"/>
    </font>
    <font>
      <b val="true"/>
      <sz val="9"/>
      <name val="Calibri"/>
      <family val="0"/>
      <charset val="1"/>
    </font>
    <font>
      <u val="single"/>
      <sz val="11"/>
      <color theme="10"/>
      <name val="Calibri"/>
      <family val="2"/>
      <charset val="1"/>
    </font>
  </fonts>
  <fills count="13">
    <fill>
      <patternFill patternType="none"/>
    </fill>
    <fill>
      <patternFill patternType="gray125"/>
    </fill>
    <fill>
      <patternFill patternType="solid">
        <fgColor rgb="FFDDE7F0"/>
        <bgColor rgb="FFE7E6E6"/>
      </patternFill>
    </fill>
    <fill>
      <patternFill patternType="solid">
        <fgColor rgb="FFF2C200"/>
        <bgColor rgb="FFFF9900"/>
      </patternFill>
    </fill>
    <fill>
      <patternFill patternType="solid">
        <fgColor rgb="FFFFF2B3"/>
        <bgColor rgb="FFFBD5B5"/>
      </patternFill>
    </fill>
    <fill>
      <patternFill patternType="solid">
        <fgColor rgb="FFFFFF00"/>
        <bgColor rgb="FFFFFF00"/>
      </patternFill>
    </fill>
    <fill>
      <patternFill patternType="solid">
        <fgColor theme="0"/>
        <bgColor rgb="FFE7E6E6"/>
      </patternFill>
    </fill>
    <fill>
      <patternFill patternType="solid">
        <fgColor rgb="FFBDD6EE"/>
        <bgColor rgb="FFB4C7E7"/>
      </patternFill>
    </fill>
    <fill>
      <patternFill patternType="solid">
        <fgColor rgb="FFA8D08D"/>
        <bgColor rgb="FFC5E0B3"/>
      </patternFill>
    </fill>
    <fill>
      <patternFill patternType="solid">
        <fgColor theme="4" tint="0.5998"/>
        <bgColor rgb="FFBDD6EE"/>
      </patternFill>
    </fill>
    <fill>
      <patternFill patternType="solid">
        <fgColor rgb="FFC00000"/>
        <bgColor rgb="FFFF0000"/>
      </patternFill>
    </fill>
    <fill>
      <patternFill patternType="solid">
        <fgColor rgb="FFC5E0B3"/>
        <bgColor rgb="FFC6E7C1"/>
      </patternFill>
    </fill>
    <fill>
      <patternFill patternType="solid">
        <fgColor rgb="FFE7E6E6"/>
        <bgColor rgb="FFDDE7F0"/>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5" fontId="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1" fillId="5" borderId="2"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center"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3" fillId="0" borderId="1" xfId="0" applyFont="true" applyBorder="true" applyAlignment="true" applyProtection="false">
      <alignment horizontal="center"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center"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5" fontId="12" fillId="0"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13" fillId="6" borderId="1" xfId="0" applyFont="true" applyBorder="true" applyAlignment="true" applyProtection="false">
      <alignment horizontal="center" vertical="top" textRotation="0" wrapText="false" indent="0" shrinkToFit="false"/>
      <protection locked="true" hidden="false"/>
    </xf>
    <xf numFmtId="164" fontId="12"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5" fontId="15" fillId="0"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5" fontId="16" fillId="0"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8" fillId="6" borderId="2" xfId="0" applyFont="true" applyBorder="true" applyAlignment="true" applyProtection="false">
      <alignment horizontal="general" vertical="top" textRotation="0" wrapText="false" indent="0" shrinkToFit="false"/>
      <protection locked="true" hidden="false"/>
    </xf>
    <xf numFmtId="164" fontId="13" fillId="6" borderId="2" xfId="0" applyFont="true" applyBorder="true" applyAlignment="true" applyProtection="false">
      <alignment horizontal="general" vertical="top" textRotation="0" wrapText="true" indent="0" shrinkToFit="false"/>
      <protection locked="true" hidden="false"/>
    </xf>
    <xf numFmtId="164" fontId="12" fillId="0" borderId="3" xfId="0" applyFont="true" applyBorder="true" applyAlignment="true" applyProtection="false">
      <alignment horizontal="center" vertical="top" textRotation="0" wrapText="false" indent="0" shrinkToFit="false"/>
      <protection locked="true" hidden="false"/>
    </xf>
    <xf numFmtId="164" fontId="12" fillId="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general" vertical="top" textRotation="0" wrapText="fals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xf numFmtId="165" fontId="12" fillId="0" borderId="3" xfId="0" applyFont="true" applyBorder="true" applyAlignment="true" applyProtection="false">
      <alignment horizontal="center" vertical="top" textRotation="0" wrapText="false" indent="0" shrinkToFit="false"/>
      <protection locked="true" hidden="false"/>
    </xf>
    <xf numFmtId="164" fontId="13" fillId="0" borderId="3" xfId="0" applyFont="true" applyBorder="true" applyAlignment="true" applyProtection="false">
      <alignment horizontal="general" vertical="top" textRotation="0" wrapText="true" indent="0" shrinkToFit="false"/>
      <protection locked="true" hidden="false"/>
    </xf>
    <xf numFmtId="165" fontId="12" fillId="0" borderId="0" xfId="0" applyFont="true" applyBorder="false" applyAlignment="true" applyProtection="false">
      <alignment horizontal="center" vertical="top" textRotation="0" wrapText="false" indent="0" shrinkToFit="false"/>
      <protection locked="true" hidden="false"/>
    </xf>
    <xf numFmtId="164" fontId="12" fillId="0" borderId="0" xfId="0" applyFont="true" applyBorder="false" applyAlignment="true" applyProtection="false">
      <alignment horizontal="center"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7" fillId="7" borderId="1" xfId="0" applyFont="true" applyBorder="true" applyAlignment="true" applyProtection="false">
      <alignment horizontal="left" vertical="center" textRotation="0" wrapText="true" indent="0" shrinkToFit="false"/>
      <protection locked="true" hidden="false"/>
    </xf>
    <xf numFmtId="164" fontId="17" fillId="8" borderId="1" xfId="0" applyFont="true" applyBorder="true" applyAlignment="true" applyProtection="false">
      <alignment horizontal="center" vertical="center" textRotation="90" wrapText="false" indent="0" shrinkToFit="false"/>
      <protection locked="true" hidden="false"/>
    </xf>
    <xf numFmtId="164" fontId="18" fillId="5" borderId="1" xfId="0" applyFont="true" applyBorder="true" applyAlignment="true" applyProtection="false">
      <alignment horizontal="left" vertical="center" textRotation="0" wrapText="fals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left" vertical="center" textRotation="0" wrapText="fals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5" fontId="20" fillId="0" borderId="1" xfId="0" applyFont="true" applyBorder="true" applyAlignment="true" applyProtection="false">
      <alignment horizontal="right" vertical="center" textRotation="0" wrapText="false" indent="0" shrinkToFit="false"/>
      <protection locked="true" hidden="false"/>
    </xf>
    <xf numFmtId="165" fontId="21" fillId="0" borderId="1" xfId="0" applyFont="true" applyBorder="true" applyAlignment="true" applyProtection="false">
      <alignment horizontal="right" vertical="center"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5" fontId="22" fillId="0"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6" fontId="21"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23" fillId="0" borderId="0" xfId="0" applyFont="true" applyBorder="false" applyAlignment="true" applyProtection="false">
      <alignment horizontal="general" vertical="top" textRotation="0" wrapText="false" indent="0" shrinkToFit="false"/>
      <protection locked="true" hidden="false"/>
    </xf>
    <xf numFmtId="164" fontId="23" fillId="0" borderId="1" xfId="0" applyFont="true" applyBorder="true" applyAlignment="true" applyProtection="false">
      <alignment horizontal="general" vertical="top" textRotation="0" wrapText="fals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center" vertical="top" textRotation="0" wrapText="false" indent="0" shrinkToFit="false"/>
      <protection locked="true" hidden="false"/>
    </xf>
    <xf numFmtId="164" fontId="25" fillId="5" borderId="1" xfId="0" applyFont="true" applyBorder="true" applyAlignment="true" applyProtection="false">
      <alignment horizontal="center" vertical="top" textRotation="0" wrapText="true" indent="0" shrinkToFit="false"/>
      <protection locked="true" hidden="false"/>
    </xf>
    <xf numFmtId="164" fontId="26" fillId="5" borderId="1" xfId="0" applyFont="true" applyBorder="true" applyAlignment="true" applyProtection="false">
      <alignment horizontal="center" vertical="top" textRotation="0" wrapText="true" indent="0" shrinkToFit="false"/>
      <protection locked="true" hidden="false"/>
    </xf>
    <xf numFmtId="164" fontId="25" fillId="5" borderId="2" xfId="0" applyFont="true" applyBorder="true" applyAlignment="true" applyProtection="false">
      <alignment horizontal="center" vertical="top" textRotation="0" wrapText="true" indent="0" shrinkToFit="false"/>
      <protection locked="true" hidden="false"/>
    </xf>
    <xf numFmtId="164" fontId="25" fillId="5" borderId="1" xfId="0" applyFont="true" applyBorder="true" applyAlignment="true" applyProtection="false">
      <alignment horizontal="center" vertical="top" textRotation="0" wrapText="false" indent="0" shrinkToFit="false"/>
      <protection locked="true" hidden="false"/>
    </xf>
    <xf numFmtId="164" fontId="27" fillId="0" borderId="1" xfId="0" applyFont="true" applyBorder="true" applyAlignment="true" applyProtection="false">
      <alignment horizontal="center"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28" fillId="0" borderId="1" xfId="0" applyFont="true" applyBorder="true" applyAlignment="true" applyProtection="false">
      <alignment horizontal="general" vertical="top" textRotation="0" wrapText="false" indent="0" shrinkToFit="false"/>
      <protection locked="true" hidden="false"/>
    </xf>
    <xf numFmtId="165" fontId="27" fillId="0" borderId="1" xfId="0" applyFont="true" applyBorder="true" applyAlignment="true" applyProtection="false">
      <alignment horizontal="center" vertical="top" textRotation="0" wrapText="true" indent="0" shrinkToFit="false"/>
      <protection locked="true" hidden="false"/>
    </xf>
    <xf numFmtId="164" fontId="27" fillId="0" borderId="2"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center"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5" fontId="25" fillId="0" borderId="1" xfId="0" applyFont="true" applyBorder="true" applyAlignment="true" applyProtection="false">
      <alignment horizontal="center" vertical="top" textRotation="0" wrapText="true" indent="0" shrinkToFit="false"/>
      <protection locked="true" hidden="false"/>
    </xf>
    <xf numFmtId="164" fontId="25" fillId="0" borderId="2" xfId="0" applyFont="true" applyBorder="true" applyAlignment="true" applyProtection="false">
      <alignment horizontal="general" vertical="top" textRotation="0" wrapText="true" indent="0" shrinkToFit="false"/>
      <protection locked="true" hidden="false"/>
    </xf>
    <xf numFmtId="164" fontId="29" fillId="0" borderId="1" xfId="0" applyFont="true" applyBorder="true" applyAlignment="true" applyProtection="false">
      <alignment horizontal="center" vertical="top" textRotation="0" wrapText="true" indent="0" shrinkToFit="false"/>
      <protection locked="true" hidden="false"/>
    </xf>
    <xf numFmtId="164" fontId="29" fillId="0" borderId="1" xfId="0" applyFont="true" applyBorder="true" applyAlignment="true" applyProtection="false">
      <alignment horizontal="general" vertical="top" textRotation="0" wrapText="true" indent="0" shrinkToFit="false"/>
      <protection locked="true" hidden="false"/>
    </xf>
    <xf numFmtId="165" fontId="29" fillId="0" borderId="1" xfId="0" applyFont="true" applyBorder="true" applyAlignment="true" applyProtection="false">
      <alignment horizontal="center" vertical="top" textRotation="0" wrapText="true" indent="0" shrinkToFit="false"/>
      <protection locked="true" hidden="false"/>
    </xf>
    <xf numFmtId="164" fontId="29" fillId="0" borderId="2" xfId="0" applyFont="true" applyBorder="true" applyAlignment="true" applyProtection="false">
      <alignment horizontal="general" vertical="top" textRotation="0" wrapText="true" indent="0" shrinkToFit="false"/>
      <protection locked="true" hidden="false"/>
    </xf>
    <xf numFmtId="164" fontId="29" fillId="0" borderId="3" xfId="0" applyFont="true" applyBorder="true" applyAlignment="true" applyProtection="false">
      <alignment horizontal="general" vertical="top" textRotation="0" wrapText="true" indent="0" shrinkToFit="false"/>
      <protection locked="true" hidden="false"/>
    </xf>
    <xf numFmtId="164" fontId="29" fillId="0" borderId="3" xfId="0" applyFont="true" applyBorder="true" applyAlignment="true" applyProtection="false">
      <alignment horizontal="center" vertical="top" textRotation="0" wrapText="true" indent="0" shrinkToFit="false"/>
      <protection locked="true" hidden="false"/>
    </xf>
    <xf numFmtId="164" fontId="29" fillId="0" borderId="4" xfId="0" applyFont="true" applyBorder="true" applyAlignment="true" applyProtection="false">
      <alignment horizontal="general" vertical="top" textRotation="0" wrapText="true" indent="0" shrinkToFit="false"/>
      <protection locked="true" hidden="false"/>
    </xf>
    <xf numFmtId="164" fontId="27" fillId="0" borderId="3" xfId="0" applyFont="true" applyBorder="true" applyAlignment="true" applyProtection="false">
      <alignment horizontal="general" vertical="top" textRotation="0" wrapText="true" indent="0" shrinkToFit="false"/>
      <protection locked="true" hidden="false"/>
    </xf>
    <xf numFmtId="164" fontId="28" fillId="0" borderId="3"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false" indent="0" shrinkToFit="false"/>
      <protection locked="true" hidden="false"/>
    </xf>
    <xf numFmtId="164" fontId="0" fillId="0" borderId="5" xfId="0" applyFont="false" applyBorder="true" applyAlignment="true" applyProtection="false">
      <alignment horizontal="general" vertical="top" textRotation="0" wrapText="true" indent="0" shrinkToFit="false"/>
      <protection locked="true" hidden="false"/>
    </xf>
    <xf numFmtId="164" fontId="14" fillId="0" borderId="6" xfId="0" applyFont="true" applyBorder="true" applyAlignment="true" applyProtection="false">
      <alignment horizontal="center" vertical="top" textRotation="0" wrapText="false" indent="0" shrinkToFit="false"/>
      <protection locked="true" hidden="false"/>
    </xf>
    <xf numFmtId="164" fontId="14" fillId="0" borderId="7" xfId="0" applyFont="true" applyBorder="tru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28" fillId="0" borderId="5"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4" fillId="0" borderId="8" xfId="0" applyFont="true" applyBorder="true" applyAlignment="true" applyProtection="false">
      <alignment horizontal="general" vertical="top" textRotation="0" wrapText="true" indent="0" shrinkToFit="false"/>
      <protection locked="true" hidden="false"/>
    </xf>
    <xf numFmtId="164" fontId="14" fillId="0" borderId="7"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27" fillId="0" borderId="6"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general" vertical="top" textRotation="0" wrapText="false" indent="0" shrinkToFit="false"/>
      <protection locked="true" hidden="false"/>
    </xf>
    <xf numFmtId="164" fontId="30" fillId="0" borderId="1"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27" fillId="0" borderId="4"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center" vertical="top" textRotation="0" wrapText="false" indent="0" shrinkToFit="false"/>
      <protection locked="true" hidden="false"/>
    </xf>
    <xf numFmtId="165" fontId="27" fillId="0" borderId="2" xfId="0" applyFont="true" applyBorder="true" applyAlignment="true" applyProtection="false">
      <alignment horizontal="center" vertical="top" textRotation="0" wrapText="false" indent="0" shrinkToFit="false"/>
      <protection locked="true" hidden="false"/>
    </xf>
    <xf numFmtId="165" fontId="27" fillId="0" borderId="1" xfId="0" applyFont="true" applyBorder="true" applyAlignment="true" applyProtection="false">
      <alignment horizontal="center" vertical="top" textRotation="0" wrapText="false" indent="0" shrinkToFit="false"/>
      <protection locked="true" hidden="false"/>
    </xf>
    <xf numFmtId="164" fontId="27" fillId="0" borderId="9" xfId="0" applyFont="true" applyBorder="true" applyAlignment="true" applyProtection="false">
      <alignment horizontal="general" vertical="top" textRotation="0" wrapText="true" indent="0" shrinkToFit="false"/>
      <protection locked="true" hidden="false"/>
    </xf>
    <xf numFmtId="164" fontId="29" fillId="0" borderId="6" xfId="0" applyFont="true" applyBorder="true" applyAlignment="true" applyProtection="false">
      <alignment horizontal="general" vertical="top" textRotation="0" wrapText="true" indent="0" shrinkToFit="false"/>
      <protection locked="true" hidden="false"/>
    </xf>
    <xf numFmtId="164" fontId="29" fillId="0" borderId="1" xfId="0" applyFont="true" applyBorder="true" applyAlignment="true" applyProtection="false">
      <alignment horizontal="center" vertical="top" textRotation="0" wrapText="false" indent="0" shrinkToFit="false"/>
      <protection locked="true" hidden="false"/>
    </xf>
    <xf numFmtId="164" fontId="31" fillId="0" borderId="1" xfId="0" applyFont="true" applyBorder="true" applyAlignment="true" applyProtection="false">
      <alignment horizontal="general" vertical="top" textRotation="0" wrapText="fals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32" fillId="0" borderId="3" xfId="0" applyFont="true" applyBorder="true" applyAlignment="true" applyProtection="false">
      <alignment horizontal="general" vertical="top" textRotation="0" wrapText="true" indent="0" shrinkToFit="false"/>
      <protection locked="true" hidden="false"/>
    </xf>
    <xf numFmtId="165" fontId="25" fillId="0" borderId="2" xfId="0" applyFont="true" applyBorder="true" applyAlignment="true" applyProtection="false">
      <alignment horizontal="center" vertical="top" textRotation="0" wrapText="true" indent="0" shrinkToFit="false"/>
      <protection locked="true" hidden="false"/>
    </xf>
    <xf numFmtId="165" fontId="29" fillId="0" borderId="2" xfId="0" applyFont="true" applyBorder="true" applyAlignment="true" applyProtection="false">
      <alignment horizontal="center" vertical="top" textRotation="0" wrapText="tru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5" fontId="27" fillId="0" borderId="2" xfId="0" applyFont="true" applyBorder="true" applyAlignment="true" applyProtection="false">
      <alignment horizontal="center"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false" indent="0" shrinkToFit="false"/>
      <protection locked="true" hidden="false"/>
    </xf>
    <xf numFmtId="164" fontId="0" fillId="0" borderId="10" xfId="0" applyFont="false" applyBorder="true" applyAlignment="true" applyProtection="false">
      <alignment horizontal="general" vertical="top" textRotation="0" wrapText="true" indent="0" shrinkToFit="false"/>
      <protection locked="true" hidden="false"/>
    </xf>
    <xf numFmtId="164" fontId="0" fillId="0" borderId="8" xfId="0" applyFont="false" applyBorder="true" applyAlignment="true" applyProtection="false">
      <alignment horizontal="general" vertical="top" textRotation="0" wrapText="true" indent="0" shrinkToFit="false"/>
      <protection locked="true" hidden="false"/>
    </xf>
    <xf numFmtId="164" fontId="25" fillId="0" borderId="9"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false" indent="0" shrinkToFit="false"/>
      <protection locked="true" hidden="false"/>
    </xf>
    <xf numFmtId="164" fontId="28" fillId="0" borderId="0" xfId="0" applyFont="true" applyBorder="false" applyAlignment="true" applyProtection="false">
      <alignment horizontal="general" vertical="top" textRotation="0" wrapText="false" indent="0" shrinkToFit="false"/>
      <protection locked="true" hidden="false"/>
    </xf>
    <xf numFmtId="164" fontId="27" fillId="0" borderId="1" xfId="0" applyFont="true" applyBorder="true" applyAlignment="true" applyProtection="false">
      <alignment horizontal="general" vertical="top" textRotation="0" wrapText="false" indent="0" shrinkToFit="false"/>
      <protection locked="true" hidden="false"/>
    </xf>
    <xf numFmtId="164" fontId="27" fillId="0" borderId="2" xfId="0" applyFont="true" applyBorder="true" applyAlignment="true" applyProtection="false">
      <alignment horizontal="general" vertical="top" textRotation="0" wrapText="false" indent="0" shrinkToFit="false"/>
      <protection locked="true" hidden="false"/>
    </xf>
    <xf numFmtId="164" fontId="24" fillId="0" borderId="0" xfId="0" applyFont="true" applyBorder="false" applyAlignment="true" applyProtection="false">
      <alignment horizontal="general" vertical="top" textRotation="0" wrapText="false" indent="0" shrinkToFit="false"/>
      <protection locked="true" hidden="false"/>
    </xf>
    <xf numFmtId="164" fontId="25" fillId="0" borderId="1" xfId="0" applyFont="true" applyBorder="true" applyAlignment="true" applyProtection="false">
      <alignment horizontal="center" vertical="top" textRotation="0" wrapText="false" indent="0" shrinkToFit="false"/>
      <protection locked="true" hidden="false"/>
    </xf>
    <xf numFmtId="165" fontId="25" fillId="0" borderId="1" xfId="0" applyFont="true" applyBorder="true" applyAlignment="true" applyProtection="false">
      <alignment horizontal="center" vertical="top" textRotation="0" wrapText="false" indent="0" shrinkToFit="false"/>
      <protection locked="true" hidden="false"/>
    </xf>
    <xf numFmtId="164" fontId="29" fillId="5" borderId="1" xfId="0" applyFont="true" applyBorder="true" applyAlignment="true" applyProtection="false">
      <alignment horizontal="center" vertical="top" textRotation="0" wrapText="false" indent="0" shrinkToFit="false"/>
      <protection locked="true" hidden="false"/>
    </xf>
    <xf numFmtId="164" fontId="31" fillId="5" borderId="1" xfId="0" applyFont="true" applyBorder="true" applyAlignment="true" applyProtection="false">
      <alignment horizontal="general" vertical="top" textRotation="0" wrapText="false" indent="0" shrinkToFit="false"/>
      <protection locked="true" hidden="false"/>
    </xf>
    <xf numFmtId="164" fontId="23" fillId="5" borderId="1" xfId="0" applyFont="true" applyBorder="true" applyAlignment="true" applyProtection="false">
      <alignment horizontal="general" vertical="top" textRotation="0" wrapText="false" indent="0" shrinkToFit="false"/>
      <protection locked="true" hidden="false"/>
    </xf>
    <xf numFmtId="164" fontId="28"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33" fillId="5" borderId="0" xfId="0" applyFont="true" applyBorder="false" applyAlignment="true" applyProtection="false">
      <alignment horizontal="general" vertical="top" textRotation="0" wrapText="true" indent="0" shrinkToFit="false"/>
      <protection locked="true" hidden="false"/>
    </xf>
    <xf numFmtId="164" fontId="27" fillId="5" borderId="1" xfId="0" applyFont="true" applyBorder="true" applyAlignment="true" applyProtection="false">
      <alignment horizontal="center" vertical="top" textRotation="0" wrapText="false" indent="0" shrinkToFit="false"/>
      <protection locked="true" hidden="false"/>
    </xf>
    <xf numFmtId="165" fontId="27" fillId="5" borderId="1" xfId="0" applyFont="true" applyBorder="true" applyAlignment="true" applyProtection="false">
      <alignment horizontal="center" vertical="top" textRotation="0" wrapText="false" indent="0" shrinkToFit="false"/>
      <protection locked="true" hidden="false"/>
    </xf>
    <xf numFmtId="164" fontId="27" fillId="5" borderId="2" xfId="0" applyFont="true" applyBorder="true" applyAlignment="true" applyProtection="false">
      <alignment horizontal="general" vertical="top" textRotation="0" wrapText="true" indent="0" shrinkToFit="false"/>
      <protection locked="true" hidden="false"/>
    </xf>
    <xf numFmtId="164" fontId="32" fillId="5"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top" textRotation="0" wrapText="true" indent="0" shrinkToFit="false"/>
      <protection locked="true" hidden="false"/>
    </xf>
    <xf numFmtId="164" fontId="0" fillId="5" borderId="0" xfId="0" applyFont="false" applyBorder="false" applyAlignment="true" applyProtection="false">
      <alignment horizontal="general" vertical="top" textRotation="0" wrapText="false" indent="0" shrinkToFit="false"/>
      <protection locked="true" hidden="false"/>
    </xf>
    <xf numFmtId="164" fontId="34" fillId="5" borderId="1" xfId="0" applyFont="true" applyBorder="true" applyAlignment="true" applyProtection="false">
      <alignment horizontal="general" vertical="top"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5" fontId="27" fillId="5" borderId="5" xfId="0" applyFont="true" applyBorder="true" applyAlignment="true" applyProtection="false">
      <alignment horizontal="center" vertical="top" textRotation="0" wrapText="false" indent="0" shrinkToFit="false"/>
      <protection locked="true" hidden="false"/>
    </xf>
    <xf numFmtId="164" fontId="29" fillId="6" borderId="1" xfId="0" applyFont="true" applyBorder="true" applyAlignment="true" applyProtection="false">
      <alignment horizontal="center" vertical="top" textRotation="0" wrapText="false" indent="0" shrinkToFit="false"/>
      <protection locked="true" hidden="false"/>
    </xf>
    <xf numFmtId="164" fontId="31" fillId="6" borderId="1" xfId="0" applyFont="true" applyBorder="true" applyAlignment="true" applyProtection="false">
      <alignment horizontal="general" vertical="top" textRotation="0" wrapText="false" indent="0" shrinkToFit="false"/>
      <protection locked="true" hidden="false"/>
    </xf>
    <xf numFmtId="164" fontId="23" fillId="6" borderId="1" xfId="0" applyFont="true" applyBorder="true" applyAlignment="true" applyProtection="false">
      <alignment horizontal="general" vertical="top" textRotation="0" wrapText="false" indent="0" shrinkToFit="false"/>
      <protection locked="true" hidden="false"/>
    </xf>
    <xf numFmtId="164" fontId="34" fillId="6" borderId="1" xfId="0" applyFont="true" applyBorder="true" applyAlignment="true" applyProtection="false">
      <alignment horizontal="general" vertical="top" textRotation="0" wrapText="false" indent="0" shrinkToFit="false"/>
      <protection locked="true" hidden="false"/>
    </xf>
    <xf numFmtId="164" fontId="15" fillId="0" borderId="5" xfId="0" applyFont="true" applyBorder="true" applyAlignment="true" applyProtection="false">
      <alignment horizontal="center" vertical="top" textRotation="0" wrapText="true" indent="0" shrinkToFit="false"/>
      <protection locked="true" hidden="false"/>
    </xf>
    <xf numFmtId="164" fontId="0" fillId="6" borderId="1" xfId="0" applyFont="false" applyBorder="true" applyAlignment="true" applyProtection="false">
      <alignment horizontal="general" vertical="top" textRotation="0" wrapText="true" indent="0" shrinkToFit="false"/>
      <protection locked="true" hidden="false"/>
    </xf>
    <xf numFmtId="164" fontId="0" fillId="6" borderId="0" xfId="0" applyFont="false" applyBorder="false" applyAlignment="true" applyProtection="false">
      <alignment horizontal="general" vertical="top" textRotation="0" wrapText="false" indent="0" shrinkToFit="false"/>
      <protection locked="true" hidden="false"/>
    </xf>
    <xf numFmtId="164" fontId="28" fillId="0" borderId="6" xfId="0" applyFont="true" applyBorder="true" applyAlignment="true" applyProtection="false">
      <alignment horizontal="general" vertical="top" textRotation="0" wrapText="true" indent="0" shrinkToFit="false"/>
      <protection locked="true" hidden="false"/>
    </xf>
    <xf numFmtId="164" fontId="15" fillId="0" borderId="8" xfId="0" applyFont="true" applyBorder="true" applyAlignment="true" applyProtection="false">
      <alignment horizontal="center" vertical="top" textRotation="0" wrapText="true" indent="0" shrinkToFit="false"/>
      <protection locked="true" hidden="false"/>
    </xf>
    <xf numFmtId="164" fontId="14" fillId="0" borderId="6" xfId="0" applyFont="true" applyBorder="true" applyAlignment="true" applyProtection="false">
      <alignment horizontal="general" vertical="top" textRotation="0" wrapText="true" indent="0" shrinkToFit="false"/>
      <protection locked="true" hidden="false"/>
    </xf>
    <xf numFmtId="164" fontId="13" fillId="6" borderId="6" xfId="0" applyFont="true" applyBorder="true" applyAlignment="true" applyProtection="false">
      <alignment horizontal="general" vertical="top" textRotation="0" wrapText="true" indent="0" shrinkToFit="false"/>
      <protection locked="true" hidden="false"/>
    </xf>
    <xf numFmtId="164" fontId="16" fillId="0" borderId="6" xfId="0" applyFont="true" applyBorder="true" applyAlignment="true" applyProtection="false">
      <alignment horizontal="general" vertical="top" textRotation="0" wrapText="true" indent="0" shrinkToFit="false"/>
      <protection locked="true" hidden="false"/>
    </xf>
    <xf numFmtId="164" fontId="16" fillId="0" borderId="8" xfId="0" applyFont="true" applyBorder="true" applyAlignment="true" applyProtection="false">
      <alignment horizontal="center" vertical="top" textRotation="0" wrapText="true" indent="0" shrinkToFit="false"/>
      <protection locked="true" hidden="false"/>
    </xf>
    <xf numFmtId="164" fontId="16" fillId="0" borderId="6" xfId="0" applyFont="true" applyBorder="true" applyAlignment="true" applyProtection="false">
      <alignment horizontal="general" vertical="bottom" textRotation="0" wrapText="true" indent="0" shrinkToFit="false"/>
      <protection locked="true" hidden="false"/>
    </xf>
    <xf numFmtId="164" fontId="29" fillId="6" borderId="6" xfId="0" applyFont="true" applyBorder="true" applyAlignment="true" applyProtection="false">
      <alignment horizontal="general" vertical="top" textRotation="0" wrapText="true" indent="0" shrinkToFit="false"/>
      <protection locked="true" hidden="false"/>
    </xf>
    <xf numFmtId="164" fontId="25" fillId="6" borderId="1" xfId="0" applyFont="true" applyBorder="true" applyAlignment="true" applyProtection="false">
      <alignment horizontal="general" vertical="top" textRotation="0" wrapText="true" indent="0" shrinkToFit="false"/>
      <protection locked="true" hidden="false"/>
    </xf>
    <xf numFmtId="164" fontId="29" fillId="6" borderId="1" xfId="0" applyFont="true" applyBorder="true" applyAlignment="true" applyProtection="false">
      <alignment horizontal="general" vertical="top" textRotation="0" wrapText="true" indent="0" shrinkToFit="false"/>
      <protection locked="true" hidden="false"/>
    </xf>
    <xf numFmtId="164" fontId="27" fillId="6" borderId="1" xfId="0" applyFont="true" applyBorder="true" applyAlignment="true" applyProtection="false">
      <alignment horizontal="general" vertical="top" textRotation="0" wrapText="true" indent="0" shrinkToFit="false"/>
      <protection locked="true" hidden="false"/>
    </xf>
    <xf numFmtId="165" fontId="25" fillId="0" borderId="2" xfId="0" applyFont="true" applyBorder="true" applyAlignment="true" applyProtection="false">
      <alignment horizontal="center" vertical="top" textRotation="0" wrapText="false" indent="0" shrinkToFit="false"/>
      <protection locked="true" hidden="false"/>
    </xf>
    <xf numFmtId="164" fontId="28" fillId="6" borderId="0" xfId="0" applyFont="true" applyBorder="false" applyAlignment="true" applyProtection="false">
      <alignment horizontal="general" vertical="top" textRotation="0" wrapText="false" indent="0" shrinkToFit="false"/>
      <protection locked="true" hidden="false"/>
    </xf>
    <xf numFmtId="164" fontId="27" fillId="6" borderId="9" xfId="0" applyFont="true" applyBorder="true" applyAlignment="true" applyProtection="false">
      <alignment horizontal="general" vertical="top" textRotation="0" wrapText="true" indent="0" shrinkToFit="false"/>
      <protection locked="true" hidden="false"/>
    </xf>
    <xf numFmtId="164" fontId="27" fillId="6" borderId="2" xfId="0" applyFont="true" applyBorder="true" applyAlignment="true" applyProtection="false">
      <alignment horizontal="general" vertical="top" textRotation="0" wrapText="true" indent="0" shrinkToFit="false"/>
      <protection locked="true" hidden="false"/>
    </xf>
    <xf numFmtId="164" fontId="35" fillId="0" borderId="1" xfId="0" applyFont="true" applyBorder="true" applyAlignment="true" applyProtection="false">
      <alignment horizontal="general" vertical="top" textRotation="0" wrapText="true" indent="0" shrinkToFit="false"/>
      <protection locked="true" hidden="false"/>
    </xf>
    <xf numFmtId="164" fontId="31" fillId="0" borderId="0" xfId="0" applyFont="true" applyBorder="false" applyAlignment="true" applyProtection="false">
      <alignment horizontal="center" vertical="top" textRotation="0" wrapText="false" indent="0" shrinkToFit="false"/>
      <protection locked="true" hidden="false"/>
    </xf>
    <xf numFmtId="164" fontId="31" fillId="0" borderId="0" xfId="0" applyFont="true" applyBorder="false" applyAlignment="true" applyProtection="false">
      <alignment horizontal="general" vertical="top"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36" fillId="0" borderId="0" xfId="0" applyFont="true" applyBorder="false" applyAlignment="true" applyProtection="false">
      <alignment horizontal="general" vertical="top" textRotation="0" wrapText="true" indent="0" shrinkToFit="false"/>
      <protection locked="true" hidden="false"/>
    </xf>
    <xf numFmtId="164" fontId="23" fillId="0" borderId="6" xfId="0" applyFont="true" applyBorder="true" applyAlignment="true" applyProtection="false">
      <alignment horizontal="general" vertical="top" textRotation="0" wrapText="false" indent="0" shrinkToFit="false"/>
      <protection locked="true" hidden="false"/>
    </xf>
    <xf numFmtId="164" fontId="23" fillId="0" borderId="6" xfId="0" applyFont="true" applyBorder="true" applyAlignment="true" applyProtection="false">
      <alignment horizontal="general" vertical="top" textRotation="0" wrapText="true" indent="0" shrinkToFit="false"/>
      <protection locked="true" hidden="false"/>
    </xf>
    <xf numFmtId="164" fontId="37" fillId="0" borderId="0" xfId="0" applyFont="true" applyBorder="false" applyAlignment="true" applyProtection="false">
      <alignment horizontal="general" vertical="top" textRotation="0" wrapText="true" indent="0" shrinkToFit="false"/>
      <protection locked="true" hidden="false"/>
    </xf>
    <xf numFmtId="164" fontId="38" fillId="0" borderId="1" xfId="0" applyFont="true" applyBorder="true" applyAlignment="true" applyProtection="false">
      <alignment horizontal="general" vertical="top" textRotation="0" wrapText="true" indent="0" shrinkToFit="false"/>
      <protection locked="true" hidden="false"/>
    </xf>
    <xf numFmtId="164" fontId="27" fillId="5" borderId="1" xfId="0" applyFont="true" applyBorder="true" applyAlignment="true" applyProtection="false">
      <alignment horizontal="center" vertical="top" textRotation="0" wrapText="true" indent="0" shrinkToFit="false"/>
      <protection locked="true" hidden="false"/>
    </xf>
    <xf numFmtId="164" fontId="27" fillId="5" borderId="1" xfId="0" applyFont="true" applyBorder="true" applyAlignment="true" applyProtection="false">
      <alignment horizontal="general" vertical="top" textRotation="0" wrapText="true" indent="0" shrinkToFit="false"/>
      <protection locked="true" hidden="false"/>
    </xf>
    <xf numFmtId="164" fontId="28" fillId="5" borderId="1" xfId="0" applyFont="true" applyBorder="true" applyAlignment="true" applyProtection="false">
      <alignment horizontal="general" vertical="top" textRotation="0" wrapText="false" indent="0" shrinkToFit="false"/>
      <protection locked="true" hidden="false"/>
    </xf>
    <xf numFmtId="164" fontId="25" fillId="5" borderId="1" xfId="0" applyFont="true" applyBorder="true" applyAlignment="true" applyProtection="false">
      <alignment horizontal="general" vertical="top" textRotation="0" wrapText="true" indent="0" shrinkToFit="false"/>
      <protection locked="true" hidden="false"/>
    </xf>
    <xf numFmtId="165" fontId="27" fillId="5" borderId="1" xfId="0" applyFont="true" applyBorder="true" applyAlignment="true" applyProtection="false">
      <alignment horizontal="center" vertical="top" textRotation="0" wrapText="true" indent="0" shrinkToFit="false"/>
      <protection locked="true" hidden="false"/>
    </xf>
    <xf numFmtId="164" fontId="29" fillId="5" borderId="1" xfId="0" applyFont="true" applyBorder="true" applyAlignment="true" applyProtection="false">
      <alignment horizontal="general" vertical="top" textRotation="0" wrapText="true" indent="0" shrinkToFit="false"/>
      <protection locked="true" hidden="false"/>
    </xf>
    <xf numFmtId="164" fontId="34" fillId="0" borderId="1" xfId="0" applyFont="true" applyBorder="true" applyAlignment="true" applyProtection="false">
      <alignment horizontal="general" vertical="top" textRotation="0" wrapText="true" indent="0" shrinkToFit="false"/>
      <protection locked="true" hidden="false"/>
    </xf>
    <xf numFmtId="164" fontId="34" fillId="0" borderId="1" xfId="0" applyFont="true" applyBorder="true" applyAlignment="true" applyProtection="false">
      <alignment horizontal="general" vertical="top" textRotation="0" wrapText="false" indent="0" shrinkToFit="false"/>
      <protection locked="true" hidden="false"/>
    </xf>
    <xf numFmtId="164" fontId="34" fillId="5" borderId="1" xfId="0" applyFont="true" applyBorder="true" applyAlignment="true" applyProtection="false">
      <alignment horizontal="general" vertical="top" textRotation="0" wrapText="true" indent="0" shrinkToFit="false"/>
      <protection locked="true" hidden="false"/>
    </xf>
    <xf numFmtId="165" fontId="25" fillId="5" borderId="1" xfId="0" applyFont="true" applyBorder="true" applyAlignment="true" applyProtection="false">
      <alignment horizontal="center" vertical="top" textRotation="0" wrapText="true" indent="0" shrinkToFit="false"/>
      <protection locked="true" hidden="false"/>
    </xf>
    <xf numFmtId="164" fontId="29" fillId="5" borderId="1" xfId="0" applyFont="true" applyBorder="true" applyAlignment="true" applyProtection="false">
      <alignment horizontal="center" vertical="top" textRotation="0" wrapText="true" indent="0" shrinkToFit="false"/>
      <protection locked="true" hidden="false"/>
    </xf>
    <xf numFmtId="165" fontId="29" fillId="5" borderId="1" xfId="0" applyFont="true" applyBorder="true" applyAlignment="true" applyProtection="false">
      <alignment horizontal="center" vertical="top" textRotation="0" wrapText="true" indent="0" shrinkToFit="false"/>
      <protection locked="true" hidden="false"/>
    </xf>
    <xf numFmtId="164" fontId="29" fillId="9" borderId="1" xfId="0" applyFont="true" applyBorder="true" applyAlignment="true" applyProtection="false">
      <alignment horizontal="center" vertical="top" textRotation="0" wrapText="false" indent="0" shrinkToFit="false"/>
      <protection locked="true" hidden="false"/>
    </xf>
    <xf numFmtId="164" fontId="31" fillId="9" borderId="1" xfId="0" applyFont="true" applyBorder="true" applyAlignment="true" applyProtection="false">
      <alignment horizontal="general" vertical="top" textRotation="0" wrapText="false" indent="0" shrinkToFit="false"/>
      <protection locked="true" hidden="false"/>
    </xf>
    <xf numFmtId="164" fontId="23" fillId="9" borderId="1" xfId="0" applyFont="true" applyBorder="true" applyAlignment="true" applyProtection="false">
      <alignment horizontal="general" vertical="top" textRotation="0" wrapText="false" indent="0" shrinkToFit="false"/>
      <protection locked="true" hidden="false"/>
    </xf>
    <xf numFmtId="164" fontId="28" fillId="9" borderId="1" xfId="0" applyFont="true" applyBorder="true" applyAlignment="true" applyProtection="false">
      <alignment horizontal="general" vertical="top" textRotation="0" wrapText="false" indent="0" shrinkToFit="false"/>
      <protection locked="true" hidden="false"/>
    </xf>
    <xf numFmtId="164" fontId="39" fillId="9" borderId="1" xfId="0" applyFont="true" applyBorder="true" applyAlignment="true" applyProtection="false">
      <alignment horizontal="general" vertical="top" textRotation="0" wrapText="false" indent="0" shrinkToFit="false"/>
      <protection locked="true" hidden="false"/>
    </xf>
    <xf numFmtId="164" fontId="39" fillId="9" borderId="1" xfId="0" applyFont="true" applyBorder="true" applyAlignment="true" applyProtection="false">
      <alignment horizontal="general" vertical="top" textRotation="0" wrapText="true" indent="0" shrinkToFit="false"/>
      <protection locked="true" hidden="false"/>
    </xf>
    <xf numFmtId="164" fontId="32" fillId="9" borderId="1" xfId="0" applyFont="true" applyBorder="true" applyAlignment="true" applyProtection="false">
      <alignment horizontal="general" vertical="top" textRotation="0" wrapText="true" indent="0" shrinkToFit="false"/>
      <protection locked="true" hidden="false"/>
    </xf>
    <xf numFmtId="164" fontId="27" fillId="9" borderId="1" xfId="0" applyFont="true" applyBorder="true" applyAlignment="true" applyProtection="false">
      <alignment horizontal="center" vertical="top" textRotation="0" wrapText="false" indent="0" shrinkToFit="false"/>
      <protection locked="true" hidden="false"/>
    </xf>
    <xf numFmtId="165" fontId="27" fillId="9" borderId="1" xfId="0" applyFont="true" applyBorder="true" applyAlignment="true" applyProtection="false">
      <alignment horizontal="center" vertical="top" textRotation="0" wrapText="false" indent="0" shrinkToFit="false"/>
      <protection locked="true" hidden="false"/>
    </xf>
    <xf numFmtId="164" fontId="27" fillId="9" borderId="1" xfId="0" applyFont="true" applyBorder="true" applyAlignment="true" applyProtection="false">
      <alignment horizontal="left" vertical="top" textRotation="0" wrapText="false" indent="0" shrinkToFit="false"/>
      <protection locked="true" hidden="false"/>
    </xf>
    <xf numFmtId="164" fontId="0" fillId="9" borderId="0" xfId="0" applyFont="false" applyBorder="false" applyAlignment="true" applyProtection="false">
      <alignment horizontal="general" vertical="top" textRotation="0" wrapText="false" indent="0" shrinkToFit="false"/>
      <protection locked="true" hidden="false"/>
    </xf>
    <xf numFmtId="164" fontId="29" fillId="0" borderId="1" xfId="0" applyFont="true" applyBorder="true" applyAlignment="true" applyProtection="false">
      <alignment horizontal="general" vertical="top" textRotation="0" wrapText="false" indent="0" shrinkToFit="false"/>
      <protection locked="true" hidden="false"/>
    </xf>
    <xf numFmtId="164" fontId="30" fillId="0" borderId="1" xfId="0" applyFont="true" applyBorder="true" applyAlignment="true" applyProtection="false">
      <alignment horizontal="general" vertical="top" textRotation="0" wrapText="false" indent="0" shrinkToFit="false"/>
      <protection locked="true" hidden="false"/>
    </xf>
    <xf numFmtId="164" fontId="40" fillId="0" borderId="1" xfId="0" applyFont="true" applyBorder="true" applyAlignment="true" applyProtection="false">
      <alignment horizontal="general" vertical="top" textRotation="0" wrapText="false" indent="0" shrinkToFit="false"/>
      <protection locked="true" hidden="false"/>
    </xf>
    <xf numFmtId="164" fontId="39" fillId="0" borderId="1" xfId="0" applyFont="true" applyBorder="true" applyAlignment="true" applyProtection="false">
      <alignment horizontal="general" vertical="top" textRotation="0" wrapText="false" indent="0" shrinkToFit="false"/>
      <protection locked="true" hidden="false"/>
    </xf>
    <xf numFmtId="165" fontId="29" fillId="0" borderId="1" xfId="0" applyFont="true" applyBorder="true" applyAlignment="true" applyProtection="false">
      <alignment horizontal="center" vertical="top" textRotation="0" wrapText="false" indent="0" shrinkToFit="false"/>
      <protection locked="true" hidden="false"/>
    </xf>
    <xf numFmtId="164" fontId="21" fillId="0" borderId="1" xfId="0" applyFont="true" applyBorder="tru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5" fontId="0" fillId="5" borderId="0" xfId="0" applyFont="fals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42" fillId="0" borderId="1" xfId="0" applyFont="true" applyBorder="true" applyAlignment="true" applyProtection="false">
      <alignment horizontal="center"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true" indent="0" shrinkToFit="false"/>
      <protection locked="true" hidden="false"/>
    </xf>
    <xf numFmtId="164" fontId="22" fillId="11" borderId="1" xfId="0" applyFont="true" applyBorder="true" applyAlignment="true" applyProtection="false">
      <alignment horizontal="center" vertical="center" textRotation="0" wrapText="false" indent="0" shrinkToFit="false"/>
      <protection locked="true" hidden="false"/>
    </xf>
    <xf numFmtId="164" fontId="22" fillId="11"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3" fillId="0" borderId="1" xfId="0" applyFont="true" applyBorder="true" applyAlignment="true" applyProtection="false">
      <alignment horizontal="general" vertical="center" textRotation="0" wrapText="false" indent="0" shrinkToFit="false"/>
      <protection locked="true" hidden="false"/>
    </xf>
    <xf numFmtId="164" fontId="37" fillId="0" borderId="1" xfId="0" applyFont="true" applyBorder="true" applyAlignment="true" applyProtection="false">
      <alignment horizontal="general" vertical="center" textRotation="0" wrapText="true" indent="0" shrinkToFit="false"/>
      <protection locked="true" hidden="false"/>
    </xf>
    <xf numFmtId="164" fontId="22" fillId="12" borderId="1" xfId="0" applyFont="true" applyBorder="true" applyAlignment="true" applyProtection="false">
      <alignment horizontal="center" vertical="center" textRotation="0" wrapText="true" indent="0" shrinkToFit="false"/>
      <protection locked="true" hidden="false"/>
    </xf>
    <xf numFmtId="165" fontId="0" fillId="12"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DDE7F0"/>
          <bgColor rgb="FF000000"/>
        </patternFill>
      </fill>
    </dxf>
    <dxf>
      <fill>
        <patternFill patternType="solid">
          <bgColor rgb="FF000000"/>
        </patternFill>
      </fill>
    </dxf>
    <dxf>
      <fill>
        <patternFill patternType="solid">
          <fgColor rgb="FF1F4E9C"/>
          <bgColor rgb="FF000000"/>
        </patternFill>
      </fill>
    </dxf>
    <dxf>
      <fill>
        <patternFill patternType="solid">
          <fgColor rgb="FF000000"/>
          <bgColor rgb="FF000000"/>
        </patternFill>
      </fill>
    </dxf>
    <dxf>
      <fill>
        <patternFill patternType="solid">
          <fgColor rgb="FFF2C200"/>
          <bgColor rgb="FF000000"/>
        </patternFill>
      </fill>
    </dxf>
    <dxf>
      <fill>
        <patternFill patternType="solid">
          <fgColor rgb="FFFFF2B3"/>
          <bgColor rgb="FF000000"/>
        </patternFill>
      </fill>
    </dxf>
    <dxf>
      <fill>
        <patternFill patternType="solid">
          <fgColor rgb="FFFBD5B5"/>
          <bgColor rgb="FF000000"/>
        </patternFill>
      </fill>
    </dxf>
    <dxf>
      <fill>
        <patternFill>
          <bgColor rgb="FFC6E7C1"/>
        </patternFill>
      </fill>
    </dxf>
    <dxf>
      <fill>
        <patternFill>
          <bgColor rgb="FFFBD5B5"/>
        </patternFill>
      </fill>
    </dxf>
    <dxf>
      <fill>
        <patternFill>
          <bgColor rgb="FFF4B6B6"/>
        </patternFill>
      </fill>
    </dxf>
    <dxf>
      <fill>
        <patternFill patternType="solid">
          <fgColor rgb="FFFFFF00"/>
          <bgColor rgb="FF000000"/>
        </patternFill>
      </fill>
    </dxf>
    <dxf>
      <fill>
        <patternFill patternType="solid">
          <fgColor rgb="FFFFFFFF"/>
          <bgColor rgb="FF000000"/>
        </patternFill>
      </fill>
    </dxf>
    <dxf>
      <fill>
        <patternFill>
          <bgColor rgb="FFFFC7CE"/>
        </patternFill>
      </fill>
    </dxf>
    <dxf>
      <font>
        <i val="1"/>
        <color rgb="FF7F7F7F"/>
      </font>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7F7F7F"/>
      <rgbColor rgb="FF9999FF"/>
      <rgbColor rgb="FF993366"/>
      <rgbColor rgb="FFFFF2B3"/>
      <rgbColor rgb="FFDDE7F0"/>
      <rgbColor rgb="FF660066"/>
      <rgbColor rgb="FFFF8080"/>
      <rgbColor rgb="FF0563C1"/>
      <rgbColor rgb="FFBDD6EE"/>
      <rgbColor rgb="FF000080"/>
      <rgbColor rgb="FFFF00FF"/>
      <rgbColor rgb="FFFFFF00"/>
      <rgbColor rgb="FF00FFFF"/>
      <rgbColor rgb="FF800080"/>
      <rgbColor rgb="FF800000"/>
      <rgbColor rgb="FF008080"/>
      <rgbColor rgb="FF0000FF"/>
      <rgbColor rgb="FF00CCFF"/>
      <rgbColor rgb="FFE7E6E6"/>
      <rgbColor rgb="FFC6E7C1"/>
      <rgbColor rgb="FFC5E0B3"/>
      <rgbColor rgb="FFB4C7E7"/>
      <rgbColor rgb="FFF4B6B6"/>
      <rgbColor rgb="FFFFC7CE"/>
      <rgbColor rgb="FFFBD5B5"/>
      <rgbColor rgb="FF3366FF"/>
      <rgbColor rgb="FF33CCCC"/>
      <rgbColor rgb="FF99CC00"/>
      <rgbColor rgb="FFF2C200"/>
      <rgbColor rgb="FFFF9900"/>
      <rgbColor rgb="FFFF6600"/>
      <rgbColor rgb="FF666699"/>
      <rgbColor rgb="FFA8D08D"/>
      <rgbColor rgb="FF003366"/>
      <rgbColor rgb="FF2E9C5A"/>
      <rgbColor rgb="FF003300"/>
      <rgbColor rgb="FF333300"/>
      <rgbColor rgb="FF993300"/>
      <rgbColor rgb="FF993366"/>
      <rgbColor rgb="FF1F4E9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38.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39.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0.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1.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2.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3.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4.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5.xml.rels><?xml version="1.0" encoding="UTF-8"?>
<Relationships xmlns="http://schemas.openxmlformats.org/package/2006/relationships"><Relationship Id="rId1" Type="http://schemas.openxmlformats.org/officeDocument/2006/relationships/hyperlink" Target="https://ksrsac.karnataka.gov.in/map.aspx" TargetMode="External"/>
</Relationships>
</file>

<file path=xl/worksheets/_rels/sheet46.xml.rels><?xml version="1.0" encoding="UTF-8"?>
<Relationships xmlns="http://schemas.openxmlformats.org/package/2006/relationships"><Relationship Id="rId1" Type="http://schemas.openxmlformats.org/officeDocument/2006/relationships/hyperlink" Target="https://bwssb.karnataka.gov.in/storage/pdf-files/documents/Vision%20Document%202050%20%20new.pdf" TargetMode="External"/>
</Relationships>
</file>

<file path=xl/worksheets/_rels/sheet47.xml.rels><?xml version="1.0" encoding="UTF-8"?>
<Relationships xmlns="http://schemas.openxmlformats.org/package/2006/relationships"><Relationship Id="rId1" Type="http://schemas.openxmlformats.org/officeDocument/2006/relationships/hyperlink" Target="https://bwssb.karnataka.gov.in/storage/pdf-files/documents/Vision%20Document%202050%20%20new.pdf" TargetMode="External"/>
</Relationships>
</file>

<file path=xl/worksheets/_rels/sheet48.xml.rels><?xml version="1.0" encoding="UTF-8"?>
<Relationships xmlns="http://schemas.openxmlformats.org/package/2006/relationships"><Relationship Id="rId1" Type="http://schemas.openxmlformats.org/officeDocument/2006/relationships/hyperlink" Target="https://bwssb.karnataka.gov.in/storage/pdf-files/documents/Vision%20Document%202050%20%20new.pdf" TargetMode="External"/>
</Relationships>
</file>

<file path=xl/worksheets/_rels/sheet52.xml.rels><?xml version="1.0" encoding="UTF-8"?>
<Relationships xmlns="http://schemas.openxmlformats.org/package/2006/relationships"><Relationship Id="rId1" Type="http://schemas.openxmlformats.org/officeDocument/2006/relationships/hyperlink" Target="https://dult.karnataka.gov.in/assets/front/pdf/Comprehensive_Mobility_Plan.pdf" TargetMode="External"/>
</Relationships>
</file>

<file path=xl/worksheets/_rels/sheet53.xml.rels><?xml version="1.0" encoding="UTF-8"?>
<Relationships xmlns="http://schemas.openxmlformats.org/package/2006/relationships"><Relationship Id="rId1" Type="http://schemas.openxmlformats.org/officeDocument/2006/relationships/hyperlink" Target="https://dult.karnataka.gov.in/assets/front/pdf/Comprehensive_Mobility_Plan.pdf" TargetMode="External"/>
</Relationships>
</file>

<file path=xl/worksheets/_rels/sheet54.xml.rels><?xml version="1.0" encoding="UTF-8"?>
<Relationships xmlns="http://schemas.openxmlformats.org/package/2006/relationships"><Relationship Id="rId1" Type="http://schemas.openxmlformats.org/officeDocument/2006/relationships/hyperlink" Target="https://dult.karnataka.gov.in/assets/front/pdf/Comprehensive_Mobility_Plan.pdf" TargetMode="External"/>
</Relationships>
</file>

<file path=xl/worksheets/_rels/sheet55.xml.rels><?xml version="1.0" encoding="UTF-8"?>
<Relationships xmlns="http://schemas.openxmlformats.org/package/2006/relationships"><Relationship Id="rId1" Type="http://schemas.openxmlformats.org/officeDocument/2006/relationships/hyperlink" Target="https://www.thehindu.com/news/cities/bangalore/proposed-economic-masterplan-for-bengaluru-metropolitan-region-targets-75-public-transport/article71420718.ece" TargetMode="External"/>
</Relationships>
</file>

<file path=xl/worksheets/_rels/sheet69.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70.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71.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72.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73.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C5A"/>
    <pageSetUpPr fitToPage="false"/>
  </sheetPr>
  <dimension ref="A1:R1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50"/>
    <col collapsed="false" customWidth="true" hidden="false" outlineLevel="0" max="4" min="4" style="0" width="9"/>
    <col collapsed="false" customWidth="true" hidden="false" outlineLevel="0" max="5" min="5" style="0" width="8"/>
    <col collapsed="false" customWidth="true" hidden="false" outlineLevel="0" max="6" min="6" style="0" width="12"/>
    <col collapsed="false" customWidth="true" hidden="false" outlineLevel="0" max="7" min="7" style="0" width="30"/>
    <col collapsed="false" customWidth="true" hidden="false" outlineLevel="0" max="8" min="8" style="0" width="10"/>
    <col collapsed="false" customWidth="true" hidden="false" outlineLevel="0" max="9" min="9" style="0" width="9"/>
    <col collapsed="false" customWidth="true" hidden="false" outlineLevel="0" max="10" min="10" style="0" width="14"/>
    <col collapsed="false" customWidth="true" hidden="false" outlineLevel="0" max="11" min="11" style="0" width="16"/>
    <col collapsed="false" customWidth="true" hidden="false" outlineLevel="0" max="12" min="12" style="0" width="20"/>
    <col collapsed="false" customWidth="true" hidden="false" outlineLevel="0" max="13" min="13" style="0" width="60"/>
    <col collapsed="false" customWidth="true" hidden="false" outlineLevel="0" max="14" min="14" style="0" width="36"/>
    <col collapsed="false" customWidth="true" hidden="false" outlineLevel="0" max="15" min="15" style="0" width="30"/>
    <col collapsed="false" customWidth="true" hidden="false" outlineLevel="0" max="16" min="16" style="0" width="50"/>
    <col collapsed="false" customWidth="true" hidden="false" outlineLevel="0" max="17" min="17" style="0" width="70"/>
    <col collapsed="false" customWidth="true" hidden="false" outlineLevel="0" max="18" min="18" style="0" width="50"/>
  </cols>
  <sheetData>
    <row r="1" customFormat="false" ht="31.5" hidden="false" customHeight="true" outlineLevel="0" collapsed="false">
      <c r="A1" s="1" t="s">
        <v>0</v>
      </c>
      <c r="B1" s="1" t="s">
        <v>1</v>
      </c>
      <c r="C1" s="1" t="s">
        <v>2</v>
      </c>
      <c r="D1" s="1" t="s">
        <v>3</v>
      </c>
      <c r="E1" s="1" t="s">
        <v>4</v>
      </c>
      <c r="F1" s="2" t="s">
        <v>5</v>
      </c>
      <c r="G1" s="2" t="s">
        <v>6</v>
      </c>
      <c r="H1" s="1" t="s">
        <v>7</v>
      </c>
      <c r="I1" s="1" t="s">
        <v>8</v>
      </c>
      <c r="J1" s="1" t="s">
        <v>9</v>
      </c>
      <c r="K1" s="1" t="s">
        <v>10</v>
      </c>
      <c r="L1" s="1" t="s">
        <v>11</v>
      </c>
      <c r="M1" s="1" t="s">
        <v>12</v>
      </c>
      <c r="N1" s="1" t="s">
        <v>13</v>
      </c>
      <c r="O1" s="1" t="s">
        <v>14</v>
      </c>
      <c r="P1" s="1" t="s">
        <v>15</v>
      </c>
      <c r="Q1" s="1" t="s">
        <v>16</v>
      </c>
      <c r="R1" s="1" t="s">
        <v>17</v>
      </c>
    </row>
    <row r="2" customFormat="false" ht="93" hidden="false" customHeight="true" outlineLevel="0" collapsed="false">
      <c r="A2" s="3" t="s">
        <v>18</v>
      </c>
      <c r="B2" s="4" t="s">
        <v>19</v>
      </c>
      <c r="C2" s="4" t="s">
        <v>20</v>
      </c>
      <c r="D2" s="4" t="str">
        <f aca="false">IFERROR('UPD1'!L14,"")</f>
        <v/>
      </c>
      <c r="E2" s="4" t="s">
        <v>21</v>
      </c>
      <c r="F2" s="5"/>
      <c r="G2" s="5"/>
      <c r="H2" s="6" t="str">
        <f aca="false">IF(OR(F2="",NOT(ISNUMBER(D2))),"",IF(ABS(F2-D2)&lt;0.001,"Yes","No"))</f>
        <v/>
      </c>
      <c r="I2" s="7" t="str">
        <f aca="false">IF(ISNUMBER(F2),F2,D2)</f>
        <v/>
      </c>
      <c r="J2" s="6" t="str">
        <f aca="false">IF(ISNUMBER(F2),"Expert (overrides AI)",IF(ISNUMBER(D2),"AI","Not scored yet"))</f>
        <v>Not scored yet</v>
      </c>
      <c r="K2" s="4" t="s">
        <v>22</v>
      </c>
      <c r="L2" s="4" t="s">
        <v>23</v>
      </c>
      <c r="M2" s="4" t="s">
        <v>24</v>
      </c>
      <c r="N2" s="4" t="s">
        <v>25</v>
      </c>
      <c r="O2" s="4" t="s">
        <v>26</v>
      </c>
      <c r="P2" s="4" t="s">
        <v>27</v>
      </c>
      <c r="Q2" s="4" t="s">
        <v>28</v>
      </c>
      <c r="R2" s="4" t="s">
        <v>29</v>
      </c>
    </row>
    <row r="3" customFormat="false" ht="93" hidden="false" customHeight="true" outlineLevel="0" collapsed="false">
      <c r="A3" s="3" t="s">
        <v>18</v>
      </c>
      <c r="B3" s="4" t="s">
        <v>30</v>
      </c>
      <c r="C3" s="4" t="s">
        <v>20</v>
      </c>
      <c r="D3" s="4" t="str">
        <f aca="false">IFERROR('UPD1'!L33,"")</f>
        <v/>
      </c>
      <c r="E3" s="4" t="s">
        <v>21</v>
      </c>
      <c r="F3" s="5"/>
      <c r="G3" s="5"/>
      <c r="H3" s="6" t="str">
        <f aca="false">IF(OR(F3="",NOT(ISNUMBER(D3))),"",IF(ABS(F3-D3)&lt;0.001,"Yes","No"))</f>
        <v/>
      </c>
      <c r="I3" s="7" t="str">
        <f aca="false">IF(ISNUMBER(F3),F3,D3)</f>
        <v/>
      </c>
      <c r="J3" s="6" t="str">
        <f aca="false">IF(ISNUMBER(F3),"Expert (overrides AI)",IF(ISNUMBER(D3),"AI","Not scored yet"))</f>
        <v>Not scored yet</v>
      </c>
      <c r="K3" s="4" t="s">
        <v>22</v>
      </c>
      <c r="L3" s="4" t="s">
        <v>31</v>
      </c>
      <c r="M3" s="4"/>
      <c r="N3" s="4"/>
      <c r="O3" s="4"/>
      <c r="P3" s="4"/>
      <c r="Q3" s="4"/>
      <c r="R3" s="4" t="s">
        <v>32</v>
      </c>
    </row>
    <row r="4" customFormat="false" ht="93" hidden="false" customHeight="true" outlineLevel="0" collapsed="false">
      <c r="A4" s="3" t="s">
        <v>33</v>
      </c>
      <c r="B4" s="4" t="s">
        <v>19</v>
      </c>
      <c r="C4" s="4" t="s">
        <v>34</v>
      </c>
      <c r="D4" s="8" t="n">
        <f aca="false">IFERROR('UPD2'!K14,"")</f>
        <v>10</v>
      </c>
      <c r="E4" s="4" t="s">
        <v>21</v>
      </c>
      <c r="F4" s="5"/>
      <c r="G4" s="5"/>
      <c r="H4" s="6" t="str">
        <f aca="false">IF(OR(F4="",NOT(ISNUMBER(D4))),"",IF(ABS(F4-D4)&lt;0.001,"Yes","No"))</f>
        <v/>
      </c>
      <c r="I4" s="9" t="n">
        <f aca="false">IF(ISNUMBER(F4),F4,D4)</f>
        <v>10</v>
      </c>
      <c r="J4" s="6" t="str">
        <f aca="false">IF(ISNUMBER(F4),"Expert (overrides AI)",IF(ISNUMBER(D4),"AI","Not scored yet"))</f>
        <v>AI</v>
      </c>
      <c r="K4" s="4" t="s">
        <v>35</v>
      </c>
      <c r="L4" s="4" t="s">
        <v>36</v>
      </c>
      <c r="M4" s="4" t="s">
        <v>37</v>
      </c>
      <c r="N4" s="4" t="s">
        <v>25</v>
      </c>
      <c r="O4" s="4" t="s">
        <v>26</v>
      </c>
      <c r="P4" s="4" t="s">
        <v>38</v>
      </c>
      <c r="Q4" s="4" t="s">
        <v>39</v>
      </c>
      <c r="R4" s="4"/>
    </row>
    <row r="5" customFormat="false" ht="93" hidden="false" customHeight="true" outlineLevel="0" collapsed="false">
      <c r="A5" s="3" t="s">
        <v>33</v>
      </c>
      <c r="B5" s="4" t="s">
        <v>30</v>
      </c>
      <c r="C5" s="4" t="s">
        <v>34</v>
      </c>
      <c r="D5" s="8" t="n">
        <f aca="false">IFERROR('UPD2'!K33,"")</f>
        <v>10</v>
      </c>
      <c r="E5" s="4" t="s">
        <v>21</v>
      </c>
      <c r="F5" s="5"/>
      <c r="G5" s="5"/>
      <c r="H5" s="6" t="str">
        <f aca="false">IF(OR(F5="",NOT(ISNUMBER(D5))),"",IF(ABS(F5-D5)&lt;0.001,"Yes","No"))</f>
        <v/>
      </c>
      <c r="I5" s="9" t="n">
        <f aca="false">IF(ISNUMBER(F5),F5,D5)</f>
        <v>10</v>
      </c>
      <c r="J5" s="6" t="str">
        <f aca="false">IF(ISNUMBER(F5),"Expert (overrides AI)",IF(ISNUMBER(D5),"AI","Not scored yet"))</f>
        <v>AI</v>
      </c>
      <c r="K5" s="4" t="s">
        <v>35</v>
      </c>
      <c r="L5" s="4" t="s">
        <v>23</v>
      </c>
      <c r="M5" s="4" t="s">
        <v>40</v>
      </c>
      <c r="N5" s="4" t="s">
        <v>41</v>
      </c>
      <c r="O5" s="4" t="s">
        <v>42</v>
      </c>
      <c r="P5" s="4" t="s">
        <v>43</v>
      </c>
      <c r="Q5" s="4" t="s">
        <v>44</v>
      </c>
      <c r="R5" s="4"/>
    </row>
    <row r="6" customFormat="false" ht="93" hidden="false" customHeight="true" outlineLevel="0" collapsed="false">
      <c r="A6" s="3" t="s">
        <v>45</v>
      </c>
      <c r="B6" s="4" t="s">
        <v>19</v>
      </c>
      <c r="C6" s="4" t="s">
        <v>46</v>
      </c>
      <c r="D6" s="8" t="n">
        <f aca="false">IFERROR(UPD3a!K14,"")</f>
        <v>3.33</v>
      </c>
      <c r="E6" s="4" t="s">
        <v>47</v>
      </c>
      <c r="F6" s="5"/>
      <c r="G6" s="5"/>
      <c r="H6" s="6" t="str">
        <f aca="false">IF(OR(F6="",NOT(ISNUMBER(D6))),"",IF(ABS(F6-D6)&lt;0.001,"Yes","No"))</f>
        <v/>
      </c>
      <c r="I6" s="9" t="n">
        <f aca="false">IF(ISNUMBER(F6),F6,D6)</f>
        <v>3.33</v>
      </c>
      <c r="J6" s="6" t="str">
        <f aca="false">IF(ISNUMBER(F6),"Expert (overrides AI)",IF(ISNUMBER(D6),"AI","Not scored yet"))</f>
        <v>AI</v>
      </c>
      <c r="K6" s="4" t="s">
        <v>35</v>
      </c>
      <c r="L6" s="4" t="s">
        <v>36</v>
      </c>
      <c r="M6" s="4" t="s">
        <v>48</v>
      </c>
      <c r="N6" s="4" t="s">
        <v>49</v>
      </c>
      <c r="O6" s="4" t="s">
        <v>50</v>
      </c>
      <c r="P6" s="4" t="s">
        <v>51</v>
      </c>
      <c r="Q6" s="4" t="s">
        <v>52</v>
      </c>
      <c r="R6" s="4"/>
    </row>
    <row r="7" customFormat="false" ht="93" hidden="false" customHeight="true" outlineLevel="0" collapsed="false">
      <c r="A7" s="3" t="s">
        <v>45</v>
      </c>
      <c r="B7" s="4" t="s">
        <v>30</v>
      </c>
      <c r="C7" s="4" t="s">
        <v>46</v>
      </c>
      <c r="D7" s="4" t="str">
        <f aca="false">IFERROR(UPD3a!K33,"")</f>
        <v/>
      </c>
      <c r="E7" s="4" t="s">
        <v>47</v>
      </c>
      <c r="F7" s="5"/>
      <c r="G7" s="5"/>
      <c r="H7" s="6" t="str">
        <f aca="false">IF(OR(F7="",NOT(ISNUMBER(D7))),"",IF(ABS(F7-D7)&lt;0.001,"Yes","No"))</f>
        <v/>
      </c>
      <c r="I7" s="7" t="str">
        <f aca="false">IF(ISNUMBER(F7),F7,D7)</f>
        <v/>
      </c>
      <c r="J7" s="6" t="str">
        <f aca="false">IF(ISNUMBER(F7),"Expert (overrides AI)",IF(ISNUMBER(D7),"AI","Not scored yet"))</f>
        <v>Not scored yet</v>
      </c>
      <c r="K7" s="4" t="s">
        <v>22</v>
      </c>
      <c r="L7" s="4" t="s">
        <v>23</v>
      </c>
      <c r="M7" s="4" t="s">
        <v>53</v>
      </c>
      <c r="N7" s="4" t="s">
        <v>54</v>
      </c>
      <c r="O7" s="4" t="s">
        <v>55</v>
      </c>
      <c r="P7" s="4" t="s">
        <v>56</v>
      </c>
      <c r="Q7" s="4" t="s">
        <v>57</v>
      </c>
      <c r="R7" s="4" t="s">
        <v>58</v>
      </c>
    </row>
    <row r="8" customFormat="false" ht="93" hidden="false" customHeight="true" outlineLevel="0" collapsed="false">
      <c r="A8" s="3" t="s">
        <v>59</v>
      </c>
      <c r="B8" s="4" t="s">
        <v>19</v>
      </c>
      <c r="C8" s="4" t="s">
        <v>60</v>
      </c>
      <c r="D8" s="8" t="n">
        <f aca="false">IFERROR(UPD3b!K14,"")</f>
        <v>3.33</v>
      </c>
      <c r="E8" s="4" t="s">
        <v>47</v>
      </c>
      <c r="F8" s="5"/>
      <c r="G8" s="5"/>
      <c r="H8" s="6" t="str">
        <f aca="false">IF(OR(F8="",NOT(ISNUMBER(D8))),"",IF(ABS(F8-D8)&lt;0.001,"Yes","No"))</f>
        <v/>
      </c>
      <c r="I8" s="9" t="n">
        <f aca="false">IF(ISNUMBER(F8),F8,D8)</f>
        <v>3.33</v>
      </c>
      <c r="J8" s="6" t="str">
        <f aca="false">IF(ISNUMBER(F8),"Expert (overrides AI)",IF(ISNUMBER(D8),"AI","Not scored yet"))</f>
        <v>AI</v>
      </c>
      <c r="K8" s="4" t="s">
        <v>35</v>
      </c>
      <c r="L8" s="4" t="s">
        <v>36</v>
      </c>
      <c r="M8" s="4" t="s">
        <v>61</v>
      </c>
      <c r="N8" s="4" t="s">
        <v>25</v>
      </c>
      <c r="O8" s="4" t="s">
        <v>26</v>
      </c>
      <c r="P8" s="4" t="s">
        <v>62</v>
      </c>
      <c r="Q8" s="4" t="s">
        <v>63</v>
      </c>
      <c r="R8" s="4"/>
    </row>
    <row r="9" customFormat="false" ht="93" hidden="false" customHeight="true" outlineLevel="0" collapsed="false">
      <c r="A9" s="3" t="s">
        <v>59</v>
      </c>
      <c r="B9" s="4" t="s">
        <v>30</v>
      </c>
      <c r="C9" s="4" t="s">
        <v>60</v>
      </c>
      <c r="D9" s="8" t="n">
        <f aca="false">IFERROR(UPD3b!K33,"")</f>
        <v>3.33</v>
      </c>
      <c r="E9" s="4" t="s">
        <v>47</v>
      </c>
      <c r="F9" s="5"/>
      <c r="G9" s="5"/>
      <c r="H9" s="6" t="str">
        <f aca="false">IF(OR(F9="",NOT(ISNUMBER(D9))),"",IF(ABS(F9-D9)&lt;0.001,"Yes","No"))</f>
        <v/>
      </c>
      <c r="I9" s="9" t="n">
        <f aca="false">IF(ISNUMBER(F9),F9,D9)</f>
        <v>3.33</v>
      </c>
      <c r="J9" s="6" t="str">
        <f aca="false">IF(ISNUMBER(F9),"Expert (overrides AI)",IF(ISNUMBER(D9),"AI","Not scored yet"))</f>
        <v>AI</v>
      </c>
      <c r="K9" s="4" t="s">
        <v>35</v>
      </c>
      <c r="L9" s="4" t="s">
        <v>23</v>
      </c>
      <c r="M9" s="4" t="s">
        <v>64</v>
      </c>
      <c r="N9" s="4" t="s">
        <v>65</v>
      </c>
      <c r="O9" s="4" t="s">
        <v>66</v>
      </c>
      <c r="P9" s="4" t="s">
        <v>67</v>
      </c>
      <c r="Q9" s="4" t="s">
        <v>68</v>
      </c>
      <c r="R9" s="4"/>
    </row>
    <row r="10" customFormat="false" ht="93" hidden="false" customHeight="true" outlineLevel="0" collapsed="false">
      <c r="A10" s="3" t="s">
        <v>69</v>
      </c>
      <c r="B10" s="4" t="s">
        <v>19</v>
      </c>
      <c r="C10" s="4" t="s">
        <v>70</v>
      </c>
      <c r="D10" s="4" t="str">
        <f aca="false">IFERROR(UPD3c!L14,"")</f>
        <v/>
      </c>
      <c r="E10" s="4" t="s">
        <v>47</v>
      </c>
      <c r="F10" s="5"/>
      <c r="G10" s="5"/>
      <c r="H10" s="6" t="str">
        <f aca="false">IF(OR(F10="",NOT(ISNUMBER(D10))),"",IF(ABS(F10-D10)&lt;0.001,"Yes","No"))</f>
        <v/>
      </c>
      <c r="I10" s="7" t="str">
        <f aca="false">IF(ISNUMBER(F10),F10,D10)</f>
        <v/>
      </c>
      <c r="J10" s="6" t="str">
        <f aca="false">IF(ISNUMBER(F10),"Expert (overrides AI)",IF(ISNUMBER(D10),"AI","Not scored yet"))</f>
        <v>Not scored yet</v>
      </c>
      <c r="K10" s="4" t="s">
        <v>22</v>
      </c>
      <c r="L10" s="4" t="s">
        <v>23</v>
      </c>
      <c r="M10" s="4" t="s">
        <v>71</v>
      </c>
      <c r="N10" s="4" t="s">
        <v>25</v>
      </c>
      <c r="O10" s="4" t="s">
        <v>26</v>
      </c>
      <c r="P10" s="4" t="s">
        <v>62</v>
      </c>
      <c r="Q10" s="4" t="s">
        <v>72</v>
      </c>
      <c r="R10" s="4" t="s">
        <v>58</v>
      </c>
    </row>
    <row r="11" customFormat="false" ht="93" hidden="false" customHeight="true" outlineLevel="0" collapsed="false">
      <c r="A11" s="3" t="s">
        <v>69</v>
      </c>
      <c r="B11" s="4" t="s">
        <v>30</v>
      </c>
      <c r="C11" s="4" t="s">
        <v>70</v>
      </c>
      <c r="D11" s="4" t="str">
        <f aca="false">IFERROR(UPD3c!L33,"")</f>
        <v/>
      </c>
      <c r="E11" s="4" t="s">
        <v>47</v>
      </c>
      <c r="F11" s="5"/>
      <c r="G11" s="5"/>
      <c r="H11" s="6" t="str">
        <f aca="false">IF(OR(F11="",NOT(ISNUMBER(D11))),"",IF(ABS(F11-D11)&lt;0.001,"Yes","No"))</f>
        <v/>
      </c>
      <c r="I11" s="7" t="str">
        <f aca="false">IF(ISNUMBER(F11),F11,D11)</f>
        <v/>
      </c>
      <c r="J11" s="6" t="str">
        <f aca="false">IF(ISNUMBER(F11),"Expert (overrides AI)",IF(ISNUMBER(D11),"AI","Not scored yet"))</f>
        <v>Not scored yet</v>
      </c>
      <c r="K11" s="4" t="s">
        <v>22</v>
      </c>
      <c r="L11" s="4" t="s">
        <v>23</v>
      </c>
      <c r="M11" s="4" t="s">
        <v>73</v>
      </c>
      <c r="N11" s="4" t="s">
        <v>54</v>
      </c>
      <c r="O11" s="4" t="s">
        <v>55</v>
      </c>
      <c r="P11" s="4" t="s">
        <v>74</v>
      </c>
      <c r="Q11" s="4" t="s">
        <v>75</v>
      </c>
      <c r="R11" s="4" t="s">
        <v>58</v>
      </c>
    </row>
    <row r="12" customFormat="false" ht="93" hidden="false" customHeight="true" outlineLevel="0" collapsed="false">
      <c r="A12" s="3" t="s">
        <v>76</v>
      </c>
      <c r="B12" s="4" t="s">
        <v>19</v>
      </c>
      <c r="C12" s="4" t="s">
        <v>77</v>
      </c>
      <c r="D12" s="8" t="n">
        <f aca="false">IFERROR('UPD4'!K14,"")</f>
        <v>10</v>
      </c>
      <c r="E12" s="4" t="s">
        <v>21</v>
      </c>
      <c r="F12" s="5"/>
      <c r="G12" s="5"/>
      <c r="H12" s="6" t="str">
        <f aca="false">IF(OR(F12="",NOT(ISNUMBER(D12))),"",IF(ABS(F12-D12)&lt;0.001,"Yes","No"))</f>
        <v/>
      </c>
      <c r="I12" s="9" t="n">
        <f aca="false">IF(ISNUMBER(F12),F12,D12)</f>
        <v>10</v>
      </c>
      <c r="J12" s="6" t="str">
        <f aca="false">IF(ISNUMBER(F12),"Expert (overrides AI)",IF(ISNUMBER(D12),"AI","Not scored yet"))</f>
        <v>AI</v>
      </c>
      <c r="K12" s="4" t="s">
        <v>22</v>
      </c>
      <c r="L12" s="4" t="s">
        <v>23</v>
      </c>
      <c r="M12" s="4" t="s">
        <v>78</v>
      </c>
      <c r="N12" s="4" t="s">
        <v>49</v>
      </c>
      <c r="O12" s="4" t="s">
        <v>50</v>
      </c>
      <c r="P12" s="4" t="s">
        <v>79</v>
      </c>
      <c r="Q12" s="4" t="s">
        <v>80</v>
      </c>
      <c r="R12" s="4" t="s">
        <v>58</v>
      </c>
    </row>
    <row r="13" customFormat="false" ht="93" hidden="false" customHeight="true" outlineLevel="0" collapsed="false">
      <c r="A13" s="3" t="s">
        <v>76</v>
      </c>
      <c r="B13" s="4" t="s">
        <v>30</v>
      </c>
      <c r="C13" s="4" t="s">
        <v>77</v>
      </c>
      <c r="D13" s="4" t="n">
        <f aca="false">IFERROR('UPD4'!K33,"")</f>
        <v>0</v>
      </c>
      <c r="E13" s="4" t="s">
        <v>21</v>
      </c>
      <c r="F13" s="5"/>
      <c r="G13" s="5"/>
      <c r="H13" s="6" t="str">
        <f aca="false">IF(OR(F13="",NOT(ISNUMBER(D13))),"",IF(ABS(F13-D13)&lt;0.001,"Yes","No"))</f>
        <v/>
      </c>
      <c r="I13" s="7" t="n">
        <f aca="false">IF(ISNUMBER(F13),F13,D13)</f>
        <v>0</v>
      </c>
      <c r="J13" s="6" t="str">
        <f aca="false">IF(ISNUMBER(F13),"Expert (overrides AI)",IF(ISNUMBER(D13),"AI","Not scored yet"))</f>
        <v>AI</v>
      </c>
      <c r="K13" s="4" t="s">
        <v>22</v>
      </c>
      <c r="L13" s="4" t="s">
        <v>81</v>
      </c>
      <c r="M13" s="4" t="s">
        <v>82</v>
      </c>
      <c r="N13" s="4"/>
      <c r="O13" s="4"/>
      <c r="P13" s="4"/>
      <c r="Q13" s="4"/>
      <c r="R13" s="4" t="s">
        <v>83</v>
      </c>
    </row>
    <row r="14" customFormat="false" ht="93" hidden="false" customHeight="true" outlineLevel="0" collapsed="false">
      <c r="A14" s="3" t="s">
        <v>84</v>
      </c>
      <c r="B14" s="4" t="s">
        <v>19</v>
      </c>
      <c r="C14" s="4" t="s">
        <v>85</v>
      </c>
      <c r="D14" s="4" t="str">
        <f aca="false">IFERROR(UPD5a!K14,"")</f>
        <v/>
      </c>
      <c r="E14" s="4" t="s">
        <v>47</v>
      </c>
      <c r="F14" s="5"/>
      <c r="G14" s="5"/>
      <c r="H14" s="6" t="str">
        <f aca="false">IF(OR(F14="",NOT(ISNUMBER(D14))),"",IF(ABS(F14-D14)&lt;0.001,"Yes","No"))</f>
        <v/>
      </c>
      <c r="I14" s="7" t="str">
        <f aca="false">IF(ISNUMBER(F14),F14,D14)</f>
        <v/>
      </c>
      <c r="J14" s="6" t="str">
        <f aca="false">IF(ISNUMBER(F14),"Expert (overrides AI)",IF(ISNUMBER(D14),"AI","Not scored yet"))</f>
        <v>Not scored yet</v>
      </c>
      <c r="K14" s="4" t="s">
        <v>22</v>
      </c>
      <c r="L14" s="4" t="s">
        <v>23</v>
      </c>
      <c r="M14" s="4" t="s">
        <v>86</v>
      </c>
      <c r="N14" s="4" t="s">
        <v>87</v>
      </c>
      <c r="O14" s="4" t="s">
        <v>88</v>
      </c>
      <c r="P14" s="4" t="s">
        <v>89</v>
      </c>
      <c r="Q14" s="4" t="s">
        <v>90</v>
      </c>
      <c r="R14" s="4" t="s">
        <v>58</v>
      </c>
    </row>
    <row r="15" customFormat="false" ht="93" hidden="false" customHeight="true" outlineLevel="0" collapsed="false">
      <c r="A15" s="3" t="s">
        <v>84</v>
      </c>
      <c r="B15" s="4" t="s">
        <v>30</v>
      </c>
      <c r="C15" s="4" t="s">
        <v>85</v>
      </c>
      <c r="D15" s="8" t="n">
        <f aca="false">IFERROR(UPD5a!K33,"")</f>
        <v>3.33</v>
      </c>
      <c r="E15" s="4" t="s">
        <v>47</v>
      </c>
      <c r="F15" s="5"/>
      <c r="G15" s="5"/>
      <c r="H15" s="6" t="str">
        <f aca="false">IF(OR(F15="",NOT(ISNUMBER(D15))),"",IF(ABS(F15-D15)&lt;0.001,"Yes","No"))</f>
        <v/>
      </c>
      <c r="I15" s="9" t="n">
        <f aca="false">IF(ISNUMBER(F15),F15,D15)</f>
        <v>3.33</v>
      </c>
      <c r="J15" s="6" t="str">
        <f aca="false">IF(ISNUMBER(F15),"Expert (overrides AI)",IF(ISNUMBER(D15),"AI","Not scored yet"))</f>
        <v>AI</v>
      </c>
      <c r="K15" s="4" t="s">
        <v>35</v>
      </c>
      <c r="L15" s="4" t="s">
        <v>23</v>
      </c>
      <c r="M15" s="4" t="s">
        <v>91</v>
      </c>
      <c r="N15" s="4" t="s">
        <v>54</v>
      </c>
      <c r="O15" s="4" t="s">
        <v>55</v>
      </c>
      <c r="P15" s="4" t="s">
        <v>92</v>
      </c>
      <c r="Q15" s="4" t="s">
        <v>93</v>
      </c>
      <c r="R15" s="4"/>
    </row>
    <row r="16" customFormat="false" ht="93" hidden="false" customHeight="true" outlineLevel="0" collapsed="false">
      <c r="A16" s="3" t="s">
        <v>94</v>
      </c>
      <c r="B16" s="4" t="s">
        <v>19</v>
      </c>
      <c r="C16" s="4" t="s">
        <v>95</v>
      </c>
      <c r="D16" s="4" t="str">
        <f aca="false">IFERROR(UPD5b!K14,"")</f>
        <v/>
      </c>
      <c r="E16" s="4" t="s">
        <v>47</v>
      </c>
      <c r="F16" s="5"/>
      <c r="G16" s="5"/>
      <c r="H16" s="6" t="str">
        <f aca="false">IF(OR(F16="",NOT(ISNUMBER(D16))),"",IF(ABS(F16-D16)&lt;0.001,"Yes","No"))</f>
        <v/>
      </c>
      <c r="I16" s="7" t="str">
        <f aca="false">IF(ISNUMBER(F16),F16,D16)</f>
        <v/>
      </c>
      <c r="J16" s="6" t="str">
        <f aca="false">IF(ISNUMBER(F16),"Expert (overrides AI)",IF(ISNUMBER(D16),"AI","Not scored yet"))</f>
        <v>Not scored yet</v>
      </c>
      <c r="K16" s="4" t="s">
        <v>22</v>
      </c>
      <c r="L16" s="4" t="s">
        <v>23</v>
      </c>
      <c r="M16" s="4" t="s">
        <v>96</v>
      </c>
      <c r="N16" s="4" t="s">
        <v>25</v>
      </c>
      <c r="O16" s="4" t="s">
        <v>26</v>
      </c>
      <c r="P16" s="4" t="s">
        <v>97</v>
      </c>
      <c r="Q16" s="4" t="s">
        <v>98</v>
      </c>
      <c r="R16" s="4" t="s">
        <v>58</v>
      </c>
    </row>
    <row r="17" customFormat="false" ht="93" hidden="false" customHeight="true" outlineLevel="0" collapsed="false">
      <c r="A17" s="3" t="s">
        <v>94</v>
      </c>
      <c r="B17" s="4" t="s">
        <v>30</v>
      </c>
      <c r="C17" s="4" t="s">
        <v>95</v>
      </c>
      <c r="D17" s="4" t="str">
        <f aca="false">IFERROR(UPD5b!K33,"")</f>
        <v/>
      </c>
      <c r="E17" s="4" t="s">
        <v>47</v>
      </c>
      <c r="F17" s="5"/>
      <c r="G17" s="5"/>
      <c r="H17" s="6" t="str">
        <f aca="false">IF(OR(F17="",NOT(ISNUMBER(D17))),"",IF(ABS(F17-D17)&lt;0.001,"Yes","No"))</f>
        <v/>
      </c>
      <c r="I17" s="7" t="str">
        <f aca="false">IF(ISNUMBER(F17),F17,D17)</f>
        <v/>
      </c>
      <c r="J17" s="6" t="str">
        <f aca="false">IF(ISNUMBER(F17),"Expert (overrides AI)",IF(ISNUMBER(D17),"AI","Not scored yet"))</f>
        <v>Not scored yet</v>
      </c>
      <c r="K17" s="4" t="s">
        <v>22</v>
      </c>
      <c r="L17" s="4" t="s">
        <v>81</v>
      </c>
      <c r="M17" s="4" t="s">
        <v>99</v>
      </c>
      <c r="N17" s="4"/>
      <c r="O17" s="4"/>
      <c r="P17" s="4"/>
      <c r="Q17" s="4"/>
      <c r="R17" s="4" t="s">
        <v>100</v>
      </c>
    </row>
    <row r="18" customFormat="false" ht="93" hidden="false" customHeight="true" outlineLevel="0" collapsed="false">
      <c r="A18" s="3" t="s">
        <v>101</v>
      </c>
      <c r="B18" s="4" t="s">
        <v>19</v>
      </c>
      <c r="C18" s="4" t="s">
        <v>102</v>
      </c>
      <c r="D18" s="4" t="str">
        <f aca="false">IFERROR(UPD5c!K14,"")</f>
        <v/>
      </c>
      <c r="E18" s="4" t="s">
        <v>47</v>
      </c>
      <c r="F18" s="5"/>
      <c r="G18" s="5"/>
      <c r="H18" s="6" t="str">
        <f aca="false">IF(OR(F18="",NOT(ISNUMBER(D18))),"",IF(ABS(F18-D18)&lt;0.001,"Yes","No"))</f>
        <v/>
      </c>
      <c r="I18" s="7" t="str">
        <f aca="false">IF(ISNUMBER(F18),F18,D18)</f>
        <v/>
      </c>
      <c r="J18" s="6" t="str">
        <f aca="false">IF(ISNUMBER(F18),"Expert (overrides AI)",IF(ISNUMBER(D18),"AI","Not scored yet"))</f>
        <v>Not scored yet</v>
      </c>
      <c r="K18" s="4" t="s">
        <v>22</v>
      </c>
      <c r="L18" s="4" t="s">
        <v>23</v>
      </c>
      <c r="M18" s="4" t="s">
        <v>103</v>
      </c>
      <c r="N18" s="4" t="s">
        <v>25</v>
      </c>
      <c r="O18" s="4" t="s">
        <v>26</v>
      </c>
      <c r="P18" s="4" t="s">
        <v>104</v>
      </c>
      <c r="Q18" s="4" t="s">
        <v>105</v>
      </c>
      <c r="R18" s="4" t="s">
        <v>58</v>
      </c>
    </row>
    <row r="19" customFormat="false" ht="93" hidden="false" customHeight="true" outlineLevel="0" collapsed="false">
      <c r="A19" s="3" t="s">
        <v>101</v>
      </c>
      <c r="B19" s="4" t="s">
        <v>30</v>
      </c>
      <c r="C19" s="4" t="s">
        <v>102</v>
      </c>
      <c r="D19" s="4" t="str">
        <f aca="false">IFERROR(UPD5c!K33,"")</f>
        <v/>
      </c>
      <c r="E19" s="4" t="s">
        <v>47</v>
      </c>
      <c r="F19" s="5"/>
      <c r="G19" s="5"/>
      <c r="H19" s="6" t="str">
        <f aca="false">IF(OR(F19="",NOT(ISNUMBER(D19))),"",IF(ABS(F19-D19)&lt;0.001,"Yes","No"))</f>
        <v/>
      </c>
      <c r="I19" s="7" t="str">
        <f aca="false">IF(ISNUMBER(F19),F19,D19)</f>
        <v/>
      </c>
      <c r="J19" s="6" t="str">
        <f aca="false">IF(ISNUMBER(F19),"Expert (overrides AI)",IF(ISNUMBER(D19),"AI","Not scored yet"))</f>
        <v>Not scored yet</v>
      </c>
      <c r="K19" s="4" t="s">
        <v>22</v>
      </c>
      <c r="L19" s="4" t="s">
        <v>23</v>
      </c>
      <c r="M19" s="4" t="s">
        <v>106</v>
      </c>
      <c r="N19" s="4" t="s">
        <v>54</v>
      </c>
      <c r="O19" s="4" t="s">
        <v>55</v>
      </c>
      <c r="P19" s="4" t="s">
        <v>107</v>
      </c>
      <c r="Q19" s="4" t="s">
        <v>108</v>
      </c>
      <c r="R19" s="4" t="s">
        <v>58</v>
      </c>
    </row>
    <row r="20" customFormat="false" ht="93" hidden="false" customHeight="true" outlineLevel="0" collapsed="false">
      <c r="A20" s="3" t="s">
        <v>109</v>
      </c>
      <c r="B20" s="4" t="s">
        <v>19</v>
      </c>
      <c r="C20" s="4" t="s">
        <v>110</v>
      </c>
      <c r="D20" s="4" t="str">
        <f aca="false">IFERROR('UPD6'!M14,"")</f>
        <v/>
      </c>
      <c r="E20" s="4" t="s">
        <v>21</v>
      </c>
      <c r="F20" s="5"/>
      <c r="G20" s="5"/>
      <c r="H20" s="6" t="str">
        <f aca="false">IF(OR(F20="",NOT(ISNUMBER(D20))),"",IF(ABS(F20-D20)&lt;0.001,"Yes","No"))</f>
        <v/>
      </c>
      <c r="I20" s="7" t="str">
        <f aca="false">IF(ISNUMBER(F20),F20,D20)</f>
        <v/>
      </c>
      <c r="J20" s="6" t="str">
        <f aca="false">IF(ISNUMBER(F20),"Expert (overrides AI)",IF(ISNUMBER(D20),"AI","Not scored yet"))</f>
        <v>Not scored yet</v>
      </c>
      <c r="K20" s="4" t="s">
        <v>22</v>
      </c>
      <c r="L20" s="4" t="s">
        <v>23</v>
      </c>
      <c r="M20" s="4" t="s">
        <v>111</v>
      </c>
      <c r="N20" s="4" t="s">
        <v>25</v>
      </c>
      <c r="O20" s="4" t="s">
        <v>26</v>
      </c>
      <c r="P20" s="4" t="s">
        <v>112</v>
      </c>
      <c r="Q20" s="4" t="s">
        <v>113</v>
      </c>
      <c r="R20" s="4" t="s">
        <v>114</v>
      </c>
    </row>
    <row r="21" customFormat="false" ht="93" hidden="false" customHeight="true" outlineLevel="0" collapsed="false">
      <c r="A21" s="3" t="s">
        <v>109</v>
      </c>
      <c r="B21" s="4" t="s">
        <v>30</v>
      </c>
      <c r="C21" s="4" t="s">
        <v>110</v>
      </c>
      <c r="D21" s="4" t="str">
        <f aca="false">IFERROR('UPD6'!M33,"")</f>
        <v/>
      </c>
      <c r="E21" s="4" t="s">
        <v>21</v>
      </c>
      <c r="F21" s="5"/>
      <c r="G21" s="5"/>
      <c r="H21" s="6" t="str">
        <f aca="false">IF(OR(F21="",NOT(ISNUMBER(D21))),"",IF(ABS(F21-D21)&lt;0.001,"Yes","No"))</f>
        <v/>
      </c>
      <c r="I21" s="7" t="str">
        <f aca="false">IF(ISNUMBER(F21),F21,D21)</f>
        <v/>
      </c>
      <c r="J21" s="6" t="str">
        <f aca="false">IF(ISNUMBER(F21),"Expert (overrides AI)",IF(ISNUMBER(D21),"AI","Not scored yet"))</f>
        <v>Not scored yet</v>
      </c>
      <c r="K21" s="4" t="s">
        <v>22</v>
      </c>
      <c r="L21" s="4" t="s">
        <v>31</v>
      </c>
      <c r="M21" s="4"/>
      <c r="N21" s="4"/>
      <c r="O21" s="4"/>
      <c r="P21" s="4"/>
      <c r="Q21" s="4"/>
      <c r="R21" s="4" t="s">
        <v>115</v>
      </c>
    </row>
    <row r="22" customFormat="false" ht="93" hidden="false" customHeight="true" outlineLevel="0" collapsed="false">
      <c r="A22" s="3" t="s">
        <v>116</v>
      </c>
      <c r="B22" s="4" t="s">
        <v>19</v>
      </c>
      <c r="C22" s="4" t="s">
        <v>117</v>
      </c>
      <c r="D22" s="4" t="str">
        <f aca="false">IFERROR(UPD7a!L14,"")</f>
        <v/>
      </c>
      <c r="E22" s="4" t="s">
        <v>118</v>
      </c>
      <c r="F22" s="5"/>
      <c r="G22" s="5"/>
      <c r="H22" s="6" t="str">
        <f aca="false">IF(OR(F22="",NOT(ISNUMBER(D22))),"",IF(ABS(F22-D22)&lt;0.001,"Yes","No"))</f>
        <v/>
      </c>
      <c r="I22" s="7" t="str">
        <f aca="false">IF(ISNUMBER(F22),F22,D22)</f>
        <v/>
      </c>
      <c r="J22" s="6" t="str">
        <f aca="false">IF(ISNUMBER(F22),"Expert (overrides AI)",IF(ISNUMBER(D22),"AI","Not scored yet"))</f>
        <v>Not scored yet</v>
      </c>
      <c r="K22" s="4" t="s">
        <v>22</v>
      </c>
      <c r="L22" s="4" t="s">
        <v>23</v>
      </c>
      <c r="M22" s="4" t="s">
        <v>119</v>
      </c>
      <c r="N22" s="4" t="s">
        <v>49</v>
      </c>
      <c r="O22" s="4" t="s">
        <v>50</v>
      </c>
      <c r="P22" s="4" t="s">
        <v>120</v>
      </c>
      <c r="Q22" s="4" t="s">
        <v>121</v>
      </c>
      <c r="R22" s="4" t="s">
        <v>122</v>
      </c>
    </row>
    <row r="23" customFormat="false" ht="93" hidden="false" customHeight="true" outlineLevel="0" collapsed="false">
      <c r="A23" s="3" t="s">
        <v>116</v>
      </c>
      <c r="B23" s="4" t="s">
        <v>30</v>
      </c>
      <c r="C23" s="4" t="s">
        <v>117</v>
      </c>
      <c r="D23" s="4" t="str">
        <f aca="false">IFERROR(UPD7a!L33,"")</f>
        <v/>
      </c>
      <c r="E23" s="4" t="s">
        <v>118</v>
      </c>
      <c r="F23" s="5"/>
      <c r="G23" s="5"/>
      <c r="H23" s="6" t="str">
        <f aca="false">IF(OR(F23="",NOT(ISNUMBER(D23))),"",IF(ABS(F23-D23)&lt;0.001,"Yes","No"))</f>
        <v/>
      </c>
      <c r="I23" s="7" t="str">
        <f aca="false">IF(ISNUMBER(F23),F23,D23)</f>
        <v/>
      </c>
      <c r="J23" s="6" t="str">
        <f aca="false">IF(ISNUMBER(F23),"Expert (overrides AI)",IF(ISNUMBER(D23),"AI","Not scored yet"))</f>
        <v>Not scored yet</v>
      </c>
      <c r="K23" s="4" t="s">
        <v>22</v>
      </c>
      <c r="L23" s="4" t="s">
        <v>23</v>
      </c>
      <c r="M23" s="4" t="s">
        <v>123</v>
      </c>
      <c r="N23" s="4" t="s">
        <v>124</v>
      </c>
      <c r="O23" s="4" t="s">
        <v>125</v>
      </c>
      <c r="P23" s="4" t="s">
        <v>126</v>
      </c>
      <c r="Q23" s="4" t="s">
        <v>127</v>
      </c>
      <c r="R23" s="4" t="s">
        <v>122</v>
      </c>
    </row>
    <row r="24" customFormat="false" ht="93" hidden="false" customHeight="true" outlineLevel="0" collapsed="false">
      <c r="A24" s="3" t="s">
        <v>128</v>
      </c>
      <c r="B24" s="4" t="s">
        <v>19</v>
      </c>
      <c r="C24" s="4" t="s">
        <v>129</v>
      </c>
      <c r="D24" s="4" t="str">
        <f aca="false">IFERROR(UPD7b!K14,"")</f>
        <v/>
      </c>
      <c r="E24" s="4" t="s">
        <v>118</v>
      </c>
      <c r="F24" s="5"/>
      <c r="G24" s="5"/>
      <c r="H24" s="6" t="str">
        <f aca="false">IF(OR(F24="",NOT(ISNUMBER(D24))),"",IF(ABS(F24-D24)&lt;0.001,"Yes","No"))</f>
        <v/>
      </c>
      <c r="I24" s="7" t="str">
        <f aca="false">IF(ISNUMBER(F24),F24,D24)</f>
        <v/>
      </c>
      <c r="J24" s="6" t="str">
        <f aca="false">IF(ISNUMBER(F24),"Expert (overrides AI)",IF(ISNUMBER(D24),"AI","Not scored yet"))</f>
        <v>Not scored yet</v>
      </c>
      <c r="K24" s="4" t="s">
        <v>22</v>
      </c>
      <c r="L24" s="4" t="s">
        <v>31</v>
      </c>
      <c r="M24" s="4"/>
      <c r="N24" s="4"/>
      <c r="O24" s="4"/>
      <c r="P24" s="4"/>
      <c r="Q24" s="4"/>
      <c r="R24" s="4" t="s">
        <v>130</v>
      </c>
    </row>
    <row r="25" customFormat="false" ht="93" hidden="false" customHeight="true" outlineLevel="0" collapsed="false">
      <c r="A25" s="3" t="s">
        <v>128</v>
      </c>
      <c r="B25" s="4" t="s">
        <v>30</v>
      </c>
      <c r="C25" s="4" t="s">
        <v>129</v>
      </c>
      <c r="D25" s="4" t="str">
        <f aca="false">IFERROR(UPD7b!K33,"")</f>
        <v/>
      </c>
      <c r="E25" s="4" t="s">
        <v>118</v>
      </c>
      <c r="F25" s="5"/>
      <c r="G25" s="5"/>
      <c r="H25" s="6" t="str">
        <f aca="false">IF(OR(F25="",NOT(ISNUMBER(D25))),"",IF(ABS(F25-D25)&lt;0.001,"Yes","No"))</f>
        <v/>
      </c>
      <c r="I25" s="7" t="str">
        <f aca="false">IF(ISNUMBER(F25),F25,D25)</f>
        <v/>
      </c>
      <c r="J25" s="6" t="str">
        <f aca="false">IF(ISNUMBER(F25),"Expert (overrides AI)",IF(ISNUMBER(D25),"AI","Not scored yet"))</f>
        <v>Not scored yet</v>
      </c>
      <c r="K25" s="4" t="s">
        <v>22</v>
      </c>
      <c r="L25" s="4" t="s">
        <v>31</v>
      </c>
      <c r="M25" s="4"/>
      <c r="N25" s="4"/>
      <c r="O25" s="4"/>
      <c r="P25" s="4"/>
      <c r="Q25" s="4"/>
      <c r="R25" s="4" t="s">
        <v>131</v>
      </c>
    </row>
    <row r="26" customFormat="false" ht="93" hidden="false" customHeight="true" outlineLevel="0" collapsed="false">
      <c r="A26" s="3" t="s">
        <v>132</v>
      </c>
      <c r="B26" s="4" t="s">
        <v>19</v>
      </c>
      <c r="C26" s="4" t="s">
        <v>133</v>
      </c>
      <c r="D26" s="4" t="str">
        <f aca="false">IFERROR('UPD8'!K14,"")</f>
        <v/>
      </c>
      <c r="E26" s="4" t="s">
        <v>21</v>
      </c>
      <c r="F26" s="5"/>
      <c r="G26" s="5"/>
      <c r="H26" s="6" t="str">
        <f aca="false">IF(OR(F26="",NOT(ISNUMBER(D26))),"",IF(ABS(F26-D26)&lt;0.001,"Yes","No"))</f>
        <v/>
      </c>
      <c r="I26" s="7" t="str">
        <f aca="false">IF(ISNUMBER(F26),F26,D26)</f>
        <v/>
      </c>
      <c r="J26" s="6" t="str">
        <f aca="false">IF(ISNUMBER(F26),"Expert (overrides AI)",IF(ISNUMBER(D26),"AI","Not scored yet"))</f>
        <v>Not scored yet</v>
      </c>
      <c r="K26" s="4" t="s">
        <v>22</v>
      </c>
      <c r="L26" s="4" t="s">
        <v>23</v>
      </c>
      <c r="M26" s="4" t="s">
        <v>134</v>
      </c>
      <c r="N26" s="4" t="s">
        <v>49</v>
      </c>
      <c r="O26" s="4" t="s">
        <v>50</v>
      </c>
      <c r="P26" s="4" t="s">
        <v>135</v>
      </c>
      <c r="Q26" s="4" t="s">
        <v>136</v>
      </c>
      <c r="R26" s="4" t="s">
        <v>58</v>
      </c>
    </row>
    <row r="27" customFormat="false" ht="93" hidden="false" customHeight="true" outlineLevel="0" collapsed="false">
      <c r="A27" s="3" t="s">
        <v>132</v>
      </c>
      <c r="B27" s="4" t="s">
        <v>30</v>
      </c>
      <c r="C27" s="4" t="s">
        <v>133</v>
      </c>
      <c r="D27" s="4" t="str">
        <f aca="false">IFERROR('UPD8'!K33,"")</f>
        <v/>
      </c>
      <c r="E27" s="4" t="s">
        <v>21</v>
      </c>
      <c r="F27" s="5"/>
      <c r="G27" s="5"/>
      <c r="H27" s="6" t="str">
        <f aca="false">IF(OR(F27="",NOT(ISNUMBER(D27))),"",IF(ABS(F27-D27)&lt;0.001,"Yes","No"))</f>
        <v/>
      </c>
      <c r="I27" s="7" t="str">
        <f aca="false">IF(ISNUMBER(F27),F27,D27)</f>
        <v/>
      </c>
      <c r="J27" s="6" t="str">
        <f aca="false">IF(ISNUMBER(F27),"Expert (overrides AI)",IF(ISNUMBER(D27),"AI","Not scored yet"))</f>
        <v>Not scored yet</v>
      </c>
      <c r="K27" s="4" t="s">
        <v>22</v>
      </c>
      <c r="L27" s="4" t="s">
        <v>23</v>
      </c>
      <c r="M27" s="4" t="s">
        <v>137</v>
      </c>
      <c r="N27" s="4" t="s">
        <v>124</v>
      </c>
      <c r="O27" s="4" t="s">
        <v>125</v>
      </c>
      <c r="P27" s="4" t="s">
        <v>138</v>
      </c>
      <c r="Q27" s="4" t="s">
        <v>139</v>
      </c>
      <c r="R27" s="4" t="s">
        <v>58</v>
      </c>
    </row>
    <row r="28" customFormat="false" ht="93" hidden="false" customHeight="true" outlineLevel="0" collapsed="false">
      <c r="A28" s="3" t="s">
        <v>140</v>
      </c>
      <c r="B28" s="4" t="s">
        <v>19</v>
      </c>
      <c r="C28" s="4" t="s">
        <v>141</v>
      </c>
      <c r="D28" s="4" t="str">
        <f aca="false">IFERROR('UPD9'!K14,"")</f>
        <v/>
      </c>
      <c r="E28" s="4" t="s">
        <v>21</v>
      </c>
      <c r="F28" s="5"/>
      <c r="G28" s="5"/>
      <c r="H28" s="6" t="str">
        <f aca="false">IF(OR(F28="",NOT(ISNUMBER(D28))),"",IF(ABS(F28-D28)&lt;0.001,"Yes","No"))</f>
        <v/>
      </c>
      <c r="I28" s="7" t="str">
        <f aca="false">IF(ISNUMBER(F28),F28,D28)</f>
        <v/>
      </c>
      <c r="J28" s="6" t="str">
        <f aca="false">IF(ISNUMBER(F28),"Expert (overrides AI)",IF(ISNUMBER(D28),"AI","Not scored yet"))</f>
        <v>Not scored yet</v>
      </c>
      <c r="K28" s="4" t="s">
        <v>22</v>
      </c>
      <c r="L28" s="4" t="s">
        <v>23</v>
      </c>
      <c r="M28" s="4" t="s">
        <v>142</v>
      </c>
      <c r="N28" s="4" t="s">
        <v>49</v>
      </c>
      <c r="O28" s="4" t="s">
        <v>50</v>
      </c>
      <c r="P28" s="4" t="s">
        <v>143</v>
      </c>
      <c r="Q28" s="4" t="s">
        <v>144</v>
      </c>
      <c r="R28" s="4" t="s">
        <v>58</v>
      </c>
    </row>
    <row r="29" customFormat="false" ht="93" hidden="false" customHeight="true" outlineLevel="0" collapsed="false">
      <c r="A29" s="3" t="s">
        <v>140</v>
      </c>
      <c r="B29" s="4" t="s">
        <v>30</v>
      </c>
      <c r="C29" s="4" t="s">
        <v>141</v>
      </c>
      <c r="D29" s="4" t="str">
        <f aca="false">IFERROR('UPD9'!K33,"")</f>
        <v/>
      </c>
      <c r="E29" s="4" t="s">
        <v>21</v>
      </c>
      <c r="F29" s="5"/>
      <c r="G29" s="5"/>
      <c r="H29" s="6" t="str">
        <f aca="false">IF(OR(F29="",NOT(ISNUMBER(D29))),"",IF(ABS(F29-D29)&lt;0.001,"Yes","No"))</f>
        <v/>
      </c>
      <c r="I29" s="7" t="str">
        <f aca="false">IF(ISNUMBER(F29),F29,D29)</f>
        <v/>
      </c>
      <c r="J29" s="6" t="str">
        <f aca="false">IF(ISNUMBER(F29),"Expert (overrides AI)",IF(ISNUMBER(D29),"AI","Not scored yet"))</f>
        <v>Not scored yet</v>
      </c>
      <c r="K29" s="4" t="s">
        <v>22</v>
      </c>
      <c r="L29" s="4" t="s">
        <v>23</v>
      </c>
      <c r="M29" s="4" t="s">
        <v>145</v>
      </c>
      <c r="N29" s="4" t="s">
        <v>54</v>
      </c>
      <c r="O29" s="4" t="s">
        <v>55</v>
      </c>
      <c r="P29" s="4" t="s">
        <v>146</v>
      </c>
      <c r="Q29" s="4" t="s">
        <v>147</v>
      </c>
      <c r="R29" s="4" t="s">
        <v>58</v>
      </c>
    </row>
    <row r="30" customFormat="false" ht="93" hidden="false" customHeight="true" outlineLevel="0" collapsed="false">
      <c r="A30" s="3" t="s">
        <v>148</v>
      </c>
      <c r="B30" s="4" t="s">
        <v>19</v>
      </c>
      <c r="C30" s="4" t="s">
        <v>149</v>
      </c>
      <c r="D30" s="4" t="str">
        <f aca="false">IFERROR('UPD10'!L14,"")</f>
        <v/>
      </c>
      <c r="E30" s="4" t="s">
        <v>21</v>
      </c>
      <c r="F30" s="5"/>
      <c r="G30" s="5"/>
      <c r="H30" s="6" t="str">
        <f aca="false">IF(OR(F30="",NOT(ISNUMBER(D30))),"",IF(ABS(F30-D30)&lt;0.001,"Yes","No"))</f>
        <v/>
      </c>
      <c r="I30" s="7" t="str">
        <f aca="false">IF(ISNUMBER(F30),F30,D30)</f>
        <v/>
      </c>
      <c r="J30" s="6" t="str">
        <f aca="false">IF(ISNUMBER(F30),"Expert (overrides AI)",IF(ISNUMBER(D30),"AI","Not scored yet"))</f>
        <v>Not scored yet</v>
      </c>
      <c r="K30" s="4" t="s">
        <v>22</v>
      </c>
      <c r="L30" s="4" t="s">
        <v>23</v>
      </c>
      <c r="M30" s="4" t="s">
        <v>150</v>
      </c>
      <c r="N30" s="4" t="s">
        <v>25</v>
      </c>
      <c r="O30" s="4" t="s">
        <v>26</v>
      </c>
      <c r="P30" s="4" t="s">
        <v>151</v>
      </c>
      <c r="Q30" s="4" t="s">
        <v>152</v>
      </c>
      <c r="R30" s="4" t="s">
        <v>153</v>
      </c>
    </row>
    <row r="31" customFormat="false" ht="93" hidden="false" customHeight="true" outlineLevel="0" collapsed="false">
      <c r="A31" s="3" t="s">
        <v>148</v>
      </c>
      <c r="B31" s="4" t="s">
        <v>30</v>
      </c>
      <c r="C31" s="4" t="s">
        <v>149</v>
      </c>
      <c r="D31" s="4" t="str">
        <f aca="false">IFERROR('UPD10'!L33,"")</f>
        <v/>
      </c>
      <c r="E31" s="4" t="s">
        <v>21</v>
      </c>
      <c r="F31" s="5"/>
      <c r="G31" s="5"/>
      <c r="H31" s="6" t="str">
        <f aca="false">IF(OR(F31="",NOT(ISNUMBER(D31))),"",IF(ABS(F31-D31)&lt;0.001,"Yes","No"))</f>
        <v/>
      </c>
      <c r="I31" s="7" t="str">
        <f aca="false">IF(ISNUMBER(F31),F31,D31)</f>
        <v/>
      </c>
      <c r="J31" s="6" t="str">
        <f aca="false">IF(ISNUMBER(F31),"Expert (overrides AI)",IF(ISNUMBER(D31),"AI","Not scored yet"))</f>
        <v>Not scored yet</v>
      </c>
      <c r="K31" s="4" t="s">
        <v>22</v>
      </c>
      <c r="L31" s="4" t="s">
        <v>23</v>
      </c>
      <c r="M31" s="4" t="s">
        <v>154</v>
      </c>
      <c r="N31" s="4" t="s">
        <v>155</v>
      </c>
      <c r="O31" s="4" t="s">
        <v>156</v>
      </c>
      <c r="P31" s="4" t="s">
        <v>157</v>
      </c>
      <c r="Q31" s="4" t="s">
        <v>158</v>
      </c>
      <c r="R31" s="4" t="s">
        <v>153</v>
      </c>
    </row>
    <row r="32" customFormat="false" ht="93" hidden="false" customHeight="true" outlineLevel="0" collapsed="false">
      <c r="A32" s="3" t="s">
        <v>159</v>
      </c>
      <c r="B32" s="4" t="s">
        <v>19</v>
      </c>
      <c r="C32" s="4" t="s">
        <v>160</v>
      </c>
      <c r="D32" s="4" t="str">
        <f aca="false">IFERROR(UPD11a!L14,"")</f>
        <v/>
      </c>
      <c r="E32" s="4" t="s">
        <v>118</v>
      </c>
      <c r="F32" s="5"/>
      <c r="G32" s="5"/>
      <c r="H32" s="6" t="str">
        <f aca="false">IF(OR(F32="",NOT(ISNUMBER(D32))),"",IF(ABS(F32-D32)&lt;0.001,"Yes","No"))</f>
        <v/>
      </c>
      <c r="I32" s="7" t="str">
        <f aca="false">IF(ISNUMBER(F32),F32,D32)</f>
        <v/>
      </c>
      <c r="J32" s="6" t="str">
        <f aca="false">IF(ISNUMBER(F32),"Expert (overrides AI)",IF(ISNUMBER(D32),"AI","Not scored yet"))</f>
        <v>Not scored yet</v>
      </c>
      <c r="K32" s="4" t="s">
        <v>22</v>
      </c>
      <c r="L32" s="4" t="s">
        <v>23</v>
      </c>
      <c r="M32" s="4" t="s">
        <v>161</v>
      </c>
      <c r="N32" s="4" t="s">
        <v>25</v>
      </c>
      <c r="O32" s="4" t="s">
        <v>26</v>
      </c>
      <c r="P32" s="4" t="s">
        <v>162</v>
      </c>
      <c r="Q32" s="4" t="s">
        <v>163</v>
      </c>
      <c r="R32" s="4" t="s">
        <v>153</v>
      </c>
    </row>
    <row r="33" customFormat="false" ht="93" hidden="false" customHeight="true" outlineLevel="0" collapsed="false">
      <c r="A33" s="3" t="s">
        <v>159</v>
      </c>
      <c r="B33" s="4" t="s">
        <v>30</v>
      </c>
      <c r="C33" s="4" t="s">
        <v>160</v>
      </c>
      <c r="D33" s="4" t="str">
        <f aca="false">IFERROR(UPD11a!L33,"")</f>
        <v/>
      </c>
      <c r="E33" s="4" t="s">
        <v>118</v>
      </c>
      <c r="F33" s="5"/>
      <c r="G33" s="5"/>
      <c r="H33" s="6" t="str">
        <f aca="false">IF(OR(F33="",NOT(ISNUMBER(D33))),"",IF(ABS(F33-D33)&lt;0.001,"Yes","No"))</f>
        <v/>
      </c>
      <c r="I33" s="7" t="str">
        <f aca="false">IF(ISNUMBER(F33),F33,D33)</f>
        <v/>
      </c>
      <c r="J33" s="6" t="str">
        <f aca="false">IF(ISNUMBER(F33),"Expert (overrides AI)",IF(ISNUMBER(D33),"AI","Not scored yet"))</f>
        <v>Not scored yet</v>
      </c>
      <c r="K33" s="4" t="s">
        <v>22</v>
      </c>
      <c r="L33" s="4" t="s">
        <v>23</v>
      </c>
      <c r="M33" s="4" t="s">
        <v>164</v>
      </c>
      <c r="N33" s="4" t="s">
        <v>155</v>
      </c>
      <c r="O33" s="4" t="s">
        <v>156</v>
      </c>
      <c r="P33" s="4" t="s">
        <v>157</v>
      </c>
      <c r="Q33" s="4" t="s">
        <v>165</v>
      </c>
      <c r="R33" s="4" t="s">
        <v>153</v>
      </c>
    </row>
    <row r="34" customFormat="false" ht="93" hidden="false" customHeight="true" outlineLevel="0" collapsed="false">
      <c r="A34" s="3" t="s">
        <v>166</v>
      </c>
      <c r="B34" s="4" t="s">
        <v>19</v>
      </c>
      <c r="C34" s="4" t="s">
        <v>167</v>
      </c>
      <c r="D34" s="4" t="str">
        <f aca="false">IFERROR(UPD11b!K14,"")</f>
        <v/>
      </c>
      <c r="E34" s="4" t="s">
        <v>118</v>
      </c>
      <c r="F34" s="5"/>
      <c r="G34" s="5"/>
      <c r="H34" s="6" t="str">
        <f aca="false">IF(OR(F34="",NOT(ISNUMBER(D34))),"",IF(ABS(F34-D34)&lt;0.001,"Yes","No"))</f>
        <v/>
      </c>
      <c r="I34" s="7" t="str">
        <f aca="false">IF(ISNUMBER(F34),F34,D34)</f>
        <v/>
      </c>
      <c r="J34" s="6" t="str">
        <f aca="false">IF(ISNUMBER(F34),"Expert (overrides AI)",IF(ISNUMBER(D34),"AI","Not scored yet"))</f>
        <v>Not scored yet</v>
      </c>
      <c r="K34" s="4" t="s">
        <v>22</v>
      </c>
      <c r="L34" s="4" t="s">
        <v>31</v>
      </c>
      <c r="M34" s="4"/>
      <c r="N34" s="4"/>
      <c r="O34" s="4"/>
      <c r="P34" s="4"/>
      <c r="Q34" s="4"/>
      <c r="R34" s="4" t="s">
        <v>168</v>
      </c>
    </row>
    <row r="35" customFormat="false" ht="93" hidden="false" customHeight="true" outlineLevel="0" collapsed="false">
      <c r="A35" s="3" t="s">
        <v>166</v>
      </c>
      <c r="B35" s="4" t="s">
        <v>30</v>
      </c>
      <c r="C35" s="4" t="s">
        <v>167</v>
      </c>
      <c r="D35" s="8" t="n">
        <f aca="false">IFERROR(UPD11b!K33,"")</f>
        <v>5</v>
      </c>
      <c r="E35" s="4" t="s">
        <v>118</v>
      </c>
      <c r="F35" s="5"/>
      <c r="G35" s="5"/>
      <c r="H35" s="6" t="str">
        <f aca="false">IF(OR(F35="",NOT(ISNUMBER(D35))),"",IF(ABS(F35-D35)&lt;0.001,"Yes","No"))</f>
        <v/>
      </c>
      <c r="I35" s="9" t="n">
        <f aca="false">IF(ISNUMBER(F35),F35,D35)</f>
        <v>5</v>
      </c>
      <c r="J35" s="6" t="str">
        <f aca="false">IF(ISNUMBER(F35),"Expert (overrides AI)",IF(ISNUMBER(D35),"AI","Not scored yet"))</f>
        <v>AI</v>
      </c>
      <c r="K35" s="4" t="s">
        <v>35</v>
      </c>
      <c r="L35" s="4" t="s">
        <v>36</v>
      </c>
      <c r="M35" s="4" t="s">
        <v>169</v>
      </c>
      <c r="N35" s="4" t="s">
        <v>124</v>
      </c>
      <c r="O35" s="4" t="s">
        <v>125</v>
      </c>
      <c r="P35" s="4" t="s">
        <v>170</v>
      </c>
      <c r="Q35" s="4" t="s">
        <v>171</v>
      </c>
      <c r="R35" s="4"/>
    </row>
    <row r="36" customFormat="false" ht="93" hidden="false" customHeight="true" outlineLevel="0" collapsed="false">
      <c r="A36" s="3" t="s">
        <v>172</v>
      </c>
      <c r="B36" s="4" t="s">
        <v>19</v>
      </c>
      <c r="C36" s="4" t="s">
        <v>173</v>
      </c>
      <c r="D36" s="4" t="n">
        <f aca="false">IFERROR('UPD12'!N14,"")</f>
        <v>7.5</v>
      </c>
      <c r="E36" s="4" t="s">
        <v>21</v>
      </c>
      <c r="F36" s="5"/>
      <c r="G36" s="5"/>
      <c r="H36" s="6" t="str">
        <f aca="false">IF(OR(F36="",NOT(ISNUMBER(D36))),"",IF(ABS(F36-D36)&lt;0.001,"Yes","No"))</f>
        <v/>
      </c>
      <c r="I36" s="7" t="n">
        <f aca="false">IF(ISNUMBER(F36),F36,D36)</f>
        <v>7.5</v>
      </c>
      <c r="J36" s="6" t="str">
        <f aca="false">IF(ISNUMBER(F36),"Expert (overrides AI)",IF(ISNUMBER(D36),"AI","Not scored yet"))</f>
        <v>AI</v>
      </c>
      <c r="K36" s="4" t="s">
        <v>35</v>
      </c>
      <c r="L36" s="4" t="s">
        <v>36</v>
      </c>
      <c r="M36" s="4" t="s">
        <v>174</v>
      </c>
      <c r="N36" s="4" t="s">
        <v>25</v>
      </c>
      <c r="O36" s="4" t="s">
        <v>26</v>
      </c>
      <c r="P36" s="4" t="s">
        <v>175</v>
      </c>
      <c r="Q36" s="4" t="s">
        <v>176</v>
      </c>
      <c r="R36" s="4"/>
    </row>
    <row r="37" customFormat="false" ht="93" hidden="false" customHeight="true" outlineLevel="0" collapsed="false">
      <c r="A37" s="3" t="s">
        <v>172</v>
      </c>
      <c r="B37" s="4" t="s">
        <v>30</v>
      </c>
      <c r="C37" s="4" t="s">
        <v>173</v>
      </c>
      <c r="D37" s="4" t="str">
        <f aca="false">IFERROR('UPD12'!N33,"")</f>
        <v/>
      </c>
      <c r="E37" s="4" t="s">
        <v>21</v>
      </c>
      <c r="F37" s="5"/>
      <c r="G37" s="5"/>
      <c r="H37" s="6" t="str">
        <f aca="false">IF(OR(F37="",NOT(ISNUMBER(D37))),"",IF(ABS(F37-D37)&lt;0.001,"Yes","No"))</f>
        <v/>
      </c>
      <c r="I37" s="7" t="str">
        <f aca="false">IF(ISNUMBER(F37),F37,D37)</f>
        <v/>
      </c>
      <c r="J37" s="6" t="str">
        <f aca="false">IF(ISNUMBER(F37),"Expert (overrides AI)",IF(ISNUMBER(D37),"AI","Not scored yet"))</f>
        <v>Not scored yet</v>
      </c>
      <c r="K37" s="4" t="s">
        <v>22</v>
      </c>
      <c r="L37" s="4" t="s">
        <v>23</v>
      </c>
      <c r="M37" s="4" t="s">
        <v>177</v>
      </c>
      <c r="N37" s="4" t="s">
        <v>124</v>
      </c>
      <c r="O37" s="4" t="s">
        <v>125</v>
      </c>
      <c r="P37" s="4" t="s">
        <v>178</v>
      </c>
      <c r="Q37" s="4" t="s">
        <v>179</v>
      </c>
      <c r="R37" s="4" t="s">
        <v>180</v>
      </c>
    </row>
    <row r="38" customFormat="false" ht="93" hidden="false" customHeight="true" outlineLevel="0" collapsed="false">
      <c r="A38" s="3" t="s">
        <v>181</v>
      </c>
      <c r="B38" s="4" t="s">
        <v>19</v>
      </c>
      <c r="C38" s="4" t="s">
        <v>182</v>
      </c>
      <c r="D38" s="4" t="str">
        <f aca="false">IFERROR(UPD13a!M14,"")</f>
        <v/>
      </c>
      <c r="E38" s="4" t="s">
        <v>183</v>
      </c>
      <c r="F38" s="5"/>
      <c r="G38" s="5"/>
      <c r="H38" s="6" t="str">
        <f aca="false">IF(OR(F38="",NOT(ISNUMBER(D38))),"",IF(ABS(F38-D38)&lt;0.001,"Yes","No"))</f>
        <v/>
      </c>
      <c r="I38" s="7" t="str">
        <f aca="false">IF(ISNUMBER(F38),F38,D38)</f>
        <v/>
      </c>
      <c r="J38" s="6" t="str">
        <f aca="false">IF(ISNUMBER(F38),"Expert (overrides AI)",IF(ISNUMBER(D38),"AI","Not scored yet"))</f>
        <v>Not scored yet</v>
      </c>
      <c r="K38" s="4" t="s">
        <v>22</v>
      </c>
      <c r="L38" s="4" t="s">
        <v>23</v>
      </c>
      <c r="M38" s="4" t="s">
        <v>184</v>
      </c>
      <c r="N38" s="4" t="s">
        <v>49</v>
      </c>
      <c r="O38" s="4" t="s">
        <v>50</v>
      </c>
      <c r="P38" s="4" t="s">
        <v>185</v>
      </c>
      <c r="Q38" s="4" t="s">
        <v>186</v>
      </c>
      <c r="R38" s="4" t="s">
        <v>187</v>
      </c>
    </row>
    <row r="39" customFormat="false" ht="93" hidden="false" customHeight="true" outlineLevel="0" collapsed="false">
      <c r="A39" s="3" t="s">
        <v>181</v>
      </c>
      <c r="B39" s="4" t="s">
        <v>30</v>
      </c>
      <c r="C39" s="4" t="s">
        <v>182</v>
      </c>
      <c r="D39" s="4" t="str">
        <f aca="false">IFERROR(UPD13a!M33,"")</f>
        <v/>
      </c>
      <c r="E39" s="4" t="s">
        <v>183</v>
      </c>
      <c r="F39" s="5"/>
      <c r="G39" s="5"/>
      <c r="H39" s="6" t="str">
        <f aca="false">IF(OR(F39="",NOT(ISNUMBER(D39))),"",IF(ABS(F39-D39)&lt;0.001,"Yes","No"))</f>
        <v/>
      </c>
      <c r="I39" s="7" t="str">
        <f aca="false">IF(ISNUMBER(F39),F39,D39)</f>
        <v/>
      </c>
      <c r="J39" s="6" t="str">
        <f aca="false">IF(ISNUMBER(F39),"Expert (overrides AI)",IF(ISNUMBER(D39),"AI","Not scored yet"))</f>
        <v>Not scored yet</v>
      </c>
      <c r="K39" s="4" t="s">
        <v>22</v>
      </c>
      <c r="L39" s="4" t="s">
        <v>23</v>
      </c>
      <c r="M39" s="4" t="s">
        <v>188</v>
      </c>
      <c r="N39" s="4" t="s">
        <v>124</v>
      </c>
      <c r="O39" s="4" t="s">
        <v>125</v>
      </c>
      <c r="P39" s="4" t="s">
        <v>189</v>
      </c>
      <c r="Q39" s="4" t="s">
        <v>190</v>
      </c>
      <c r="R39" s="4" t="s">
        <v>187</v>
      </c>
    </row>
    <row r="40" customFormat="false" ht="93" hidden="false" customHeight="true" outlineLevel="0" collapsed="false">
      <c r="A40" s="3" t="s">
        <v>191</v>
      </c>
      <c r="B40" s="4" t="s">
        <v>19</v>
      </c>
      <c r="C40" s="4" t="s">
        <v>192</v>
      </c>
      <c r="D40" s="4" t="str">
        <f aca="false">IFERROR(UPD13b!K14,"")</f>
        <v/>
      </c>
      <c r="E40" s="4" t="s">
        <v>183</v>
      </c>
      <c r="F40" s="5"/>
      <c r="G40" s="5"/>
      <c r="H40" s="6" t="str">
        <f aca="false">IF(OR(F40="",NOT(ISNUMBER(D40))),"",IF(ABS(F40-D40)&lt;0.001,"Yes","No"))</f>
        <v/>
      </c>
      <c r="I40" s="7" t="str">
        <f aca="false">IF(ISNUMBER(F40),F40,D40)</f>
        <v/>
      </c>
      <c r="J40" s="6" t="str">
        <f aca="false">IF(ISNUMBER(F40),"Expert (overrides AI)",IF(ISNUMBER(D40),"AI","Not scored yet"))</f>
        <v>Not scored yet</v>
      </c>
      <c r="K40" s="4" t="s">
        <v>22</v>
      </c>
      <c r="L40" s="4" t="s">
        <v>23</v>
      </c>
      <c r="M40" s="4" t="s">
        <v>193</v>
      </c>
      <c r="N40" s="4" t="s">
        <v>49</v>
      </c>
      <c r="O40" s="4" t="s">
        <v>50</v>
      </c>
      <c r="P40" s="4" t="s">
        <v>194</v>
      </c>
      <c r="Q40" s="4" t="s">
        <v>195</v>
      </c>
      <c r="R40" s="4" t="s">
        <v>58</v>
      </c>
    </row>
    <row r="41" customFormat="false" ht="93" hidden="false" customHeight="true" outlineLevel="0" collapsed="false">
      <c r="A41" s="3" t="s">
        <v>191</v>
      </c>
      <c r="B41" s="4" t="s">
        <v>30</v>
      </c>
      <c r="C41" s="4" t="s">
        <v>192</v>
      </c>
      <c r="D41" s="4" t="str">
        <f aca="false">IFERROR(UPD13b!K33,"")</f>
        <v/>
      </c>
      <c r="E41" s="4" t="s">
        <v>183</v>
      </c>
      <c r="F41" s="5"/>
      <c r="G41" s="5"/>
      <c r="H41" s="6" t="str">
        <f aca="false">IF(OR(F41="",NOT(ISNUMBER(D41))),"",IF(ABS(F41-D41)&lt;0.001,"Yes","No"))</f>
        <v/>
      </c>
      <c r="I41" s="7" t="str">
        <f aca="false">IF(ISNUMBER(F41),F41,D41)</f>
        <v/>
      </c>
      <c r="J41" s="6" t="str">
        <f aca="false">IF(ISNUMBER(F41),"Expert (overrides AI)",IF(ISNUMBER(D41),"AI","Not scored yet"))</f>
        <v>Not scored yet</v>
      </c>
      <c r="K41" s="4" t="s">
        <v>22</v>
      </c>
      <c r="L41" s="4" t="s">
        <v>31</v>
      </c>
      <c r="M41" s="4"/>
      <c r="N41" s="4"/>
      <c r="O41" s="4"/>
      <c r="P41" s="4"/>
      <c r="Q41" s="4"/>
      <c r="R41" s="4" t="s">
        <v>196</v>
      </c>
    </row>
    <row r="42" customFormat="false" ht="93" hidden="false" customHeight="true" outlineLevel="0" collapsed="false">
      <c r="A42" s="3" t="s">
        <v>197</v>
      </c>
      <c r="B42" s="4" t="s">
        <v>19</v>
      </c>
      <c r="C42" s="4" t="s">
        <v>198</v>
      </c>
      <c r="D42" s="8" t="n">
        <f aca="false">IFERROR(UPD13c!K14,"")</f>
        <v>1.67</v>
      </c>
      <c r="E42" s="4" t="s">
        <v>183</v>
      </c>
      <c r="F42" s="5"/>
      <c r="G42" s="5"/>
      <c r="H42" s="6" t="str">
        <f aca="false">IF(OR(F42="",NOT(ISNUMBER(D42))),"",IF(ABS(F42-D42)&lt;0.001,"Yes","No"))</f>
        <v/>
      </c>
      <c r="I42" s="9" t="n">
        <f aca="false">IF(ISNUMBER(F42),F42,D42)</f>
        <v>1.67</v>
      </c>
      <c r="J42" s="6" t="str">
        <f aca="false">IF(ISNUMBER(F42),"Expert (overrides AI)",IF(ISNUMBER(D42),"AI","Not scored yet"))</f>
        <v>AI</v>
      </c>
      <c r="K42" s="4" t="s">
        <v>35</v>
      </c>
      <c r="L42" s="4" t="s">
        <v>36</v>
      </c>
      <c r="M42" s="4" t="s">
        <v>199</v>
      </c>
      <c r="N42" s="4" t="s">
        <v>200</v>
      </c>
      <c r="O42" s="4" t="s">
        <v>201</v>
      </c>
      <c r="P42" s="4" t="s">
        <v>202</v>
      </c>
      <c r="Q42" s="4" t="s">
        <v>203</v>
      </c>
      <c r="R42" s="4"/>
    </row>
    <row r="43" customFormat="false" ht="93" hidden="false" customHeight="true" outlineLevel="0" collapsed="false">
      <c r="A43" s="3" t="s">
        <v>197</v>
      </c>
      <c r="B43" s="4" t="s">
        <v>30</v>
      </c>
      <c r="C43" s="4" t="s">
        <v>198</v>
      </c>
      <c r="D43" s="4" t="str">
        <f aca="false">IFERROR(UPD13c!K33,"")</f>
        <v/>
      </c>
      <c r="E43" s="4" t="s">
        <v>183</v>
      </c>
      <c r="F43" s="5"/>
      <c r="G43" s="5"/>
      <c r="H43" s="6" t="str">
        <f aca="false">IF(OR(F43="",NOT(ISNUMBER(D43))),"",IF(ABS(F43-D43)&lt;0.001,"Yes","No"))</f>
        <v/>
      </c>
      <c r="I43" s="7" t="str">
        <f aca="false">IF(ISNUMBER(F43),F43,D43)</f>
        <v/>
      </c>
      <c r="J43" s="6" t="str">
        <f aca="false">IF(ISNUMBER(F43),"Expert (overrides AI)",IF(ISNUMBER(D43),"AI","Not scored yet"))</f>
        <v>Not scored yet</v>
      </c>
      <c r="K43" s="4" t="s">
        <v>22</v>
      </c>
      <c r="L43" s="4" t="s">
        <v>23</v>
      </c>
      <c r="M43" s="4" t="s">
        <v>204</v>
      </c>
      <c r="N43" s="4" t="s">
        <v>124</v>
      </c>
      <c r="O43" s="4" t="s">
        <v>125</v>
      </c>
      <c r="P43" s="4" t="s">
        <v>189</v>
      </c>
      <c r="Q43" s="4" t="s">
        <v>205</v>
      </c>
      <c r="R43" s="4" t="s">
        <v>58</v>
      </c>
    </row>
    <row r="44" customFormat="false" ht="93" hidden="false" customHeight="true" outlineLevel="0" collapsed="false">
      <c r="A44" s="3" t="s">
        <v>206</v>
      </c>
      <c r="B44" s="4" t="s">
        <v>19</v>
      </c>
      <c r="C44" s="4" t="s">
        <v>207</v>
      </c>
      <c r="D44" s="8" t="n">
        <f aca="false">IFERROR(UPD13d!K14,"")</f>
        <v>1.67</v>
      </c>
      <c r="E44" s="4" t="s">
        <v>183</v>
      </c>
      <c r="F44" s="5"/>
      <c r="G44" s="5"/>
      <c r="H44" s="6" t="str">
        <f aca="false">IF(OR(F44="",NOT(ISNUMBER(D44))),"",IF(ABS(F44-D44)&lt;0.001,"Yes","No"))</f>
        <v/>
      </c>
      <c r="I44" s="9" t="n">
        <f aca="false">IF(ISNUMBER(F44),F44,D44)</f>
        <v>1.67</v>
      </c>
      <c r="J44" s="6" t="str">
        <f aca="false">IF(ISNUMBER(F44),"Expert (overrides AI)",IF(ISNUMBER(D44),"AI","Not scored yet"))</f>
        <v>AI</v>
      </c>
      <c r="K44" s="4" t="s">
        <v>35</v>
      </c>
      <c r="L44" s="4" t="s">
        <v>36</v>
      </c>
      <c r="M44" s="4" t="s">
        <v>208</v>
      </c>
      <c r="N44" s="4" t="s">
        <v>49</v>
      </c>
      <c r="O44" s="4" t="s">
        <v>50</v>
      </c>
      <c r="P44" s="4" t="s">
        <v>209</v>
      </c>
      <c r="Q44" s="4" t="s">
        <v>210</v>
      </c>
      <c r="R44" s="4"/>
    </row>
    <row r="45" customFormat="false" ht="93" hidden="false" customHeight="true" outlineLevel="0" collapsed="false">
      <c r="A45" s="3" t="s">
        <v>206</v>
      </c>
      <c r="B45" s="4" t="s">
        <v>30</v>
      </c>
      <c r="C45" s="4" t="s">
        <v>207</v>
      </c>
      <c r="D45" s="4" t="str">
        <f aca="false">IFERROR(UPD13d!K33,"")</f>
        <v/>
      </c>
      <c r="E45" s="4" t="s">
        <v>183</v>
      </c>
      <c r="F45" s="5"/>
      <c r="G45" s="5"/>
      <c r="H45" s="6" t="str">
        <f aca="false">IF(OR(F45="",NOT(ISNUMBER(D45))),"",IF(ABS(F45-D45)&lt;0.001,"Yes","No"))</f>
        <v/>
      </c>
      <c r="I45" s="7" t="str">
        <f aca="false">IF(ISNUMBER(F45),F45,D45)</f>
        <v/>
      </c>
      <c r="J45" s="6" t="str">
        <f aca="false">IF(ISNUMBER(F45),"Expert (overrides AI)",IF(ISNUMBER(D45),"AI","Not scored yet"))</f>
        <v>Not scored yet</v>
      </c>
      <c r="K45" s="4" t="s">
        <v>22</v>
      </c>
      <c r="L45" s="4" t="s">
        <v>23</v>
      </c>
      <c r="M45" s="4" t="s">
        <v>211</v>
      </c>
      <c r="N45" s="4" t="s">
        <v>124</v>
      </c>
      <c r="O45" s="4" t="s">
        <v>125</v>
      </c>
      <c r="P45" s="4" t="s">
        <v>189</v>
      </c>
      <c r="Q45" s="4" t="s">
        <v>212</v>
      </c>
      <c r="R45" s="4" t="s">
        <v>58</v>
      </c>
    </row>
    <row r="46" customFormat="false" ht="93" hidden="false" customHeight="true" outlineLevel="0" collapsed="false">
      <c r="A46" s="3" t="s">
        <v>213</v>
      </c>
      <c r="B46" s="4" t="s">
        <v>19</v>
      </c>
      <c r="C46" s="4" t="s">
        <v>214</v>
      </c>
      <c r="D46" s="8" t="n">
        <f aca="false">IFERROR(UPD13e!K14,"")</f>
        <v>1.67</v>
      </c>
      <c r="E46" s="4" t="s">
        <v>183</v>
      </c>
      <c r="F46" s="5"/>
      <c r="G46" s="5"/>
      <c r="H46" s="6" t="str">
        <f aca="false">IF(OR(F46="",NOT(ISNUMBER(D46))),"",IF(ABS(F46-D46)&lt;0.001,"Yes","No"))</f>
        <v/>
      </c>
      <c r="I46" s="9" t="n">
        <f aca="false">IF(ISNUMBER(F46),F46,D46)</f>
        <v>1.67</v>
      </c>
      <c r="J46" s="6" t="str">
        <f aca="false">IF(ISNUMBER(F46),"Expert (overrides AI)",IF(ISNUMBER(D46),"AI","Not scored yet"))</f>
        <v>AI</v>
      </c>
      <c r="K46" s="4" t="s">
        <v>35</v>
      </c>
      <c r="L46" s="4" t="s">
        <v>36</v>
      </c>
      <c r="M46" s="4" t="s">
        <v>215</v>
      </c>
      <c r="N46" s="4" t="s">
        <v>25</v>
      </c>
      <c r="O46" s="4" t="s">
        <v>26</v>
      </c>
      <c r="P46" s="4" t="s">
        <v>216</v>
      </c>
      <c r="Q46" s="4" t="s">
        <v>217</v>
      </c>
      <c r="R46" s="4"/>
    </row>
    <row r="47" customFormat="false" ht="93" hidden="false" customHeight="true" outlineLevel="0" collapsed="false">
      <c r="A47" s="3" t="s">
        <v>213</v>
      </c>
      <c r="B47" s="4" t="s">
        <v>30</v>
      </c>
      <c r="C47" s="4" t="s">
        <v>214</v>
      </c>
      <c r="D47" s="4" t="str">
        <f aca="false">IFERROR(UPD13e!K33,"")</f>
        <v/>
      </c>
      <c r="E47" s="4" t="s">
        <v>183</v>
      </c>
      <c r="F47" s="5"/>
      <c r="G47" s="5"/>
      <c r="H47" s="6" t="str">
        <f aca="false">IF(OR(F47="",NOT(ISNUMBER(D47))),"",IF(ABS(F47-D47)&lt;0.001,"Yes","No"))</f>
        <v/>
      </c>
      <c r="I47" s="7" t="str">
        <f aca="false">IF(ISNUMBER(F47),F47,D47)</f>
        <v/>
      </c>
      <c r="J47" s="6" t="str">
        <f aca="false">IF(ISNUMBER(F47),"Expert (overrides AI)",IF(ISNUMBER(D47),"AI","Not scored yet"))</f>
        <v>Not scored yet</v>
      </c>
      <c r="K47" s="4" t="s">
        <v>22</v>
      </c>
      <c r="L47" s="4" t="s">
        <v>31</v>
      </c>
      <c r="M47" s="4"/>
      <c r="N47" s="4"/>
      <c r="O47" s="4"/>
      <c r="P47" s="4"/>
      <c r="Q47" s="4"/>
      <c r="R47" s="4" t="s">
        <v>218</v>
      </c>
    </row>
    <row r="48" customFormat="false" ht="93" hidden="false" customHeight="true" outlineLevel="0" collapsed="false">
      <c r="A48" s="3" t="s">
        <v>219</v>
      </c>
      <c r="B48" s="4" t="s">
        <v>19</v>
      </c>
      <c r="C48" s="4" t="s">
        <v>220</v>
      </c>
      <c r="D48" s="4" t="str">
        <f aca="false">IFERROR(UPD13f!M14,"")</f>
        <v/>
      </c>
      <c r="E48" s="4" t="s">
        <v>183</v>
      </c>
      <c r="F48" s="5"/>
      <c r="G48" s="5"/>
      <c r="H48" s="6" t="str">
        <f aca="false">IF(OR(F48="",NOT(ISNUMBER(D48))),"",IF(ABS(F48-D48)&lt;0.001,"Yes","No"))</f>
        <v/>
      </c>
      <c r="I48" s="7" t="str">
        <f aca="false">IF(ISNUMBER(F48),F48,D48)</f>
        <v/>
      </c>
      <c r="J48" s="6" t="str">
        <f aca="false">IF(ISNUMBER(F48),"Expert (overrides AI)",IF(ISNUMBER(D48),"AI","Not scored yet"))</f>
        <v>Not scored yet</v>
      </c>
      <c r="K48" s="4" t="s">
        <v>22</v>
      </c>
      <c r="L48" s="4" t="s">
        <v>23</v>
      </c>
      <c r="M48" s="4" t="s">
        <v>221</v>
      </c>
      <c r="N48" s="4" t="s">
        <v>25</v>
      </c>
      <c r="O48" s="4" t="s">
        <v>26</v>
      </c>
      <c r="P48" s="4" t="s">
        <v>222</v>
      </c>
      <c r="Q48" s="4" t="s">
        <v>223</v>
      </c>
      <c r="R48" s="4" t="s">
        <v>224</v>
      </c>
    </row>
    <row r="49" customFormat="false" ht="93" hidden="false" customHeight="true" outlineLevel="0" collapsed="false">
      <c r="A49" s="3" t="s">
        <v>219</v>
      </c>
      <c r="B49" s="4" t="s">
        <v>30</v>
      </c>
      <c r="C49" s="4" t="s">
        <v>220</v>
      </c>
      <c r="D49" s="4" t="str">
        <f aca="false">IFERROR(UPD13f!M33,"")</f>
        <v/>
      </c>
      <c r="E49" s="4" t="s">
        <v>183</v>
      </c>
      <c r="F49" s="5"/>
      <c r="G49" s="5"/>
      <c r="H49" s="6" t="str">
        <f aca="false">IF(OR(F49="",NOT(ISNUMBER(D49))),"",IF(ABS(F49-D49)&lt;0.001,"Yes","No"))</f>
        <v/>
      </c>
      <c r="I49" s="7" t="str">
        <f aca="false">IF(ISNUMBER(F49),F49,D49)</f>
        <v/>
      </c>
      <c r="J49" s="6" t="str">
        <f aca="false">IF(ISNUMBER(F49),"Expert (overrides AI)",IF(ISNUMBER(D49),"AI","Not scored yet"))</f>
        <v>Not scored yet</v>
      </c>
      <c r="K49" s="4" t="s">
        <v>22</v>
      </c>
      <c r="L49" s="4" t="s">
        <v>23</v>
      </c>
      <c r="M49" s="4" t="s">
        <v>225</v>
      </c>
      <c r="N49" s="4" t="s">
        <v>124</v>
      </c>
      <c r="O49" s="4" t="s">
        <v>125</v>
      </c>
      <c r="P49" s="4" t="s">
        <v>189</v>
      </c>
      <c r="Q49" s="4" t="s">
        <v>226</v>
      </c>
      <c r="R49" s="4" t="s">
        <v>224</v>
      </c>
    </row>
    <row r="50" customFormat="false" ht="93" hidden="false" customHeight="true" outlineLevel="0" collapsed="false">
      <c r="A50" s="3" t="s">
        <v>227</v>
      </c>
      <c r="B50" s="4" t="s">
        <v>19</v>
      </c>
      <c r="C50" s="4" t="s">
        <v>228</v>
      </c>
      <c r="D50" s="4" t="str">
        <f aca="false">IFERROR(UPD14a!K14,"")</f>
        <v/>
      </c>
      <c r="E50" s="4" t="s">
        <v>47</v>
      </c>
      <c r="F50" s="5"/>
      <c r="G50" s="5"/>
      <c r="H50" s="6" t="str">
        <f aca="false">IF(OR(F50="",NOT(ISNUMBER(D50))),"",IF(ABS(F50-D50)&lt;0.001,"Yes","No"))</f>
        <v/>
      </c>
      <c r="I50" s="7" t="str">
        <f aca="false">IF(ISNUMBER(F50),F50,D50)</f>
        <v/>
      </c>
      <c r="J50" s="6" t="str">
        <f aca="false">IF(ISNUMBER(F50),"Expert (overrides AI)",IF(ISNUMBER(D50),"AI","Not scored yet"))</f>
        <v>Not scored yet</v>
      </c>
      <c r="K50" s="4" t="s">
        <v>22</v>
      </c>
      <c r="L50" s="4" t="s">
        <v>23</v>
      </c>
      <c r="M50" s="4" t="s">
        <v>229</v>
      </c>
      <c r="N50" s="4" t="s">
        <v>230</v>
      </c>
      <c r="O50" s="4" t="s">
        <v>231</v>
      </c>
      <c r="P50" s="4" t="s">
        <v>232</v>
      </c>
      <c r="Q50" s="4" t="s">
        <v>233</v>
      </c>
      <c r="R50" s="4" t="s">
        <v>58</v>
      </c>
    </row>
    <row r="51" customFormat="false" ht="93" hidden="false" customHeight="true" outlineLevel="0" collapsed="false">
      <c r="A51" s="3" t="s">
        <v>227</v>
      </c>
      <c r="B51" s="4" t="s">
        <v>30</v>
      </c>
      <c r="C51" s="4" t="s">
        <v>228</v>
      </c>
      <c r="D51" s="4" t="str">
        <f aca="false">IFERROR(UPD14a!K33,"")</f>
        <v/>
      </c>
      <c r="E51" s="4" t="s">
        <v>47</v>
      </c>
      <c r="F51" s="5"/>
      <c r="G51" s="5"/>
      <c r="H51" s="6" t="str">
        <f aca="false">IF(OR(F51="",NOT(ISNUMBER(D51))),"",IF(ABS(F51-D51)&lt;0.001,"Yes","No"))</f>
        <v/>
      </c>
      <c r="I51" s="7" t="str">
        <f aca="false">IF(ISNUMBER(F51),F51,D51)</f>
        <v/>
      </c>
      <c r="J51" s="6" t="str">
        <f aca="false">IF(ISNUMBER(F51),"Expert (overrides AI)",IF(ISNUMBER(D51),"AI","Not scored yet"))</f>
        <v>Not scored yet</v>
      </c>
      <c r="K51" s="4" t="s">
        <v>22</v>
      </c>
      <c r="L51" s="4" t="s">
        <v>23</v>
      </c>
      <c r="M51" s="4" t="s">
        <v>234</v>
      </c>
      <c r="N51" s="4" t="s">
        <v>124</v>
      </c>
      <c r="O51" s="4" t="s">
        <v>125</v>
      </c>
      <c r="P51" s="4" t="s">
        <v>235</v>
      </c>
      <c r="Q51" s="4" t="s">
        <v>236</v>
      </c>
      <c r="R51" s="4" t="s">
        <v>58</v>
      </c>
    </row>
    <row r="52" customFormat="false" ht="93" hidden="false" customHeight="true" outlineLevel="0" collapsed="false">
      <c r="A52" s="3" t="s">
        <v>237</v>
      </c>
      <c r="B52" s="4" t="s">
        <v>19</v>
      </c>
      <c r="C52" s="4" t="s">
        <v>238</v>
      </c>
      <c r="D52" s="4" t="str">
        <f aca="false">IFERROR(UPD14b!K14,"")</f>
        <v/>
      </c>
      <c r="E52" s="4" t="s">
        <v>47</v>
      </c>
      <c r="F52" s="5"/>
      <c r="G52" s="5"/>
      <c r="H52" s="6" t="str">
        <f aca="false">IF(OR(F52="",NOT(ISNUMBER(D52))),"",IF(ABS(F52-D52)&lt;0.001,"Yes","No"))</f>
        <v/>
      </c>
      <c r="I52" s="7" t="str">
        <f aca="false">IF(ISNUMBER(F52),F52,D52)</f>
        <v/>
      </c>
      <c r="J52" s="6" t="str">
        <f aca="false">IF(ISNUMBER(F52),"Expert (overrides AI)",IF(ISNUMBER(D52),"AI","Not scored yet"))</f>
        <v>Not scored yet</v>
      </c>
      <c r="K52" s="4" t="s">
        <v>22</v>
      </c>
      <c r="L52" s="4" t="s">
        <v>23</v>
      </c>
      <c r="M52" s="4" t="s">
        <v>239</v>
      </c>
      <c r="N52" s="4" t="s">
        <v>230</v>
      </c>
      <c r="O52" s="4" t="s">
        <v>231</v>
      </c>
      <c r="P52" s="4" t="s">
        <v>240</v>
      </c>
      <c r="Q52" s="4" t="s">
        <v>241</v>
      </c>
      <c r="R52" s="4" t="s">
        <v>58</v>
      </c>
    </row>
    <row r="53" customFormat="false" ht="93" hidden="false" customHeight="true" outlineLevel="0" collapsed="false">
      <c r="A53" s="3" t="s">
        <v>237</v>
      </c>
      <c r="B53" s="4" t="s">
        <v>30</v>
      </c>
      <c r="C53" s="4" t="s">
        <v>238</v>
      </c>
      <c r="D53" s="8" t="n">
        <f aca="false">IFERROR(UPD14b!K33,"")</f>
        <v>3.33</v>
      </c>
      <c r="E53" s="4" t="s">
        <v>47</v>
      </c>
      <c r="F53" s="5"/>
      <c r="G53" s="5"/>
      <c r="H53" s="6" t="str">
        <f aca="false">IF(OR(F53="",NOT(ISNUMBER(D53))),"",IF(ABS(F53-D53)&lt;0.001,"Yes","No"))</f>
        <v/>
      </c>
      <c r="I53" s="9" t="n">
        <f aca="false">IF(ISNUMBER(F53),F53,D53)</f>
        <v>3.33</v>
      </c>
      <c r="J53" s="6" t="str">
        <f aca="false">IF(ISNUMBER(F53),"Expert (overrides AI)",IF(ISNUMBER(D53),"AI","Not scored yet"))</f>
        <v>AI</v>
      </c>
      <c r="K53" s="4" t="s">
        <v>35</v>
      </c>
      <c r="L53" s="4" t="s">
        <v>36</v>
      </c>
      <c r="M53" s="4" t="s">
        <v>242</v>
      </c>
      <c r="N53" s="4" t="s">
        <v>243</v>
      </c>
      <c r="O53" s="4" t="s">
        <v>244</v>
      </c>
      <c r="P53" s="4" t="s">
        <v>245</v>
      </c>
      <c r="Q53" s="4" t="s">
        <v>246</v>
      </c>
      <c r="R53" s="4"/>
    </row>
    <row r="54" customFormat="false" ht="93" hidden="false" customHeight="true" outlineLevel="0" collapsed="false">
      <c r="A54" s="3" t="s">
        <v>247</v>
      </c>
      <c r="B54" s="4" t="s">
        <v>19</v>
      </c>
      <c r="C54" s="4" t="s">
        <v>248</v>
      </c>
      <c r="D54" s="4" t="str">
        <f aca="false">IFERROR(UPD14c!K14,"")</f>
        <v/>
      </c>
      <c r="E54" s="4" t="s">
        <v>47</v>
      </c>
      <c r="F54" s="5"/>
      <c r="G54" s="5"/>
      <c r="H54" s="6" t="str">
        <f aca="false">IF(OR(F54="",NOT(ISNUMBER(D54))),"",IF(ABS(F54-D54)&lt;0.001,"Yes","No"))</f>
        <v/>
      </c>
      <c r="I54" s="7" t="str">
        <f aca="false">IF(ISNUMBER(F54),F54,D54)</f>
        <v/>
      </c>
      <c r="J54" s="6" t="str">
        <f aca="false">IF(ISNUMBER(F54),"Expert (overrides AI)",IF(ISNUMBER(D54),"AI","Not scored yet"))</f>
        <v>Not scored yet</v>
      </c>
      <c r="K54" s="4" t="s">
        <v>22</v>
      </c>
      <c r="L54" s="4" t="s">
        <v>31</v>
      </c>
      <c r="M54" s="4"/>
      <c r="N54" s="4"/>
      <c r="O54" s="4"/>
      <c r="P54" s="4"/>
      <c r="Q54" s="4"/>
      <c r="R54" s="4" t="s">
        <v>249</v>
      </c>
    </row>
    <row r="55" customFormat="false" ht="93" hidden="false" customHeight="true" outlineLevel="0" collapsed="false">
      <c r="A55" s="3" t="s">
        <v>247</v>
      </c>
      <c r="B55" s="4" t="s">
        <v>30</v>
      </c>
      <c r="C55" s="4" t="s">
        <v>248</v>
      </c>
      <c r="D55" s="4" t="str">
        <f aca="false">IFERROR(UPD14c!K33,"")</f>
        <v/>
      </c>
      <c r="E55" s="4" t="s">
        <v>47</v>
      </c>
      <c r="F55" s="5"/>
      <c r="G55" s="5"/>
      <c r="H55" s="6" t="str">
        <f aca="false">IF(OR(F55="",NOT(ISNUMBER(D55))),"",IF(ABS(F55-D55)&lt;0.001,"Yes","No"))</f>
        <v/>
      </c>
      <c r="I55" s="7" t="str">
        <f aca="false">IF(ISNUMBER(F55),F55,D55)</f>
        <v/>
      </c>
      <c r="J55" s="6" t="str">
        <f aca="false">IF(ISNUMBER(F55),"Expert (overrides AI)",IF(ISNUMBER(D55),"AI","Not scored yet"))</f>
        <v>Not scored yet</v>
      </c>
      <c r="K55" s="4" t="s">
        <v>22</v>
      </c>
      <c r="L55" s="4" t="s">
        <v>23</v>
      </c>
      <c r="M55" s="4" t="s">
        <v>250</v>
      </c>
      <c r="N55" s="4" t="s">
        <v>251</v>
      </c>
      <c r="O55" s="4" t="s">
        <v>252</v>
      </c>
      <c r="P55" s="4" t="s">
        <v>253</v>
      </c>
      <c r="Q55" s="4" t="s">
        <v>254</v>
      </c>
      <c r="R55" s="4" t="s">
        <v>58</v>
      </c>
    </row>
    <row r="56" customFormat="false" ht="93" hidden="false" customHeight="true" outlineLevel="0" collapsed="false">
      <c r="A56" s="3" t="s">
        <v>255</v>
      </c>
      <c r="B56" s="4" t="s">
        <v>19</v>
      </c>
      <c r="C56" s="4" t="s">
        <v>256</v>
      </c>
      <c r="D56" s="4" t="str">
        <f aca="false">IFERROR('UPD15'!L14,"")</f>
        <v/>
      </c>
      <c r="E56" s="4" t="s">
        <v>21</v>
      </c>
      <c r="F56" s="5"/>
      <c r="G56" s="5"/>
      <c r="H56" s="6" t="str">
        <f aca="false">IF(OR(F56="",NOT(ISNUMBER(D56))),"",IF(ABS(F56-D56)&lt;0.001,"Yes","No"))</f>
        <v/>
      </c>
      <c r="I56" s="7" t="str">
        <f aca="false">IF(ISNUMBER(F56),F56,D56)</f>
        <v/>
      </c>
      <c r="J56" s="6" t="str">
        <f aca="false">IF(ISNUMBER(F56),"Expert (overrides AI)",IF(ISNUMBER(D56),"AI","Not scored yet"))</f>
        <v>Not scored yet</v>
      </c>
      <c r="K56" s="4" t="s">
        <v>22</v>
      </c>
      <c r="L56" s="4" t="s">
        <v>23</v>
      </c>
      <c r="M56" s="4" t="s">
        <v>257</v>
      </c>
      <c r="N56" s="4" t="s">
        <v>230</v>
      </c>
      <c r="O56" s="4" t="s">
        <v>231</v>
      </c>
      <c r="P56" s="4" t="s">
        <v>258</v>
      </c>
      <c r="Q56" s="4" t="s">
        <v>259</v>
      </c>
      <c r="R56" s="4" t="s">
        <v>58</v>
      </c>
    </row>
    <row r="57" customFormat="false" ht="93" hidden="false" customHeight="true" outlineLevel="0" collapsed="false">
      <c r="A57" s="3" t="s">
        <v>255</v>
      </c>
      <c r="B57" s="4" t="s">
        <v>30</v>
      </c>
      <c r="C57" s="4" t="s">
        <v>256</v>
      </c>
      <c r="D57" s="8" t="n">
        <f aca="false">IFERROR('UPD15'!L33,"")</f>
        <v>10</v>
      </c>
      <c r="E57" s="4" t="s">
        <v>21</v>
      </c>
      <c r="F57" s="5"/>
      <c r="G57" s="5"/>
      <c r="H57" s="6" t="str">
        <f aca="false">IF(OR(F57="",NOT(ISNUMBER(D57))),"",IF(ABS(F57-D57)&lt;0.001,"Yes","No"))</f>
        <v/>
      </c>
      <c r="I57" s="9" t="n">
        <f aca="false">IF(ISNUMBER(F57),F57,D57)</f>
        <v>10</v>
      </c>
      <c r="J57" s="6" t="str">
        <f aca="false">IF(ISNUMBER(F57),"Expert (overrides AI)",IF(ISNUMBER(D57),"AI","Not scored yet"))</f>
        <v>AI</v>
      </c>
      <c r="K57" s="4" t="s">
        <v>35</v>
      </c>
      <c r="L57" s="4" t="s">
        <v>36</v>
      </c>
      <c r="M57" s="4" t="s">
        <v>260</v>
      </c>
      <c r="N57" s="4" t="s">
        <v>243</v>
      </c>
      <c r="O57" s="4" t="s">
        <v>244</v>
      </c>
      <c r="P57" s="4" t="s">
        <v>261</v>
      </c>
      <c r="Q57" s="4" t="s">
        <v>262</v>
      </c>
      <c r="R57" s="4"/>
    </row>
    <row r="58" customFormat="false" ht="93" hidden="false" customHeight="true" outlineLevel="0" collapsed="false">
      <c r="A58" s="3" t="s">
        <v>263</v>
      </c>
      <c r="B58" s="4" t="s">
        <v>19</v>
      </c>
      <c r="C58" s="4" t="s">
        <v>264</v>
      </c>
      <c r="D58" s="4" t="str">
        <f aca="false">IFERROR(UPD16a!K14,"")</f>
        <v/>
      </c>
      <c r="E58" s="4" t="s">
        <v>118</v>
      </c>
      <c r="F58" s="5"/>
      <c r="G58" s="5"/>
      <c r="H58" s="6" t="str">
        <f aca="false">IF(OR(F58="",NOT(ISNUMBER(D58))),"",IF(ABS(F58-D58)&lt;0.001,"Yes","No"))</f>
        <v/>
      </c>
      <c r="I58" s="7" t="str">
        <f aca="false">IF(ISNUMBER(F58),F58,D58)</f>
        <v/>
      </c>
      <c r="J58" s="6" t="str">
        <f aca="false">IF(ISNUMBER(F58),"Expert (overrides AI)",IF(ISNUMBER(D58),"AI","Not scored yet"))</f>
        <v>Not scored yet</v>
      </c>
      <c r="K58" s="4" t="s">
        <v>22</v>
      </c>
      <c r="L58" s="4" t="s">
        <v>23</v>
      </c>
      <c r="M58" s="4" t="s">
        <v>265</v>
      </c>
      <c r="N58" s="4" t="s">
        <v>230</v>
      </c>
      <c r="O58" s="4" t="s">
        <v>231</v>
      </c>
      <c r="P58" s="4" t="s">
        <v>266</v>
      </c>
      <c r="Q58" s="4" t="s">
        <v>267</v>
      </c>
      <c r="R58" s="4" t="s">
        <v>58</v>
      </c>
    </row>
    <row r="59" customFormat="false" ht="93" hidden="false" customHeight="true" outlineLevel="0" collapsed="false">
      <c r="A59" s="3" t="s">
        <v>263</v>
      </c>
      <c r="B59" s="4" t="s">
        <v>30</v>
      </c>
      <c r="C59" s="4" t="s">
        <v>264</v>
      </c>
      <c r="D59" s="4" t="str">
        <f aca="false">IFERROR(UPD16a!K33,"")</f>
        <v/>
      </c>
      <c r="E59" s="4" t="s">
        <v>118</v>
      </c>
      <c r="F59" s="5"/>
      <c r="G59" s="5"/>
      <c r="H59" s="6" t="str">
        <f aca="false">IF(OR(F59="",NOT(ISNUMBER(D59))),"",IF(ABS(F59-D59)&lt;0.001,"Yes","No"))</f>
        <v/>
      </c>
      <c r="I59" s="7" t="str">
        <f aca="false">IF(ISNUMBER(F59),F59,D59)</f>
        <v/>
      </c>
      <c r="J59" s="6" t="str">
        <f aca="false">IF(ISNUMBER(F59),"Expert (overrides AI)",IF(ISNUMBER(D59),"AI","Not scored yet"))</f>
        <v>Not scored yet</v>
      </c>
      <c r="K59" s="4" t="s">
        <v>22</v>
      </c>
      <c r="L59" s="4" t="s">
        <v>23</v>
      </c>
      <c r="M59" s="4" t="s">
        <v>268</v>
      </c>
      <c r="N59" s="4" t="s">
        <v>124</v>
      </c>
      <c r="O59" s="4" t="s">
        <v>125</v>
      </c>
      <c r="P59" s="4" t="s">
        <v>269</v>
      </c>
      <c r="Q59" s="4" t="s">
        <v>270</v>
      </c>
      <c r="R59" s="4" t="s">
        <v>58</v>
      </c>
    </row>
    <row r="60" customFormat="false" ht="93" hidden="false" customHeight="true" outlineLevel="0" collapsed="false">
      <c r="A60" s="3" t="s">
        <v>271</v>
      </c>
      <c r="B60" s="4" t="s">
        <v>19</v>
      </c>
      <c r="C60" s="4" t="s">
        <v>272</v>
      </c>
      <c r="D60" s="4" t="str">
        <f aca="false">IFERROR(UPD16b!K14,"")</f>
        <v/>
      </c>
      <c r="E60" s="4" t="s">
        <v>118</v>
      </c>
      <c r="F60" s="5"/>
      <c r="G60" s="5"/>
      <c r="H60" s="6" t="str">
        <f aca="false">IF(OR(F60="",NOT(ISNUMBER(D60))),"",IF(ABS(F60-D60)&lt;0.001,"Yes","No"))</f>
        <v/>
      </c>
      <c r="I60" s="7" t="str">
        <f aca="false">IF(ISNUMBER(F60),F60,D60)</f>
        <v/>
      </c>
      <c r="J60" s="6" t="str">
        <f aca="false">IF(ISNUMBER(F60),"Expert (overrides AI)",IF(ISNUMBER(D60),"AI","Not scored yet"))</f>
        <v>Not scored yet</v>
      </c>
      <c r="K60" s="4" t="s">
        <v>22</v>
      </c>
      <c r="L60" s="4" t="s">
        <v>31</v>
      </c>
      <c r="M60" s="4"/>
      <c r="N60" s="4"/>
      <c r="O60" s="4"/>
      <c r="P60" s="4"/>
      <c r="Q60" s="4"/>
      <c r="R60" s="4" t="s">
        <v>273</v>
      </c>
    </row>
    <row r="61" customFormat="false" ht="93" hidden="false" customHeight="true" outlineLevel="0" collapsed="false">
      <c r="A61" s="3" t="s">
        <v>271</v>
      </c>
      <c r="B61" s="4" t="s">
        <v>30</v>
      </c>
      <c r="C61" s="4" t="s">
        <v>272</v>
      </c>
      <c r="D61" s="4" t="str">
        <f aca="false">IFERROR(UPD16b!K33,"")</f>
        <v/>
      </c>
      <c r="E61" s="4" t="s">
        <v>118</v>
      </c>
      <c r="F61" s="5"/>
      <c r="G61" s="5"/>
      <c r="H61" s="6" t="str">
        <f aca="false">IF(OR(F61="",NOT(ISNUMBER(D61))),"",IF(ABS(F61-D61)&lt;0.001,"Yes","No"))</f>
        <v/>
      </c>
      <c r="I61" s="7" t="str">
        <f aca="false">IF(ISNUMBER(F61),F61,D61)</f>
        <v/>
      </c>
      <c r="J61" s="6" t="str">
        <f aca="false">IF(ISNUMBER(F61),"Expert (overrides AI)",IF(ISNUMBER(D61),"AI","Not scored yet"))</f>
        <v>Not scored yet</v>
      </c>
      <c r="K61" s="4" t="s">
        <v>22</v>
      </c>
      <c r="L61" s="4" t="s">
        <v>31</v>
      </c>
      <c r="M61" s="4"/>
      <c r="N61" s="4"/>
      <c r="O61" s="4"/>
      <c r="P61" s="4"/>
      <c r="Q61" s="4"/>
      <c r="R61" s="4" t="s">
        <v>274</v>
      </c>
    </row>
    <row r="62" customFormat="false" ht="93" hidden="false" customHeight="true" outlineLevel="0" collapsed="false">
      <c r="A62" s="3" t="s">
        <v>275</v>
      </c>
      <c r="B62" s="4" t="s">
        <v>19</v>
      </c>
      <c r="C62" s="4" t="s">
        <v>276</v>
      </c>
      <c r="D62" s="4" t="n">
        <f aca="false">IFERROR('UPD17'!K14,"")</f>
        <v>0</v>
      </c>
      <c r="E62" s="4" t="s">
        <v>21</v>
      </c>
      <c r="F62" s="5"/>
      <c r="G62" s="5"/>
      <c r="H62" s="6" t="str">
        <f aca="false">IF(OR(F62="",NOT(ISNUMBER(D62))),"",IF(ABS(F62-D62)&lt;0.001,"Yes","No"))</f>
        <v/>
      </c>
      <c r="I62" s="7" t="n">
        <f aca="false">IF(ISNUMBER(F62),F62,D62)</f>
        <v>0</v>
      </c>
      <c r="J62" s="6" t="str">
        <f aca="false">IF(ISNUMBER(F62),"Expert (overrides AI)",IF(ISNUMBER(D62),"AI","Not scored yet"))</f>
        <v>AI</v>
      </c>
      <c r="K62" s="4" t="s">
        <v>22</v>
      </c>
      <c r="L62" s="4" t="s">
        <v>31</v>
      </c>
      <c r="M62" s="4"/>
      <c r="N62" s="4"/>
      <c r="O62" s="4"/>
      <c r="P62" s="4"/>
      <c r="Q62" s="4"/>
      <c r="R62" s="4" t="s">
        <v>277</v>
      </c>
    </row>
    <row r="63" customFormat="false" ht="93" hidden="false" customHeight="true" outlineLevel="0" collapsed="false">
      <c r="A63" s="3" t="s">
        <v>275</v>
      </c>
      <c r="B63" s="4" t="s">
        <v>30</v>
      </c>
      <c r="C63" s="4" t="s">
        <v>276</v>
      </c>
      <c r="D63" s="4" t="str">
        <f aca="false">IFERROR('UPD17'!K33,"")</f>
        <v/>
      </c>
      <c r="E63" s="4" t="s">
        <v>21</v>
      </c>
      <c r="F63" s="5"/>
      <c r="G63" s="5"/>
      <c r="H63" s="6" t="str">
        <f aca="false">IF(OR(F63="",NOT(ISNUMBER(D63))),"",IF(ABS(F63-D63)&lt;0.001,"Yes","No"))</f>
        <v/>
      </c>
      <c r="I63" s="7" t="str">
        <f aca="false">IF(ISNUMBER(F63),F63,D63)</f>
        <v/>
      </c>
      <c r="J63" s="6" t="str">
        <f aca="false">IF(ISNUMBER(F63),"Expert (overrides AI)",IF(ISNUMBER(D63),"AI","Not scored yet"))</f>
        <v>Not scored yet</v>
      </c>
      <c r="K63" s="4" t="s">
        <v>22</v>
      </c>
      <c r="L63" s="4" t="s">
        <v>23</v>
      </c>
      <c r="M63" s="4" t="s">
        <v>278</v>
      </c>
      <c r="N63" s="4" t="s">
        <v>124</v>
      </c>
      <c r="O63" s="4" t="s">
        <v>125</v>
      </c>
      <c r="P63" s="4" t="s">
        <v>279</v>
      </c>
      <c r="Q63" s="4" t="s">
        <v>280</v>
      </c>
      <c r="R63" s="4" t="s">
        <v>58</v>
      </c>
    </row>
    <row r="64" customFormat="false" ht="93" hidden="false" customHeight="true" outlineLevel="0" collapsed="false">
      <c r="A64" s="3" t="s">
        <v>281</v>
      </c>
      <c r="B64" s="4" t="s">
        <v>19</v>
      </c>
      <c r="C64" s="4" t="s">
        <v>282</v>
      </c>
      <c r="D64" s="4" t="n">
        <f aca="false">IFERROR('UPD18'!L14,"")</f>
        <v>0</v>
      </c>
      <c r="E64" s="4" t="s">
        <v>21</v>
      </c>
      <c r="F64" s="5"/>
      <c r="G64" s="5"/>
      <c r="H64" s="6" t="str">
        <f aca="false">IF(OR(F64="",NOT(ISNUMBER(D64))),"",IF(ABS(F64-D64)&lt;0.001,"Yes","No"))</f>
        <v/>
      </c>
      <c r="I64" s="7" t="n">
        <f aca="false">IF(ISNUMBER(F64),F64,D64)</f>
        <v>0</v>
      </c>
      <c r="J64" s="6" t="str">
        <f aca="false">IF(ISNUMBER(F64),"Expert (overrides AI)",IF(ISNUMBER(D64),"AI","Not scored yet"))</f>
        <v>AI</v>
      </c>
      <c r="K64" s="4" t="s">
        <v>22</v>
      </c>
      <c r="L64" s="4" t="s">
        <v>31</v>
      </c>
      <c r="M64" s="4"/>
      <c r="N64" s="4"/>
      <c r="O64" s="4"/>
      <c r="P64" s="4"/>
      <c r="Q64" s="4"/>
      <c r="R64" s="4" t="s">
        <v>283</v>
      </c>
    </row>
    <row r="65" customFormat="false" ht="93" hidden="false" customHeight="true" outlineLevel="0" collapsed="false">
      <c r="A65" s="3" t="s">
        <v>281</v>
      </c>
      <c r="B65" s="4" t="s">
        <v>30</v>
      </c>
      <c r="C65" s="4" t="s">
        <v>282</v>
      </c>
      <c r="D65" s="8" t="n">
        <f aca="false">IFERROR('UPD18'!L33,"")</f>
        <v>10</v>
      </c>
      <c r="E65" s="4" t="s">
        <v>21</v>
      </c>
      <c r="F65" s="5"/>
      <c r="G65" s="5"/>
      <c r="H65" s="6" t="str">
        <f aca="false">IF(OR(F65="",NOT(ISNUMBER(D65))),"",IF(ABS(F65-D65)&lt;0.001,"Yes","No"))</f>
        <v/>
      </c>
      <c r="I65" s="9" t="n">
        <f aca="false">IF(ISNUMBER(F65),F65,D65)</f>
        <v>10</v>
      </c>
      <c r="J65" s="6" t="str">
        <f aca="false">IF(ISNUMBER(F65),"Expert (overrides AI)",IF(ISNUMBER(D65),"AI","Not scored yet"))</f>
        <v>AI</v>
      </c>
      <c r="K65" s="4" t="s">
        <v>35</v>
      </c>
      <c r="L65" s="4" t="s">
        <v>23</v>
      </c>
      <c r="M65" s="4" t="s">
        <v>284</v>
      </c>
      <c r="N65" s="4" t="s">
        <v>124</v>
      </c>
      <c r="O65" s="4" t="s">
        <v>125</v>
      </c>
      <c r="P65" s="4" t="s">
        <v>285</v>
      </c>
      <c r="Q65" s="4" t="s">
        <v>286</v>
      </c>
      <c r="R65" s="4"/>
    </row>
    <row r="66" customFormat="false" ht="93" hidden="false" customHeight="true" outlineLevel="0" collapsed="false">
      <c r="A66" s="3" t="s">
        <v>287</v>
      </c>
      <c r="B66" s="4" t="s">
        <v>19</v>
      </c>
      <c r="C66" s="4" t="s">
        <v>288</v>
      </c>
      <c r="D66" s="4" t="n">
        <f aca="false">IFERROR(UPD19a!L14,"")</f>
        <v>0</v>
      </c>
      <c r="E66" s="4" t="s">
        <v>118</v>
      </c>
      <c r="F66" s="5"/>
      <c r="G66" s="5"/>
      <c r="H66" s="6" t="str">
        <f aca="false">IF(OR(F66="",NOT(ISNUMBER(D66))),"",IF(ABS(F66-D66)&lt;0.001,"Yes","No"))</f>
        <v/>
      </c>
      <c r="I66" s="7" t="n">
        <f aca="false">IF(ISNUMBER(F66),F66,D66)</f>
        <v>0</v>
      </c>
      <c r="J66" s="6" t="str">
        <f aca="false">IF(ISNUMBER(F66),"Expert (overrides AI)",IF(ISNUMBER(D66),"AI","Not scored yet"))</f>
        <v>AI</v>
      </c>
      <c r="K66" s="4" t="s">
        <v>22</v>
      </c>
      <c r="L66" s="4" t="s">
        <v>23</v>
      </c>
      <c r="M66" s="4" t="s">
        <v>289</v>
      </c>
      <c r="N66" s="4" t="s">
        <v>230</v>
      </c>
      <c r="O66" s="4" t="s">
        <v>231</v>
      </c>
      <c r="P66" s="4" t="s">
        <v>240</v>
      </c>
      <c r="Q66" s="4" t="s">
        <v>290</v>
      </c>
      <c r="R66" s="4" t="s">
        <v>291</v>
      </c>
    </row>
    <row r="67" customFormat="false" ht="93" hidden="false" customHeight="true" outlineLevel="0" collapsed="false">
      <c r="A67" s="3" t="s">
        <v>287</v>
      </c>
      <c r="B67" s="4" t="s">
        <v>30</v>
      </c>
      <c r="C67" s="4" t="s">
        <v>288</v>
      </c>
      <c r="D67" s="8" t="n">
        <f aca="false">IFERROR(UPD19a!L33,"")</f>
        <v>5</v>
      </c>
      <c r="E67" s="4" t="s">
        <v>118</v>
      </c>
      <c r="F67" s="5"/>
      <c r="G67" s="5"/>
      <c r="H67" s="6" t="str">
        <f aca="false">IF(OR(F67="",NOT(ISNUMBER(D67))),"",IF(ABS(F67-D67)&lt;0.001,"Yes","No"))</f>
        <v/>
      </c>
      <c r="I67" s="9" t="n">
        <f aca="false">IF(ISNUMBER(F67),F67,D67)</f>
        <v>5</v>
      </c>
      <c r="J67" s="6" t="str">
        <f aca="false">IF(ISNUMBER(F67),"Expert (overrides AI)",IF(ISNUMBER(D67),"AI","Not scored yet"))</f>
        <v>AI</v>
      </c>
      <c r="K67" s="4" t="s">
        <v>35</v>
      </c>
      <c r="L67" s="4" t="s">
        <v>36</v>
      </c>
      <c r="M67" s="4" t="s">
        <v>292</v>
      </c>
      <c r="N67" s="4" t="s">
        <v>124</v>
      </c>
      <c r="O67" s="4" t="s">
        <v>125</v>
      </c>
      <c r="P67" s="4" t="s">
        <v>293</v>
      </c>
      <c r="Q67" s="4" t="s">
        <v>294</v>
      </c>
      <c r="R67" s="4"/>
    </row>
    <row r="68" customFormat="false" ht="93" hidden="false" customHeight="true" outlineLevel="0" collapsed="false">
      <c r="A68" s="3" t="s">
        <v>295</v>
      </c>
      <c r="B68" s="4" t="s">
        <v>19</v>
      </c>
      <c r="C68" s="4" t="s">
        <v>296</v>
      </c>
      <c r="D68" s="4" t="n">
        <f aca="false">IFERROR(UPD19b!L14,"")</f>
        <v>0</v>
      </c>
      <c r="E68" s="4" t="s">
        <v>118</v>
      </c>
      <c r="F68" s="5"/>
      <c r="G68" s="5"/>
      <c r="H68" s="6" t="str">
        <f aca="false">IF(OR(F68="",NOT(ISNUMBER(D68))),"",IF(ABS(F68-D68)&lt;0.001,"Yes","No"))</f>
        <v/>
      </c>
      <c r="I68" s="7" t="n">
        <f aca="false">IF(ISNUMBER(F68),F68,D68)</f>
        <v>0</v>
      </c>
      <c r="J68" s="6" t="str">
        <f aca="false">IF(ISNUMBER(F68),"Expert (overrides AI)",IF(ISNUMBER(D68),"AI","Not scored yet"))</f>
        <v>AI</v>
      </c>
      <c r="K68" s="4" t="s">
        <v>22</v>
      </c>
      <c r="L68" s="4" t="s">
        <v>31</v>
      </c>
      <c r="M68" s="4"/>
      <c r="N68" s="4"/>
      <c r="O68" s="4"/>
      <c r="P68" s="4"/>
      <c r="Q68" s="4"/>
      <c r="R68" s="4" t="s">
        <v>297</v>
      </c>
    </row>
    <row r="69" customFormat="false" ht="93" hidden="false" customHeight="true" outlineLevel="0" collapsed="false">
      <c r="A69" s="3" t="s">
        <v>295</v>
      </c>
      <c r="B69" s="4" t="s">
        <v>30</v>
      </c>
      <c r="C69" s="4" t="s">
        <v>296</v>
      </c>
      <c r="D69" s="4" t="str">
        <f aca="false">IFERROR(UPD19b!L33,"")</f>
        <v/>
      </c>
      <c r="E69" s="4" t="s">
        <v>118</v>
      </c>
      <c r="F69" s="5"/>
      <c r="G69" s="5"/>
      <c r="H69" s="6" t="str">
        <f aca="false">IF(OR(F69="",NOT(ISNUMBER(D69))),"",IF(ABS(F69-D69)&lt;0.001,"Yes","No"))</f>
        <v/>
      </c>
      <c r="I69" s="7" t="str">
        <f aca="false">IF(ISNUMBER(F69),F69,D69)</f>
        <v/>
      </c>
      <c r="J69" s="6" t="str">
        <f aca="false">IF(ISNUMBER(F69),"Expert (overrides AI)",IF(ISNUMBER(D69),"AI","Not scored yet"))</f>
        <v>Not scored yet</v>
      </c>
      <c r="K69" s="4" t="s">
        <v>22</v>
      </c>
      <c r="L69" s="4" t="s">
        <v>23</v>
      </c>
      <c r="M69" s="4" t="s">
        <v>298</v>
      </c>
      <c r="N69" s="4" t="s">
        <v>124</v>
      </c>
      <c r="O69" s="4" t="s">
        <v>125</v>
      </c>
      <c r="P69" s="4" t="s">
        <v>299</v>
      </c>
      <c r="Q69" s="4" t="s">
        <v>300</v>
      </c>
      <c r="R69" s="4" t="s">
        <v>291</v>
      </c>
    </row>
    <row r="70" customFormat="false" ht="93" hidden="false" customHeight="true" outlineLevel="0" collapsed="false">
      <c r="A70" s="3" t="s">
        <v>301</v>
      </c>
      <c r="B70" s="4" t="s">
        <v>19</v>
      </c>
      <c r="C70" s="4" t="s">
        <v>302</v>
      </c>
      <c r="D70" s="4" t="n">
        <f aca="false">IFERROR(UPD20a!L14,"")</f>
        <v>0</v>
      </c>
      <c r="E70" s="4" t="s">
        <v>47</v>
      </c>
      <c r="F70" s="5"/>
      <c r="G70" s="5"/>
      <c r="H70" s="6" t="str">
        <f aca="false">IF(OR(F70="",NOT(ISNUMBER(D70))),"",IF(ABS(F70-D70)&lt;0.001,"Yes","No"))</f>
        <v/>
      </c>
      <c r="I70" s="7" t="n">
        <f aca="false">IF(ISNUMBER(F70),F70,D70)</f>
        <v>0</v>
      </c>
      <c r="J70" s="6" t="str">
        <f aca="false">IF(ISNUMBER(F70),"Expert (overrides AI)",IF(ISNUMBER(D70),"AI","Not scored yet"))</f>
        <v>AI</v>
      </c>
      <c r="K70" s="4" t="s">
        <v>22</v>
      </c>
      <c r="L70" s="4" t="s">
        <v>23</v>
      </c>
      <c r="M70" s="4" t="s">
        <v>303</v>
      </c>
      <c r="N70" s="4" t="s">
        <v>230</v>
      </c>
      <c r="O70" s="4" t="s">
        <v>231</v>
      </c>
      <c r="P70" s="4" t="s">
        <v>304</v>
      </c>
      <c r="Q70" s="4" t="s">
        <v>305</v>
      </c>
      <c r="R70" s="4" t="s">
        <v>291</v>
      </c>
    </row>
    <row r="71" customFormat="false" ht="93" hidden="false" customHeight="true" outlineLevel="0" collapsed="false">
      <c r="A71" s="3" t="s">
        <v>301</v>
      </c>
      <c r="B71" s="4" t="s">
        <v>30</v>
      </c>
      <c r="C71" s="4" t="s">
        <v>302</v>
      </c>
      <c r="D71" s="4" t="str">
        <f aca="false">IFERROR(UPD20a!L33,"")</f>
        <v/>
      </c>
      <c r="E71" s="4" t="s">
        <v>47</v>
      </c>
      <c r="F71" s="5"/>
      <c r="G71" s="5"/>
      <c r="H71" s="6" t="str">
        <f aca="false">IF(OR(F71="",NOT(ISNUMBER(D71))),"",IF(ABS(F71-D71)&lt;0.001,"Yes","No"))</f>
        <v/>
      </c>
      <c r="I71" s="7" t="str">
        <f aca="false">IF(ISNUMBER(F71),F71,D71)</f>
        <v/>
      </c>
      <c r="J71" s="6" t="str">
        <f aca="false">IF(ISNUMBER(F71),"Expert (overrides AI)",IF(ISNUMBER(D71),"AI","Not scored yet"))</f>
        <v>Not scored yet</v>
      </c>
      <c r="K71" s="4" t="s">
        <v>22</v>
      </c>
      <c r="L71" s="4" t="s">
        <v>23</v>
      </c>
      <c r="M71" s="4" t="s">
        <v>306</v>
      </c>
      <c r="N71" s="4" t="s">
        <v>124</v>
      </c>
      <c r="O71" s="4" t="s">
        <v>125</v>
      </c>
      <c r="P71" s="4" t="s">
        <v>307</v>
      </c>
      <c r="Q71" s="4" t="s">
        <v>308</v>
      </c>
      <c r="R71" s="4" t="s">
        <v>291</v>
      </c>
    </row>
    <row r="72" customFormat="false" ht="93" hidden="false" customHeight="true" outlineLevel="0" collapsed="false">
      <c r="A72" s="3" t="s">
        <v>309</v>
      </c>
      <c r="B72" s="4" t="s">
        <v>19</v>
      </c>
      <c r="C72" s="4" t="s">
        <v>310</v>
      </c>
      <c r="D72" s="4" t="n">
        <f aca="false">IFERROR(UPD20b!L14,"")</f>
        <v>0</v>
      </c>
      <c r="E72" s="4" t="s">
        <v>47</v>
      </c>
      <c r="F72" s="5"/>
      <c r="G72" s="5"/>
      <c r="H72" s="6" t="str">
        <f aca="false">IF(OR(F72="",NOT(ISNUMBER(D72))),"",IF(ABS(F72-D72)&lt;0.001,"Yes","No"))</f>
        <v/>
      </c>
      <c r="I72" s="7" t="n">
        <f aca="false">IF(ISNUMBER(F72),F72,D72)</f>
        <v>0</v>
      </c>
      <c r="J72" s="6" t="str">
        <f aca="false">IF(ISNUMBER(F72),"Expert (overrides AI)",IF(ISNUMBER(D72),"AI","Not scored yet"))</f>
        <v>AI</v>
      </c>
      <c r="K72" s="4" t="s">
        <v>22</v>
      </c>
      <c r="L72" s="4" t="s">
        <v>23</v>
      </c>
      <c r="M72" s="4" t="s">
        <v>311</v>
      </c>
      <c r="N72" s="4" t="s">
        <v>230</v>
      </c>
      <c r="O72" s="4" t="s">
        <v>231</v>
      </c>
      <c r="P72" s="4" t="s">
        <v>312</v>
      </c>
      <c r="Q72" s="4" t="s">
        <v>313</v>
      </c>
      <c r="R72" s="4" t="s">
        <v>291</v>
      </c>
    </row>
    <row r="73" customFormat="false" ht="93" hidden="false" customHeight="true" outlineLevel="0" collapsed="false">
      <c r="A73" s="3" t="s">
        <v>309</v>
      </c>
      <c r="B73" s="4" t="s">
        <v>30</v>
      </c>
      <c r="C73" s="4" t="s">
        <v>310</v>
      </c>
      <c r="D73" s="4" t="str">
        <f aca="false">IFERROR(UPD20b!L33,"")</f>
        <v/>
      </c>
      <c r="E73" s="4" t="s">
        <v>47</v>
      </c>
      <c r="F73" s="5"/>
      <c r="G73" s="5"/>
      <c r="H73" s="6" t="str">
        <f aca="false">IF(OR(F73="",NOT(ISNUMBER(D73))),"",IF(ABS(F73-D73)&lt;0.001,"Yes","No"))</f>
        <v/>
      </c>
      <c r="I73" s="7" t="str">
        <f aca="false">IF(ISNUMBER(F73),F73,D73)</f>
        <v/>
      </c>
      <c r="J73" s="6" t="str">
        <f aca="false">IF(ISNUMBER(F73),"Expert (overrides AI)",IF(ISNUMBER(D73),"AI","Not scored yet"))</f>
        <v>Not scored yet</v>
      </c>
      <c r="K73" s="4" t="s">
        <v>22</v>
      </c>
      <c r="L73" s="4" t="s">
        <v>23</v>
      </c>
      <c r="M73" s="4" t="s">
        <v>314</v>
      </c>
      <c r="N73" s="4" t="s">
        <v>124</v>
      </c>
      <c r="O73" s="4" t="s">
        <v>125</v>
      </c>
      <c r="P73" s="4" t="s">
        <v>315</v>
      </c>
      <c r="Q73" s="4" t="s">
        <v>316</v>
      </c>
      <c r="R73" s="4" t="s">
        <v>291</v>
      </c>
    </row>
    <row r="74" customFormat="false" ht="93" hidden="false" customHeight="true" outlineLevel="0" collapsed="false">
      <c r="A74" s="3" t="s">
        <v>317</v>
      </c>
      <c r="B74" s="4" t="s">
        <v>19</v>
      </c>
      <c r="C74" s="4" t="s">
        <v>318</v>
      </c>
      <c r="D74" s="4" t="n">
        <f aca="false">IFERROR(UPD20c!L14,"")</f>
        <v>0</v>
      </c>
      <c r="E74" s="4" t="s">
        <v>47</v>
      </c>
      <c r="F74" s="5"/>
      <c r="G74" s="5"/>
      <c r="H74" s="6" t="str">
        <f aca="false">IF(OR(F74="",NOT(ISNUMBER(D74))),"",IF(ABS(F74-D74)&lt;0.001,"Yes","No"))</f>
        <v/>
      </c>
      <c r="I74" s="7" t="n">
        <f aca="false">IF(ISNUMBER(F74),F74,D74)</f>
        <v>0</v>
      </c>
      <c r="J74" s="6" t="str">
        <f aca="false">IF(ISNUMBER(F74),"Expert (overrides AI)",IF(ISNUMBER(D74),"AI","Not scored yet"))</f>
        <v>AI</v>
      </c>
      <c r="K74" s="4" t="s">
        <v>22</v>
      </c>
      <c r="L74" s="4" t="s">
        <v>81</v>
      </c>
      <c r="M74" s="4" t="s">
        <v>319</v>
      </c>
      <c r="N74" s="4"/>
      <c r="O74" s="4"/>
      <c r="P74" s="4"/>
      <c r="Q74" s="4"/>
      <c r="R74" s="4" t="s">
        <v>320</v>
      </c>
    </row>
    <row r="75" customFormat="false" ht="93" hidden="false" customHeight="true" outlineLevel="0" collapsed="false">
      <c r="A75" s="3" t="s">
        <v>317</v>
      </c>
      <c r="B75" s="4" t="s">
        <v>30</v>
      </c>
      <c r="C75" s="4" t="s">
        <v>318</v>
      </c>
      <c r="D75" s="4" t="str">
        <f aca="false">IFERROR(UPD20c!L33,"")</f>
        <v/>
      </c>
      <c r="E75" s="4" t="s">
        <v>47</v>
      </c>
      <c r="F75" s="5"/>
      <c r="G75" s="5"/>
      <c r="H75" s="6" t="str">
        <f aca="false">IF(OR(F75="",NOT(ISNUMBER(D75))),"",IF(ABS(F75-D75)&lt;0.001,"Yes","No"))</f>
        <v/>
      </c>
      <c r="I75" s="7" t="str">
        <f aca="false">IF(ISNUMBER(F75),F75,D75)</f>
        <v/>
      </c>
      <c r="J75" s="6" t="str">
        <f aca="false">IF(ISNUMBER(F75),"Expert (overrides AI)",IF(ISNUMBER(D75),"AI","Not scored yet"))</f>
        <v>Not scored yet</v>
      </c>
      <c r="K75" s="4" t="s">
        <v>22</v>
      </c>
      <c r="L75" s="4" t="s">
        <v>23</v>
      </c>
      <c r="M75" s="4" t="s">
        <v>321</v>
      </c>
      <c r="N75" s="4" t="s">
        <v>124</v>
      </c>
      <c r="O75" s="4" t="s">
        <v>125</v>
      </c>
      <c r="P75" s="4" t="s">
        <v>322</v>
      </c>
      <c r="Q75" s="4" t="s">
        <v>323</v>
      </c>
      <c r="R75" s="4" t="s">
        <v>324</v>
      </c>
    </row>
    <row r="76" customFormat="false" ht="93" hidden="false" customHeight="true" outlineLevel="0" collapsed="false">
      <c r="A76" s="3" t="s">
        <v>325</v>
      </c>
      <c r="B76" s="4" t="s">
        <v>19</v>
      </c>
      <c r="C76" s="4" t="s">
        <v>326</v>
      </c>
      <c r="D76" s="4" t="n">
        <f aca="false">IFERROR('UPD21'!L14,"")</f>
        <v>0</v>
      </c>
      <c r="E76" s="4" t="s">
        <v>21</v>
      </c>
      <c r="F76" s="5"/>
      <c r="G76" s="5"/>
      <c r="H76" s="6" t="str">
        <f aca="false">IF(OR(F76="",NOT(ISNUMBER(D76))),"",IF(ABS(F76-D76)&lt;0.001,"Yes","No"))</f>
        <v/>
      </c>
      <c r="I76" s="7" t="n">
        <f aca="false">IF(ISNUMBER(F76),F76,D76)</f>
        <v>0</v>
      </c>
      <c r="J76" s="6" t="str">
        <f aca="false">IF(ISNUMBER(F76),"Expert (overrides AI)",IF(ISNUMBER(D76),"AI","Not scored yet"))</f>
        <v>AI</v>
      </c>
      <c r="K76" s="4" t="s">
        <v>22</v>
      </c>
      <c r="L76" s="4" t="s">
        <v>23</v>
      </c>
      <c r="M76" s="4" t="s">
        <v>327</v>
      </c>
      <c r="N76" s="4" t="s">
        <v>230</v>
      </c>
      <c r="O76" s="4" t="s">
        <v>231</v>
      </c>
      <c r="P76" s="4" t="s">
        <v>328</v>
      </c>
      <c r="Q76" s="4" t="s">
        <v>329</v>
      </c>
      <c r="R76" s="4" t="s">
        <v>291</v>
      </c>
    </row>
    <row r="77" customFormat="false" ht="93" hidden="false" customHeight="true" outlineLevel="0" collapsed="false">
      <c r="A77" s="3" t="s">
        <v>325</v>
      </c>
      <c r="B77" s="4" t="s">
        <v>30</v>
      </c>
      <c r="C77" s="4" t="s">
        <v>326</v>
      </c>
      <c r="D77" s="4" t="str">
        <f aca="false">IFERROR('UPD21'!L33,"")</f>
        <v/>
      </c>
      <c r="E77" s="4" t="s">
        <v>21</v>
      </c>
      <c r="F77" s="5"/>
      <c r="G77" s="5"/>
      <c r="H77" s="6" t="str">
        <f aca="false">IF(OR(F77="",NOT(ISNUMBER(D77))),"",IF(ABS(F77-D77)&lt;0.001,"Yes","No"))</f>
        <v/>
      </c>
      <c r="I77" s="7" t="str">
        <f aca="false">IF(ISNUMBER(F77),F77,D77)</f>
        <v/>
      </c>
      <c r="J77" s="6" t="str">
        <f aca="false">IF(ISNUMBER(F77),"Expert (overrides AI)",IF(ISNUMBER(D77),"AI","Not scored yet"))</f>
        <v>Not scored yet</v>
      </c>
      <c r="K77" s="4" t="s">
        <v>22</v>
      </c>
      <c r="L77" s="4" t="s">
        <v>23</v>
      </c>
      <c r="M77" s="4" t="s">
        <v>330</v>
      </c>
      <c r="N77" s="4" t="s">
        <v>124</v>
      </c>
      <c r="O77" s="4" t="s">
        <v>125</v>
      </c>
      <c r="P77" s="4" t="s">
        <v>331</v>
      </c>
      <c r="Q77" s="4" t="s">
        <v>332</v>
      </c>
      <c r="R77" s="4" t="s">
        <v>291</v>
      </c>
    </row>
    <row r="78" customFormat="false" ht="93" hidden="false" customHeight="true" outlineLevel="0" collapsed="false">
      <c r="A78" s="3" t="s">
        <v>333</v>
      </c>
      <c r="B78" s="4" t="s">
        <v>19</v>
      </c>
      <c r="C78" s="4" t="s">
        <v>334</v>
      </c>
      <c r="D78" s="4" t="n">
        <f aca="false">IFERROR('UPD22'!L14,"")</f>
        <v>10</v>
      </c>
      <c r="E78" s="4" t="s">
        <v>21</v>
      </c>
      <c r="F78" s="5"/>
      <c r="G78" s="5"/>
      <c r="H78" s="6" t="str">
        <f aca="false">IF(OR(F78="",NOT(ISNUMBER(D78))),"",IF(ABS(F78-D78)&lt;0.001,"Yes","No"))</f>
        <v/>
      </c>
      <c r="I78" s="7" t="n">
        <f aca="false">IF(ISNUMBER(F78),F78,D78)</f>
        <v>10</v>
      </c>
      <c r="J78" s="6" t="str">
        <f aca="false">IF(ISNUMBER(F78),"Expert (overrides AI)",IF(ISNUMBER(D78),"AI","Not scored yet"))</f>
        <v>AI</v>
      </c>
      <c r="K78" s="4" t="s">
        <v>22</v>
      </c>
      <c r="L78" s="4" t="s">
        <v>31</v>
      </c>
      <c r="M78" s="4"/>
      <c r="N78" s="4"/>
      <c r="O78" s="4"/>
      <c r="P78" s="4"/>
      <c r="Q78" s="4"/>
      <c r="R78" s="4" t="s">
        <v>335</v>
      </c>
    </row>
    <row r="79" customFormat="false" ht="93" hidden="false" customHeight="true" outlineLevel="0" collapsed="false">
      <c r="A79" s="3" t="s">
        <v>333</v>
      </c>
      <c r="B79" s="4" t="s">
        <v>30</v>
      </c>
      <c r="C79" s="4" t="s">
        <v>334</v>
      </c>
      <c r="D79" s="4" t="str">
        <f aca="false">IFERROR('UPD22'!L33,"")</f>
        <v/>
      </c>
      <c r="E79" s="4" t="s">
        <v>21</v>
      </c>
      <c r="F79" s="5"/>
      <c r="G79" s="5"/>
      <c r="H79" s="6" t="str">
        <f aca="false">IF(OR(F79="",NOT(ISNUMBER(D79))),"",IF(ABS(F79-D79)&lt;0.001,"Yes","No"))</f>
        <v/>
      </c>
      <c r="I79" s="7" t="str">
        <f aca="false">IF(ISNUMBER(F79),F79,D79)</f>
        <v/>
      </c>
      <c r="J79" s="6" t="str">
        <f aca="false">IF(ISNUMBER(F79),"Expert (overrides AI)",IF(ISNUMBER(D79),"AI","Not scored yet"))</f>
        <v>Not scored yet</v>
      </c>
      <c r="K79" s="4" t="s">
        <v>22</v>
      </c>
      <c r="L79" s="4" t="s">
        <v>31</v>
      </c>
      <c r="M79" s="4"/>
      <c r="N79" s="4"/>
      <c r="O79" s="4"/>
      <c r="P79" s="4"/>
      <c r="Q79" s="4"/>
      <c r="R79" s="4" t="s">
        <v>336</v>
      </c>
    </row>
    <row r="80" customFormat="false" ht="93" hidden="false" customHeight="true" outlineLevel="0" collapsed="false">
      <c r="A80" s="3" t="s">
        <v>337</v>
      </c>
      <c r="B80" s="4" t="s">
        <v>19</v>
      </c>
      <c r="C80" s="4" t="s">
        <v>338</v>
      </c>
      <c r="D80" s="4" t="n">
        <f aca="false">IFERROR(UPD23a!M14,"")</f>
        <v>1.11</v>
      </c>
      <c r="E80" s="4" t="s">
        <v>47</v>
      </c>
      <c r="F80" s="5"/>
      <c r="G80" s="5"/>
      <c r="H80" s="6" t="str">
        <f aca="false">IF(OR(F80="",NOT(ISNUMBER(D80))),"",IF(ABS(F80-D80)&lt;0.001,"Yes","No"))</f>
        <v/>
      </c>
      <c r="I80" s="7" t="n">
        <f aca="false">IF(ISNUMBER(F80),F80,D80)</f>
        <v>1.11</v>
      </c>
      <c r="J80" s="6" t="str">
        <f aca="false">IF(ISNUMBER(F80),"Expert (overrides AI)",IF(ISNUMBER(D80),"AI","Not scored yet"))</f>
        <v>AI</v>
      </c>
      <c r="K80" s="4" t="s">
        <v>22</v>
      </c>
      <c r="L80" s="4" t="s">
        <v>31</v>
      </c>
      <c r="M80" s="4"/>
      <c r="N80" s="4"/>
      <c r="O80" s="4"/>
      <c r="P80" s="4"/>
      <c r="Q80" s="4"/>
      <c r="R80" s="4" t="s">
        <v>339</v>
      </c>
    </row>
    <row r="81" customFormat="false" ht="93" hidden="false" customHeight="true" outlineLevel="0" collapsed="false">
      <c r="A81" s="3" t="s">
        <v>337</v>
      </c>
      <c r="B81" s="4" t="s">
        <v>30</v>
      </c>
      <c r="C81" s="4" t="s">
        <v>338</v>
      </c>
      <c r="D81" s="4" t="str">
        <f aca="false">IFERROR(UPD23a!M33,"")</f>
        <v/>
      </c>
      <c r="E81" s="4" t="s">
        <v>47</v>
      </c>
      <c r="F81" s="5"/>
      <c r="G81" s="5"/>
      <c r="H81" s="6" t="str">
        <f aca="false">IF(OR(F81="",NOT(ISNUMBER(D81))),"",IF(ABS(F81-D81)&lt;0.001,"Yes","No"))</f>
        <v/>
      </c>
      <c r="I81" s="7" t="str">
        <f aca="false">IF(ISNUMBER(F81),F81,D81)</f>
        <v/>
      </c>
      <c r="J81" s="6" t="str">
        <f aca="false">IF(ISNUMBER(F81),"Expert (overrides AI)",IF(ISNUMBER(D81),"AI","Not scored yet"))</f>
        <v>Not scored yet</v>
      </c>
      <c r="K81" s="4" t="s">
        <v>22</v>
      </c>
      <c r="L81" s="4" t="s">
        <v>31</v>
      </c>
      <c r="M81" s="4"/>
      <c r="N81" s="4"/>
      <c r="O81" s="4"/>
      <c r="P81" s="4"/>
      <c r="Q81" s="4"/>
      <c r="R81" s="4" t="s">
        <v>340</v>
      </c>
    </row>
    <row r="82" customFormat="false" ht="93" hidden="false" customHeight="true" outlineLevel="0" collapsed="false">
      <c r="A82" s="3" t="s">
        <v>341</v>
      </c>
      <c r="B82" s="4" t="s">
        <v>19</v>
      </c>
      <c r="C82" s="4" t="s">
        <v>342</v>
      </c>
      <c r="D82" s="4" t="n">
        <f aca="false">IFERROR(UPD23b!M14,"")</f>
        <v>1.11</v>
      </c>
      <c r="E82" s="4" t="s">
        <v>47</v>
      </c>
      <c r="F82" s="5"/>
      <c r="G82" s="5"/>
      <c r="H82" s="6" t="str">
        <f aca="false">IF(OR(F82="",NOT(ISNUMBER(D82))),"",IF(ABS(F82-D82)&lt;0.001,"Yes","No"))</f>
        <v/>
      </c>
      <c r="I82" s="7" t="n">
        <f aca="false">IF(ISNUMBER(F82),F82,D82)</f>
        <v>1.11</v>
      </c>
      <c r="J82" s="6" t="str">
        <f aca="false">IF(ISNUMBER(F82),"Expert (overrides AI)",IF(ISNUMBER(D82),"AI","Not scored yet"))</f>
        <v>AI</v>
      </c>
      <c r="K82" s="4" t="s">
        <v>22</v>
      </c>
      <c r="L82" s="4" t="s">
        <v>31</v>
      </c>
      <c r="M82" s="4"/>
      <c r="N82" s="4"/>
      <c r="O82" s="4"/>
      <c r="P82" s="4"/>
      <c r="Q82" s="4"/>
      <c r="R82" s="4" t="s">
        <v>343</v>
      </c>
    </row>
    <row r="83" customFormat="false" ht="93" hidden="false" customHeight="true" outlineLevel="0" collapsed="false">
      <c r="A83" s="3" t="s">
        <v>341</v>
      </c>
      <c r="B83" s="4" t="s">
        <v>30</v>
      </c>
      <c r="C83" s="4" t="s">
        <v>342</v>
      </c>
      <c r="D83" s="4" t="str">
        <f aca="false">IFERROR(UPD23b!M33,"")</f>
        <v/>
      </c>
      <c r="E83" s="4" t="s">
        <v>47</v>
      </c>
      <c r="F83" s="5"/>
      <c r="G83" s="5"/>
      <c r="H83" s="6" t="str">
        <f aca="false">IF(OR(F83="",NOT(ISNUMBER(D83))),"",IF(ABS(F83-D83)&lt;0.001,"Yes","No"))</f>
        <v/>
      </c>
      <c r="I83" s="7" t="str">
        <f aca="false">IF(ISNUMBER(F83),F83,D83)</f>
        <v/>
      </c>
      <c r="J83" s="6" t="str">
        <f aca="false">IF(ISNUMBER(F83),"Expert (overrides AI)",IF(ISNUMBER(D83),"AI","Not scored yet"))</f>
        <v>Not scored yet</v>
      </c>
      <c r="K83" s="4" t="s">
        <v>22</v>
      </c>
      <c r="L83" s="4" t="s">
        <v>23</v>
      </c>
      <c r="M83" s="4" t="s">
        <v>344</v>
      </c>
      <c r="N83" s="4" t="s">
        <v>124</v>
      </c>
      <c r="O83" s="4" t="s">
        <v>125</v>
      </c>
      <c r="P83" s="4" t="s">
        <v>345</v>
      </c>
      <c r="Q83" s="4" t="s">
        <v>346</v>
      </c>
      <c r="R83" s="4" t="s">
        <v>347</v>
      </c>
    </row>
    <row r="84" customFormat="false" ht="93" hidden="false" customHeight="true" outlineLevel="0" collapsed="false">
      <c r="A84" s="3" t="s">
        <v>348</v>
      </c>
      <c r="B84" s="4" t="s">
        <v>19</v>
      </c>
      <c r="C84" s="4" t="s">
        <v>349</v>
      </c>
      <c r="D84" s="4" t="n">
        <f aca="false">IFERROR(UPD23c!M14,"")</f>
        <v>0</v>
      </c>
      <c r="E84" s="4" t="s">
        <v>47</v>
      </c>
      <c r="F84" s="5"/>
      <c r="G84" s="5"/>
      <c r="H84" s="6" t="str">
        <f aca="false">IF(OR(F84="",NOT(ISNUMBER(D84))),"",IF(ABS(F84-D84)&lt;0.001,"Yes","No"))</f>
        <v/>
      </c>
      <c r="I84" s="7" t="n">
        <f aca="false">IF(ISNUMBER(F84),F84,D84)</f>
        <v>0</v>
      </c>
      <c r="J84" s="6" t="str">
        <f aca="false">IF(ISNUMBER(F84),"Expert (overrides AI)",IF(ISNUMBER(D84),"AI","Not scored yet"))</f>
        <v>AI</v>
      </c>
      <c r="K84" s="4" t="s">
        <v>22</v>
      </c>
      <c r="L84" s="4" t="s">
        <v>31</v>
      </c>
      <c r="M84" s="4"/>
      <c r="N84" s="4"/>
      <c r="O84" s="4"/>
      <c r="P84" s="4"/>
      <c r="Q84" s="4"/>
      <c r="R84" s="4" t="s">
        <v>350</v>
      </c>
    </row>
    <row r="85" customFormat="false" ht="93" hidden="false" customHeight="true" outlineLevel="0" collapsed="false">
      <c r="A85" s="3" t="s">
        <v>348</v>
      </c>
      <c r="B85" s="4" t="s">
        <v>30</v>
      </c>
      <c r="C85" s="4" t="s">
        <v>349</v>
      </c>
      <c r="D85" s="4" t="str">
        <f aca="false">IFERROR(UPD23c!M33,"")</f>
        <v/>
      </c>
      <c r="E85" s="4" t="s">
        <v>47</v>
      </c>
      <c r="F85" s="5"/>
      <c r="G85" s="5"/>
      <c r="H85" s="6" t="str">
        <f aca="false">IF(OR(F85="",NOT(ISNUMBER(D85))),"",IF(ABS(F85-D85)&lt;0.001,"Yes","No"))</f>
        <v/>
      </c>
      <c r="I85" s="7" t="str">
        <f aca="false">IF(ISNUMBER(F85),F85,D85)</f>
        <v/>
      </c>
      <c r="J85" s="6" t="str">
        <f aca="false">IF(ISNUMBER(F85),"Expert (overrides AI)",IF(ISNUMBER(D85),"AI","Not scored yet"))</f>
        <v>Not scored yet</v>
      </c>
      <c r="K85" s="4" t="s">
        <v>22</v>
      </c>
      <c r="L85" s="4" t="s">
        <v>31</v>
      </c>
      <c r="M85" s="4"/>
      <c r="N85" s="4"/>
      <c r="O85" s="4"/>
      <c r="P85" s="4"/>
      <c r="Q85" s="4"/>
      <c r="R85" s="4" t="s">
        <v>351</v>
      </c>
    </row>
    <row r="86" customFormat="false" ht="93" hidden="false" customHeight="true" outlineLevel="0" collapsed="false">
      <c r="A86" s="3" t="s">
        <v>352</v>
      </c>
      <c r="B86" s="4" t="s">
        <v>19</v>
      </c>
      <c r="C86" s="4" t="s">
        <v>353</v>
      </c>
      <c r="D86" s="8" t="n">
        <f aca="false">IFERROR(UPD24a!K14,"")</f>
        <v>3.33</v>
      </c>
      <c r="E86" s="4" t="s">
        <v>47</v>
      </c>
      <c r="F86" s="5"/>
      <c r="G86" s="5"/>
      <c r="H86" s="6" t="str">
        <f aca="false">IF(OR(F86="",NOT(ISNUMBER(D86))),"",IF(ABS(F86-D86)&lt;0.001,"Yes","No"))</f>
        <v/>
      </c>
      <c r="I86" s="9" t="n">
        <f aca="false">IF(ISNUMBER(F86),F86,D86)</f>
        <v>3.33</v>
      </c>
      <c r="J86" s="6" t="str">
        <f aca="false">IF(ISNUMBER(F86),"Expert (overrides AI)",IF(ISNUMBER(D86),"AI","Not scored yet"))</f>
        <v>AI</v>
      </c>
      <c r="K86" s="4" t="s">
        <v>22</v>
      </c>
      <c r="L86" s="4" t="s">
        <v>23</v>
      </c>
      <c r="M86" s="4" t="s">
        <v>354</v>
      </c>
      <c r="N86" s="4" t="s">
        <v>355</v>
      </c>
      <c r="O86" s="4" t="s">
        <v>356</v>
      </c>
      <c r="P86" s="4" t="s">
        <v>357</v>
      </c>
      <c r="Q86" s="4" t="s">
        <v>358</v>
      </c>
      <c r="R86" s="4" t="s">
        <v>58</v>
      </c>
    </row>
    <row r="87" customFormat="false" ht="93" hidden="false" customHeight="true" outlineLevel="0" collapsed="false">
      <c r="A87" s="3" t="s">
        <v>352</v>
      </c>
      <c r="B87" s="4" t="s">
        <v>30</v>
      </c>
      <c r="C87" s="4" t="s">
        <v>353</v>
      </c>
      <c r="D87" s="8" t="n">
        <f aca="false">IFERROR(UPD24a!K33,"")</f>
        <v>3.33</v>
      </c>
      <c r="E87" s="4" t="s">
        <v>47</v>
      </c>
      <c r="F87" s="5"/>
      <c r="G87" s="5"/>
      <c r="H87" s="6" t="str">
        <f aca="false">IF(OR(F87="",NOT(ISNUMBER(D87))),"",IF(ABS(F87-D87)&lt;0.001,"Yes","No"))</f>
        <v/>
      </c>
      <c r="I87" s="9" t="n">
        <f aca="false">IF(ISNUMBER(F87),F87,D87)</f>
        <v>3.33</v>
      </c>
      <c r="J87" s="6" t="str">
        <f aca="false">IF(ISNUMBER(F87),"Expert (overrides AI)",IF(ISNUMBER(D87),"AI","Not scored yet"))</f>
        <v>AI</v>
      </c>
      <c r="K87" s="4" t="s">
        <v>35</v>
      </c>
      <c r="L87" s="4" t="s">
        <v>36</v>
      </c>
      <c r="M87" s="4" t="s">
        <v>359</v>
      </c>
      <c r="N87" s="4" t="s">
        <v>360</v>
      </c>
      <c r="O87" s="4" t="s">
        <v>361</v>
      </c>
      <c r="P87" s="4" t="s">
        <v>362</v>
      </c>
      <c r="Q87" s="4" t="s">
        <v>363</v>
      </c>
      <c r="R87" s="4"/>
    </row>
    <row r="88" customFormat="false" ht="93" hidden="false" customHeight="true" outlineLevel="0" collapsed="false">
      <c r="A88" s="3" t="s">
        <v>364</v>
      </c>
      <c r="B88" s="4" t="s">
        <v>19</v>
      </c>
      <c r="C88" s="4" t="s">
        <v>365</v>
      </c>
      <c r="D88" s="8" t="n">
        <f aca="false">IFERROR(UPD24b!K14,"")</f>
        <v>3.33</v>
      </c>
      <c r="E88" s="4" t="s">
        <v>47</v>
      </c>
      <c r="F88" s="5"/>
      <c r="G88" s="5"/>
      <c r="H88" s="6" t="str">
        <f aca="false">IF(OR(F88="",NOT(ISNUMBER(D88))),"",IF(ABS(F88-D88)&lt;0.001,"Yes","No"))</f>
        <v/>
      </c>
      <c r="I88" s="9" t="n">
        <f aca="false">IF(ISNUMBER(F88),F88,D88)</f>
        <v>3.33</v>
      </c>
      <c r="J88" s="6" t="str">
        <f aca="false">IF(ISNUMBER(F88),"Expert (overrides AI)",IF(ISNUMBER(D88),"AI","Not scored yet"))</f>
        <v>AI</v>
      </c>
      <c r="K88" s="4" t="s">
        <v>35</v>
      </c>
      <c r="L88" s="4" t="s">
        <v>36</v>
      </c>
      <c r="M88" s="4" t="s">
        <v>366</v>
      </c>
      <c r="N88" s="4" t="s">
        <v>355</v>
      </c>
      <c r="O88" s="4" t="s">
        <v>356</v>
      </c>
      <c r="P88" s="4" t="s">
        <v>367</v>
      </c>
      <c r="Q88" s="4" t="s">
        <v>368</v>
      </c>
      <c r="R88" s="4"/>
    </row>
    <row r="89" customFormat="false" ht="93" hidden="false" customHeight="true" outlineLevel="0" collapsed="false">
      <c r="A89" s="3" t="s">
        <v>364</v>
      </c>
      <c r="B89" s="4" t="s">
        <v>30</v>
      </c>
      <c r="C89" s="4" t="s">
        <v>365</v>
      </c>
      <c r="D89" s="8" t="n">
        <f aca="false">IFERROR(UPD24b!K33,"")</f>
        <v>3.33</v>
      </c>
      <c r="E89" s="4" t="s">
        <v>47</v>
      </c>
      <c r="F89" s="5"/>
      <c r="G89" s="5"/>
      <c r="H89" s="6" t="str">
        <f aca="false">IF(OR(F89="",NOT(ISNUMBER(D89))),"",IF(ABS(F89-D89)&lt;0.001,"Yes","No"))</f>
        <v/>
      </c>
      <c r="I89" s="9" t="n">
        <f aca="false">IF(ISNUMBER(F89),F89,D89)</f>
        <v>3.33</v>
      </c>
      <c r="J89" s="6" t="str">
        <f aca="false">IF(ISNUMBER(F89),"Expert (overrides AI)",IF(ISNUMBER(D89),"AI","Not scored yet"))</f>
        <v>AI</v>
      </c>
      <c r="K89" s="4" t="s">
        <v>35</v>
      </c>
      <c r="L89" s="4" t="s">
        <v>23</v>
      </c>
      <c r="M89" s="4" t="s">
        <v>369</v>
      </c>
      <c r="N89" s="4" t="s">
        <v>360</v>
      </c>
      <c r="O89" s="4" t="s">
        <v>361</v>
      </c>
      <c r="P89" s="4" t="s">
        <v>370</v>
      </c>
      <c r="Q89" s="4" t="s">
        <v>371</v>
      </c>
      <c r="R89" s="4"/>
    </row>
    <row r="90" customFormat="false" ht="93" hidden="false" customHeight="true" outlineLevel="0" collapsed="false">
      <c r="A90" s="3" t="s">
        <v>372</v>
      </c>
      <c r="B90" s="4" t="s">
        <v>19</v>
      </c>
      <c r="C90" s="4" t="s">
        <v>373</v>
      </c>
      <c r="D90" s="8" t="n">
        <f aca="false">IFERROR(UPD24c!K14,"")</f>
        <v>3.33</v>
      </c>
      <c r="E90" s="4" t="s">
        <v>47</v>
      </c>
      <c r="F90" s="5"/>
      <c r="G90" s="5"/>
      <c r="H90" s="6" t="str">
        <f aca="false">IF(OR(F90="",NOT(ISNUMBER(D90))),"",IF(ABS(F90-D90)&lt;0.001,"Yes","No"))</f>
        <v/>
      </c>
      <c r="I90" s="9" t="n">
        <f aca="false">IF(ISNUMBER(F90),F90,D90)</f>
        <v>3.33</v>
      </c>
      <c r="J90" s="6" t="str">
        <f aca="false">IF(ISNUMBER(F90),"Expert (overrides AI)",IF(ISNUMBER(D90),"AI","Not scored yet"))</f>
        <v>AI</v>
      </c>
      <c r="K90" s="4" t="s">
        <v>35</v>
      </c>
      <c r="L90" s="4" t="s">
        <v>36</v>
      </c>
      <c r="M90" s="4" t="s">
        <v>374</v>
      </c>
      <c r="N90" s="4" t="s">
        <v>230</v>
      </c>
      <c r="O90" s="4" t="s">
        <v>231</v>
      </c>
      <c r="P90" s="4" t="s">
        <v>375</v>
      </c>
      <c r="Q90" s="4" t="s">
        <v>376</v>
      </c>
      <c r="R90" s="4"/>
    </row>
    <row r="91" customFormat="false" ht="93" hidden="false" customHeight="true" outlineLevel="0" collapsed="false">
      <c r="A91" s="3" t="s">
        <v>372</v>
      </c>
      <c r="B91" s="4" t="s">
        <v>30</v>
      </c>
      <c r="C91" s="4" t="s">
        <v>373</v>
      </c>
      <c r="D91" s="8" t="n">
        <f aca="false">IFERROR(UPD24c!K33,"")</f>
        <v>3.33</v>
      </c>
      <c r="E91" s="4" t="s">
        <v>47</v>
      </c>
      <c r="F91" s="5"/>
      <c r="G91" s="5"/>
      <c r="H91" s="6" t="str">
        <f aca="false">IF(OR(F91="",NOT(ISNUMBER(D91))),"",IF(ABS(F91-D91)&lt;0.001,"Yes","No"))</f>
        <v/>
      </c>
      <c r="I91" s="9" t="n">
        <f aca="false">IF(ISNUMBER(F91),F91,D91)</f>
        <v>3.33</v>
      </c>
      <c r="J91" s="6" t="str">
        <f aca="false">IF(ISNUMBER(F91),"Expert (overrides AI)",IF(ISNUMBER(D91),"AI","Not scored yet"))</f>
        <v>AI</v>
      </c>
      <c r="K91" s="4" t="s">
        <v>35</v>
      </c>
      <c r="L91" s="4" t="s">
        <v>36</v>
      </c>
      <c r="M91" s="4" t="s">
        <v>377</v>
      </c>
      <c r="N91" s="4" t="s">
        <v>360</v>
      </c>
      <c r="O91" s="4" t="s">
        <v>361</v>
      </c>
      <c r="P91" s="4" t="s">
        <v>378</v>
      </c>
      <c r="Q91" s="4" t="s">
        <v>379</v>
      </c>
      <c r="R91" s="4"/>
    </row>
    <row r="92" customFormat="false" ht="93" hidden="false" customHeight="true" outlineLevel="0" collapsed="false">
      <c r="A92" s="3" t="s">
        <v>380</v>
      </c>
      <c r="B92" s="4" t="s">
        <v>19</v>
      </c>
      <c r="C92" s="4" t="s">
        <v>381</v>
      </c>
      <c r="D92" s="8" t="n">
        <f aca="false">IFERROR(UPD25a!K14,"")</f>
        <v>3.33</v>
      </c>
      <c r="E92" s="4" t="s">
        <v>47</v>
      </c>
      <c r="F92" s="5"/>
      <c r="G92" s="5"/>
      <c r="H92" s="6" t="str">
        <f aca="false">IF(OR(F92="",NOT(ISNUMBER(D92))),"",IF(ABS(F92-D92)&lt;0.001,"Yes","No"))</f>
        <v/>
      </c>
      <c r="I92" s="9" t="n">
        <f aca="false">IF(ISNUMBER(F92),F92,D92)</f>
        <v>3.33</v>
      </c>
      <c r="J92" s="6" t="str">
        <f aca="false">IF(ISNUMBER(F92),"Expert (overrides AI)",IF(ISNUMBER(D92),"AI","Not scored yet"))</f>
        <v>AI</v>
      </c>
      <c r="K92" s="4" t="s">
        <v>22</v>
      </c>
      <c r="L92" s="4" t="s">
        <v>31</v>
      </c>
      <c r="M92" s="4"/>
      <c r="N92" s="4"/>
      <c r="O92" s="4"/>
      <c r="P92" s="4"/>
      <c r="Q92" s="4"/>
      <c r="R92" s="4" t="s">
        <v>382</v>
      </c>
    </row>
    <row r="93" customFormat="false" ht="93" hidden="false" customHeight="true" outlineLevel="0" collapsed="false">
      <c r="A93" s="3" t="s">
        <v>380</v>
      </c>
      <c r="B93" s="4" t="s">
        <v>30</v>
      </c>
      <c r="C93" s="4" t="s">
        <v>381</v>
      </c>
      <c r="D93" s="4" t="str">
        <f aca="false">IFERROR(UPD25a!K33,"")</f>
        <v/>
      </c>
      <c r="E93" s="4" t="s">
        <v>47</v>
      </c>
      <c r="F93" s="5"/>
      <c r="G93" s="5"/>
      <c r="H93" s="6" t="str">
        <f aca="false">IF(OR(F93="",NOT(ISNUMBER(D93))),"",IF(ABS(F93-D93)&lt;0.001,"Yes","No"))</f>
        <v/>
      </c>
      <c r="I93" s="7" t="str">
        <f aca="false">IF(ISNUMBER(F93),F93,D93)</f>
        <v/>
      </c>
      <c r="J93" s="6" t="str">
        <f aca="false">IF(ISNUMBER(F93),"Expert (overrides AI)",IF(ISNUMBER(D93),"AI","Not scored yet"))</f>
        <v>Not scored yet</v>
      </c>
      <c r="K93" s="4" t="s">
        <v>22</v>
      </c>
      <c r="L93" s="4" t="s">
        <v>23</v>
      </c>
      <c r="M93" s="4" t="s">
        <v>383</v>
      </c>
      <c r="N93" s="4" t="s">
        <v>124</v>
      </c>
      <c r="O93" s="4" t="s">
        <v>125</v>
      </c>
      <c r="P93" s="4" t="s">
        <v>384</v>
      </c>
      <c r="Q93" s="4" t="s">
        <v>385</v>
      </c>
      <c r="R93" s="4" t="s">
        <v>58</v>
      </c>
    </row>
    <row r="94" customFormat="false" ht="93" hidden="false" customHeight="true" outlineLevel="0" collapsed="false">
      <c r="A94" s="3" t="s">
        <v>386</v>
      </c>
      <c r="B94" s="4" t="s">
        <v>19</v>
      </c>
      <c r="C94" s="4" t="s">
        <v>387</v>
      </c>
      <c r="D94" s="8" t="n">
        <f aca="false">IFERROR(UPD25b!K14,"")</f>
        <v>3.33</v>
      </c>
      <c r="E94" s="4" t="s">
        <v>47</v>
      </c>
      <c r="F94" s="5"/>
      <c r="G94" s="5"/>
      <c r="H94" s="6" t="str">
        <f aca="false">IF(OR(F94="",NOT(ISNUMBER(D94))),"",IF(ABS(F94-D94)&lt;0.001,"Yes","No"))</f>
        <v/>
      </c>
      <c r="I94" s="9" t="n">
        <f aca="false">IF(ISNUMBER(F94),F94,D94)</f>
        <v>3.33</v>
      </c>
      <c r="J94" s="6" t="str">
        <f aca="false">IF(ISNUMBER(F94),"Expert (overrides AI)",IF(ISNUMBER(D94),"AI","Not scored yet"))</f>
        <v>AI</v>
      </c>
      <c r="K94" s="4" t="s">
        <v>22</v>
      </c>
      <c r="L94" s="4" t="s">
        <v>23</v>
      </c>
      <c r="M94" s="4" t="s">
        <v>388</v>
      </c>
      <c r="N94" s="4" t="s">
        <v>230</v>
      </c>
      <c r="O94" s="4" t="s">
        <v>231</v>
      </c>
      <c r="P94" s="4" t="s">
        <v>389</v>
      </c>
      <c r="Q94" s="4" t="s">
        <v>390</v>
      </c>
      <c r="R94" s="4" t="s">
        <v>58</v>
      </c>
    </row>
    <row r="95" customFormat="false" ht="93" hidden="false" customHeight="true" outlineLevel="0" collapsed="false">
      <c r="A95" s="3" t="s">
        <v>386</v>
      </c>
      <c r="B95" s="4" t="s">
        <v>30</v>
      </c>
      <c r="C95" s="4" t="s">
        <v>387</v>
      </c>
      <c r="D95" s="4" t="str">
        <f aca="false">IFERROR(UPD25b!K33,"")</f>
        <v/>
      </c>
      <c r="E95" s="4" t="s">
        <v>47</v>
      </c>
      <c r="F95" s="5"/>
      <c r="G95" s="5"/>
      <c r="H95" s="6" t="str">
        <f aca="false">IF(OR(F95="",NOT(ISNUMBER(D95))),"",IF(ABS(F95-D95)&lt;0.001,"Yes","No"))</f>
        <v/>
      </c>
      <c r="I95" s="7" t="str">
        <f aca="false">IF(ISNUMBER(F95),F95,D95)</f>
        <v/>
      </c>
      <c r="J95" s="6" t="str">
        <f aca="false">IF(ISNUMBER(F95),"Expert (overrides AI)",IF(ISNUMBER(D95),"AI","Not scored yet"))</f>
        <v>Not scored yet</v>
      </c>
      <c r="K95" s="4" t="s">
        <v>22</v>
      </c>
      <c r="L95" s="4" t="s">
        <v>31</v>
      </c>
      <c r="M95" s="4"/>
      <c r="N95" s="4"/>
      <c r="O95" s="4"/>
      <c r="P95" s="4"/>
      <c r="Q95" s="4"/>
      <c r="R95" s="4" t="s">
        <v>391</v>
      </c>
    </row>
    <row r="96" customFormat="false" ht="93" hidden="false" customHeight="true" outlineLevel="0" collapsed="false">
      <c r="A96" s="3" t="s">
        <v>392</v>
      </c>
      <c r="B96" s="4" t="s">
        <v>19</v>
      </c>
      <c r="C96" s="4" t="s">
        <v>393</v>
      </c>
      <c r="D96" s="8" t="n">
        <f aca="false">IFERROR(UPD25c!K14,"")</f>
        <v>3.33</v>
      </c>
      <c r="E96" s="4" t="s">
        <v>47</v>
      </c>
      <c r="F96" s="5"/>
      <c r="G96" s="5"/>
      <c r="H96" s="6" t="str">
        <f aca="false">IF(OR(F96="",NOT(ISNUMBER(D96))),"",IF(ABS(F96-D96)&lt;0.001,"Yes","No"))</f>
        <v/>
      </c>
      <c r="I96" s="9" t="n">
        <f aca="false">IF(ISNUMBER(F96),F96,D96)</f>
        <v>3.33</v>
      </c>
      <c r="J96" s="6" t="str">
        <f aca="false">IF(ISNUMBER(F96),"Expert (overrides AI)",IF(ISNUMBER(D96),"AI","Not scored yet"))</f>
        <v>AI</v>
      </c>
      <c r="K96" s="4" t="s">
        <v>22</v>
      </c>
      <c r="L96" s="4" t="s">
        <v>31</v>
      </c>
      <c r="M96" s="4"/>
      <c r="N96" s="4"/>
      <c r="O96" s="4"/>
      <c r="P96" s="4"/>
      <c r="Q96" s="4"/>
      <c r="R96" s="4" t="s">
        <v>394</v>
      </c>
    </row>
    <row r="97" customFormat="false" ht="93" hidden="false" customHeight="true" outlineLevel="0" collapsed="false">
      <c r="A97" s="3" t="s">
        <v>392</v>
      </c>
      <c r="B97" s="4" t="s">
        <v>30</v>
      </c>
      <c r="C97" s="4" t="s">
        <v>393</v>
      </c>
      <c r="D97" s="4" t="str">
        <f aca="false">IFERROR(UPD25c!K33,"")</f>
        <v/>
      </c>
      <c r="E97" s="4" t="s">
        <v>47</v>
      </c>
      <c r="F97" s="5"/>
      <c r="G97" s="5"/>
      <c r="H97" s="6" t="str">
        <f aca="false">IF(OR(F97="",NOT(ISNUMBER(D97))),"",IF(ABS(F97-D97)&lt;0.001,"Yes","No"))</f>
        <v/>
      </c>
      <c r="I97" s="7" t="str">
        <f aca="false">IF(ISNUMBER(F97),F97,D97)</f>
        <v/>
      </c>
      <c r="J97" s="6" t="str">
        <f aca="false">IF(ISNUMBER(F97),"Expert (overrides AI)",IF(ISNUMBER(D97),"AI","Not scored yet"))</f>
        <v>Not scored yet</v>
      </c>
      <c r="K97" s="4" t="s">
        <v>22</v>
      </c>
      <c r="L97" s="4" t="s">
        <v>31</v>
      </c>
      <c r="M97" s="4"/>
      <c r="N97" s="4"/>
      <c r="O97" s="4"/>
      <c r="P97" s="4"/>
      <c r="Q97" s="4"/>
      <c r="R97" s="4" t="s">
        <v>395</v>
      </c>
    </row>
    <row r="98" customFormat="false" ht="93" hidden="false" customHeight="true" outlineLevel="0" collapsed="false">
      <c r="A98" s="3" t="s">
        <v>396</v>
      </c>
      <c r="B98" s="4" t="s">
        <v>19</v>
      </c>
      <c r="C98" s="4" t="s">
        <v>397</v>
      </c>
      <c r="D98" s="4" t="n">
        <f aca="false">IFERROR(UPD26a!K14,"")</f>
        <v>0</v>
      </c>
      <c r="E98" s="4" t="s">
        <v>47</v>
      </c>
      <c r="F98" s="5"/>
      <c r="G98" s="5"/>
      <c r="H98" s="6" t="str">
        <f aca="false">IF(OR(F98="",NOT(ISNUMBER(D98))),"",IF(ABS(F98-D98)&lt;0.001,"Yes","No"))</f>
        <v/>
      </c>
      <c r="I98" s="7" t="n">
        <f aca="false">IF(ISNUMBER(F98),F98,D98)</f>
        <v>0</v>
      </c>
      <c r="J98" s="6" t="str">
        <f aca="false">IF(ISNUMBER(F98),"Expert (overrides AI)",IF(ISNUMBER(D98),"AI","Not scored yet"))</f>
        <v>AI</v>
      </c>
      <c r="K98" s="4" t="s">
        <v>22</v>
      </c>
      <c r="L98" s="4" t="s">
        <v>31</v>
      </c>
      <c r="M98" s="4"/>
      <c r="N98" s="4"/>
      <c r="O98" s="4"/>
      <c r="P98" s="4"/>
      <c r="Q98" s="4"/>
      <c r="R98" s="4" t="s">
        <v>398</v>
      </c>
    </row>
    <row r="99" customFormat="false" ht="93" hidden="false" customHeight="true" outlineLevel="0" collapsed="false">
      <c r="A99" s="3" t="s">
        <v>396</v>
      </c>
      <c r="B99" s="4" t="s">
        <v>30</v>
      </c>
      <c r="C99" s="4" t="s">
        <v>397</v>
      </c>
      <c r="D99" s="4" t="str">
        <f aca="false">IFERROR(UPD26a!K33,"")</f>
        <v/>
      </c>
      <c r="E99" s="4" t="s">
        <v>47</v>
      </c>
      <c r="F99" s="5"/>
      <c r="G99" s="5"/>
      <c r="H99" s="6" t="str">
        <f aca="false">IF(OR(F99="",NOT(ISNUMBER(D99))),"",IF(ABS(F99-D99)&lt;0.001,"Yes","No"))</f>
        <v/>
      </c>
      <c r="I99" s="7" t="str">
        <f aca="false">IF(ISNUMBER(F99),F99,D99)</f>
        <v/>
      </c>
      <c r="J99" s="6" t="str">
        <f aca="false">IF(ISNUMBER(F99),"Expert (overrides AI)",IF(ISNUMBER(D99),"AI","Not scored yet"))</f>
        <v>Not scored yet</v>
      </c>
      <c r="K99" s="4" t="s">
        <v>22</v>
      </c>
      <c r="L99" s="4" t="s">
        <v>23</v>
      </c>
      <c r="M99" s="4" t="s">
        <v>399</v>
      </c>
      <c r="N99" s="4" t="s">
        <v>400</v>
      </c>
      <c r="O99" s="4" t="s">
        <v>401</v>
      </c>
      <c r="P99" s="4" t="s">
        <v>402</v>
      </c>
      <c r="Q99" s="4" t="s">
        <v>403</v>
      </c>
      <c r="R99" s="4" t="s">
        <v>58</v>
      </c>
    </row>
    <row r="100" customFormat="false" ht="93" hidden="false" customHeight="true" outlineLevel="0" collapsed="false">
      <c r="A100" s="3" t="s">
        <v>404</v>
      </c>
      <c r="B100" s="4" t="s">
        <v>19</v>
      </c>
      <c r="C100" s="4" t="s">
        <v>405</v>
      </c>
      <c r="D100" s="4" t="n">
        <f aca="false">IFERROR(UPD26b!K14,"")</f>
        <v>0</v>
      </c>
      <c r="E100" s="4" t="s">
        <v>47</v>
      </c>
      <c r="F100" s="5"/>
      <c r="G100" s="5"/>
      <c r="H100" s="6" t="str">
        <f aca="false">IF(OR(F100="",NOT(ISNUMBER(D100))),"",IF(ABS(F100-D100)&lt;0.001,"Yes","No"))</f>
        <v/>
      </c>
      <c r="I100" s="7" t="n">
        <f aca="false">IF(ISNUMBER(F100),F100,D100)</f>
        <v>0</v>
      </c>
      <c r="J100" s="6" t="str">
        <f aca="false">IF(ISNUMBER(F100),"Expert (overrides AI)",IF(ISNUMBER(D100),"AI","Not scored yet"))</f>
        <v>AI</v>
      </c>
      <c r="K100" s="4" t="s">
        <v>22</v>
      </c>
      <c r="L100" s="4" t="s">
        <v>31</v>
      </c>
      <c r="M100" s="4"/>
      <c r="N100" s="4"/>
      <c r="O100" s="4"/>
      <c r="P100" s="4"/>
      <c r="Q100" s="4"/>
      <c r="R100" s="4" t="s">
        <v>406</v>
      </c>
    </row>
    <row r="101" customFormat="false" ht="93" hidden="false" customHeight="true" outlineLevel="0" collapsed="false">
      <c r="A101" s="3" t="s">
        <v>404</v>
      </c>
      <c r="B101" s="4" t="s">
        <v>30</v>
      </c>
      <c r="C101" s="4" t="s">
        <v>405</v>
      </c>
      <c r="D101" s="8" t="n">
        <f aca="false">IFERROR(UPD26b!K33,"")</f>
        <v>3.33</v>
      </c>
      <c r="E101" s="4" t="s">
        <v>47</v>
      </c>
      <c r="F101" s="5"/>
      <c r="G101" s="5"/>
      <c r="H101" s="6" t="str">
        <f aca="false">IF(OR(F101="",NOT(ISNUMBER(D101))),"",IF(ABS(F101-D101)&lt;0.001,"Yes","No"))</f>
        <v/>
      </c>
      <c r="I101" s="9" t="n">
        <f aca="false">IF(ISNUMBER(F101),F101,D101)</f>
        <v>3.33</v>
      </c>
      <c r="J101" s="6" t="str">
        <f aca="false">IF(ISNUMBER(F101),"Expert (overrides AI)",IF(ISNUMBER(D101),"AI","Not scored yet"))</f>
        <v>AI</v>
      </c>
      <c r="K101" s="4" t="s">
        <v>35</v>
      </c>
      <c r="L101" s="4" t="s">
        <v>23</v>
      </c>
      <c r="M101" s="4" t="s">
        <v>407</v>
      </c>
      <c r="N101" s="4" t="s">
        <v>400</v>
      </c>
      <c r="O101" s="4" t="s">
        <v>401</v>
      </c>
      <c r="P101" s="4" t="s">
        <v>408</v>
      </c>
      <c r="Q101" s="4" t="s">
        <v>409</v>
      </c>
      <c r="R101" s="4"/>
    </row>
    <row r="102" customFormat="false" ht="93" hidden="false" customHeight="true" outlineLevel="0" collapsed="false">
      <c r="A102" s="3" t="s">
        <v>410</v>
      </c>
      <c r="B102" s="4" t="s">
        <v>19</v>
      </c>
      <c r="C102" s="4" t="s">
        <v>411</v>
      </c>
      <c r="D102" s="4" t="n">
        <f aca="false">IFERROR(UPD26c!K14,"")</f>
        <v>0</v>
      </c>
      <c r="E102" s="4" t="s">
        <v>47</v>
      </c>
      <c r="F102" s="5"/>
      <c r="G102" s="5"/>
      <c r="H102" s="6" t="str">
        <f aca="false">IF(OR(F102="",NOT(ISNUMBER(D102))),"",IF(ABS(F102-D102)&lt;0.001,"Yes","No"))</f>
        <v/>
      </c>
      <c r="I102" s="7" t="n">
        <f aca="false">IF(ISNUMBER(F102),F102,D102)</f>
        <v>0</v>
      </c>
      <c r="J102" s="6" t="str">
        <f aca="false">IF(ISNUMBER(F102),"Expert (overrides AI)",IF(ISNUMBER(D102),"AI","Not scored yet"))</f>
        <v>AI</v>
      </c>
      <c r="K102" s="4" t="s">
        <v>22</v>
      </c>
      <c r="L102" s="4" t="s">
        <v>31</v>
      </c>
      <c r="M102" s="4"/>
      <c r="N102" s="4"/>
      <c r="O102" s="4"/>
      <c r="P102" s="4"/>
      <c r="Q102" s="4"/>
      <c r="R102" s="4" t="s">
        <v>412</v>
      </c>
    </row>
    <row r="103" customFormat="false" ht="93" hidden="false" customHeight="true" outlineLevel="0" collapsed="false">
      <c r="A103" s="3" t="s">
        <v>410</v>
      </c>
      <c r="B103" s="4" t="s">
        <v>30</v>
      </c>
      <c r="C103" s="4" t="s">
        <v>411</v>
      </c>
      <c r="D103" s="4" t="n">
        <f aca="false">IFERROR(UPD26c!K33,"")</f>
        <v>0</v>
      </c>
      <c r="E103" s="4" t="s">
        <v>47</v>
      </c>
      <c r="F103" s="5"/>
      <c r="G103" s="5"/>
      <c r="H103" s="6" t="str">
        <f aca="false">IF(OR(F103="",NOT(ISNUMBER(D103))),"",IF(ABS(F103-D103)&lt;0.001,"Yes","No"))</f>
        <v/>
      </c>
      <c r="I103" s="7" t="n">
        <f aca="false">IF(ISNUMBER(F103),F103,D103)</f>
        <v>0</v>
      </c>
      <c r="J103" s="6" t="str">
        <f aca="false">IF(ISNUMBER(F103),"Expert (overrides AI)",IF(ISNUMBER(D103),"AI","Not scored yet"))</f>
        <v>AI</v>
      </c>
      <c r="K103" s="4" t="s">
        <v>22</v>
      </c>
      <c r="L103" s="4" t="s">
        <v>23</v>
      </c>
      <c r="M103" s="4" t="s">
        <v>413</v>
      </c>
      <c r="N103" s="4" t="s">
        <v>400</v>
      </c>
      <c r="O103" s="4" t="s">
        <v>401</v>
      </c>
      <c r="P103" s="4" t="s">
        <v>414</v>
      </c>
      <c r="Q103" s="4" t="s">
        <v>415</v>
      </c>
      <c r="R103" s="4" t="s">
        <v>58</v>
      </c>
    </row>
    <row r="104" customFormat="false" ht="93" hidden="false" customHeight="true" outlineLevel="0" collapsed="false">
      <c r="A104" s="3" t="s">
        <v>416</v>
      </c>
      <c r="B104" s="4" t="s">
        <v>19</v>
      </c>
      <c r="C104" s="4" t="s">
        <v>417</v>
      </c>
      <c r="D104" s="4" t="str">
        <f aca="false">IFERROR(UPD27a!S14,"")</f>
        <v/>
      </c>
      <c r="E104" s="4" t="s">
        <v>118</v>
      </c>
      <c r="F104" s="5"/>
      <c r="G104" s="5"/>
      <c r="H104" s="6" t="str">
        <f aca="false">IF(OR(F104="",NOT(ISNUMBER(D104))),"",IF(ABS(F104-D104)&lt;0.001,"Yes","No"))</f>
        <v/>
      </c>
      <c r="I104" s="7" t="str">
        <f aca="false">IF(ISNUMBER(F104),F104,D104)</f>
        <v/>
      </c>
      <c r="J104" s="6" t="str">
        <f aca="false">IF(ISNUMBER(F104),"Expert (overrides AI)",IF(ISNUMBER(D104),"AI","Not scored yet"))</f>
        <v>Not scored yet</v>
      </c>
      <c r="K104" s="4" t="s">
        <v>22</v>
      </c>
      <c r="L104" s="4" t="s">
        <v>31</v>
      </c>
      <c r="M104" s="4"/>
      <c r="N104" s="4"/>
      <c r="O104" s="4"/>
      <c r="P104" s="4"/>
      <c r="Q104" s="4"/>
      <c r="R104" s="4" t="s">
        <v>418</v>
      </c>
    </row>
    <row r="105" customFormat="false" ht="93" hidden="false" customHeight="true" outlineLevel="0" collapsed="false">
      <c r="A105" s="3" t="s">
        <v>416</v>
      </c>
      <c r="B105" s="4" t="s">
        <v>30</v>
      </c>
      <c r="C105" s="4" t="s">
        <v>417</v>
      </c>
      <c r="D105" s="4" t="str">
        <f aca="false">IFERROR(UPD27a!S33,"")</f>
        <v/>
      </c>
      <c r="E105" s="4" t="s">
        <v>118</v>
      </c>
      <c r="F105" s="5"/>
      <c r="G105" s="5"/>
      <c r="H105" s="6" t="str">
        <f aca="false">IF(OR(F105="",NOT(ISNUMBER(D105))),"",IF(ABS(F105-D105)&lt;0.001,"Yes","No"))</f>
        <v/>
      </c>
      <c r="I105" s="7" t="str">
        <f aca="false">IF(ISNUMBER(F105),F105,D105)</f>
        <v/>
      </c>
      <c r="J105" s="6" t="str">
        <f aca="false">IF(ISNUMBER(F105),"Expert (overrides AI)",IF(ISNUMBER(D105),"AI","Not scored yet"))</f>
        <v>Not scored yet</v>
      </c>
      <c r="K105" s="4" t="s">
        <v>22</v>
      </c>
      <c r="L105" s="4" t="s">
        <v>23</v>
      </c>
      <c r="M105" s="4" t="s">
        <v>419</v>
      </c>
      <c r="N105" s="4" t="s">
        <v>124</v>
      </c>
      <c r="O105" s="4" t="s">
        <v>125</v>
      </c>
      <c r="P105" s="4" t="s">
        <v>420</v>
      </c>
      <c r="Q105" s="4" t="s">
        <v>421</v>
      </c>
      <c r="R105" s="4" t="s">
        <v>422</v>
      </c>
    </row>
    <row r="106" customFormat="false" ht="93" hidden="false" customHeight="true" outlineLevel="0" collapsed="false">
      <c r="A106" s="3" t="s">
        <v>423</v>
      </c>
      <c r="B106" s="4" t="s">
        <v>19</v>
      </c>
      <c r="C106" s="4" t="s">
        <v>424</v>
      </c>
      <c r="D106" s="4" t="str">
        <f aca="false">IFERROR(UPD27b!L14,"")</f>
        <v/>
      </c>
      <c r="E106" s="4" t="s">
        <v>118</v>
      </c>
      <c r="F106" s="5"/>
      <c r="G106" s="5"/>
      <c r="H106" s="6" t="str">
        <f aca="false">IF(OR(F106="",NOT(ISNUMBER(D106))),"",IF(ABS(F106-D106)&lt;0.001,"Yes","No"))</f>
        <v/>
      </c>
      <c r="I106" s="7" t="str">
        <f aca="false">IF(ISNUMBER(F106),F106,D106)</f>
        <v/>
      </c>
      <c r="J106" s="6" t="str">
        <f aca="false">IF(ISNUMBER(F106),"Expert (overrides AI)",IF(ISNUMBER(D106),"AI","Not scored yet"))</f>
        <v>Not scored yet</v>
      </c>
      <c r="K106" s="4" t="s">
        <v>22</v>
      </c>
      <c r="L106" s="4" t="s">
        <v>31</v>
      </c>
      <c r="M106" s="4"/>
      <c r="N106" s="4"/>
      <c r="O106" s="4"/>
      <c r="P106" s="4"/>
      <c r="Q106" s="4"/>
      <c r="R106" s="4" t="s">
        <v>425</v>
      </c>
    </row>
    <row r="107" customFormat="false" ht="93" hidden="false" customHeight="true" outlineLevel="0" collapsed="false">
      <c r="A107" s="3" t="s">
        <v>423</v>
      </c>
      <c r="B107" s="4" t="s">
        <v>30</v>
      </c>
      <c r="C107" s="4" t="s">
        <v>424</v>
      </c>
      <c r="D107" s="4" t="str">
        <f aca="false">IFERROR(UPD27b!L33,"")</f>
        <v/>
      </c>
      <c r="E107" s="4" t="s">
        <v>118</v>
      </c>
      <c r="F107" s="5"/>
      <c r="G107" s="5"/>
      <c r="H107" s="6" t="str">
        <f aca="false">IF(OR(F107="",NOT(ISNUMBER(D107))),"",IF(ABS(F107-D107)&lt;0.001,"Yes","No"))</f>
        <v/>
      </c>
      <c r="I107" s="7" t="str">
        <f aca="false">IF(ISNUMBER(F107),F107,D107)</f>
        <v/>
      </c>
      <c r="J107" s="6" t="str">
        <f aca="false">IF(ISNUMBER(F107),"Expert (overrides AI)",IF(ISNUMBER(D107),"AI","Not scored yet"))</f>
        <v>Not scored yet</v>
      </c>
      <c r="K107" s="4" t="s">
        <v>22</v>
      </c>
      <c r="L107" s="4" t="s">
        <v>31</v>
      </c>
      <c r="M107" s="4"/>
      <c r="N107" s="4"/>
      <c r="O107" s="4"/>
      <c r="P107" s="4"/>
      <c r="Q107" s="4"/>
      <c r="R107" s="4" t="s">
        <v>426</v>
      </c>
    </row>
    <row r="108" customFormat="false" ht="93" hidden="false" customHeight="true" outlineLevel="0" collapsed="false">
      <c r="A108" s="3" t="s">
        <v>427</v>
      </c>
      <c r="B108" s="4" t="s">
        <v>19</v>
      </c>
      <c r="C108" s="4" t="s">
        <v>428</v>
      </c>
      <c r="D108" s="4" t="str">
        <f aca="false">IFERROR(UPD28a!K14,"")</f>
        <v/>
      </c>
      <c r="E108" s="4" t="s">
        <v>429</v>
      </c>
      <c r="F108" s="5"/>
      <c r="G108" s="5"/>
      <c r="H108" s="6" t="str">
        <f aca="false">IF(OR(F108="",NOT(ISNUMBER(D108))),"",IF(ABS(F108-D108)&lt;0.001,"Yes","No"))</f>
        <v/>
      </c>
      <c r="I108" s="7" t="str">
        <f aca="false">IF(ISNUMBER(F108),F108,D108)</f>
        <v/>
      </c>
      <c r="J108" s="6" t="str">
        <f aca="false">IF(ISNUMBER(F108),"Expert (overrides AI)",IF(ISNUMBER(D108),"AI","Not scored yet"))</f>
        <v>Not scored yet</v>
      </c>
      <c r="K108" s="4" t="s">
        <v>22</v>
      </c>
      <c r="L108" s="4" t="s">
        <v>23</v>
      </c>
      <c r="M108" s="4" t="s">
        <v>430</v>
      </c>
      <c r="N108" s="4" t="s">
        <v>431</v>
      </c>
      <c r="O108" s="4" t="s">
        <v>432</v>
      </c>
      <c r="P108" s="4" t="s">
        <v>433</v>
      </c>
      <c r="Q108" s="4" t="s">
        <v>434</v>
      </c>
      <c r="R108" s="4" t="s">
        <v>58</v>
      </c>
    </row>
    <row r="109" customFormat="false" ht="93" hidden="false" customHeight="true" outlineLevel="0" collapsed="false">
      <c r="A109" s="3" t="s">
        <v>427</v>
      </c>
      <c r="B109" s="4" t="s">
        <v>30</v>
      </c>
      <c r="C109" s="4" t="s">
        <v>428</v>
      </c>
      <c r="D109" s="4" t="str">
        <f aca="false">IFERROR(UPD28a!K33,"")</f>
        <v/>
      </c>
      <c r="E109" s="4" t="s">
        <v>429</v>
      </c>
      <c r="F109" s="5"/>
      <c r="G109" s="5"/>
      <c r="H109" s="6" t="str">
        <f aca="false">IF(OR(F109="",NOT(ISNUMBER(D109))),"",IF(ABS(F109-D109)&lt;0.001,"Yes","No"))</f>
        <v/>
      </c>
      <c r="I109" s="7" t="str">
        <f aca="false">IF(ISNUMBER(F109),F109,D109)</f>
        <v/>
      </c>
      <c r="J109" s="6" t="str">
        <f aca="false">IF(ISNUMBER(F109),"Expert (overrides AI)",IF(ISNUMBER(D109),"AI","Not scored yet"))</f>
        <v>Not scored yet</v>
      </c>
      <c r="K109" s="4" t="s">
        <v>22</v>
      </c>
      <c r="L109" s="4" t="s">
        <v>23</v>
      </c>
      <c r="M109" s="4" t="s">
        <v>435</v>
      </c>
      <c r="N109" s="4" t="s">
        <v>436</v>
      </c>
      <c r="O109" s="4" t="s">
        <v>437</v>
      </c>
      <c r="P109" s="4" t="s">
        <v>438</v>
      </c>
      <c r="Q109" s="4" t="s">
        <v>439</v>
      </c>
      <c r="R109" s="4" t="s">
        <v>58</v>
      </c>
    </row>
    <row r="110" customFormat="false" ht="93" hidden="false" customHeight="true" outlineLevel="0" collapsed="false">
      <c r="A110" s="3" t="s">
        <v>440</v>
      </c>
      <c r="B110" s="4" t="s">
        <v>19</v>
      </c>
      <c r="C110" s="4" t="s">
        <v>441</v>
      </c>
      <c r="D110" s="4" t="str">
        <f aca="false">IFERROR(UPD28b!K14,"")</f>
        <v/>
      </c>
      <c r="E110" s="4" t="s">
        <v>429</v>
      </c>
      <c r="F110" s="5"/>
      <c r="G110" s="5"/>
      <c r="H110" s="6" t="str">
        <f aca="false">IF(OR(F110="",NOT(ISNUMBER(D110))),"",IF(ABS(F110-D110)&lt;0.001,"Yes","No"))</f>
        <v/>
      </c>
      <c r="I110" s="7" t="str">
        <f aca="false">IF(ISNUMBER(F110),F110,D110)</f>
        <v/>
      </c>
      <c r="J110" s="6" t="str">
        <f aca="false">IF(ISNUMBER(F110),"Expert (overrides AI)",IF(ISNUMBER(D110),"AI","Not scored yet"))</f>
        <v>Not scored yet</v>
      </c>
      <c r="K110" s="4" t="s">
        <v>22</v>
      </c>
      <c r="L110" s="4" t="s">
        <v>23</v>
      </c>
      <c r="M110" s="4" t="s">
        <v>442</v>
      </c>
      <c r="N110" s="4" t="s">
        <v>49</v>
      </c>
      <c r="O110" s="4" t="s">
        <v>50</v>
      </c>
      <c r="P110" s="4" t="s">
        <v>209</v>
      </c>
      <c r="Q110" s="4" t="s">
        <v>443</v>
      </c>
      <c r="R110" s="4" t="s">
        <v>58</v>
      </c>
    </row>
    <row r="111" customFormat="false" ht="93" hidden="false" customHeight="true" outlineLevel="0" collapsed="false">
      <c r="A111" s="3" t="s">
        <v>440</v>
      </c>
      <c r="B111" s="4" t="s">
        <v>30</v>
      </c>
      <c r="C111" s="4" t="s">
        <v>441</v>
      </c>
      <c r="D111" s="8" t="n">
        <f aca="false">IFERROR(UPD28b!K33,"")</f>
        <v>2.5</v>
      </c>
      <c r="E111" s="4" t="s">
        <v>429</v>
      </c>
      <c r="F111" s="5"/>
      <c r="G111" s="5"/>
      <c r="H111" s="6" t="str">
        <f aca="false">IF(OR(F111="",NOT(ISNUMBER(D111))),"",IF(ABS(F111-D111)&lt;0.001,"Yes","No"))</f>
        <v/>
      </c>
      <c r="I111" s="9" t="n">
        <f aca="false">IF(ISNUMBER(F111),F111,D111)</f>
        <v>2.5</v>
      </c>
      <c r="J111" s="6" t="str">
        <f aca="false">IF(ISNUMBER(F111),"Expert (overrides AI)",IF(ISNUMBER(D111),"AI","Not scored yet"))</f>
        <v>AI</v>
      </c>
      <c r="K111" s="4" t="s">
        <v>35</v>
      </c>
      <c r="L111" s="4" t="s">
        <v>36</v>
      </c>
      <c r="M111" s="4" t="s">
        <v>444</v>
      </c>
      <c r="N111" s="4" t="s">
        <v>436</v>
      </c>
      <c r="O111" s="4" t="s">
        <v>437</v>
      </c>
      <c r="P111" s="4" t="s">
        <v>445</v>
      </c>
      <c r="Q111" s="4" t="s">
        <v>446</v>
      </c>
      <c r="R111" s="4"/>
    </row>
    <row r="112" customFormat="false" ht="93" hidden="false" customHeight="true" outlineLevel="0" collapsed="false">
      <c r="A112" s="3" t="s">
        <v>447</v>
      </c>
      <c r="B112" s="4" t="s">
        <v>19</v>
      </c>
      <c r="C112" s="4" t="s">
        <v>448</v>
      </c>
      <c r="D112" s="4" t="str">
        <f aca="false">IFERROR(UPD28c!K14,"")</f>
        <v/>
      </c>
      <c r="E112" s="4" t="s">
        <v>429</v>
      </c>
      <c r="F112" s="5"/>
      <c r="G112" s="5"/>
      <c r="H112" s="6" t="str">
        <f aca="false">IF(OR(F112="",NOT(ISNUMBER(D112))),"",IF(ABS(F112-D112)&lt;0.001,"Yes","No"))</f>
        <v/>
      </c>
      <c r="I112" s="7" t="str">
        <f aca="false">IF(ISNUMBER(F112),F112,D112)</f>
        <v/>
      </c>
      <c r="J112" s="6" t="str">
        <f aca="false">IF(ISNUMBER(F112),"Expert (overrides AI)",IF(ISNUMBER(D112),"AI","Not scored yet"))</f>
        <v>Not scored yet</v>
      </c>
      <c r="K112" s="4" t="s">
        <v>22</v>
      </c>
      <c r="L112" s="4" t="s">
        <v>31</v>
      </c>
      <c r="M112" s="4"/>
      <c r="N112" s="4"/>
      <c r="O112" s="4"/>
      <c r="P112" s="4"/>
      <c r="Q112" s="4"/>
      <c r="R112" s="4" t="s">
        <v>449</v>
      </c>
    </row>
    <row r="113" customFormat="false" ht="93" hidden="false" customHeight="true" outlineLevel="0" collapsed="false">
      <c r="A113" s="3" t="s">
        <v>447</v>
      </c>
      <c r="B113" s="4" t="s">
        <v>30</v>
      </c>
      <c r="C113" s="4" t="s">
        <v>448</v>
      </c>
      <c r="D113" s="4" t="str">
        <f aca="false">IFERROR(UPD28c!K33,"")</f>
        <v/>
      </c>
      <c r="E113" s="4" t="s">
        <v>429</v>
      </c>
      <c r="F113" s="5"/>
      <c r="G113" s="5"/>
      <c r="H113" s="6" t="str">
        <f aca="false">IF(OR(F113="",NOT(ISNUMBER(D113))),"",IF(ABS(F113-D113)&lt;0.001,"Yes","No"))</f>
        <v/>
      </c>
      <c r="I113" s="7" t="str">
        <f aca="false">IF(ISNUMBER(F113),F113,D113)</f>
        <v/>
      </c>
      <c r="J113" s="6" t="str">
        <f aca="false">IF(ISNUMBER(F113),"Expert (overrides AI)",IF(ISNUMBER(D113),"AI","Not scored yet"))</f>
        <v>Not scored yet</v>
      </c>
      <c r="K113" s="4" t="s">
        <v>22</v>
      </c>
      <c r="L113" s="4" t="s">
        <v>31</v>
      </c>
      <c r="M113" s="4"/>
      <c r="N113" s="4"/>
      <c r="O113" s="4"/>
      <c r="P113" s="4"/>
      <c r="Q113" s="4"/>
      <c r="R113" s="4" t="s">
        <v>450</v>
      </c>
    </row>
    <row r="114" customFormat="false" ht="93" hidden="false" customHeight="true" outlineLevel="0" collapsed="false">
      <c r="A114" s="3" t="s">
        <v>451</v>
      </c>
      <c r="B114" s="4" t="s">
        <v>19</v>
      </c>
      <c r="C114" s="4" t="s">
        <v>452</v>
      </c>
      <c r="D114" s="4" t="str">
        <f aca="false">IFERROR(UPD28d!K14,"")</f>
        <v/>
      </c>
      <c r="E114" s="4" t="s">
        <v>429</v>
      </c>
      <c r="F114" s="5"/>
      <c r="G114" s="5"/>
      <c r="H114" s="6" t="str">
        <f aca="false">IF(OR(F114="",NOT(ISNUMBER(D114))),"",IF(ABS(F114-D114)&lt;0.001,"Yes","No"))</f>
        <v/>
      </c>
      <c r="I114" s="7" t="str">
        <f aca="false">IF(ISNUMBER(F114),F114,D114)</f>
        <v/>
      </c>
      <c r="J114" s="6" t="str">
        <f aca="false">IF(ISNUMBER(F114),"Expert (overrides AI)",IF(ISNUMBER(D114),"AI","Not scored yet"))</f>
        <v>Not scored yet</v>
      </c>
      <c r="K114" s="4" t="s">
        <v>22</v>
      </c>
      <c r="L114" s="4" t="s">
        <v>31</v>
      </c>
      <c r="M114" s="4"/>
      <c r="N114" s="4"/>
      <c r="O114" s="4"/>
      <c r="P114" s="4"/>
      <c r="Q114" s="4"/>
      <c r="R114" s="4" t="s">
        <v>453</v>
      </c>
    </row>
    <row r="115" customFormat="false" ht="93" hidden="false" customHeight="true" outlineLevel="0" collapsed="false">
      <c r="A115" s="3" t="s">
        <v>451</v>
      </c>
      <c r="B115" s="4" t="s">
        <v>30</v>
      </c>
      <c r="C115" s="4" t="s">
        <v>452</v>
      </c>
      <c r="D115" s="4" t="str">
        <f aca="false">IFERROR(UPD28d!K33,"")</f>
        <v/>
      </c>
      <c r="E115" s="4" t="s">
        <v>429</v>
      </c>
      <c r="F115" s="5"/>
      <c r="G115" s="5"/>
      <c r="H115" s="6" t="str">
        <f aca="false">IF(OR(F115="",NOT(ISNUMBER(D115))),"",IF(ABS(F115-D115)&lt;0.001,"Yes","No"))</f>
        <v/>
      </c>
      <c r="I115" s="7" t="str">
        <f aca="false">IF(ISNUMBER(F115),F115,D115)</f>
        <v/>
      </c>
      <c r="J115" s="6" t="str">
        <f aca="false">IF(ISNUMBER(F115),"Expert (overrides AI)",IF(ISNUMBER(D115),"AI","Not scored yet"))</f>
        <v>Not scored yet</v>
      </c>
      <c r="K115" s="4" t="s">
        <v>22</v>
      </c>
      <c r="L115" s="4" t="s">
        <v>23</v>
      </c>
      <c r="M115" s="4" t="s">
        <v>454</v>
      </c>
      <c r="N115" s="4" t="s">
        <v>436</v>
      </c>
      <c r="O115" s="4" t="s">
        <v>437</v>
      </c>
      <c r="P115" s="4" t="s">
        <v>455</v>
      </c>
      <c r="Q115" s="4" t="s">
        <v>456</v>
      </c>
      <c r="R115" s="4" t="s">
        <v>58</v>
      </c>
    </row>
    <row r="116" customFormat="false" ht="93" hidden="false" customHeight="true" outlineLevel="0" collapsed="false">
      <c r="A116" s="3" t="s">
        <v>457</v>
      </c>
      <c r="B116" s="4" t="s">
        <v>19</v>
      </c>
      <c r="C116" s="4" t="s">
        <v>458</v>
      </c>
      <c r="D116" s="4" t="str">
        <f aca="false">IFERROR(UPD29a!O14,"")</f>
        <v/>
      </c>
      <c r="E116" s="4" t="s">
        <v>118</v>
      </c>
      <c r="F116" s="5"/>
      <c r="G116" s="5"/>
      <c r="H116" s="6" t="str">
        <f aca="false">IF(OR(F116="",NOT(ISNUMBER(D116))),"",IF(ABS(F116-D116)&lt;0.001,"Yes","No"))</f>
        <v/>
      </c>
      <c r="I116" s="7" t="str">
        <f aca="false">IF(ISNUMBER(F116),F116,D116)</f>
        <v/>
      </c>
      <c r="J116" s="6" t="str">
        <f aca="false">IF(ISNUMBER(F116),"Expert (overrides AI)",IF(ISNUMBER(D116),"AI","Not scored yet"))</f>
        <v>Not scored yet</v>
      </c>
      <c r="K116" s="4" t="s">
        <v>22</v>
      </c>
      <c r="L116" s="4" t="s">
        <v>23</v>
      </c>
      <c r="M116" s="4" t="s">
        <v>459</v>
      </c>
      <c r="N116" s="4" t="s">
        <v>49</v>
      </c>
      <c r="O116" s="4" t="s">
        <v>50</v>
      </c>
      <c r="P116" s="4" t="s">
        <v>460</v>
      </c>
      <c r="Q116" s="4" t="s">
        <v>461</v>
      </c>
      <c r="R116" s="4" t="s">
        <v>462</v>
      </c>
    </row>
    <row r="117" customFormat="false" ht="93" hidden="false" customHeight="true" outlineLevel="0" collapsed="false">
      <c r="A117" s="3" t="s">
        <v>457</v>
      </c>
      <c r="B117" s="4" t="s">
        <v>30</v>
      </c>
      <c r="C117" s="4" t="s">
        <v>458</v>
      </c>
      <c r="D117" s="4" t="str">
        <f aca="false">IFERROR(UPD29a!O33,"")</f>
        <v/>
      </c>
      <c r="E117" s="4" t="s">
        <v>118</v>
      </c>
      <c r="F117" s="5"/>
      <c r="G117" s="5"/>
      <c r="H117" s="6" t="str">
        <f aca="false">IF(OR(F117="",NOT(ISNUMBER(D117))),"",IF(ABS(F117-D117)&lt;0.001,"Yes","No"))</f>
        <v/>
      </c>
      <c r="I117" s="7" t="str">
        <f aca="false">IF(ISNUMBER(F117),F117,D117)</f>
        <v/>
      </c>
      <c r="J117" s="6" t="str">
        <f aca="false">IF(ISNUMBER(F117),"Expert (overrides AI)",IF(ISNUMBER(D117),"AI","Not scored yet"))</f>
        <v>Not scored yet</v>
      </c>
      <c r="K117" s="4" t="s">
        <v>22</v>
      </c>
      <c r="L117" s="4" t="s">
        <v>23</v>
      </c>
      <c r="M117" s="4" t="s">
        <v>463</v>
      </c>
      <c r="N117" s="4" t="s">
        <v>464</v>
      </c>
      <c r="O117" s="4" t="s">
        <v>465</v>
      </c>
      <c r="P117" s="4" t="s">
        <v>466</v>
      </c>
      <c r="Q117" s="4" t="s">
        <v>467</v>
      </c>
      <c r="R117" s="4" t="s">
        <v>468</v>
      </c>
    </row>
    <row r="118" customFormat="false" ht="93" hidden="false" customHeight="true" outlineLevel="0" collapsed="false">
      <c r="A118" s="3" t="s">
        <v>469</v>
      </c>
      <c r="B118" s="4" t="s">
        <v>19</v>
      </c>
      <c r="C118" s="4" t="s">
        <v>470</v>
      </c>
      <c r="D118" s="4" t="str">
        <f aca="false">IFERROR(UPD29b!O14,"")</f>
        <v/>
      </c>
      <c r="E118" s="4" t="s">
        <v>118</v>
      </c>
      <c r="F118" s="5"/>
      <c r="G118" s="5"/>
      <c r="H118" s="6" t="str">
        <f aca="false">IF(OR(F118="",NOT(ISNUMBER(D118))),"",IF(ABS(F118-D118)&lt;0.001,"Yes","No"))</f>
        <v/>
      </c>
      <c r="I118" s="7" t="str">
        <f aca="false">IF(ISNUMBER(F118),F118,D118)</f>
        <v/>
      </c>
      <c r="J118" s="6" t="str">
        <f aca="false">IF(ISNUMBER(F118),"Expert (overrides AI)",IF(ISNUMBER(D118),"AI","Not scored yet"))</f>
        <v>Not scored yet</v>
      </c>
      <c r="K118" s="4" t="s">
        <v>22</v>
      </c>
      <c r="L118" s="4" t="s">
        <v>31</v>
      </c>
      <c r="M118" s="4"/>
      <c r="N118" s="4"/>
      <c r="O118" s="4"/>
      <c r="P118" s="4"/>
      <c r="Q118" s="4"/>
      <c r="R118" s="4" t="s">
        <v>471</v>
      </c>
    </row>
    <row r="119" customFormat="false" ht="93" hidden="false" customHeight="true" outlineLevel="0" collapsed="false">
      <c r="A119" s="3" t="s">
        <v>469</v>
      </c>
      <c r="B119" s="4" t="s">
        <v>30</v>
      </c>
      <c r="C119" s="4" t="s">
        <v>470</v>
      </c>
      <c r="D119" s="4" t="str">
        <f aca="false">IFERROR(UPD29b!O33,"")</f>
        <v/>
      </c>
      <c r="E119" s="4" t="s">
        <v>118</v>
      </c>
      <c r="F119" s="5"/>
      <c r="G119" s="5"/>
      <c r="H119" s="6" t="str">
        <f aca="false">IF(OR(F119="",NOT(ISNUMBER(D119))),"",IF(ABS(F119-D119)&lt;0.001,"Yes","No"))</f>
        <v/>
      </c>
      <c r="I119" s="7" t="str">
        <f aca="false">IF(ISNUMBER(F119),F119,D119)</f>
        <v/>
      </c>
      <c r="J119" s="6" t="str">
        <f aca="false">IF(ISNUMBER(F119),"Expert (overrides AI)",IF(ISNUMBER(D119),"AI","Not scored yet"))</f>
        <v>Not scored yet</v>
      </c>
      <c r="K119" s="4" t="s">
        <v>22</v>
      </c>
      <c r="L119" s="4" t="s">
        <v>23</v>
      </c>
      <c r="M119" s="4" t="s">
        <v>472</v>
      </c>
      <c r="N119" s="4" t="s">
        <v>473</v>
      </c>
      <c r="O119" s="4" t="s">
        <v>474</v>
      </c>
      <c r="P119" s="4" t="s">
        <v>475</v>
      </c>
      <c r="Q119" s="4" t="s">
        <v>476</v>
      </c>
      <c r="R119" s="4" t="s">
        <v>477</v>
      </c>
    </row>
    <row r="120" customFormat="false" ht="93" hidden="false" customHeight="true" outlineLevel="0" collapsed="false">
      <c r="A120" s="3" t="s">
        <v>478</v>
      </c>
      <c r="B120" s="4" t="s">
        <v>19</v>
      </c>
      <c r="C120" s="4" t="s">
        <v>479</v>
      </c>
      <c r="D120" s="4" t="str">
        <f aca="false">IFERROR(UPD30a!K14,"")</f>
        <v/>
      </c>
      <c r="E120" s="4" t="s">
        <v>118</v>
      </c>
      <c r="F120" s="5"/>
      <c r="G120" s="5"/>
      <c r="H120" s="6" t="str">
        <f aca="false">IF(OR(F120="",NOT(ISNUMBER(D120))),"",IF(ABS(F120-D120)&lt;0.001,"Yes","No"))</f>
        <v/>
      </c>
      <c r="I120" s="7" t="str">
        <f aca="false">IF(ISNUMBER(F120),F120,D120)</f>
        <v/>
      </c>
      <c r="J120" s="6" t="str">
        <f aca="false">IF(ISNUMBER(F120),"Expert (overrides AI)",IF(ISNUMBER(D120),"AI","Not scored yet"))</f>
        <v>Not scored yet</v>
      </c>
      <c r="K120" s="4" t="s">
        <v>22</v>
      </c>
      <c r="L120" s="4" t="s">
        <v>23</v>
      </c>
      <c r="M120" s="4" t="s">
        <v>480</v>
      </c>
      <c r="N120" s="4" t="s">
        <v>200</v>
      </c>
      <c r="O120" s="4" t="s">
        <v>201</v>
      </c>
      <c r="P120" s="4" t="s">
        <v>481</v>
      </c>
      <c r="Q120" s="4" t="s">
        <v>482</v>
      </c>
      <c r="R120" s="4" t="s">
        <v>483</v>
      </c>
    </row>
    <row r="121" customFormat="false" ht="93" hidden="false" customHeight="true" outlineLevel="0" collapsed="false">
      <c r="A121" s="3" t="s">
        <v>478</v>
      </c>
      <c r="B121" s="4" t="s">
        <v>30</v>
      </c>
      <c r="C121" s="4" t="s">
        <v>479</v>
      </c>
      <c r="D121" s="4" t="str">
        <f aca="false">IFERROR(UPD30a!K33,"")</f>
        <v/>
      </c>
      <c r="E121" s="4" t="s">
        <v>118</v>
      </c>
      <c r="F121" s="5"/>
      <c r="G121" s="5"/>
      <c r="H121" s="6" t="str">
        <f aca="false">IF(OR(F121="",NOT(ISNUMBER(D121))),"",IF(ABS(F121-D121)&lt;0.001,"Yes","No"))</f>
        <v/>
      </c>
      <c r="I121" s="7" t="str">
        <f aca="false">IF(ISNUMBER(F121),F121,D121)</f>
        <v/>
      </c>
      <c r="J121" s="6" t="str">
        <f aca="false">IF(ISNUMBER(F121),"Expert (overrides AI)",IF(ISNUMBER(D121),"AI","Not scored yet"))</f>
        <v>Not scored yet</v>
      </c>
      <c r="K121" s="4" t="s">
        <v>22</v>
      </c>
      <c r="L121" s="4" t="s">
        <v>23</v>
      </c>
      <c r="M121" s="4" t="s">
        <v>484</v>
      </c>
      <c r="N121" s="4" t="s">
        <v>485</v>
      </c>
      <c r="O121" s="4" t="s">
        <v>486</v>
      </c>
      <c r="P121" s="4" t="s">
        <v>487</v>
      </c>
      <c r="Q121" s="4" t="s">
        <v>488</v>
      </c>
      <c r="R121" s="4" t="s">
        <v>483</v>
      </c>
    </row>
    <row r="122" customFormat="false" ht="93" hidden="false" customHeight="true" outlineLevel="0" collapsed="false">
      <c r="A122" s="3" t="s">
        <v>489</v>
      </c>
      <c r="B122" s="4" t="s">
        <v>19</v>
      </c>
      <c r="C122" s="4" t="s">
        <v>490</v>
      </c>
      <c r="D122" s="8" t="n">
        <f aca="false">IFERROR(UPD30b!K14,"")</f>
        <v>5</v>
      </c>
      <c r="E122" s="4" t="s">
        <v>118</v>
      </c>
      <c r="F122" s="5"/>
      <c r="G122" s="5"/>
      <c r="H122" s="6" t="str">
        <f aca="false">IF(OR(F122="",NOT(ISNUMBER(D122))),"",IF(ABS(F122-D122)&lt;0.001,"Yes","No"))</f>
        <v/>
      </c>
      <c r="I122" s="9" t="n">
        <f aca="false">IF(ISNUMBER(F122),F122,D122)</f>
        <v>5</v>
      </c>
      <c r="J122" s="6" t="str">
        <f aca="false">IF(ISNUMBER(F122),"Expert (overrides AI)",IF(ISNUMBER(D122),"AI","Not scored yet"))</f>
        <v>AI</v>
      </c>
      <c r="K122" s="4" t="s">
        <v>35</v>
      </c>
      <c r="L122" s="4" t="s">
        <v>36</v>
      </c>
      <c r="M122" s="4" t="s">
        <v>491</v>
      </c>
      <c r="N122" s="4" t="s">
        <v>492</v>
      </c>
      <c r="O122" s="4" t="s">
        <v>493</v>
      </c>
      <c r="P122" s="4" t="s">
        <v>494</v>
      </c>
      <c r="Q122" s="4" t="s">
        <v>495</v>
      </c>
      <c r="R122" s="4"/>
    </row>
    <row r="123" customFormat="false" ht="93" hidden="false" customHeight="true" outlineLevel="0" collapsed="false">
      <c r="A123" s="3" t="s">
        <v>489</v>
      </c>
      <c r="B123" s="4" t="s">
        <v>30</v>
      </c>
      <c r="C123" s="4" t="s">
        <v>490</v>
      </c>
      <c r="D123" s="8" t="n">
        <f aca="false">IFERROR(UPD30b!K33,"")</f>
        <v>5</v>
      </c>
      <c r="E123" s="4" t="s">
        <v>118</v>
      </c>
      <c r="F123" s="5"/>
      <c r="G123" s="5"/>
      <c r="H123" s="6" t="str">
        <f aca="false">IF(OR(F123="",NOT(ISNUMBER(D123))),"",IF(ABS(F123-D123)&lt;0.001,"Yes","No"))</f>
        <v/>
      </c>
      <c r="I123" s="9" t="n">
        <f aca="false">IF(ISNUMBER(F123),F123,D123)</f>
        <v>5</v>
      </c>
      <c r="J123" s="6" t="str">
        <f aca="false">IF(ISNUMBER(F123),"Expert (overrides AI)",IF(ISNUMBER(D123),"AI","Not scored yet"))</f>
        <v>AI</v>
      </c>
      <c r="K123" s="4" t="s">
        <v>35</v>
      </c>
      <c r="L123" s="4" t="s">
        <v>36</v>
      </c>
      <c r="M123" s="4" t="s">
        <v>496</v>
      </c>
      <c r="N123" s="4" t="s">
        <v>497</v>
      </c>
      <c r="O123" s="4" t="s">
        <v>498</v>
      </c>
      <c r="P123" s="4" t="s">
        <v>499</v>
      </c>
      <c r="Q123" s="4" t="s">
        <v>500</v>
      </c>
      <c r="R123" s="4"/>
    </row>
    <row r="124" customFormat="false" ht="93" hidden="false" customHeight="true" outlineLevel="0" collapsed="false">
      <c r="A124" s="3" t="s">
        <v>501</v>
      </c>
      <c r="B124" s="4" t="s">
        <v>19</v>
      </c>
      <c r="C124" s="4" t="s">
        <v>502</v>
      </c>
      <c r="D124" s="8" t="n">
        <f aca="false">IFERROR('UPD31'!L14,"")</f>
        <v>10</v>
      </c>
      <c r="E124" s="4" t="s">
        <v>21</v>
      </c>
      <c r="F124" s="5"/>
      <c r="G124" s="5"/>
      <c r="H124" s="6" t="str">
        <f aca="false">IF(OR(F124="",NOT(ISNUMBER(D124))),"",IF(ABS(F124-D124)&lt;0.001,"Yes","No"))</f>
        <v/>
      </c>
      <c r="I124" s="9" t="n">
        <f aca="false">IF(ISNUMBER(F124),F124,D124)</f>
        <v>10</v>
      </c>
      <c r="J124" s="6" t="str">
        <f aca="false">IF(ISNUMBER(F124),"Expert (overrides AI)",IF(ISNUMBER(D124),"AI","Not scored yet"))</f>
        <v>AI</v>
      </c>
      <c r="K124" s="4" t="s">
        <v>35</v>
      </c>
      <c r="L124" s="4" t="s">
        <v>23</v>
      </c>
      <c r="M124" s="4" t="s">
        <v>503</v>
      </c>
      <c r="N124" s="4" t="s">
        <v>230</v>
      </c>
      <c r="O124" s="4" t="s">
        <v>231</v>
      </c>
      <c r="P124" s="4" t="s">
        <v>504</v>
      </c>
      <c r="Q124" s="4" t="s">
        <v>505</v>
      </c>
      <c r="R124" s="4"/>
    </row>
    <row r="125" customFormat="false" ht="93" hidden="false" customHeight="true" outlineLevel="0" collapsed="false">
      <c r="A125" s="3" t="s">
        <v>501</v>
      </c>
      <c r="B125" s="4" t="s">
        <v>30</v>
      </c>
      <c r="C125" s="4" t="s">
        <v>502</v>
      </c>
      <c r="D125" s="4" t="str">
        <f aca="false">IFERROR('UPD31'!L33,"")</f>
        <v/>
      </c>
      <c r="E125" s="4" t="s">
        <v>21</v>
      </c>
      <c r="F125" s="5"/>
      <c r="G125" s="5"/>
      <c r="H125" s="6" t="str">
        <f aca="false">IF(OR(F125="",NOT(ISNUMBER(D125))),"",IF(ABS(F125-D125)&lt;0.001,"Yes","No"))</f>
        <v/>
      </c>
      <c r="I125" s="7" t="str">
        <f aca="false">IF(ISNUMBER(F125),F125,D125)</f>
        <v/>
      </c>
      <c r="J125" s="6" t="str">
        <f aca="false">IF(ISNUMBER(F125),"Expert (overrides AI)",IF(ISNUMBER(D125),"AI","Not scored yet"))</f>
        <v>Not scored yet</v>
      </c>
      <c r="K125" s="4" t="s">
        <v>22</v>
      </c>
      <c r="L125" s="4" t="s">
        <v>23</v>
      </c>
      <c r="M125" s="4" t="s">
        <v>506</v>
      </c>
      <c r="N125" s="4" t="s">
        <v>41</v>
      </c>
      <c r="O125" s="4" t="s">
        <v>42</v>
      </c>
      <c r="P125" s="4" t="s">
        <v>507</v>
      </c>
      <c r="Q125" s="4" t="s">
        <v>508</v>
      </c>
      <c r="R125" s="4" t="s">
        <v>58</v>
      </c>
    </row>
    <row r="126" customFormat="false" ht="93" hidden="false" customHeight="true" outlineLevel="0" collapsed="false">
      <c r="A126" s="3" t="s">
        <v>509</v>
      </c>
      <c r="B126" s="4" t="s">
        <v>19</v>
      </c>
      <c r="C126" s="4" t="s">
        <v>510</v>
      </c>
      <c r="D126" s="4" t="n">
        <f aca="false">IFERROR(UPD32a!K14,"")</f>
        <v>0</v>
      </c>
      <c r="E126" s="4" t="s">
        <v>511</v>
      </c>
      <c r="F126" s="5"/>
      <c r="G126" s="5"/>
      <c r="H126" s="6" t="str">
        <f aca="false">IF(OR(F126="",NOT(ISNUMBER(D126))),"",IF(ABS(F126-D126)&lt;0.001,"Yes","No"))</f>
        <v/>
      </c>
      <c r="I126" s="7" t="n">
        <f aca="false">IF(ISNUMBER(F126),F126,D126)</f>
        <v>0</v>
      </c>
      <c r="J126" s="6" t="str">
        <f aca="false">IF(ISNUMBER(F126),"Expert (overrides AI)",IF(ISNUMBER(D126),"AI","Not scored yet"))</f>
        <v>AI</v>
      </c>
      <c r="K126" s="4" t="s">
        <v>22</v>
      </c>
      <c r="L126" s="4" t="s">
        <v>31</v>
      </c>
      <c r="M126" s="4"/>
      <c r="N126" s="4"/>
      <c r="O126" s="4"/>
      <c r="P126" s="4"/>
      <c r="Q126" s="4"/>
      <c r="R126" s="4" t="s">
        <v>512</v>
      </c>
    </row>
    <row r="127" customFormat="false" ht="93" hidden="false" customHeight="true" outlineLevel="0" collapsed="false">
      <c r="A127" s="3" t="s">
        <v>509</v>
      </c>
      <c r="B127" s="4" t="s">
        <v>30</v>
      </c>
      <c r="C127" s="4" t="s">
        <v>510</v>
      </c>
      <c r="D127" s="4" t="n">
        <f aca="false">IFERROR(UPD32a!K33,"")</f>
        <v>2</v>
      </c>
      <c r="E127" s="4" t="s">
        <v>511</v>
      </c>
      <c r="F127" s="5"/>
      <c r="G127" s="5"/>
      <c r="H127" s="6" t="str">
        <f aca="false">IF(OR(F127="",NOT(ISNUMBER(D127))),"",IF(ABS(F127-D127)&lt;0.001,"Yes","No"))</f>
        <v/>
      </c>
      <c r="I127" s="7" t="n">
        <f aca="false">IF(ISNUMBER(F127),F127,D127)</f>
        <v>2</v>
      </c>
      <c r="J127" s="6" t="str">
        <f aca="false">IF(ISNUMBER(F127),"Expert (overrides AI)",IF(ISNUMBER(D127),"AI","Not scored yet"))</f>
        <v>AI</v>
      </c>
      <c r="K127" s="4" t="s">
        <v>35</v>
      </c>
      <c r="L127" s="4" t="s">
        <v>36</v>
      </c>
      <c r="M127" s="4" t="s">
        <v>513</v>
      </c>
      <c r="N127" s="4" t="s">
        <v>473</v>
      </c>
      <c r="O127" s="4" t="s">
        <v>474</v>
      </c>
      <c r="P127" s="4" t="s">
        <v>514</v>
      </c>
      <c r="Q127" s="4" t="s">
        <v>515</v>
      </c>
      <c r="R127" s="4"/>
    </row>
    <row r="128" customFormat="false" ht="93" hidden="false" customHeight="true" outlineLevel="0" collapsed="false">
      <c r="A128" s="3" t="s">
        <v>516</v>
      </c>
      <c r="B128" s="4" t="s">
        <v>19</v>
      </c>
      <c r="C128" s="4" t="s">
        <v>517</v>
      </c>
      <c r="D128" s="4" t="n">
        <f aca="false">IFERROR(UPD32b!L14,"")</f>
        <v>0</v>
      </c>
      <c r="E128" s="4" t="s">
        <v>511</v>
      </c>
      <c r="F128" s="5"/>
      <c r="G128" s="5"/>
      <c r="H128" s="6" t="str">
        <f aca="false">IF(OR(F128="",NOT(ISNUMBER(D128))),"",IF(ABS(F128-D128)&lt;0.001,"Yes","No"))</f>
        <v/>
      </c>
      <c r="I128" s="7" t="n">
        <f aca="false">IF(ISNUMBER(F128),F128,D128)</f>
        <v>0</v>
      </c>
      <c r="J128" s="6" t="str">
        <f aca="false">IF(ISNUMBER(F128),"Expert (overrides AI)",IF(ISNUMBER(D128),"AI","Not scored yet"))</f>
        <v>AI</v>
      </c>
      <c r="K128" s="4" t="s">
        <v>22</v>
      </c>
      <c r="L128" s="4" t="s">
        <v>31</v>
      </c>
      <c r="M128" s="4"/>
      <c r="N128" s="4"/>
      <c r="O128" s="4"/>
      <c r="P128" s="4"/>
      <c r="Q128" s="4"/>
      <c r="R128" s="4" t="s">
        <v>518</v>
      </c>
    </row>
    <row r="129" customFormat="false" ht="93" hidden="false" customHeight="true" outlineLevel="0" collapsed="false">
      <c r="A129" s="3" t="s">
        <v>516</v>
      </c>
      <c r="B129" s="4" t="s">
        <v>30</v>
      </c>
      <c r="C129" s="4" t="s">
        <v>517</v>
      </c>
      <c r="D129" s="4" t="n">
        <f aca="false">IFERROR(UPD32b!L33,"")</f>
        <v>1</v>
      </c>
      <c r="E129" s="4" t="s">
        <v>511</v>
      </c>
      <c r="F129" s="5"/>
      <c r="G129" s="5"/>
      <c r="H129" s="6" t="str">
        <f aca="false">IF(OR(F129="",NOT(ISNUMBER(D129))),"",IF(ABS(F129-D129)&lt;0.001,"Yes","No"))</f>
        <v/>
      </c>
      <c r="I129" s="7" t="n">
        <f aca="false">IF(ISNUMBER(F129),F129,D129)</f>
        <v>1</v>
      </c>
      <c r="J129" s="6" t="str">
        <f aca="false">IF(ISNUMBER(F129),"Expert (overrides AI)",IF(ISNUMBER(D129),"AI","Not scored yet"))</f>
        <v>AI</v>
      </c>
      <c r="K129" s="4" t="s">
        <v>35</v>
      </c>
      <c r="L129" s="4" t="s">
        <v>23</v>
      </c>
      <c r="M129" s="4" t="s">
        <v>519</v>
      </c>
      <c r="N129" s="4" t="s">
        <v>473</v>
      </c>
      <c r="O129" s="4" t="s">
        <v>474</v>
      </c>
      <c r="P129" s="4" t="s">
        <v>520</v>
      </c>
      <c r="Q129" s="4" t="s">
        <v>521</v>
      </c>
      <c r="R129" s="4"/>
    </row>
    <row r="130" customFormat="false" ht="93" hidden="false" customHeight="true" outlineLevel="0" collapsed="false">
      <c r="A130" s="3" t="s">
        <v>522</v>
      </c>
      <c r="B130" s="4" t="s">
        <v>19</v>
      </c>
      <c r="C130" s="4" t="s">
        <v>523</v>
      </c>
      <c r="D130" s="4" t="n">
        <f aca="false">IFERROR(UPD32c!L14,"")</f>
        <v>0</v>
      </c>
      <c r="E130" s="4" t="s">
        <v>511</v>
      </c>
      <c r="F130" s="5"/>
      <c r="G130" s="5"/>
      <c r="H130" s="6" t="str">
        <f aca="false">IF(OR(F130="",NOT(ISNUMBER(D130))),"",IF(ABS(F130-D130)&lt;0.001,"Yes","No"))</f>
        <v/>
      </c>
      <c r="I130" s="7" t="n">
        <f aca="false">IF(ISNUMBER(F130),F130,D130)</f>
        <v>0</v>
      </c>
      <c r="J130" s="6" t="str">
        <f aca="false">IF(ISNUMBER(F130),"Expert (overrides AI)",IF(ISNUMBER(D130),"AI","Not scored yet"))</f>
        <v>AI</v>
      </c>
      <c r="K130" s="4" t="s">
        <v>22</v>
      </c>
      <c r="L130" s="4" t="s">
        <v>23</v>
      </c>
      <c r="M130" s="4" t="s">
        <v>524</v>
      </c>
      <c r="N130" s="4" t="s">
        <v>49</v>
      </c>
      <c r="O130" s="4" t="s">
        <v>50</v>
      </c>
      <c r="P130" s="4" t="s">
        <v>525</v>
      </c>
      <c r="Q130" s="4" t="s">
        <v>526</v>
      </c>
      <c r="R130" s="4" t="s">
        <v>527</v>
      </c>
    </row>
    <row r="131" customFormat="false" ht="93" hidden="false" customHeight="true" outlineLevel="0" collapsed="false">
      <c r="A131" s="3" t="s">
        <v>522</v>
      </c>
      <c r="B131" s="4" t="s">
        <v>30</v>
      </c>
      <c r="C131" s="4" t="s">
        <v>523</v>
      </c>
      <c r="D131" s="4" t="n">
        <f aca="false">IFERROR(UPD32c!L33,"")</f>
        <v>2</v>
      </c>
      <c r="E131" s="4" t="s">
        <v>511</v>
      </c>
      <c r="F131" s="5"/>
      <c r="G131" s="5"/>
      <c r="H131" s="6" t="str">
        <f aca="false">IF(OR(F131="",NOT(ISNUMBER(D131))),"",IF(ABS(F131-D131)&lt;0.001,"Yes","No"))</f>
        <v/>
      </c>
      <c r="I131" s="7" t="n">
        <f aca="false">IF(ISNUMBER(F131),F131,D131)</f>
        <v>2</v>
      </c>
      <c r="J131" s="6" t="str">
        <f aca="false">IF(ISNUMBER(F131),"Expert (overrides AI)",IF(ISNUMBER(D131),"AI","Not scored yet"))</f>
        <v>AI</v>
      </c>
      <c r="K131" s="4" t="s">
        <v>35</v>
      </c>
      <c r="L131" s="4" t="s">
        <v>36</v>
      </c>
      <c r="M131" s="4" t="s">
        <v>528</v>
      </c>
      <c r="N131" s="4" t="s">
        <v>529</v>
      </c>
      <c r="O131" s="4" t="s">
        <v>530</v>
      </c>
      <c r="P131" s="4" t="s">
        <v>531</v>
      </c>
      <c r="Q131" s="4" t="s">
        <v>532</v>
      </c>
      <c r="R131" s="4"/>
    </row>
    <row r="132" customFormat="false" ht="93" hidden="false" customHeight="true" outlineLevel="0" collapsed="false">
      <c r="A132" s="3" t="s">
        <v>533</v>
      </c>
      <c r="B132" s="4" t="s">
        <v>19</v>
      </c>
      <c r="C132" s="4" t="s">
        <v>534</v>
      </c>
      <c r="D132" s="4" t="n">
        <f aca="false">IFERROR(UPD32d!L14,"")</f>
        <v>0</v>
      </c>
      <c r="E132" s="4" t="s">
        <v>511</v>
      </c>
      <c r="F132" s="5"/>
      <c r="G132" s="5"/>
      <c r="H132" s="6" t="str">
        <f aca="false">IF(OR(F132="",NOT(ISNUMBER(D132))),"",IF(ABS(F132-D132)&lt;0.001,"Yes","No"))</f>
        <v/>
      </c>
      <c r="I132" s="7" t="n">
        <f aca="false">IF(ISNUMBER(F132),F132,D132)</f>
        <v>0</v>
      </c>
      <c r="J132" s="6" t="str">
        <f aca="false">IF(ISNUMBER(F132),"Expert (overrides AI)",IF(ISNUMBER(D132),"AI","Not scored yet"))</f>
        <v>AI</v>
      </c>
      <c r="K132" s="4" t="s">
        <v>22</v>
      </c>
      <c r="L132" s="4" t="s">
        <v>31</v>
      </c>
      <c r="M132" s="4"/>
      <c r="N132" s="4"/>
      <c r="O132" s="4"/>
      <c r="P132" s="4"/>
      <c r="Q132" s="4"/>
      <c r="R132" s="4" t="s">
        <v>535</v>
      </c>
    </row>
    <row r="133" customFormat="false" ht="93" hidden="false" customHeight="true" outlineLevel="0" collapsed="false">
      <c r="A133" s="3" t="s">
        <v>533</v>
      </c>
      <c r="B133" s="4" t="s">
        <v>30</v>
      </c>
      <c r="C133" s="4" t="s">
        <v>534</v>
      </c>
      <c r="D133" s="4" t="n">
        <f aca="false">IFERROR(UPD32d!L33,"")</f>
        <v>2</v>
      </c>
      <c r="E133" s="4" t="s">
        <v>511</v>
      </c>
      <c r="F133" s="5"/>
      <c r="G133" s="5"/>
      <c r="H133" s="6" t="str">
        <f aca="false">IF(OR(F133="",NOT(ISNUMBER(D133))),"",IF(ABS(F133-D133)&lt;0.001,"Yes","No"))</f>
        <v/>
      </c>
      <c r="I133" s="7" t="n">
        <f aca="false">IF(ISNUMBER(F133),F133,D133)</f>
        <v>2</v>
      </c>
      <c r="J133" s="6" t="str">
        <f aca="false">IF(ISNUMBER(F133),"Expert (overrides AI)",IF(ISNUMBER(D133),"AI","Not scored yet"))</f>
        <v>AI</v>
      </c>
      <c r="K133" s="4" t="s">
        <v>35</v>
      </c>
      <c r="L133" s="4" t="s">
        <v>23</v>
      </c>
      <c r="M133" s="4" t="s">
        <v>536</v>
      </c>
      <c r="N133" s="4" t="s">
        <v>473</v>
      </c>
      <c r="O133" s="4" t="s">
        <v>474</v>
      </c>
      <c r="P133" s="4" t="s">
        <v>537</v>
      </c>
      <c r="Q133" s="4" t="s">
        <v>538</v>
      </c>
      <c r="R133" s="4"/>
    </row>
    <row r="134" customFormat="false" ht="93" hidden="false" customHeight="true" outlineLevel="0" collapsed="false">
      <c r="A134" s="3" t="s">
        <v>539</v>
      </c>
      <c r="B134" s="4" t="s">
        <v>19</v>
      </c>
      <c r="C134" s="4" t="s">
        <v>540</v>
      </c>
      <c r="D134" s="4" t="n">
        <f aca="false">IFERROR(UPD32e!L14,"")</f>
        <v>0</v>
      </c>
      <c r="E134" s="4" t="s">
        <v>511</v>
      </c>
      <c r="F134" s="5"/>
      <c r="G134" s="5"/>
      <c r="H134" s="6" t="str">
        <f aca="false">IF(OR(F134="",NOT(ISNUMBER(D134))),"",IF(ABS(F134-D134)&lt;0.001,"Yes","No"))</f>
        <v/>
      </c>
      <c r="I134" s="7" t="n">
        <f aca="false">IF(ISNUMBER(F134),F134,D134)</f>
        <v>0</v>
      </c>
      <c r="J134" s="6" t="str">
        <f aca="false">IF(ISNUMBER(F134),"Expert (overrides AI)",IF(ISNUMBER(D134),"AI","Not scored yet"))</f>
        <v>AI</v>
      </c>
      <c r="K134" s="4" t="s">
        <v>22</v>
      </c>
      <c r="L134" s="4" t="s">
        <v>23</v>
      </c>
      <c r="M134" s="4" t="s">
        <v>541</v>
      </c>
      <c r="N134" s="4" t="s">
        <v>49</v>
      </c>
      <c r="O134" s="4" t="s">
        <v>50</v>
      </c>
      <c r="P134" s="4" t="s">
        <v>542</v>
      </c>
      <c r="Q134" s="4" t="s">
        <v>543</v>
      </c>
      <c r="R134" s="4" t="s">
        <v>527</v>
      </c>
    </row>
    <row r="135" customFormat="false" ht="93" hidden="false" customHeight="true" outlineLevel="0" collapsed="false">
      <c r="A135" s="3" t="s">
        <v>539</v>
      </c>
      <c r="B135" s="4" t="s">
        <v>30</v>
      </c>
      <c r="C135" s="4" t="s">
        <v>540</v>
      </c>
      <c r="D135" s="4" t="n">
        <f aca="false">IFERROR(UPD32e!L33,"")</f>
        <v>1</v>
      </c>
      <c r="E135" s="4" t="s">
        <v>511</v>
      </c>
      <c r="F135" s="5"/>
      <c r="G135" s="5"/>
      <c r="H135" s="6" t="str">
        <f aca="false">IF(OR(F135="",NOT(ISNUMBER(D135))),"",IF(ABS(F135-D135)&lt;0.001,"Yes","No"))</f>
        <v/>
      </c>
      <c r="I135" s="7" t="n">
        <f aca="false">IF(ISNUMBER(F135),F135,D135)</f>
        <v>1</v>
      </c>
      <c r="J135" s="6" t="str">
        <f aca="false">IF(ISNUMBER(F135),"Expert (overrides AI)",IF(ISNUMBER(D135),"AI","Not scored yet"))</f>
        <v>AI</v>
      </c>
      <c r="K135" s="4" t="s">
        <v>35</v>
      </c>
      <c r="L135" s="4" t="s">
        <v>23</v>
      </c>
      <c r="M135" s="4" t="s">
        <v>544</v>
      </c>
      <c r="N135" s="4" t="s">
        <v>545</v>
      </c>
      <c r="O135" s="4" t="s">
        <v>546</v>
      </c>
      <c r="P135" s="4" t="s">
        <v>547</v>
      </c>
      <c r="Q135" s="4" t="s">
        <v>548</v>
      </c>
      <c r="R135" s="4"/>
    </row>
    <row r="136" customFormat="false" ht="93" hidden="false" customHeight="true" outlineLevel="0" collapsed="false">
      <c r="A136" s="3" t="s">
        <v>549</v>
      </c>
      <c r="B136" s="4" t="s">
        <v>19</v>
      </c>
      <c r="C136" s="4" t="s">
        <v>550</v>
      </c>
      <c r="D136" s="4" t="str">
        <f aca="false">IFERROR(UPD33a!K14,"")</f>
        <v/>
      </c>
      <c r="E136" s="4" t="s">
        <v>118</v>
      </c>
      <c r="F136" s="5"/>
      <c r="G136" s="5"/>
      <c r="H136" s="6" t="str">
        <f aca="false">IF(OR(F136="",NOT(ISNUMBER(D136))),"",IF(ABS(F136-D136)&lt;0.001,"Yes","No"))</f>
        <v/>
      </c>
      <c r="I136" s="7" t="str">
        <f aca="false">IF(ISNUMBER(F136),F136,D136)</f>
        <v/>
      </c>
      <c r="J136" s="6" t="str">
        <f aca="false">IF(ISNUMBER(F136),"Expert (overrides AI)",IF(ISNUMBER(D136),"AI","Not scored yet"))</f>
        <v>Not scored yet</v>
      </c>
      <c r="K136" s="4" t="s">
        <v>22</v>
      </c>
      <c r="L136" s="4" t="s">
        <v>23</v>
      </c>
      <c r="M136" s="4" t="s">
        <v>551</v>
      </c>
      <c r="N136" s="4" t="s">
        <v>49</v>
      </c>
      <c r="O136" s="4" t="s">
        <v>50</v>
      </c>
      <c r="P136" s="4" t="s">
        <v>552</v>
      </c>
      <c r="Q136" s="4" t="s">
        <v>553</v>
      </c>
      <c r="R136" s="4" t="s">
        <v>58</v>
      </c>
    </row>
    <row r="137" customFormat="false" ht="93" hidden="false" customHeight="true" outlineLevel="0" collapsed="false">
      <c r="A137" s="3" t="s">
        <v>549</v>
      </c>
      <c r="B137" s="4" t="s">
        <v>30</v>
      </c>
      <c r="C137" s="4" t="s">
        <v>550</v>
      </c>
      <c r="D137" s="4" t="str">
        <f aca="false">IFERROR(UPD33a!K33,"")</f>
        <v/>
      </c>
      <c r="E137" s="4" t="s">
        <v>118</v>
      </c>
      <c r="F137" s="5"/>
      <c r="G137" s="5"/>
      <c r="H137" s="6" t="str">
        <f aca="false">IF(OR(F137="",NOT(ISNUMBER(D137))),"",IF(ABS(F137-D137)&lt;0.001,"Yes","No"))</f>
        <v/>
      </c>
      <c r="I137" s="7" t="str">
        <f aca="false">IF(ISNUMBER(F137),F137,D137)</f>
        <v/>
      </c>
      <c r="J137" s="6" t="str">
        <f aca="false">IF(ISNUMBER(F137),"Expert (overrides AI)",IF(ISNUMBER(D137),"AI","Not scored yet"))</f>
        <v>Not scored yet</v>
      </c>
      <c r="K137" s="4" t="s">
        <v>22</v>
      </c>
      <c r="L137" s="4" t="s">
        <v>23</v>
      </c>
      <c r="M137" s="4" t="s">
        <v>554</v>
      </c>
      <c r="N137" s="4" t="s">
        <v>529</v>
      </c>
      <c r="O137" s="4" t="s">
        <v>530</v>
      </c>
      <c r="P137" s="4" t="s">
        <v>531</v>
      </c>
      <c r="Q137" s="4" t="s">
        <v>555</v>
      </c>
      <c r="R137" s="4" t="s">
        <v>58</v>
      </c>
    </row>
    <row r="138" customFormat="false" ht="93" hidden="false" customHeight="true" outlineLevel="0" collapsed="false">
      <c r="A138" s="3" t="s">
        <v>556</v>
      </c>
      <c r="B138" s="4" t="s">
        <v>19</v>
      </c>
      <c r="C138" s="4" t="s">
        <v>557</v>
      </c>
      <c r="D138" s="4" t="str">
        <f aca="false">IFERROR(UPD33b!K14,"")</f>
        <v/>
      </c>
      <c r="E138" s="4" t="s">
        <v>118</v>
      </c>
      <c r="F138" s="5"/>
      <c r="G138" s="5"/>
      <c r="H138" s="6" t="str">
        <f aca="false">IF(OR(F138="",NOT(ISNUMBER(D138))),"",IF(ABS(F138-D138)&lt;0.001,"Yes","No"))</f>
        <v/>
      </c>
      <c r="I138" s="7" t="str">
        <f aca="false">IF(ISNUMBER(F138),F138,D138)</f>
        <v/>
      </c>
      <c r="J138" s="6" t="str">
        <f aca="false">IF(ISNUMBER(F138),"Expert (overrides AI)",IF(ISNUMBER(D138),"AI","Not scored yet"))</f>
        <v>Not scored yet</v>
      </c>
      <c r="K138" s="4" t="s">
        <v>22</v>
      </c>
      <c r="L138" s="4" t="s">
        <v>31</v>
      </c>
      <c r="M138" s="4"/>
      <c r="N138" s="4"/>
      <c r="O138" s="4"/>
      <c r="P138" s="4"/>
      <c r="Q138" s="4"/>
      <c r="R138" s="4" t="s">
        <v>558</v>
      </c>
    </row>
    <row r="139" customFormat="false" ht="93" hidden="false" customHeight="true" outlineLevel="0" collapsed="false">
      <c r="A139" s="3" t="s">
        <v>556</v>
      </c>
      <c r="B139" s="4" t="s">
        <v>30</v>
      </c>
      <c r="C139" s="4" t="s">
        <v>557</v>
      </c>
      <c r="D139" s="4" t="str">
        <f aca="false">IFERROR(UPD33b!K33,"")</f>
        <v/>
      </c>
      <c r="E139" s="4" t="s">
        <v>118</v>
      </c>
      <c r="F139" s="5"/>
      <c r="G139" s="5"/>
      <c r="H139" s="6" t="str">
        <f aca="false">IF(OR(F139="",NOT(ISNUMBER(D139))),"",IF(ABS(F139-D139)&lt;0.001,"Yes","No"))</f>
        <v/>
      </c>
      <c r="I139" s="7" t="str">
        <f aca="false">IF(ISNUMBER(F139),F139,D139)</f>
        <v/>
      </c>
      <c r="J139" s="6" t="str">
        <f aca="false">IF(ISNUMBER(F139),"Expert (overrides AI)",IF(ISNUMBER(D139),"AI","Not scored yet"))</f>
        <v>Not scored yet</v>
      </c>
      <c r="K139" s="4" t="s">
        <v>22</v>
      </c>
      <c r="L139" s="4" t="s">
        <v>36</v>
      </c>
      <c r="M139" s="4" t="s">
        <v>559</v>
      </c>
      <c r="N139" s="4"/>
      <c r="O139" s="4"/>
      <c r="P139" s="4"/>
      <c r="Q139" s="4" t="s">
        <v>560</v>
      </c>
      <c r="R139" s="4" t="s">
        <v>561</v>
      </c>
    </row>
    <row r="140" customFormat="false" ht="93" hidden="false" customHeight="true" outlineLevel="0" collapsed="false">
      <c r="A140" s="3" t="s">
        <v>562</v>
      </c>
      <c r="B140" s="4" t="s">
        <v>19</v>
      </c>
      <c r="C140" s="4" t="s">
        <v>563</v>
      </c>
      <c r="D140" s="4" t="str">
        <f aca="false">IFERROR('UPD34'!L14,"")</f>
        <v/>
      </c>
      <c r="E140" s="4" t="s">
        <v>21</v>
      </c>
      <c r="F140" s="5"/>
      <c r="G140" s="5"/>
      <c r="H140" s="6" t="str">
        <f aca="false">IF(OR(F140="",NOT(ISNUMBER(D140))),"",IF(ABS(F140-D140)&lt;0.001,"Yes","No"))</f>
        <v/>
      </c>
      <c r="I140" s="7" t="str">
        <f aca="false">IF(ISNUMBER(F140),F140,D140)</f>
        <v/>
      </c>
      <c r="J140" s="6" t="str">
        <f aca="false">IF(ISNUMBER(F140),"Expert (overrides AI)",IF(ISNUMBER(D140),"AI","Not scored yet"))</f>
        <v>Not scored yet</v>
      </c>
      <c r="K140" s="4" t="s">
        <v>22</v>
      </c>
      <c r="L140" s="4" t="s">
        <v>31</v>
      </c>
      <c r="M140" s="4"/>
      <c r="N140" s="4"/>
      <c r="O140" s="4"/>
      <c r="P140" s="4"/>
      <c r="Q140" s="4"/>
      <c r="R140" s="4" t="s">
        <v>564</v>
      </c>
    </row>
    <row r="141" customFormat="false" ht="93" hidden="false" customHeight="true" outlineLevel="0" collapsed="false">
      <c r="A141" s="3" t="s">
        <v>562</v>
      </c>
      <c r="B141" s="4" t="s">
        <v>30</v>
      </c>
      <c r="C141" s="4" t="s">
        <v>563</v>
      </c>
      <c r="D141" s="4" t="str">
        <f aca="false">IFERROR('UPD34'!L33,"")</f>
        <v/>
      </c>
      <c r="E141" s="4" t="s">
        <v>21</v>
      </c>
      <c r="F141" s="5"/>
      <c r="G141" s="5"/>
      <c r="H141" s="6" t="str">
        <f aca="false">IF(OR(F141="",NOT(ISNUMBER(D141))),"",IF(ABS(F141-D141)&lt;0.001,"Yes","No"))</f>
        <v/>
      </c>
      <c r="I141" s="7" t="str">
        <f aca="false">IF(ISNUMBER(F141),F141,D141)</f>
        <v/>
      </c>
      <c r="J141" s="6" t="str">
        <f aca="false">IF(ISNUMBER(F141),"Expert (overrides AI)",IF(ISNUMBER(D141),"AI","Not scored yet"))</f>
        <v>Not scored yet</v>
      </c>
      <c r="K141" s="4" t="s">
        <v>22</v>
      </c>
      <c r="L141" s="4" t="s">
        <v>31</v>
      </c>
      <c r="M141" s="4"/>
      <c r="N141" s="4"/>
      <c r="O141" s="4"/>
      <c r="P141" s="4"/>
      <c r="Q141" s="4"/>
      <c r="R141" s="4" t="s">
        <v>565</v>
      </c>
    </row>
    <row r="142" customFormat="false" ht="93" hidden="false" customHeight="true" outlineLevel="0" collapsed="false">
      <c r="A142" s="3" t="s">
        <v>566</v>
      </c>
      <c r="B142" s="4" t="s">
        <v>19</v>
      </c>
      <c r="C142" s="4" t="s">
        <v>567</v>
      </c>
      <c r="D142" s="4" t="str">
        <f aca="false">IFERROR('UPD35'!M14,"")</f>
        <v/>
      </c>
      <c r="E142" s="4" t="s">
        <v>21</v>
      </c>
      <c r="F142" s="5"/>
      <c r="G142" s="5"/>
      <c r="H142" s="6" t="str">
        <f aca="false">IF(OR(F142="",NOT(ISNUMBER(D142))),"",IF(ABS(F142-D142)&lt;0.001,"Yes","No"))</f>
        <v/>
      </c>
      <c r="I142" s="7" t="str">
        <f aca="false">IF(ISNUMBER(F142),F142,D142)</f>
        <v/>
      </c>
      <c r="J142" s="6" t="str">
        <f aca="false">IF(ISNUMBER(F142),"Expert (overrides AI)",IF(ISNUMBER(D142),"AI","Not scored yet"))</f>
        <v>Not scored yet</v>
      </c>
      <c r="K142" s="4" t="s">
        <v>22</v>
      </c>
      <c r="L142" s="4" t="s">
        <v>23</v>
      </c>
      <c r="M142" s="4" t="s">
        <v>568</v>
      </c>
      <c r="N142" s="4" t="s">
        <v>25</v>
      </c>
      <c r="O142" s="4" t="s">
        <v>26</v>
      </c>
      <c r="P142" s="4" t="s">
        <v>569</v>
      </c>
      <c r="Q142" s="4" t="s">
        <v>570</v>
      </c>
      <c r="R142" s="4" t="s">
        <v>571</v>
      </c>
    </row>
    <row r="143" customFormat="false" ht="93" hidden="false" customHeight="true" outlineLevel="0" collapsed="false">
      <c r="A143" s="3" t="s">
        <v>566</v>
      </c>
      <c r="B143" s="4" t="s">
        <v>30</v>
      </c>
      <c r="C143" s="4" t="s">
        <v>567</v>
      </c>
      <c r="D143" s="4" t="n">
        <f aca="false">IFERROR('UPD35'!M33,"")</f>
        <v>10</v>
      </c>
      <c r="E143" s="4" t="s">
        <v>21</v>
      </c>
      <c r="F143" s="5"/>
      <c r="G143" s="5"/>
      <c r="H143" s="6" t="str">
        <f aca="false">IF(OR(F143="",NOT(ISNUMBER(D143))),"",IF(ABS(F143-D143)&lt;0.001,"Yes","No"))</f>
        <v/>
      </c>
      <c r="I143" s="7" t="n">
        <f aca="false">IF(ISNUMBER(F143),F143,D143)</f>
        <v>10</v>
      </c>
      <c r="J143" s="6" t="str">
        <f aca="false">IF(ISNUMBER(F143),"Expert (overrides AI)",IF(ISNUMBER(D143),"AI","Not scored yet"))</f>
        <v>AI</v>
      </c>
      <c r="K143" s="4" t="s">
        <v>35</v>
      </c>
      <c r="L143" s="4" t="s">
        <v>36</v>
      </c>
      <c r="M143" s="4" t="s">
        <v>572</v>
      </c>
      <c r="N143" s="4" t="s">
        <v>155</v>
      </c>
      <c r="O143" s="4" t="s">
        <v>156</v>
      </c>
      <c r="P143" s="4" t="s">
        <v>573</v>
      </c>
      <c r="Q143" s="4" t="s">
        <v>574</v>
      </c>
      <c r="R143" s="4"/>
    </row>
    <row r="144" customFormat="false" ht="93" hidden="false" customHeight="true" outlineLevel="0" collapsed="false">
      <c r="A144" s="3" t="s">
        <v>575</v>
      </c>
      <c r="B144" s="4" t="s">
        <v>19</v>
      </c>
      <c r="C144" s="4" t="s">
        <v>576</v>
      </c>
      <c r="D144" s="4" t="str">
        <f aca="false">IFERROR('UPD36'!K14,"")</f>
        <v/>
      </c>
      <c r="E144" s="4" t="s">
        <v>21</v>
      </c>
      <c r="F144" s="5"/>
      <c r="G144" s="5"/>
      <c r="H144" s="6" t="str">
        <f aca="false">IF(OR(F144="",NOT(ISNUMBER(D144))),"",IF(ABS(F144-D144)&lt;0.001,"Yes","No"))</f>
        <v/>
      </c>
      <c r="I144" s="7" t="str">
        <f aca="false">IF(ISNUMBER(F144),F144,D144)</f>
        <v/>
      </c>
      <c r="J144" s="6" t="str">
        <f aca="false">IF(ISNUMBER(F144),"Expert (overrides AI)",IF(ISNUMBER(D144),"AI","Not scored yet"))</f>
        <v>Not scored yet</v>
      </c>
      <c r="K144" s="4" t="s">
        <v>22</v>
      </c>
      <c r="L144" s="4" t="s">
        <v>31</v>
      </c>
      <c r="M144" s="4"/>
      <c r="N144" s="4"/>
      <c r="O144" s="4"/>
      <c r="P144" s="4"/>
      <c r="Q144" s="4"/>
      <c r="R144" s="4" t="s">
        <v>577</v>
      </c>
    </row>
    <row r="145" customFormat="false" ht="93" hidden="false" customHeight="true" outlineLevel="0" collapsed="false">
      <c r="A145" s="3" t="s">
        <v>575</v>
      </c>
      <c r="B145" s="4" t="s">
        <v>30</v>
      </c>
      <c r="C145" s="4" t="s">
        <v>576</v>
      </c>
      <c r="D145" s="4" t="str">
        <f aca="false">IFERROR('UPD36'!K33,"")</f>
        <v/>
      </c>
      <c r="E145" s="4" t="s">
        <v>21</v>
      </c>
      <c r="F145" s="5"/>
      <c r="G145" s="5"/>
      <c r="H145" s="6" t="str">
        <f aca="false">IF(OR(F145="",NOT(ISNUMBER(D145))),"",IF(ABS(F145-D145)&lt;0.001,"Yes","No"))</f>
        <v/>
      </c>
      <c r="I145" s="7" t="str">
        <f aca="false">IF(ISNUMBER(F145),F145,D145)</f>
        <v/>
      </c>
      <c r="J145" s="6" t="str">
        <f aca="false">IF(ISNUMBER(F145),"Expert (overrides AI)",IF(ISNUMBER(D145),"AI","Not scored yet"))</f>
        <v>Not scored yet</v>
      </c>
      <c r="K145" s="4" t="s">
        <v>22</v>
      </c>
      <c r="L145" s="4" t="s">
        <v>31</v>
      </c>
      <c r="M145" s="4"/>
      <c r="N145" s="4"/>
      <c r="O145" s="4"/>
      <c r="P145" s="4"/>
      <c r="Q145" s="4"/>
      <c r="R145" s="4" t="s">
        <v>578</v>
      </c>
    </row>
    <row r="146" customFormat="false" ht="93" hidden="false" customHeight="true" outlineLevel="0" collapsed="false">
      <c r="A146" s="3" t="s">
        <v>579</v>
      </c>
      <c r="B146" s="4" t="s">
        <v>19</v>
      </c>
      <c r="C146" s="4" t="s">
        <v>580</v>
      </c>
      <c r="D146" s="4" t="str">
        <f aca="false">IFERROR('UPD37'!N14,"")</f>
        <v/>
      </c>
      <c r="E146" s="4" t="s">
        <v>21</v>
      </c>
      <c r="F146" s="5"/>
      <c r="G146" s="5"/>
      <c r="H146" s="6" t="str">
        <f aca="false">IF(OR(F146="",NOT(ISNUMBER(D146))),"",IF(ABS(F146-D146)&lt;0.001,"Yes","No"))</f>
        <v/>
      </c>
      <c r="I146" s="7" t="str">
        <f aca="false">IF(ISNUMBER(F146),F146,D146)</f>
        <v/>
      </c>
      <c r="J146" s="6" t="str">
        <f aca="false">IF(ISNUMBER(F146),"Expert (overrides AI)",IF(ISNUMBER(D146),"AI","Not scored yet"))</f>
        <v>Not scored yet</v>
      </c>
      <c r="K146" s="4" t="s">
        <v>22</v>
      </c>
      <c r="L146" s="4" t="s">
        <v>23</v>
      </c>
      <c r="M146" s="4" t="s">
        <v>581</v>
      </c>
      <c r="N146" s="4" t="s">
        <v>49</v>
      </c>
      <c r="O146" s="4" t="s">
        <v>50</v>
      </c>
      <c r="P146" s="4" t="s">
        <v>582</v>
      </c>
      <c r="Q146" s="4" t="s">
        <v>583</v>
      </c>
      <c r="R146" s="4" t="s">
        <v>584</v>
      </c>
    </row>
    <row r="147" customFormat="false" ht="93" hidden="false" customHeight="true" outlineLevel="0" collapsed="false">
      <c r="A147" s="3" t="s">
        <v>579</v>
      </c>
      <c r="B147" s="4" t="s">
        <v>30</v>
      </c>
      <c r="C147" s="4" t="s">
        <v>580</v>
      </c>
      <c r="D147" s="4" t="str">
        <f aca="false">IFERROR('UPD37'!N33,"")</f>
        <v/>
      </c>
      <c r="E147" s="4" t="s">
        <v>21</v>
      </c>
      <c r="F147" s="5"/>
      <c r="G147" s="5"/>
      <c r="H147" s="6" t="str">
        <f aca="false">IF(OR(F147="",NOT(ISNUMBER(D147))),"",IF(ABS(F147-D147)&lt;0.001,"Yes","No"))</f>
        <v/>
      </c>
      <c r="I147" s="7" t="str">
        <f aca="false">IF(ISNUMBER(F147),F147,D147)</f>
        <v/>
      </c>
      <c r="J147" s="6" t="str">
        <f aca="false">IF(ISNUMBER(F147),"Expert (overrides AI)",IF(ISNUMBER(D147),"AI","Not scored yet"))</f>
        <v>Not scored yet</v>
      </c>
      <c r="K147" s="4" t="s">
        <v>22</v>
      </c>
      <c r="L147" s="4" t="s">
        <v>23</v>
      </c>
      <c r="M147" s="4" t="s">
        <v>585</v>
      </c>
      <c r="N147" s="4" t="s">
        <v>41</v>
      </c>
      <c r="O147" s="4" t="s">
        <v>42</v>
      </c>
      <c r="P147" s="4" t="s">
        <v>586</v>
      </c>
      <c r="Q147" s="4" t="s">
        <v>587</v>
      </c>
      <c r="R147" s="4" t="s">
        <v>584</v>
      </c>
    </row>
    <row r="148" customFormat="false" ht="93" hidden="false" customHeight="true" outlineLevel="0" collapsed="false">
      <c r="A148" s="3" t="s">
        <v>588</v>
      </c>
      <c r="B148" s="4" t="s">
        <v>19</v>
      </c>
      <c r="C148" s="4" t="s">
        <v>589</v>
      </c>
      <c r="D148" s="8" t="n">
        <f aca="false">IFERROR(UPD38a!M14,"")</f>
        <v>5</v>
      </c>
      <c r="E148" s="4" t="s">
        <v>118</v>
      </c>
      <c r="F148" s="5"/>
      <c r="G148" s="5"/>
      <c r="H148" s="6" t="str">
        <f aca="false">IF(OR(F148="",NOT(ISNUMBER(D148))),"",IF(ABS(F148-D148)&lt;0.001,"Yes","No"))</f>
        <v/>
      </c>
      <c r="I148" s="9" t="n">
        <f aca="false">IF(ISNUMBER(F148),F148,D148)</f>
        <v>5</v>
      </c>
      <c r="J148" s="6" t="str">
        <f aca="false">IF(ISNUMBER(F148),"Expert (overrides AI)",IF(ISNUMBER(D148),"AI","Not scored yet"))</f>
        <v>AI</v>
      </c>
      <c r="K148" s="4" t="s">
        <v>35</v>
      </c>
      <c r="L148" s="4" t="s">
        <v>36</v>
      </c>
      <c r="M148" s="4" t="s">
        <v>590</v>
      </c>
      <c r="N148" s="4" t="s">
        <v>49</v>
      </c>
      <c r="O148" s="4" t="s">
        <v>50</v>
      </c>
      <c r="P148" s="4" t="s">
        <v>591</v>
      </c>
      <c r="Q148" s="4" t="s">
        <v>592</v>
      </c>
      <c r="R148" s="4"/>
    </row>
    <row r="149" customFormat="false" ht="93" hidden="false" customHeight="true" outlineLevel="0" collapsed="false">
      <c r="A149" s="3" t="s">
        <v>588</v>
      </c>
      <c r="B149" s="4" t="s">
        <v>30</v>
      </c>
      <c r="C149" s="4" t="s">
        <v>589</v>
      </c>
      <c r="D149" s="8" t="n">
        <f aca="false">IFERROR(UPD38a!M33,"")</f>
        <v>5</v>
      </c>
      <c r="E149" s="4" t="s">
        <v>118</v>
      </c>
      <c r="F149" s="5"/>
      <c r="G149" s="5"/>
      <c r="H149" s="6" t="str">
        <f aca="false">IF(OR(F149="",NOT(ISNUMBER(D149))),"",IF(ABS(F149-D149)&lt;0.001,"Yes","No"))</f>
        <v/>
      </c>
      <c r="I149" s="9" t="n">
        <f aca="false">IF(ISNUMBER(F149),F149,D149)</f>
        <v>5</v>
      </c>
      <c r="J149" s="6" t="str">
        <f aca="false">IF(ISNUMBER(F149),"Expert (overrides AI)",IF(ISNUMBER(D149),"AI","Not scored yet"))</f>
        <v>AI</v>
      </c>
      <c r="K149" s="4" t="s">
        <v>35</v>
      </c>
      <c r="L149" s="4" t="s">
        <v>36</v>
      </c>
      <c r="M149" s="4" t="s">
        <v>593</v>
      </c>
      <c r="N149" s="4" t="s">
        <v>473</v>
      </c>
      <c r="O149" s="4" t="s">
        <v>474</v>
      </c>
      <c r="P149" s="4" t="s">
        <v>594</v>
      </c>
      <c r="Q149" s="4" t="s">
        <v>595</v>
      </c>
      <c r="R149" s="4"/>
    </row>
    <row r="150" customFormat="false" ht="93" hidden="false" customHeight="true" outlineLevel="0" collapsed="false">
      <c r="A150" s="3" t="s">
        <v>596</v>
      </c>
      <c r="B150" s="4" t="s">
        <v>19</v>
      </c>
      <c r="C150" s="4" t="s">
        <v>597</v>
      </c>
      <c r="D150" s="4" t="str">
        <f aca="false">IFERROR(UPD38b!M14,"")</f>
        <v/>
      </c>
      <c r="E150" s="4" t="s">
        <v>118</v>
      </c>
      <c r="F150" s="5"/>
      <c r="G150" s="5"/>
      <c r="H150" s="6" t="str">
        <f aca="false">IF(OR(F150="",NOT(ISNUMBER(D150))),"",IF(ABS(F150-D150)&lt;0.001,"Yes","No"))</f>
        <v/>
      </c>
      <c r="I150" s="7" t="str">
        <f aca="false">IF(ISNUMBER(F150),F150,D150)</f>
        <v/>
      </c>
      <c r="J150" s="6" t="str">
        <f aca="false">IF(ISNUMBER(F150),"Expert (overrides AI)",IF(ISNUMBER(D150),"AI","Not scored yet"))</f>
        <v>Not scored yet</v>
      </c>
      <c r="K150" s="4" t="s">
        <v>22</v>
      </c>
      <c r="L150" s="4" t="s">
        <v>31</v>
      </c>
      <c r="M150" s="4"/>
      <c r="N150" s="4"/>
      <c r="O150" s="4"/>
      <c r="P150" s="4"/>
      <c r="Q150" s="4"/>
      <c r="R150" s="4" t="s">
        <v>598</v>
      </c>
    </row>
    <row r="151" customFormat="false" ht="93" hidden="false" customHeight="true" outlineLevel="0" collapsed="false">
      <c r="A151" s="3" t="s">
        <v>596</v>
      </c>
      <c r="B151" s="4" t="s">
        <v>30</v>
      </c>
      <c r="C151" s="4" t="s">
        <v>597</v>
      </c>
      <c r="D151" s="4" t="str">
        <f aca="false">IFERROR(UPD38b!M33,"")</f>
        <v/>
      </c>
      <c r="E151" s="4" t="s">
        <v>118</v>
      </c>
      <c r="F151" s="5"/>
      <c r="G151" s="5"/>
      <c r="H151" s="6" t="str">
        <f aca="false">IF(OR(F151="",NOT(ISNUMBER(D151))),"",IF(ABS(F151-D151)&lt;0.001,"Yes","No"))</f>
        <v/>
      </c>
      <c r="I151" s="7" t="str">
        <f aca="false">IF(ISNUMBER(F151),F151,D151)</f>
        <v/>
      </c>
      <c r="J151" s="6" t="str">
        <f aca="false">IF(ISNUMBER(F151),"Expert (overrides AI)",IF(ISNUMBER(D151),"AI","Not scored yet"))</f>
        <v>Not scored yet</v>
      </c>
      <c r="K151" s="4" t="s">
        <v>22</v>
      </c>
      <c r="L151" s="4" t="s">
        <v>31</v>
      </c>
      <c r="M151" s="4"/>
      <c r="N151" s="4"/>
      <c r="O151" s="4"/>
      <c r="P151" s="4"/>
      <c r="Q151" s="4"/>
      <c r="R151" s="4" t="s">
        <v>599</v>
      </c>
    </row>
    <row r="152" customFormat="false" ht="93" hidden="false" customHeight="true" outlineLevel="0" collapsed="false">
      <c r="A152" s="3" t="s">
        <v>600</v>
      </c>
      <c r="B152" s="4" t="s">
        <v>19</v>
      </c>
      <c r="C152" s="4" t="s">
        <v>601</v>
      </c>
      <c r="D152" s="4" t="n">
        <f aca="false">IFERROR('UPD39'!K14,"")</f>
        <v>10</v>
      </c>
      <c r="E152" s="4" t="s">
        <v>21</v>
      </c>
      <c r="F152" s="5"/>
      <c r="G152" s="5"/>
      <c r="H152" s="6" t="str">
        <f aca="false">IF(OR(F152="",NOT(ISNUMBER(D152))),"",IF(ABS(F152-D152)&lt;0.001,"Yes","No"))</f>
        <v/>
      </c>
      <c r="I152" s="7" t="n">
        <f aca="false">IF(ISNUMBER(F152),F152,D152)</f>
        <v>10</v>
      </c>
      <c r="J152" s="6" t="str">
        <f aca="false">IF(ISNUMBER(F152),"Expert (overrides AI)",IF(ISNUMBER(D152),"AI","Not scored yet"))</f>
        <v>AI</v>
      </c>
      <c r="K152" s="4" t="s">
        <v>35</v>
      </c>
      <c r="L152" s="4" t="s">
        <v>23</v>
      </c>
      <c r="M152" s="4" t="s">
        <v>602</v>
      </c>
      <c r="N152" s="4" t="s">
        <v>25</v>
      </c>
      <c r="O152" s="4" t="s">
        <v>26</v>
      </c>
      <c r="P152" s="4" t="s">
        <v>603</v>
      </c>
      <c r="Q152" s="4" t="s">
        <v>604</v>
      </c>
      <c r="R152" s="4"/>
    </row>
    <row r="153" customFormat="false" ht="93" hidden="false" customHeight="true" outlineLevel="0" collapsed="false">
      <c r="A153" s="3" t="s">
        <v>600</v>
      </c>
      <c r="B153" s="4" t="s">
        <v>30</v>
      </c>
      <c r="C153" s="4" t="s">
        <v>601</v>
      </c>
      <c r="D153" s="4" t="str">
        <f aca="false">IFERROR('UPD39'!K33,"")</f>
        <v/>
      </c>
      <c r="E153" s="4" t="s">
        <v>21</v>
      </c>
      <c r="F153" s="5"/>
      <c r="G153" s="5"/>
      <c r="H153" s="6" t="str">
        <f aca="false">IF(OR(F153="",NOT(ISNUMBER(D153))),"",IF(ABS(F153-D153)&lt;0.001,"Yes","No"))</f>
        <v/>
      </c>
      <c r="I153" s="7" t="str">
        <f aca="false">IF(ISNUMBER(F153),F153,D153)</f>
        <v/>
      </c>
      <c r="J153" s="6" t="str">
        <f aca="false">IF(ISNUMBER(F153),"Expert (overrides AI)",IF(ISNUMBER(D153),"AI","Not scored yet"))</f>
        <v>Not scored yet</v>
      </c>
      <c r="K153" s="4" t="s">
        <v>22</v>
      </c>
      <c r="L153" s="4" t="s">
        <v>23</v>
      </c>
      <c r="M153" s="4" t="s">
        <v>605</v>
      </c>
      <c r="N153" s="4" t="s">
        <v>41</v>
      </c>
      <c r="O153" s="4" t="s">
        <v>42</v>
      </c>
      <c r="P153" s="4" t="s">
        <v>606</v>
      </c>
      <c r="Q153" s="4" t="s">
        <v>607</v>
      </c>
      <c r="R153" s="4" t="s">
        <v>608</v>
      </c>
    </row>
  </sheetData>
  <autoFilter ref="A1:R153"/>
  <conditionalFormatting sqref="I2:J153">
    <cfRule type="expression" priority="2" aboveAverage="0" equalAverage="0" bottom="0" percent="0" rank="0" text="" dxfId="7">
      <formula>$J2="Expert (overrides AI)"</formula>
    </cfRule>
  </conditionalFormatting>
  <conditionalFormatting sqref="K2:K153">
    <cfRule type="expression" priority="3" aboveAverage="0" equalAverage="0" bottom="0" percent="0" rank="0" text="" dxfId="8">
      <formula>$K2="Left for a person"</formula>
    </cfRule>
  </conditionalFormatting>
  <conditionalFormatting sqref="H2:H153">
    <cfRule type="expression" priority="4" aboveAverage="0" equalAverage="0" bottom="0" percent="0" rank="0" text="" dxfId="9">
      <formula>$H2="No"</formula>
    </cfRule>
  </conditionalFormatting>
  <hyperlinks>
    <hyperlink ref="A2" location="'UPD1'!A1" display="UPD1"/>
    <hyperlink ref="A3" location="'UPD1'!A1" display="UPD1"/>
    <hyperlink ref="A4" location="'UPD2'!A1" display="UPD2"/>
    <hyperlink ref="A5" location="'UPD2'!A1" display="UPD2"/>
    <hyperlink ref="A6" location="'UPD3a'!A1" display="UPD3a"/>
    <hyperlink ref="A7" location="'UPD3a'!A1" display="UPD3a"/>
    <hyperlink ref="A8" location="'UPD3b'!A1" display="UPD3b"/>
    <hyperlink ref="A9" location="'UPD3b'!A1" display="UPD3b"/>
    <hyperlink ref="A10" location="'UPD3c'!A1" display="UPD3c"/>
    <hyperlink ref="A11" location="'UPD3c'!A1" display="UPD3c"/>
    <hyperlink ref="A12" location="'UPD4'!A1" display="UPD4"/>
    <hyperlink ref="A13" location="'UPD4'!A1" display="UPD4"/>
    <hyperlink ref="A14" location="'UPD5a'!A1" display="UPD5a"/>
    <hyperlink ref="A15" location="'UPD5a'!A1" display="UPD5a"/>
    <hyperlink ref="A16" location="'UPD5b'!A1" display="UPD5b"/>
    <hyperlink ref="A17" location="'UPD5b'!A1" display="UPD5b"/>
    <hyperlink ref="A18" location="'UPD5c'!A1" display="UPD5c"/>
    <hyperlink ref="A19" location="'UPD5c'!A1" display="UPD5c"/>
    <hyperlink ref="A20" location="'UPD6'!A1" display="UPD6"/>
    <hyperlink ref="A21" location="'UPD6'!A1" display="UPD6"/>
    <hyperlink ref="A22" location="'UPD7a'!A1" display="UPD7a"/>
    <hyperlink ref="A23" location="'UPD7a'!A1" display="UPD7a"/>
    <hyperlink ref="A24" location="'UPD7b'!A1" display="UPD7b"/>
    <hyperlink ref="A25" location="'UPD7b'!A1" display="UPD7b"/>
    <hyperlink ref="A26" location="'UPD8'!A1" display="UPD8"/>
    <hyperlink ref="A27" location="'UPD8'!A1" display="UPD8"/>
    <hyperlink ref="A28" location="'UPD9'!A1" display="UPD9"/>
    <hyperlink ref="A29" location="'UPD9'!A1" display="UPD9"/>
    <hyperlink ref="A30" location="'UPD10'!A1" display="UPD10"/>
    <hyperlink ref="A31" location="'UPD10'!A1" display="UPD10"/>
    <hyperlink ref="A32" location="'UPD11a'!A1" display="UPD11a"/>
    <hyperlink ref="A33" location="'UPD11a'!A1" display="UPD11a"/>
    <hyperlink ref="A34" location="'UPD11b'!A1" display="UPD11b"/>
    <hyperlink ref="A35" location="'UPD11b'!A1" display="UPD11b"/>
    <hyperlink ref="A36" location="'UPD12'!A1" display="UPD12"/>
    <hyperlink ref="A37" location="'UPD12'!A1" display="UPD12"/>
    <hyperlink ref="A38" location="'UPD13a'!A1" display="UPD13a"/>
    <hyperlink ref="A39" location="'UPD13a'!A1" display="UPD13a"/>
    <hyperlink ref="A40" location="'UPD13b'!A1" display="UPD13b"/>
    <hyperlink ref="A41" location="'UPD13b'!A1" display="UPD13b"/>
    <hyperlink ref="A42" location="'UPD13c'!A1" display="UPD13c"/>
    <hyperlink ref="A43" location="'UPD13c'!A1" display="UPD13c"/>
    <hyperlink ref="A44" location="'UPD13d'!A1" display="UPD13d"/>
    <hyperlink ref="A45" location="'UPD13d'!A1" display="UPD13d"/>
    <hyperlink ref="A46" location="'UPD13e'!A1" display="UPD13e"/>
    <hyperlink ref="A47" location="'UPD13e'!A1" display="UPD13e"/>
    <hyperlink ref="A48" location="'UPD13f'!A1" display="UPD13f"/>
    <hyperlink ref="A49" location="'UPD13f'!A1" display="UPD13f"/>
    <hyperlink ref="A50" location="'UPD14a'!A1" display="UPD14a"/>
    <hyperlink ref="A51" location="'UPD14a'!A1" display="UPD14a"/>
    <hyperlink ref="A52" location="'UPD14b'!A1" display="UPD14b"/>
    <hyperlink ref="A53" location="'UPD14b'!A1" display="UPD14b"/>
    <hyperlink ref="A54" location="'UPD14c'!A1" display="UPD14c"/>
    <hyperlink ref="A55" location="'UPD14c'!A1" display="UPD14c"/>
    <hyperlink ref="A56" location="'UPD15'!A1" display="UPD15"/>
    <hyperlink ref="A57" location="'UPD15'!A1" display="UPD15"/>
    <hyperlink ref="A58" location="'UPD16a'!A1" display="UPD16a"/>
    <hyperlink ref="A59" location="'UPD16a'!A1" display="UPD16a"/>
    <hyperlink ref="A60" location="'UPD16b'!A1" display="UPD16b"/>
    <hyperlink ref="A61" location="'UPD16b'!A1" display="UPD16b"/>
    <hyperlink ref="A62" location="'UPD17'!A1" display="UPD17"/>
    <hyperlink ref="A63" location="'UPD17'!A1" display="UPD17"/>
    <hyperlink ref="A64" location="'UPD18'!A1" display="UPD18"/>
    <hyperlink ref="A65" location="'UPD18'!A1" display="UPD18"/>
    <hyperlink ref="A66" location="'UPD19a'!A1" display="UPD19a"/>
    <hyperlink ref="A67" location="'UPD19a'!A1" display="UPD19a"/>
    <hyperlink ref="A68" location="'UPD19b'!A1" display="UPD19b"/>
    <hyperlink ref="A69" location="'UPD19b'!A1" display="UPD19b"/>
    <hyperlink ref="A70" location="'UPD20a'!A1" display="UPD20a"/>
    <hyperlink ref="A71" location="'UPD20a'!A1" display="UPD20a"/>
    <hyperlink ref="A72" location="'UPD20b'!A1" display="UPD20b"/>
    <hyperlink ref="A73" location="'UPD20b'!A1" display="UPD20b"/>
    <hyperlink ref="A74" location="'UPD20c'!A1" display="UPD20c"/>
    <hyperlink ref="A75" location="'UPD20c'!A1" display="UPD20c"/>
    <hyperlink ref="A76" location="'UPD21'!A1" display="UPD21"/>
    <hyperlink ref="A77" location="'UPD21'!A1" display="UPD21"/>
    <hyperlink ref="A78" location="'UPD22'!A1" display="UPD22"/>
    <hyperlink ref="A79" location="'UPD22'!A1" display="UPD22"/>
    <hyperlink ref="A80" location="'UPD23a'!A1" display="UPD23a"/>
    <hyperlink ref="A81" location="'UPD23a'!A1" display="UPD23a"/>
    <hyperlink ref="A82" location="'UPD23b'!A1" display="UPD23b"/>
    <hyperlink ref="A83" location="'UPD23b'!A1" display="UPD23b"/>
    <hyperlink ref="A84" location="'UPD23c'!A1" display="UPD23c"/>
    <hyperlink ref="A85" location="'UPD23c'!A1" display="UPD23c"/>
    <hyperlink ref="A86" location="'UPD24a'!A1" display="UPD24a"/>
    <hyperlink ref="A87" location="'UPD24a'!A1" display="UPD24a"/>
    <hyperlink ref="A88" location="'UPD24b'!A1" display="UPD24b"/>
    <hyperlink ref="A89" location="'UPD24b'!A1" display="UPD24b"/>
    <hyperlink ref="A90" location="'UPD24c'!A1" display="UPD24c"/>
    <hyperlink ref="A91" location="'UPD24c'!A1" display="UPD24c"/>
    <hyperlink ref="A92" location="'UPD25a'!A1" display="UPD25a"/>
    <hyperlink ref="A93" location="'UPD25a'!A1" display="UPD25a"/>
    <hyperlink ref="A94" location="'UPD25b'!A1" display="UPD25b"/>
    <hyperlink ref="A95" location="'UPD25b'!A1" display="UPD25b"/>
    <hyperlink ref="A96" location="'UPD25c'!A1" display="UPD25c"/>
    <hyperlink ref="A97" location="'UPD25c'!A1" display="UPD25c"/>
    <hyperlink ref="A98" location="'UPD26a'!A1" display="UPD26a"/>
    <hyperlink ref="A99" location="'UPD26a'!A1" display="UPD26a"/>
    <hyperlink ref="A100" location="'UPD26b'!A1" display="UPD26b"/>
    <hyperlink ref="A101" location="'UPD26b'!A1" display="UPD26b"/>
    <hyperlink ref="A102" location="'UPD26c'!A1" display="UPD26c"/>
    <hyperlink ref="A103" location="'UPD26c'!A1" display="UPD26c"/>
    <hyperlink ref="A104" location="'UPD27a'!A1" display="UPD27a"/>
    <hyperlink ref="A105" location="'UPD27a'!A1" display="UPD27a"/>
    <hyperlink ref="A106" location="'UPD27b'!A1" display="UPD27b"/>
    <hyperlink ref="A107" location="'UPD27b'!A1" display="UPD27b"/>
    <hyperlink ref="A108" location="'UPD28a'!A1" display="UPD28a"/>
    <hyperlink ref="A109" location="'UPD28a'!A1" display="UPD28a"/>
    <hyperlink ref="A110" location="'UPD28b'!A1" display="UPD28b"/>
    <hyperlink ref="A111" location="'UPD28b'!A1" display="UPD28b"/>
    <hyperlink ref="A112" location="'UPD28c'!A1" display="UPD28c"/>
    <hyperlink ref="A113" location="'UPD28c'!A1" display="UPD28c"/>
    <hyperlink ref="A114" location="'UPD28d'!A1" display="UPD28d"/>
    <hyperlink ref="A115" location="'UPD28d'!A1" display="UPD28d"/>
    <hyperlink ref="A116" location="'UPD29a'!A1" display="UPD29a"/>
    <hyperlink ref="A117" location="'UPD29a'!A1" display="UPD29a"/>
    <hyperlink ref="A118" location="'UPD29b'!A1" display="UPD29b"/>
    <hyperlink ref="A119" location="'UPD29b'!A1" display="UPD29b"/>
    <hyperlink ref="A120" location="'UPD30a'!A1" display="UPD30a"/>
    <hyperlink ref="A121" location="'UPD30a'!A1" display="UPD30a"/>
    <hyperlink ref="A122" location="'UPD30b'!A1" display="UPD30b"/>
    <hyperlink ref="A123" location="'UPD30b'!A1" display="UPD30b"/>
    <hyperlink ref="A124" location="'UPD31'!A1" display="UPD31"/>
    <hyperlink ref="A125" location="'UPD31'!A1" display="UPD31"/>
    <hyperlink ref="A126" location="'UPD32a'!A1" display="UPD32a"/>
    <hyperlink ref="A127" location="'UPD32a'!A1" display="UPD32a"/>
    <hyperlink ref="A128" location="'UPD32b'!A1" display="UPD32b"/>
    <hyperlink ref="A129" location="'UPD32b'!A1" display="UPD32b"/>
    <hyperlink ref="A130" location="'UPD32c'!A1" display="UPD32c"/>
    <hyperlink ref="A131" location="'UPD32c'!A1" display="UPD32c"/>
    <hyperlink ref="A132" location="'UPD32d'!A1" display="UPD32d"/>
    <hyperlink ref="A133" location="'UPD32d'!A1" display="UPD32d"/>
    <hyperlink ref="A134" location="'UPD32e'!A1" display="UPD32e"/>
    <hyperlink ref="A135" location="'UPD32e'!A1" display="UPD32e"/>
    <hyperlink ref="A136" location="'UPD33a'!A1" display="UPD33a"/>
    <hyperlink ref="A137" location="'UPD33a'!A1" display="UPD33a"/>
    <hyperlink ref="A138" location="'UPD33b'!A1" display="UPD33b"/>
    <hyperlink ref="A139" location="'UPD33b'!A1" display="UPD33b"/>
    <hyperlink ref="A140" location="'UPD34'!A1" display="UPD34"/>
    <hyperlink ref="A141" location="'UPD34'!A1" display="UPD34"/>
    <hyperlink ref="A142" location="'UPD35'!A1" display="UPD35"/>
    <hyperlink ref="A143" location="'UPD35'!A1" display="UPD35"/>
    <hyperlink ref="A144" location="'UPD36'!A1" display="UPD36"/>
    <hyperlink ref="A145" location="'UPD36'!A1" display="UPD36"/>
    <hyperlink ref="A146" location="'UPD37'!A1" display="UPD37"/>
    <hyperlink ref="A147" location="'UPD37'!A1" display="UPD37"/>
    <hyperlink ref="A148" location="'UPD38a'!A1" display="UPD38a"/>
    <hyperlink ref="A149" location="'UPD38a'!A1" display="UPD38a"/>
    <hyperlink ref="A150" location="'UPD38b'!A1" display="UPD38b"/>
    <hyperlink ref="A151" location="'UPD38b'!A1" display="UPD38b"/>
    <hyperlink ref="A152" location="'UPD39'!A1" display="UPD39"/>
    <hyperlink ref="A153" location="'UPD39'!A1" display="UPD3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6"/>
  <sheetViews>
    <sheetView showFormulas="false" showGridLines="true" showRowColHeaders="true" showZeros="true" rightToLeft="false" tabSelected="false" showOutlineSymbols="true" defaultGridColor="true" view="normal" topLeftCell="G2" colorId="64" zoomScale="62" zoomScaleNormal="62" zoomScalePageLayoutView="100" workbookViewId="0">
      <selection pane="topLeft" activeCell="M5" activeCellId="0" sqref="M5"/>
    </sheetView>
  </sheetViews>
  <sheetFormatPr defaultColWidth="9.1484375" defaultRowHeight="13.5" customHeight="false" zeroHeight="false" outlineLevelRow="0" outlineLevelCol="0"/>
  <cols>
    <col collapsed="false" customWidth="false" hidden="false" outlineLevel="0" max="1" min="1" style="10" width="9.14"/>
    <col collapsed="false" customWidth="false" hidden="true" outlineLevel="0" max="2" min="2" style="11" width="9.14"/>
    <col collapsed="false" customWidth="true" hidden="true" outlineLevel="0" max="3" min="3" style="11" width="7.57"/>
    <col collapsed="false" customWidth="true" hidden="true" outlineLevel="0" max="4" min="4" style="11" width="5.14"/>
    <col collapsed="false" customWidth="true" hidden="false" outlineLevel="0" max="5" min="5" style="11" width="12.86"/>
    <col collapsed="false" customWidth="true" hidden="false" outlineLevel="0" max="6" min="6" style="11" width="15"/>
    <col collapsed="false" customWidth="true" hidden="false" outlineLevel="0" max="7" min="7" style="11" width="22.29"/>
    <col collapsed="false" customWidth="true" hidden="false" outlineLevel="0" max="8" min="8" style="12" width="19.14"/>
    <col collapsed="false" customWidth="true" hidden="false" outlineLevel="0" max="9" min="9" style="11" width="79.86"/>
    <col collapsed="false" customWidth="true" hidden="false" outlineLevel="0" max="10" min="10" style="10" width="10.42"/>
    <col collapsed="false" customWidth="true" hidden="false" outlineLevel="0" max="11" min="11" style="10" width="19.57"/>
    <col collapsed="false" customWidth="true" hidden="false" outlineLevel="0" max="12" min="12" style="11" width="18.29"/>
    <col collapsed="false" customWidth="true" hidden="false" outlineLevel="0" max="13" min="13" style="13" width="98.29"/>
    <col collapsed="false" customWidth="true" hidden="false" outlineLevel="0" max="14" min="14" style="14" width="109.42"/>
    <col collapsed="false" customWidth="false" hidden="false" outlineLevel="0" max="16384" min="15" style="11" width="9.14"/>
  </cols>
  <sheetData>
    <row r="1" s="10" customFormat="true" ht="42.75" hidden="false" customHeight="true" outlineLevel="0" collapsed="false">
      <c r="A1" s="15" t="s">
        <v>609</v>
      </c>
      <c r="B1" s="15" t="s">
        <v>610</v>
      </c>
      <c r="C1" s="15" t="s">
        <v>611</v>
      </c>
      <c r="D1" s="15" t="s">
        <v>612</v>
      </c>
      <c r="E1" s="16" t="s">
        <v>613</v>
      </c>
      <c r="F1" s="16" t="s">
        <v>614</v>
      </c>
      <c r="G1" s="16" t="s">
        <v>615</v>
      </c>
      <c r="H1" s="16" t="s">
        <v>616</v>
      </c>
      <c r="I1" s="15" t="s">
        <v>0</v>
      </c>
      <c r="J1" s="15" t="s">
        <v>617</v>
      </c>
      <c r="K1" s="15" t="s">
        <v>618</v>
      </c>
      <c r="L1" s="15" t="s">
        <v>619</v>
      </c>
      <c r="M1" s="17" t="s">
        <v>620</v>
      </c>
      <c r="N1" s="18" t="s">
        <v>621</v>
      </c>
    </row>
    <row r="2" customFormat="false" ht="117" hidden="false" customHeight="true" outlineLevel="0" collapsed="false">
      <c r="A2" s="19" t="s">
        <v>622</v>
      </c>
      <c r="B2" s="20" t="s">
        <v>18</v>
      </c>
      <c r="C2" s="20" t="s">
        <v>18</v>
      </c>
      <c r="D2" s="20" t="s">
        <v>623</v>
      </c>
      <c r="E2" s="21" t="s">
        <v>18</v>
      </c>
      <c r="F2" s="21" t="s">
        <v>624</v>
      </c>
      <c r="G2" s="22" t="s">
        <v>625</v>
      </c>
      <c r="H2" s="22" t="s">
        <v>626</v>
      </c>
      <c r="I2" s="20" t="s">
        <v>20</v>
      </c>
      <c r="J2" s="19" t="s">
        <v>627</v>
      </c>
      <c r="K2" s="23" t="n">
        <v>10</v>
      </c>
      <c r="L2" s="20" t="s">
        <v>628</v>
      </c>
      <c r="M2" s="24" t="s">
        <v>629</v>
      </c>
      <c r="N2" s="25" t="s">
        <v>630</v>
      </c>
    </row>
    <row r="3" customFormat="false" ht="40.5" hidden="false" customHeight="true" outlineLevel="0" collapsed="false">
      <c r="A3" s="19" t="s">
        <v>631</v>
      </c>
      <c r="B3" s="20" t="s">
        <v>140</v>
      </c>
      <c r="C3" s="20" t="s">
        <v>109</v>
      </c>
      <c r="D3" s="20" t="s">
        <v>623</v>
      </c>
      <c r="E3" s="21" t="s">
        <v>33</v>
      </c>
      <c r="F3" s="21" t="s">
        <v>624</v>
      </c>
      <c r="G3" s="22" t="s">
        <v>625</v>
      </c>
      <c r="H3" s="22" t="s">
        <v>626</v>
      </c>
      <c r="I3" s="20" t="s">
        <v>34</v>
      </c>
      <c r="J3" s="19" t="s">
        <v>627</v>
      </c>
      <c r="K3" s="23" t="n">
        <v>10</v>
      </c>
      <c r="L3" s="20" t="s">
        <v>628</v>
      </c>
      <c r="M3" s="24" t="s">
        <v>632</v>
      </c>
      <c r="N3" s="25"/>
    </row>
    <row r="4" customFormat="false" ht="40.5" hidden="false" customHeight="true" outlineLevel="0" collapsed="false">
      <c r="A4" s="26" t="s">
        <v>633</v>
      </c>
      <c r="B4" s="27" t="s">
        <v>33</v>
      </c>
      <c r="C4" s="20" t="s">
        <v>33</v>
      </c>
      <c r="D4" s="20" t="s">
        <v>623</v>
      </c>
      <c r="E4" s="21" t="s">
        <v>634</v>
      </c>
      <c r="F4" s="21" t="s">
        <v>624</v>
      </c>
      <c r="G4" s="22" t="s">
        <v>625</v>
      </c>
      <c r="H4" s="22" t="s">
        <v>635</v>
      </c>
      <c r="I4" s="27" t="s">
        <v>636</v>
      </c>
      <c r="J4" s="26" t="s">
        <v>627</v>
      </c>
      <c r="K4" s="28" t="n">
        <v>10</v>
      </c>
      <c r="L4" s="27" t="s">
        <v>628</v>
      </c>
      <c r="M4" s="24" t="s">
        <v>637</v>
      </c>
      <c r="N4" s="25"/>
    </row>
    <row r="5" customFormat="false" ht="53.25" hidden="false" customHeight="true" outlineLevel="0" collapsed="false">
      <c r="A5" s="29" t="s">
        <v>638</v>
      </c>
      <c r="B5" s="30" t="s">
        <v>639</v>
      </c>
      <c r="C5" s="30" t="s">
        <v>639</v>
      </c>
      <c r="D5" s="20" t="s">
        <v>623</v>
      </c>
      <c r="E5" s="21" t="s">
        <v>45</v>
      </c>
      <c r="F5" s="21" t="s">
        <v>624</v>
      </c>
      <c r="G5" s="22" t="s">
        <v>625</v>
      </c>
      <c r="H5" s="22" t="s">
        <v>635</v>
      </c>
      <c r="I5" s="30" t="s">
        <v>640</v>
      </c>
      <c r="J5" s="29" t="s">
        <v>641</v>
      </c>
      <c r="K5" s="31" t="n">
        <v>3.33</v>
      </c>
      <c r="L5" s="30" t="s">
        <v>628</v>
      </c>
      <c r="M5" s="24" t="s">
        <v>642</v>
      </c>
      <c r="N5" s="25"/>
    </row>
    <row r="6" customFormat="false" ht="40.5" hidden="false" customHeight="true" outlineLevel="0" collapsed="false">
      <c r="A6" s="29" t="s">
        <v>643</v>
      </c>
      <c r="B6" s="30" t="s">
        <v>644</v>
      </c>
      <c r="C6" s="30" t="s">
        <v>644</v>
      </c>
      <c r="D6" s="20" t="s">
        <v>623</v>
      </c>
      <c r="E6" s="21" t="s">
        <v>59</v>
      </c>
      <c r="F6" s="21" t="s">
        <v>624</v>
      </c>
      <c r="G6" s="22" t="s">
        <v>625</v>
      </c>
      <c r="H6" s="22" t="s">
        <v>635</v>
      </c>
      <c r="I6" s="30" t="s">
        <v>645</v>
      </c>
      <c r="J6" s="29" t="s">
        <v>641</v>
      </c>
      <c r="K6" s="31" t="n">
        <v>3.33</v>
      </c>
      <c r="L6" s="30" t="s">
        <v>628</v>
      </c>
      <c r="M6" s="24" t="s">
        <v>646</v>
      </c>
      <c r="N6" s="25"/>
    </row>
    <row r="7" customFormat="false" ht="40.5" hidden="false" customHeight="true" outlineLevel="0" collapsed="false">
      <c r="A7" s="29" t="s">
        <v>647</v>
      </c>
      <c r="B7" s="30" t="s">
        <v>648</v>
      </c>
      <c r="C7" s="30" t="s">
        <v>648</v>
      </c>
      <c r="D7" s="20" t="s">
        <v>623</v>
      </c>
      <c r="E7" s="21" t="s">
        <v>69</v>
      </c>
      <c r="F7" s="21" t="s">
        <v>624</v>
      </c>
      <c r="G7" s="22" t="s">
        <v>625</v>
      </c>
      <c r="H7" s="22" t="s">
        <v>635</v>
      </c>
      <c r="I7" s="30" t="s">
        <v>649</v>
      </c>
      <c r="J7" s="29" t="s">
        <v>641</v>
      </c>
      <c r="K7" s="31" t="n">
        <v>3.33</v>
      </c>
      <c r="L7" s="30" t="s">
        <v>628</v>
      </c>
      <c r="M7" s="24" t="s">
        <v>650</v>
      </c>
      <c r="N7" s="25" t="s">
        <v>651</v>
      </c>
    </row>
    <row r="8" customFormat="false" ht="391.5" hidden="false" customHeight="true" outlineLevel="0" collapsed="false">
      <c r="A8" s="19" t="s">
        <v>652</v>
      </c>
      <c r="B8" s="20" t="s">
        <v>109</v>
      </c>
      <c r="C8" s="20" t="s">
        <v>653</v>
      </c>
      <c r="D8" s="20" t="s">
        <v>623</v>
      </c>
      <c r="E8" s="21" t="s">
        <v>76</v>
      </c>
      <c r="F8" s="21" t="s">
        <v>624</v>
      </c>
      <c r="G8" s="22" t="s">
        <v>625</v>
      </c>
      <c r="H8" s="22" t="s">
        <v>635</v>
      </c>
      <c r="I8" s="20" t="s">
        <v>77</v>
      </c>
      <c r="J8" s="19" t="s">
        <v>627</v>
      </c>
      <c r="K8" s="23" t="n">
        <v>10</v>
      </c>
      <c r="L8" s="20" t="s">
        <v>628</v>
      </c>
      <c r="M8" s="32" t="s">
        <v>654</v>
      </c>
      <c r="N8" s="25"/>
    </row>
    <row r="9" customFormat="false" ht="40.5" hidden="false" customHeight="true" outlineLevel="0" collapsed="false">
      <c r="A9" s="33" t="s">
        <v>655</v>
      </c>
      <c r="B9" s="33" t="s">
        <v>623</v>
      </c>
      <c r="C9" s="20" t="s">
        <v>653</v>
      </c>
      <c r="D9" s="20" t="s">
        <v>623</v>
      </c>
      <c r="E9" s="21" t="s">
        <v>656</v>
      </c>
      <c r="F9" s="21" t="s">
        <v>624</v>
      </c>
      <c r="G9" s="22" t="s">
        <v>625</v>
      </c>
      <c r="H9" s="22" t="s">
        <v>635</v>
      </c>
      <c r="I9" s="34" t="s">
        <v>657</v>
      </c>
      <c r="J9" s="35" t="s">
        <v>627</v>
      </c>
      <c r="K9" s="28" t="n">
        <v>10</v>
      </c>
      <c r="L9" s="27" t="s">
        <v>628</v>
      </c>
      <c r="M9" s="32" t="s">
        <v>658</v>
      </c>
      <c r="N9" s="36"/>
      <c r="O9" s="37"/>
      <c r="P9" s="38"/>
      <c r="R9" s="39"/>
      <c r="S9" s="40"/>
    </row>
    <row r="10" customFormat="false" ht="40.5" hidden="false" customHeight="true" outlineLevel="0" collapsed="false">
      <c r="A10" s="33" t="s">
        <v>659</v>
      </c>
      <c r="B10" s="33" t="s">
        <v>623</v>
      </c>
      <c r="C10" s="20" t="s">
        <v>653</v>
      </c>
      <c r="D10" s="20" t="s">
        <v>623</v>
      </c>
      <c r="E10" s="21" t="s">
        <v>84</v>
      </c>
      <c r="F10" s="21" t="s">
        <v>624</v>
      </c>
      <c r="G10" s="22" t="s">
        <v>625</v>
      </c>
      <c r="H10" s="22" t="s">
        <v>635</v>
      </c>
      <c r="I10" s="30" t="s">
        <v>660</v>
      </c>
      <c r="J10" s="33" t="s">
        <v>641</v>
      </c>
      <c r="K10" s="33" t="n">
        <v>3.33</v>
      </c>
      <c r="L10" s="20" t="s">
        <v>628</v>
      </c>
      <c r="M10" s="32" t="s">
        <v>661</v>
      </c>
      <c r="N10" s="36"/>
      <c r="P10" s="38"/>
      <c r="R10" s="39"/>
      <c r="S10" s="40"/>
    </row>
    <row r="11" customFormat="false" ht="54" hidden="false" customHeight="true" outlineLevel="0" collapsed="false">
      <c r="A11" s="33" t="s">
        <v>662</v>
      </c>
      <c r="B11" s="33" t="s">
        <v>623</v>
      </c>
      <c r="C11" s="20" t="s">
        <v>653</v>
      </c>
      <c r="D11" s="20" t="s">
        <v>623</v>
      </c>
      <c r="E11" s="21" t="s">
        <v>94</v>
      </c>
      <c r="F11" s="21" t="s">
        <v>624</v>
      </c>
      <c r="G11" s="22" t="s">
        <v>625</v>
      </c>
      <c r="H11" s="22" t="s">
        <v>635</v>
      </c>
      <c r="I11" s="30" t="s">
        <v>663</v>
      </c>
      <c r="J11" s="33" t="s">
        <v>641</v>
      </c>
      <c r="K11" s="33" t="n">
        <v>3.33</v>
      </c>
      <c r="L11" s="20" t="s">
        <v>628</v>
      </c>
      <c r="M11" s="32" t="s">
        <v>664</v>
      </c>
      <c r="N11" s="36"/>
      <c r="P11" s="38"/>
      <c r="R11" s="39"/>
      <c r="S11" s="40"/>
    </row>
    <row r="12" customFormat="false" ht="40.5" hidden="false" customHeight="true" outlineLevel="0" collapsed="false">
      <c r="A12" s="33" t="s">
        <v>665</v>
      </c>
      <c r="B12" s="33" t="s">
        <v>623</v>
      </c>
      <c r="C12" s="20" t="s">
        <v>653</v>
      </c>
      <c r="D12" s="20" t="s">
        <v>623</v>
      </c>
      <c r="E12" s="21" t="s">
        <v>101</v>
      </c>
      <c r="F12" s="21" t="s">
        <v>624</v>
      </c>
      <c r="G12" s="22" t="s">
        <v>625</v>
      </c>
      <c r="H12" s="22" t="s">
        <v>635</v>
      </c>
      <c r="I12" s="30" t="s">
        <v>666</v>
      </c>
      <c r="J12" s="33" t="s">
        <v>641</v>
      </c>
      <c r="K12" s="33" t="n">
        <v>3.33</v>
      </c>
      <c r="L12" s="20" t="s">
        <v>628</v>
      </c>
      <c r="M12" s="32" t="s">
        <v>667</v>
      </c>
      <c r="N12" s="36"/>
      <c r="P12" s="38"/>
      <c r="R12" s="39"/>
      <c r="S12" s="40"/>
    </row>
    <row r="13" customFormat="false" ht="121.5" hidden="false" customHeight="true" outlineLevel="0" collapsed="false">
      <c r="A13" s="19" t="s">
        <v>668</v>
      </c>
      <c r="B13" s="20" t="s">
        <v>656</v>
      </c>
      <c r="C13" s="20" t="s">
        <v>76</v>
      </c>
      <c r="D13" s="20" t="s">
        <v>623</v>
      </c>
      <c r="E13" s="21" t="s">
        <v>109</v>
      </c>
      <c r="F13" s="21" t="s">
        <v>624</v>
      </c>
      <c r="G13" s="22" t="s">
        <v>625</v>
      </c>
      <c r="H13" s="22" t="s">
        <v>669</v>
      </c>
      <c r="I13" s="20" t="s">
        <v>110</v>
      </c>
      <c r="J13" s="19" t="s">
        <v>627</v>
      </c>
      <c r="K13" s="23" t="n">
        <v>10</v>
      </c>
      <c r="L13" s="20" t="s">
        <v>628</v>
      </c>
      <c r="M13" s="24" t="s">
        <v>670</v>
      </c>
      <c r="N13" s="25"/>
    </row>
    <row r="14" customFormat="false" ht="40.5" hidden="false" customHeight="true" outlineLevel="0" collapsed="false">
      <c r="A14" s="19" t="s">
        <v>671</v>
      </c>
      <c r="B14" s="20" t="s">
        <v>672</v>
      </c>
      <c r="C14" s="20" t="s">
        <v>140</v>
      </c>
      <c r="D14" s="20" t="s">
        <v>623</v>
      </c>
      <c r="E14" s="21" t="s">
        <v>673</v>
      </c>
      <c r="F14" s="21" t="s">
        <v>624</v>
      </c>
      <c r="G14" s="22" t="s">
        <v>625</v>
      </c>
      <c r="H14" s="22" t="s">
        <v>674</v>
      </c>
      <c r="I14" s="20" t="s">
        <v>675</v>
      </c>
      <c r="J14" s="19" t="s">
        <v>627</v>
      </c>
      <c r="K14" s="23" t="n">
        <v>10</v>
      </c>
      <c r="L14" s="20" t="s">
        <v>676</v>
      </c>
      <c r="M14" s="24" t="s">
        <v>677</v>
      </c>
      <c r="N14" s="25"/>
    </row>
    <row r="15" customFormat="false" ht="67.5" hidden="false" customHeight="true" outlineLevel="0" collapsed="false">
      <c r="A15" s="29" t="s">
        <v>678</v>
      </c>
      <c r="B15" s="30" t="s">
        <v>263</v>
      </c>
      <c r="C15" s="30" t="s">
        <v>679</v>
      </c>
      <c r="D15" s="20" t="s">
        <v>623</v>
      </c>
      <c r="E15" s="21" t="s">
        <v>116</v>
      </c>
      <c r="F15" s="21" t="s">
        <v>624</v>
      </c>
      <c r="G15" s="22" t="s">
        <v>625</v>
      </c>
      <c r="H15" s="22" t="s">
        <v>674</v>
      </c>
      <c r="I15" s="30" t="s">
        <v>680</v>
      </c>
      <c r="J15" s="29" t="s">
        <v>641</v>
      </c>
      <c r="K15" s="31" t="n">
        <v>5</v>
      </c>
      <c r="L15" s="20" t="s">
        <v>681</v>
      </c>
      <c r="M15" s="24" t="s">
        <v>682</v>
      </c>
      <c r="N15" s="25"/>
    </row>
    <row r="16" customFormat="false" ht="94.5" hidden="false" customHeight="true" outlineLevel="0" collapsed="false">
      <c r="A16" s="29" t="s">
        <v>683</v>
      </c>
      <c r="B16" s="30" t="s">
        <v>271</v>
      </c>
      <c r="C16" s="30" t="s">
        <v>684</v>
      </c>
      <c r="D16" s="20" t="s">
        <v>623</v>
      </c>
      <c r="E16" s="21" t="s">
        <v>128</v>
      </c>
      <c r="F16" s="21" t="s">
        <v>624</v>
      </c>
      <c r="G16" s="22" t="s">
        <v>625</v>
      </c>
      <c r="H16" s="22" t="s">
        <v>674</v>
      </c>
      <c r="I16" s="30" t="s">
        <v>685</v>
      </c>
      <c r="J16" s="29" t="s">
        <v>641</v>
      </c>
      <c r="K16" s="31" t="n">
        <v>5</v>
      </c>
      <c r="L16" s="20" t="s">
        <v>686</v>
      </c>
      <c r="M16" s="24" t="s">
        <v>687</v>
      </c>
      <c r="N16" s="25"/>
    </row>
    <row r="17" customFormat="false" ht="81" hidden="false" customHeight="true" outlineLevel="0" collapsed="false">
      <c r="A17" s="29" t="s">
        <v>688</v>
      </c>
      <c r="B17" s="36" t="s">
        <v>653</v>
      </c>
      <c r="C17" s="36" t="s">
        <v>653</v>
      </c>
      <c r="D17" s="20" t="s">
        <v>623</v>
      </c>
      <c r="E17" s="41" t="s">
        <v>132</v>
      </c>
      <c r="F17" s="41" t="s">
        <v>624</v>
      </c>
      <c r="G17" s="22" t="s">
        <v>625</v>
      </c>
      <c r="H17" s="22" t="s">
        <v>674</v>
      </c>
      <c r="I17" s="20" t="s">
        <v>133</v>
      </c>
      <c r="J17" s="19" t="s">
        <v>627</v>
      </c>
      <c r="K17" s="31" t="n">
        <v>10</v>
      </c>
      <c r="L17" s="20" t="s">
        <v>689</v>
      </c>
      <c r="M17" s="24" t="s">
        <v>690</v>
      </c>
      <c r="N17" s="25"/>
    </row>
    <row r="18" customFormat="false" ht="81" hidden="false" customHeight="true" outlineLevel="0" collapsed="false">
      <c r="A18" s="19" t="s">
        <v>691</v>
      </c>
      <c r="B18" s="20" t="s">
        <v>76</v>
      </c>
      <c r="C18" s="20" t="s">
        <v>634</v>
      </c>
      <c r="D18" s="20" t="s">
        <v>623</v>
      </c>
      <c r="E18" s="21" t="s">
        <v>140</v>
      </c>
      <c r="F18" s="21" t="s">
        <v>624</v>
      </c>
      <c r="G18" s="22" t="s">
        <v>692</v>
      </c>
      <c r="H18" s="22" t="s">
        <v>693</v>
      </c>
      <c r="I18" s="20" t="s">
        <v>141</v>
      </c>
      <c r="J18" s="19" t="s">
        <v>627</v>
      </c>
      <c r="K18" s="23" t="n">
        <v>10</v>
      </c>
      <c r="L18" s="20" t="s">
        <v>628</v>
      </c>
      <c r="M18" s="24" t="s">
        <v>694</v>
      </c>
      <c r="N18" s="25"/>
    </row>
    <row r="19" customFormat="false" ht="94.5" hidden="false" customHeight="true" outlineLevel="0" collapsed="false">
      <c r="A19" s="42" t="s">
        <v>21</v>
      </c>
      <c r="B19" s="20" t="s">
        <v>695</v>
      </c>
      <c r="C19" s="20" t="s">
        <v>281</v>
      </c>
      <c r="D19" s="20" t="s">
        <v>623</v>
      </c>
      <c r="E19" s="21" t="s">
        <v>148</v>
      </c>
      <c r="F19" s="21" t="s">
        <v>624</v>
      </c>
      <c r="G19" s="22" t="s">
        <v>692</v>
      </c>
      <c r="H19" s="22" t="s">
        <v>696</v>
      </c>
      <c r="I19" s="20" t="s">
        <v>149</v>
      </c>
      <c r="J19" s="42" t="s">
        <v>627</v>
      </c>
      <c r="K19" s="43" t="n">
        <v>10</v>
      </c>
      <c r="L19" s="20" t="s">
        <v>628</v>
      </c>
      <c r="M19" s="24" t="s">
        <v>697</v>
      </c>
      <c r="N19" s="30"/>
    </row>
    <row r="20" customFormat="false" ht="54" hidden="false" customHeight="true" outlineLevel="0" collapsed="false">
      <c r="A20" s="42" t="s">
        <v>698</v>
      </c>
      <c r="B20" s="20" t="s">
        <v>562</v>
      </c>
      <c r="C20" s="20" t="s">
        <v>699</v>
      </c>
      <c r="D20" s="20" t="s">
        <v>623</v>
      </c>
      <c r="E20" s="21" t="s">
        <v>700</v>
      </c>
      <c r="F20" s="21" t="s">
        <v>624</v>
      </c>
      <c r="G20" s="22" t="s">
        <v>692</v>
      </c>
      <c r="H20" s="22" t="s">
        <v>696</v>
      </c>
      <c r="I20" s="20" t="s">
        <v>701</v>
      </c>
      <c r="J20" s="42" t="s">
        <v>627</v>
      </c>
      <c r="K20" s="43" t="n">
        <v>10</v>
      </c>
      <c r="L20" s="20" t="s">
        <v>676</v>
      </c>
      <c r="M20" s="24" t="s">
        <v>677</v>
      </c>
      <c r="N20" s="25"/>
    </row>
    <row r="21" customFormat="false" ht="94.5" hidden="false" customHeight="true" outlineLevel="0" collapsed="false">
      <c r="A21" s="42" t="s">
        <v>702</v>
      </c>
      <c r="B21" s="20" t="s">
        <v>703</v>
      </c>
      <c r="C21" s="20" t="s">
        <v>653</v>
      </c>
      <c r="D21" s="20" t="s">
        <v>623</v>
      </c>
      <c r="E21" s="21" t="s">
        <v>159</v>
      </c>
      <c r="F21" s="21" t="s">
        <v>624</v>
      </c>
      <c r="G21" s="22" t="s">
        <v>692</v>
      </c>
      <c r="H21" s="22" t="s">
        <v>696</v>
      </c>
      <c r="I21" s="20" t="s">
        <v>704</v>
      </c>
      <c r="J21" s="42" t="s">
        <v>641</v>
      </c>
      <c r="K21" s="43" t="n">
        <v>5</v>
      </c>
      <c r="L21" s="20" t="s">
        <v>681</v>
      </c>
      <c r="M21" s="24" t="s">
        <v>705</v>
      </c>
      <c r="N21" s="25"/>
    </row>
    <row r="22" customFormat="false" ht="45" hidden="false" customHeight="true" outlineLevel="0" collapsed="false">
      <c r="A22" s="42" t="s">
        <v>706</v>
      </c>
      <c r="B22" s="20" t="s">
        <v>707</v>
      </c>
      <c r="C22" s="20" t="s">
        <v>653</v>
      </c>
      <c r="D22" s="20" t="s">
        <v>623</v>
      </c>
      <c r="E22" s="21" t="s">
        <v>166</v>
      </c>
      <c r="F22" s="21" t="s">
        <v>624</v>
      </c>
      <c r="G22" s="22" t="s">
        <v>692</v>
      </c>
      <c r="H22" s="22" t="s">
        <v>696</v>
      </c>
      <c r="I22" s="20" t="s">
        <v>708</v>
      </c>
      <c r="J22" s="42" t="s">
        <v>641</v>
      </c>
      <c r="K22" s="43" t="n">
        <v>5</v>
      </c>
      <c r="L22" s="20" t="s">
        <v>686</v>
      </c>
      <c r="M22" s="24" t="s">
        <v>709</v>
      </c>
      <c r="N22" s="25"/>
    </row>
    <row r="23" customFormat="false" ht="162" hidden="false" customHeight="true" outlineLevel="0" collapsed="false">
      <c r="A23" s="44" t="s">
        <v>710</v>
      </c>
      <c r="B23" s="41" t="s">
        <v>653</v>
      </c>
      <c r="C23" s="20" t="s">
        <v>653</v>
      </c>
      <c r="D23" s="20" t="s">
        <v>623</v>
      </c>
      <c r="E23" s="21" t="s">
        <v>172</v>
      </c>
      <c r="F23" s="21" t="s">
        <v>624</v>
      </c>
      <c r="G23" s="22" t="s">
        <v>692</v>
      </c>
      <c r="H23" s="22" t="s">
        <v>711</v>
      </c>
      <c r="I23" s="45" t="s">
        <v>173</v>
      </c>
      <c r="J23" s="42" t="s">
        <v>627</v>
      </c>
      <c r="K23" s="43" t="n">
        <v>10</v>
      </c>
      <c r="L23" s="20" t="s">
        <v>628</v>
      </c>
      <c r="M23" s="46" t="s">
        <v>712</v>
      </c>
      <c r="N23" s="25"/>
    </row>
    <row r="24" customFormat="false" ht="40.5" hidden="false" customHeight="true" outlineLevel="0" collapsed="false">
      <c r="A24" s="19" t="s">
        <v>713</v>
      </c>
      <c r="B24" s="20" t="s">
        <v>653</v>
      </c>
      <c r="C24" s="20" t="s">
        <v>700</v>
      </c>
      <c r="D24" s="20" t="s">
        <v>623</v>
      </c>
      <c r="E24" s="21" t="s">
        <v>714</v>
      </c>
      <c r="F24" s="21" t="s">
        <v>624</v>
      </c>
      <c r="G24" s="22" t="s">
        <v>715</v>
      </c>
      <c r="H24" s="22" t="s">
        <v>716</v>
      </c>
      <c r="I24" s="20" t="s">
        <v>717</v>
      </c>
      <c r="J24" s="19" t="s">
        <v>627</v>
      </c>
      <c r="K24" s="23" t="n">
        <v>10</v>
      </c>
      <c r="L24" s="20" t="s">
        <v>718</v>
      </c>
      <c r="M24" s="24" t="s">
        <v>719</v>
      </c>
      <c r="N24" s="25"/>
    </row>
    <row r="25" customFormat="false" ht="112.5" hidden="false" customHeight="true" outlineLevel="0" collapsed="false">
      <c r="A25" s="42" t="s">
        <v>720</v>
      </c>
      <c r="B25" s="20" t="s">
        <v>653</v>
      </c>
      <c r="C25" s="20" t="s">
        <v>653</v>
      </c>
      <c r="D25" s="20" t="s">
        <v>623</v>
      </c>
      <c r="E25" s="21" t="s">
        <v>181</v>
      </c>
      <c r="F25" s="21" t="s">
        <v>624</v>
      </c>
      <c r="G25" s="22" t="s">
        <v>715</v>
      </c>
      <c r="H25" s="22" t="s">
        <v>716</v>
      </c>
      <c r="I25" s="20" t="s">
        <v>721</v>
      </c>
      <c r="J25" s="19" t="s">
        <v>641</v>
      </c>
      <c r="K25" s="23" t="n">
        <v>1.67</v>
      </c>
      <c r="L25" s="20" t="s">
        <v>681</v>
      </c>
      <c r="M25" s="24" t="s">
        <v>722</v>
      </c>
      <c r="N25" s="25"/>
    </row>
    <row r="26" customFormat="false" ht="54" hidden="false" customHeight="true" outlineLevel="0" collapsed="false">
      <c r="A26" s="42" t="s">
        <v>723</v>
      </c>
      <c r="B26" s="20" t="s">
        <v>653</v>
      </c>
      <c r="C26" s="20" t="s">
        <v>653</v>
      </c>
      <c r="D26" s="20" t="s">
        <v>623</v>
      </c>
      <c r="E26" s="21" t="s">
        <v>191</v>
      </c>
      <c r="F26" s="21" t="s">
        <v>624</v>
      </c>
      <c r="G26" s="22" t="s">
        <v>715</v>
      </c>
      <c r="H26" s="22" t="s">
        <v>716</v>
      </c>
      <c r="I26" s="20" t="s">
        <v>724</v>
      </c>
      <c r="J26" s="19" t="s">
        <v>641</v>
      </c>
      <c r="K26" s="23" t="n">
        <v>1.67</v>
      </c>
      <c r="L26" s="20" t="s">
        <v>681</v>
      </c>
      <c r="M26" s="24" t="s">
        <v>725</v>
      </c>
      <c r="N26" s="25"/>
    </row>
    <row r="27" customFormat="false" ht="63.75" hidden="false" customHeight="true" outlineLevel="0" collapsed="false">
      <c r="A27" s="42" t="s">
        <v>726</v>
      </c>
      <c r="B27" s="20" t="s">
        <v>653</v>
      </c>
      <c r="C27" s="20" t="s">
        <v>653</v>
      </c>
      <c r="D27" s="20" t="s">
        <v>623</v>
      </c>
      <c r="E27" s="21" t="s">
        <v>197</v>
      </c>
      <c r="F27" s="21" t="s">
        <v>624</v>
      </c>
      <c r="G27" s="22" t="s">
        <v>715</v>
      </c>
      <c r="H27" s="22" t="s">
        <v>716</v>
      </c>
      <c r="I27" s="20" t="s">
        <v>727</v>
      </c>
      <c r="J27" s="19" t="s">
        <v>641</v>
      </c>
      <c r="K27" s="23" t="n">
        <v>1.67</v>
      </c>
      <c r="L27" s="20" t="s">
        <v>681</v>
      </c>
      <c r="M27" s="24" t="s">
        <v>728</v>
      </c>
      <c r="N27" s="25"/>
    </row>
    <row r="28" customFormat="false" ht="54" hidden="false" customHeight="true" outlineLevel="0" collapsed="false">
      <c r="A28" s="42" t="s">
        <v>729</v>
      </c>
      <c r="B28" s="20" t="s">
        <v>653</v>
      </c>
      <c r="C28" s="20" t="s">
        <v>653</v>
      </c>
      <c r="D28" s="20" t="s">
        <v>623</v>
      </c>
      <c r="E28" s="21" t="s">
        <v>206</v>
      </c>
      <c r="F28" s="21" t="s">
        <v>624</v>
      </c>
      <c r="G28" s="22" t="s">
        <v>715</v>
      </c>
      <c r="H28" s="22" t="s">
        <v>716</v>
      </c>
      <c r="I28" s="20" t="s">
        <v>730</v>
      </c>
      <c r="J28" s="19" t="s">
        <v>641</v>
      </c>
      <c r="K28" s="23" t="n">
        <v>1.67</v>
      </c>
      <c r="L28" s="20" t="s">
        <v>681</v>
      </c>
      <c r="M28" s="24" t="s">
        <v>731</v>
      </c>
      <c r="N28" s="25"/>
    </row>
    <row r="29" customFormat="false" ht="54" hidden="false" customHeight="true" outlineLevel="0" collapsed="false">
      <c r="A29" s="42" t="s">
        <v>732</v>
      </c>
      <c r="B29" s="20" t="s">
        <v>653</v>
      </c>
      <c r="C29" s="20" t="s">
        <v>653</v>
      </c>
      <c r="D29" s="20" t="s">
        <v>623</v>
      </c>
      <c r="E29" s="21" t="s">
        <v>213</v>
      </c>
      <c r="F29" s="21" t="s">
        <v>624</v>
      </c>
      <c r="G29" s="22" t="s">
        <v>715</v>
      </c>
      <c r="H29" s="22" t="s">
        <v>716</v>
      </c>
      <c r="I29" s="20" t="s">
        <v>733</v>
      </c>
      <c r="J29" s="19" t="s">
        <v>641</v>
      </c>
      <c r="K29" s="23" t="n">
        <v>1.67</v>
      </c>
      <c r="L29" s="20" t="s">
        <v>681</v>
      </c>
      <c r="M29" s="24" t="s">
        <v>734</v>
      </c>
      <c r="N29" s="25"/>
    </row>
    <row r="30" customFormat="false" ht="121.5" hidden="false" customHeight="true" outlineLevel="0" collapsed="false">
      <c r="A30" s="42" t="s">
        <v>735</v>
      </c>
      <c r="B30" s="20" t="s">
        <v>653</v>
      </c>
      <c r="C30" s="20" t="s">
        <v>653</v>
      </c>
      <c r="D30" s="20" t="s">
        <v>623</v>
      </c>
      <c r="E30" s="21" t="s">
        <v>219</v>
      </c>
      <c r="F30" s="21" t="s">
        <v>624</v>
      </c>
      <c r="G30" s="22" t="s">
        <v>715</v>
      </c>
      <c r="H30" s="22" t="s">
        <v>716</v>
      </c>
      <c r="I30" s="20" t="s">
        <v>736</v>
      </c>
      <c r="J30" s="19" t="s">
        <v>641</v>
      </c>
      <c r="K30" s="23" t="n">
        <v>1.67</v>
      </c>
      <c r="L30" s="20" t="s">
        <v>681</v>
      </c>
      <c r="M30" s="24" t="s">
        <v>737</v>
      </c>
      <c r="N30" s="25"/>
    </row>
    <row r="31" customFormat="false" ht="40.5" hidden="false" customHeight="true" outlineLevel="0" collapsed="false">
      <c r="A31" s="26" t="s">
        <v>738</v>
      </c>
      <c r="B31" s="27" t="s">
        <v>634</v>
      </c>
      <c r="C31" s="27" t="s">
        <v>653</v>
      </c>
      <c r="D31" s="20" t="s">
        <v>623</v>
      </c>
      <c r="E31" s="21" t="s">
        <v>739</v>
      </c>
      <c r="F31" s="21" t="s">
        <v>686</v>
      </c>
      <c r="G31" s="22" t="s">
        <v>740</v>
      </c>
      <c r="H31" s="22" t="s">
        <v>741</v>
      </c>
      <c r="I31" s="27" t="s">
        <v>742</v>
      </c>
      <c r="J31" s="26" t="s">
        <v>627</v>
      </c>
      <c r="K31" s="28" t="n">
        <v>10</v>
      </c>
      <c r="L31" s="27" t="s">
        <v>686</v>
      </c>
      <c r="M31" s="24" t="s">
        <v>743</v>
      </c>
      <c r="N31" s="25"/>
    </row>
    <row r="32" customFormat="false" ht="54" hidden="false" customHeight="true" outlineLevel="0" collapsed="false">
      <c r="A32" s="29" t="s">
        <v>744</v>
      </c>
      <c r="B32" s="30" t="s">
        <v>45</v>
      </c>
      <c r="C32" s="27" t="s">
        <v>653</v>
      </c>
      <c r="D32" s="20" t="s">
        <v>623</v>
      </c>
      <c r="E32" s="21" t="s">
        <v>227</v>
      </c>
      <c r="F32" s="21" t="s">
        <v>686</v>
      </c>
      <c r="G32" s="22" t="s">
        <v>740</v>
      </c>
      <c r="H32" s="22" t="s">
        <v>741</v>
      </c>
      <c r="I32" s="30" t="s">
        <v>745</v>
      </c>
      <c r="J32" s="29" t="s">
        <v>641</v>
      </c>
      <c r="K32" s="31" t="n">
        <v>3.33</v>
      </c>
      <c r="L32" s="30" t="s">
        <v>686</v>
      </c>
      <c r="M32" s="24" t="s">
        <v>746</v>
      </c>
      <c r="N32" s="25" t="s">
        <v>747</v>
      </c>
    </row>
    <row r="33" customFormat="false" ht="40.5" hidden="false" customHeight="true" outlineLevel="0" collapsed="false">
      <c r="A33" s="29" t="s">
        <v>748</v>
      </c>
      <c r="B33" s="30" t="s">
        <v>59</v>
      </c>
      <c r="C33" s="27" t="s">
        <v>653</v>
      </c>
      <c r="D33" s="20" t="s">
        <v>623</v>
      </c>
      <c r="E33" s="21" t="s">
        <v>237</v>
      </c>
      <c r="F33" s="21" t="s">
        <v>686</v>
      </c>
      <c r="G33" s="22" t="s">
        <v>740</v>
      </c>
      <c r="H33" s="22" t="s">
        <v>741</v>
      </c>
      <c r="I33" s="30" t="s">
        <v>749</v>
      </c>
      <c r="J33" s="29" t="s">
        <v>641</v>
      </c>
      <c r="K33" s="31" t="n">
        <v>3.33</v>
      </c>
      <c r="L33" s="30" t="s">
        <v>686</v>
      </c>
      <c r="M33" s="24" t="s">
        <v>750</v>
      </c>
      <c r="N33" s="25" t="s">
        <v>747</v>
      </c>
    </row>
    <row r="34" customFormat="false" ht="40.5" hidden="false" customHeight="true" outlineLevel="0" collapsed="false">
      <c r="A34" s="29" t="s">
        <v>751</v>
      </c>
      <c r="B34" s="30" t="s">
        <v>69</v>
      </c>
      <c r="C34" s="27" t="s">
        <v>653</v>
      </c>
      <c r="D34" s="20" t="s">
        <v>623</v>
      </c>
      <c r="E34" s="21" t="s">
        <v>247</v>
      </c>
      <c r="F34" s="21" t="s">
        <v>686</v>
      </c>
      <c r="G34" s="22" t="s">
        <v>740</v>
      </c>
      <c r="H34" s="22" t="s">
        <v>741</v>
      </c>
      <c r="I34" s="30" t="s">
        <v>752</v>
      </c>
      <c r="J34" s="29" t="s">
        <v>641</v>
      </c>
      <c r="K34" s="31" t="n">
        <v>3.33</v>
      </c>
      <c r="L34" s="30" t="s">
        <v>686</v>
      </c>
      <c r="M34" s="24" t="s">
        <v>753</v>
      </c>
      <c r="N34" s="25"/>
    </row>
    <row r="35" customFormat="false" ht="135" hidden="false" customHeight="true" outlineLevel="0" collapsed="false">
      <c r="A35" s="44" t="s">
        <v>754</v>
      </c>
      <c r="B35" s="41" t="s">
        <v>653</v>
      </c>
      <c r="C35" s="41" t="s">
        <v>653</v>
      </c>
      <c r="D35" s="20" t="s">
        <v>623</v>
      </c>
      <c r="E35" s="21" t="s">
        <v>255</v>
      </c>
      <c r="F35" s="21" t="s">
        <v>686</v>
      </c>
      <c r="G35" s="22" t="s">
        <v>740</v>
      </c>
      <c r="H35" s="22" t="s">
        <v>755</v>
      </c>
      <c r="I35" s="20" t="s">
        <v>256</v>
      </c>
      <c r="J35" s="42" t="s">
        <v>627</v>
      </c>
      <c r="K35" s="43" t="n">
        <v>10</v>
      </c>
      <c r="L35" s="20" t="s">
        <v>686</v>
      </c>
      <c r="M35" s="46" t="s">
        <v>756</v>
      </c>
      <c r="N35" s="25"/>
    </row>
    <row r="36" customFormat="false" ht="40.5" hidden="false" customHeight="true" outlineLevel="0" collapsed="false">
      <c r="A36" s="26" t="s">
        <v>757</v>
      </c>
      <c r="B36" s="27" t="s">
        <v>673</v>
      </c>
      <c r="C36" s="27" t="s">
        <v>653</v>
      </c>
      <c r="D36" s="20" t="s">
        <v>623</v>
      </c>
      <c r="E36" s="21" t="s">
        <v>672</v>
      </c>
      <c r="F36" s="21" t="s">
        <v>686</v>
      </c>
      <c r="G36" s="22" t="s">
        <v>740</v>
      </c>
      <c r="H36" s="22" t="s">
        <v>758</v>
      </c>
      <c r="I36" s="27" t="s">
        <v>759</v>
      </c>
      <c r="J36" s="26" t="s">
        <v>627</v>
      </c>
      <c r="K36" s="28" t="n">
        <v>10</v>
      </c>
      <c r="L36" s="27" t="s">
        <v>686</v>
      </c>
      <c r="M36" s="46" t="s">
        <v>760</v>
      </c>
      <c r="N36" s="25"/>
    </row>
    <row r="37" customFormat="false" ht="54" hidden="false" customHeight="true" outlineLevel="0" collapsed="false">
      <c r="A37" s="29" t="s">
        <v>761</v>
      </c>
      <c r="B37" s="30" t="s">
        <v>116</v>
      </c>
      <c r="C37" s="27" t="s">
        <v>653</v>
      </c>
      <c r="D37" s="20" t="s">
        <v>623</v>
      </c>
      <c r="E37" s="21" t="s">
        <v>263</v>
      </c>
      <c r="F37" s="21" t="s">
        <v>686</v>
      </c>
      <c r="G37" s="22" t="s">
        <v>740</v>
      </c>
      <c r="H37" s="22" t="s">
        <v>758</v>
      </c>
      <c r="I37" s="30" t="s">
        <v>762</v>
      </c>
      <c r="J37" s="29" t="s">
        <v>641</v>
      </c>
      <c r="K37" s="31" t="n">
        <v>5</v>
      </c>
      <c r="L37" s="20" t="s">
        <v>686</v>
      </c>
      <c r="M37" s="46" t="s">
        <v>763</v>
      </c>
      <c r="N37" s="25"/>
    </row>
    <row r="38" customFormat="false" ht="67.5" hidden="false" customHeight="true" outlineLevel="0" collapsed="false">
      <c r="A38" s="29" t="s">
        <v>764</v>
      </c>
      <c r="B38" s="30" t="s">
        <v>128</v>
      </c>
      <c r="C38" s="27" t="s">
        <v>653</v>
      </c>
      <c r="D38" s="20" t="s">
        <v>623</v>
      </c>
      <c r="E38" s="21" t="s">
        <v>271</v>
      </c>
      <c r="F38" s="21" t="s">
        <v>686</v>
      </c>
      <c r="G38" s="22" t="s">
        <v>740</v>
      </c>
      <c r="H38" s="22" t="s">
        <v>758</v>
      </c>
      <c r="I38" s="30" t="s">
        <v>765</v>
      </c>
      <c r="J38" s="29" t="s">
        <v>641</v>
      </c>
      <c r="K38" s="31" t="n">
        <v>5</v>
      </c>
      <c r="L38" s="20" t="s">
        <v>686</v>
      </c>
      <c r="M38" s="24" t="s">
        <v>766</v>
      </c>
      <c r="N38" s="25"/>
    </row>
    <row r="39" customFormat="false" ht="67.5" hidden="false" customHeight="true" outlineLevel="0" collapsed="false">
      <c r="A39" s="19" t="s">
        <v>767</v>
      </c>
      <c r="B39" s="20" t="s">
        <v>172</v>
      </c>
      <c r="C39" s="20" t="s">
        <v>653</v>
      </c>
      <c r="D39" s="20" t="s">
        <v>623</v>
      </c>
      <c r="E39" s="21" t="s">
        <v>275</v>
      </c>
      <c r="F39" s="21" t="s">
        <v>686</v>
      </c>
      <c r="G39" s="22" t="s">
        <v>740</v>
      </c>
      <c r="H39" s="22" t="s">
        <v>768</v>
      </c>
      <c r="I39" s="20" t="s">
        <v>769</v>
      </c>
      <c r="J39" s="19" t="s">
        <v>627</v>
      </c>
      <c r="K39" s="23" t="n">
        <v>10</v>
      </c>
      <c r="L39" s="20" t="s">
        <v>686</v>
      </c>
      <c r="M39" s="24" t="s">
        <v>770</v>
      </c>
      <c r="N39" s="25"/>
    </row>
    <row r="40" customFormat="false" ht="351" hidden="false" customHeight="true" outlineLevel="0" collapsed="false">
      <c r="A40" s="42" t="s">
        <v>771</v>
      </c>
      <c r="B40" s="20" t="s">
        <v>772</v>
      </c>
      <c r="C40" s="20" t="s">
        <v>653</v>
      </c>
      <c r="D40" s="20" t="s">
        <v>623</v>
      </c>
      <c r="E40" s="21" t="s">
        <v>281</v>
      </c>
      <c r="F40" s="22" t="s">
        <v>686</v>
      </c>
      <c r="G40" s="22" t="s">
        <v>740</v>
      </c>
      <c r="H40" s="22" t="s">
        <v>773</v>
      </c>
      <c r="I40" s="20" t="s">
        <v>282</v>
      </c>
      <c r="J40" s="42" t="s">
        <v>627</v>
      </c>
      <c r="K40" s="43" t="n">
        <v>10</v>
      </c>
      <c r="L40" s="20" t="s">
        <v>686</v>
      </c>
      <c r="M40" s="24" t="s">
        <v>774</v>
      </c>
      <c r="N40" s="25"/>
    </row>
    <row r="41" customFormat="false" ht="40.5" hidden="false" customHeight="true" outlineLevel="0" collapsed="false">
      <c r="A41" s="42" t="s">
        <v>775</v>
      </c>
      <c r="B41" s="20" t="s">
        <v>776</v>
      </c>
      <c r="C41" s="20" t="s">
        <v>653</v>
      </c>
      <c r="D41" s="20" t="s">
        <v>623</v>
      </c>
      <c r="E41" s="21" t="s">
        <v>699</v>
      </c>
      <c r="F41" s="22" t="s">
        <v>686</v>
      </c>
      <c r="G41" s="22" t="s">
        <v>740</v>
      </c>
      <c r="H41" s="22" t="s">
        <v>773</v>
      </c>
      <c r="I41" s="20" t="s">
        <v>777</v>
      </c>
      <c r="J41" s="42" t="s">
        <v>627</v>
      </c>
      <c r="K41" s="43" t="n">
        <v>10</v>
      </c>
      <c r="L41" s="20" t="s">
        <v>686</v>
      </c>
      <c r="M41" s="24" t="s">
        <v>778</v>
      </c>
      <c r="N41" s="25"/>
    </row>
    <row r="42" customFormat="false" ht="337.5" hidden="false" customHeight="true" outlineLevel="0" collapsed="false">
      <c r="A42" s="42" t="s">
        <v>779</v>
      </c>
      <c r="B42" s="20" t="s">
        <v>653</v>
      </c>
      <c r="C42" s="20" t="s">
        <v>653</v>
      </c>
      <c r="D42" s="20" t="s">
        <v>623</v>
      </c>
      <c r="E42" s="21" t="s">
        <v>287</v>
      </c>
      <c r="F42" s="22" t="s">
        <v>686</v>
      </c>
      <c r="G42" s="22" t="s">
        <v>740</v>
      </c>
      <c r="H42" s="22" t="s">
        <v>773</v>
      </c>
      <c r="I42" s="20" t="s">
        <v>780</v>
      </c>
      <c r="J42" s="42" t="s">
        <v>641</v>
      </c>
      <c r="K42" s="43" t="n">
        <v>5</v>
      </c>
      <c r="L42" s="20" t="s">
        <v>686</v>
      </c>
      <c r="M42" s="24" t="s">
        <v>781</v>
      </c>
      <c r="N42" s="25"/>
    </row>
    <row r="43" customFormat="false" ht="270" hidden="false" customHeight="true" outlineLevel="0" collapsed="false">
      <c r="A43" s="42" t="s">
        <v>782</v>
      </c>
      <c r="B43" s="20" t="s">
        <v>653</v>
      </c>
      <c r="C43" s="20" t="s">
        <v>653</v>
      </c>
      <c r="D43" s="20" t="s">
        <v>623</v>
      </c>
      <c r="E43" s="21" t="s">
        <v>295</v>
      </c>
      <c r="F43" s="22" t="s">
        <v>686</v>
      </c>
      <c r="G43" s="22" t="s">
        <v>740</v>
      </c>
      <c r="H43" s="22" t="s">
        <v>773</v>
      </c>
      <c r="I43" s="20" t="s">
        <v>783</v>
      </c>
      <c r="J43" s="42" t="s">
        <v>641</v>
      </c>
      <c r="K43" s="43" t="n">
        <v>5</v>
      </c>
      <c r="L43" s="20" t="s">
        <v>686</v>
      </c>
      <c r="M43" s="24" t="s">
        <v>784</v>
      </c>
      <c r="N43" s="25"/>
    </row>
    <row r="44" customFormat="false" ht="40.5" hidden="false" customHeight="true" outlineLevel="0" collapsed="false">
      <c r="A44" s="42" t="s">
        <v>785</v>
      </c>
      <c r="B44" s="20" t="s">
        <v>786</v>
      </c>
      <c r="C44" s="20" t="s">
        <v>787</v>
      </c>
      <c r="D44" s="20" t="s">
        <v>623</v>
      </c>
      <c r="E44" s="21" t="s">
        <v>788</v>
      </c>
      <c r="F44" s="22" t="s">
        <v>686</v>
      </c>
      <c r="G44" s="22" t="s">
        <v>740</v>
      </c>
      <c r="H44" s="22" t="s">
        <v>773</v>
      </c>
      <c r="I44" s="20" t="s">
        <v>789</v>
      </c>
      <c r="J44" s="42" t="s">
        <v>627</v>
      </c>
      <c r="K44" s="43" t="n">
        <v>10</v>
      </c>
      <c r="L44" s="20" t="s">
        <v>686</v>
      </c>
      <c r="M44" s="24" t="s">
        <v>790</v>
      </c>
      <c r="N44" s="25"/>
    </row>
    <row r="45" customFormat="false" ht="202.5" hidden="false" customHeight="true" outlineLevel="0" collapsed="false">
      <c r="A45" s="42" t="s">
        <v>791</v>
      </c>
      <c r="B45" s="20" t="s">
        <v>653</v>
      </c>
      <c r="C45" s="20" t="s">
        <v>653</v>
      </c>
      <c r="D45" s="20" t="s">
        <v>623</v>
      </c>
      <c r="E45" s="21" t="s">
        <v>301</v>
      </c>
      <c r="F45" s="22" t="s">
        <v>686</v>
      </c>
      <c r="G45" s="22" t="s">
        <v>740</v>
      </c>
      <c r="H45" s="22" t="s">
        <v>773</v>
      </c>
      <c r="I45" s="20" t="s">
        <v>792</v>
      </c>
      <c r="J45" s="42" t="s">
        <v>641</v>
      </c>
      <c r="K45" s="43" t="n">
        <v>3.33</v>
      </c>
      <c r="L45" s="20" t="s">
        <v>686</v>
      </c>
      <c r="M45" s="24" t="s">
        <v>793</v>
      </c>
      <c r="N45" s="25"/>
    </row>
    <row r="46" customFormat="false" ht="229.5" hidden="false" customHeight="true" outlineLevel="0" collapsed="false">
      <c r="A46" s="42" t="s">
        <v>794</v>
      </c>
      <c r="B46" s="20" t="s">
        <v>653</v>
      </c>
      <c r="C46" s="20" t="s">
        <v>653</v>
      </c>
      <c r="D46" s="20" t="s">
        <v>623</v>
      </c>
      <c r="E46" s="21" t="s">
        <v>309</v>
      </c>
      <c r="F46" s="22" t="s">
        <v>686</v>
      </c>
      <c r="G46" s="22" t="s">
        <v>740</v>
      </c>
      <c r="H46" s="22" t="s">
        <v>773</v>
      </c>
      <c r="I46" s="20" t="s">
        <v>795</v>
      </c>
      <c r="J46" s="42" t="s">
        <v>641</v>
      </c>
      <c r="K46" s="43" t="n">
        <v>3.33</v>
      </c>
      <c r="L46" s="20" t="s">
        <v>686</v>
      </c>
      <c r="M46" s="24" t="s">
        <v>796</v>
      </c>
      <c r="N46" s="25"/>
    </row>
    <row r="47" customFormat="false" ht="229.5" hidden="false" customHeight="true" outlineLevel="0" collapsed="false">
      <c r="A47" s="42" t="s">
        <v>797</v>
      </c>
      <c r="B47" s="20" t="s">
        <v>653</v>
      </c>
      <c r="C47" s="20" t="s">
        <v>653</v>
      </c>
      <c r="D47" s="20" t="s">
        <v>623</v>
      </c>
      <c r="E47" s="21" t="s">
        <v>317</v>
      </c>
      <c r="F47" s="22" t="s">
        <v>686</v>
      </c>
      <c r="G47" s="22" t="s">
        <v>740</v>
      </c>
      <c r="H47" s="22" t="s">
        <v>773</v>
      </c>
      <c r="I47" s="20" t="s">
        <v>798</v>
      </c>
      <c r="J47" s="42" t="s">
        <v>641</v>
      </c>
      <c r="K47" s="43" t="n">
        <v>3.33</v>
      </c>
      <c r="L47" s="20" t="s">
        <v>686</v>
      </c>
      <c r="M47" s="24" t="s">
        <v>799</v>
      </c>
      <c r="N47" s="25"/>
    </row>
    <row r="48" customFormat="false" ht="305.25" hidden="false" customHeight="true" outlineLevel="0" collapsed="false">
      <c r="A48" s="42" t="s">
        <v>800</v>
      </c>
      <c r="B48" s="20" t="s">
        <v>801</v>
      </c>
      <c r="C48" s="20" t="s">
        <v>653</v>
      </c>
      <c r="D48" s="20" t="s">
        <v>623</v>
      </c>
      <c r="E48" s="21" t="s">
        <v>325</v>
      </c>
      <c r="F48" s="22" t="s">
        <v>686</v>
      </c>
      <c r="G48" s="22" t="s">
        <v>740</v>
      </c>
      <c r="H48" s="22" t="s">
        <v>773</v>
      </c>
      <c r="I48" s="20" t="s">
        <v>326</v>
      </c>
      <c r="J48" s="42" t="s">
        <v>627</v>
      </c>
      <c r="K48" s="43" t="n">
        <v>10</v>
      </c>
      <c r="L48" s="20" t="s">
        <v>686</v>
      </c>
      <c r="M48" s="24" t="s">
        <v>802</v>
      </c>
      <c r="N48" s="25"/>
    </row>
    <row r="49" customFormat="false" ht="81" hidden="false" customHeight="true" outlineLevel="0" collapsed="false">
      <c r="A49" s="19" t="s">
        <v>803</v>
      </c>
      <c r="B49" s="20" t="s">
        <v>714</v>
      </c>
      <c r="C49" s="20" t="s">
        <v>653</v>
      </c>
      <c r="D49" s="20" t="s">
        <v>623</v>
      </c>
      <c r="E49" s="21" t="s">
        <v>333</v>
      </c>
      <c r="F49" s="22" t="s">
        <v>686</v>
      </c>
      <c r="G49" s="22" t="s">
        <v>740</v>
      </c>
      <c r="H49" s="22" t="s">
        <v>804</v>
      </c>
      <c r="I49" s="20" t="s">
        <v>334</v>
      </c>
      <c r="J49" s="19" t="s">
        <v>627</v>
      </c>
      <c r="K49" s="23" t="n">
        <v>10</v>
      </c>
      <c r="L49" s="20" t="s">
        <v>686</v>
      </c>
      <c r="M49" s="24" t="s">
        <v>805</v>
      </c>
      <c r="N49" s="25"/>
    </row>
    <row r="50" customFormat="false" ht="54" hidden="false" customHeight="true" outlineLevel="0" collapsed="false">
      <c r="A50" s="19" t="s">
        <v>806</v>
      </c>
      <c r="B50" s="20" t="s">
        <v>653</v>
      </c>
      <c r="C50" s="20" t="s">
        <v>653</v>
      </c>
      <c r="D50" s="20" t="s">
        <v>623</v>
      </c>
      <c r="E50" s="21" t="s">
        <v>807</v>
      </c>
      <c r="F50" s="22" t="s">
        <v>686</v>
      </c>
      <c r="G50" s="22" t="s">
        <v>808</v>
      </c>
      <c r="H50" s="22" t="s">
        <v>809</v>
      </c>
      <c r="I50" s="27" t="s">
        <v>810</v>
      </c>
      <c r="J50" s="19" t="s">
        <v>627</v>
      </c>
      <c r="K50" s="23" t="n">
        <v>10</v>
      </c>
      <c r="L50" s="20" t="s">
        <v>686</v>
      </c>
      <c r="M50" s="47" t="s">
        <v>811</v>
      </c>
      <c r="N50" s="25"/>
    </row>
    <row r="51" customFormat="false" ht="102" hidden="false" customHeight="true" outlineLevel="0" collapsed="false">
      <c r="A51" s="19" t="s">
        <v>812</v>
      </c>
      <c r="B51" s="20" t="s">
        <v>653</v>
      </c>
      <c r="C51" s="20" t="s">
        <v>653</v>
      </c>
      <c r="D51" s="20" t="s">
        <v>623</v>
      </c>
      <c r="E51" s="21" t="s">
        <v>337</v>
      </c>
      <c r="F51" s="22" t="s">
        <v>686</v>
      </c>
      <c r="G51" s="22" t="s">
        <v>808</v>
      </c>
      <c r="H51" s="22" t="s">
        <v>809</v>
      </c>
      <c r="I51" s="30" t="s">
        <v>813</v>
      </c>
      <c r="J51" s="29" t="s">
        <v>641</v>
      </c>
      <c r="K51" s="31" t="n">
        <v>3.33</v>
      </c>
      <c r="L51" s="27" t="s">
        <v>686</v>
      </c>
      <c r="M51" s="24" t="s">
        <v>814</v>
      </c>
      <c r="N51" s="25"/>
    </row>
    <row r="52" customFormat="false" ht="67.5" hidden="false" customHeight="true" outlineLevel="0" collapsed="false">
      <c r="A52" s="19" t="s">
        <v>815</v>
      </c>
      <c r="B52" s="20" t="s">
        <v>653</v>
      </c>
      <c r="C52" s="20" t="s">
        <v>653</v>
      </c>
      <c r="D52" s="20" t="s">
        <v>623</v>
      </c>
      <c r="E52" s="21" t="s">
        <v>816</v>
      </c>
      <c r="F52" s="22" t="s">
        <v>686</v>
      </c>
      <c r="G52" s="22" t="s">
        <v>808</v>
      </c>
      <c r="H52" s="22" t="s">
        <v>809</v>
      </c>
      <c r="I52" s="30" t="s">
        <v>817</v>
      </c>
      <c r="J52" s="29" t="s">
        <v>818</v>
      </c>
      <c r="K52" s="31" t="n">
        <v>1.11</v>
      </c>
      <c r="L52" s="27" t="s">
        <v>686</v>
      </c>
      <c r="M52" s="24" t="s">
        <v>819</v>
      </c>
      <c r="N52" s="25"/>
    </row>
    <row r="53" customFormat="false" ht="67.5" hidden="false" customHeight="true" outlineLevel="0" collapsed="false">
      <c r="A53" s="19" t="s">
        <v>820</v>
      </c>
      <c r="B53" s="20" t="s">
        <v>653</v>
      </c>
      <c r="C53" s="20" t="s">
        <v>653</v>
      </c>
      <c r="D53" s="20" t="s">
        <v>623</v>
      </c>
      <c r="E53" s="21" t="s">
        <v>821</v>
      </c>
      <c r="F53" s="22" t="s">
        <v>686</v>
      </c>
      <c r="G53" s="22" t="s">
        <v>808</v>
      </c>
      <c r="H53" s="22" t="s">
        <v>809</v>
      </c>
      <c r="I53" s="30" t="s">
        <v>822</v>
      </c>
      <c r="J53" s="29" t="s">
        <v>823</v>
      </c>
      <c r="K53" s="31" t="n">
        <v>1.11</v>
      </c>
      <c r="L53" s="27" t="s">
        <v>686</v>
      </c>
      <c r="M53" s="24" t="s">
        <v>819</v>
      </c>
      <c r="N53" s="25"/>
    </row>
    <row r="54" customFormat="false" ht="67.5" hidden="false" customHeight="true" outlineLevel="0" collapsed="false">
      <c r="A54" s="19" t="s">
        <v>824</v>
      </c>
      <c r="B54" s="20" t="s">
        <v>653</v>
      </c>
      <c r="C54" s="20" t="s">
        <v>653</v>
      </c>
      <c r="D54" s="20" t="s">
        <v>623</v>
      </c>
      <c r="E54" s="21" t="s">
        <v>825</v>
      </c>
      <c r="F54" s="22" t="s">
        <v>686</v>
      </c>
      <c r="G54" s="22" t="s">
        <v>808</v>
      </c>
      <c r="H54" s="22" t="s">
        <v>809</v>
      </c>
      <c r="I54" s="30" t="s">
        <v>826</v>
      </c>
      <c r="J54" s="29" t="s">
        <v>827</v>
      </c>
      <c r="K54" s="31" t="n">
        <v>1.11</v>
      </c>
      <c r="L54" s="27" t="s">
        <v>686</v>
      </c>
      <c r="M54" s="24" t="s">
        <v>819</v>
      </c>
      <c r="N54" s="25"/>
    </row>
    <row r="55" customFormat="false" ht="135" hidden="false" customHeight="true" outlineLevel="0" collapsed="false">
      <c r="A55" s="19" t="s">
        <v>828</v>
      </c>
      <c r="B55" s="20" t="s">
        <v>653</v>
      </c>
      <c r="C55" s="20" t="s">
        <v>653</v>
      </c>
      <c r="D55" s="20" t="s">
        <v>623</v>
      </c>
      <c r="E55" s="21" t="s">
        <v>341</v>
      </c>
      <c r="F55" s="22" t="s">
        <v>686</v>
      </c>
      <c r="G55" s="22" t="s">
        <v>808</v>
      </c>
      <c r="H55" s="22" t="s">
        <v>809</v>
      </c>
      <c r="I55" s="30" t="s">
        <v>829</v>
      </c>
      <c r="J55" s="29" t="s">
        <v>641</v>
      </c>
      <c r="K55" s="31" t="n">
        <v>3.33</v>
      </c>
      <c r="L55" s="27" t="s">
        <v>686</v>
      </c>
      <c r="M55" s="24" t="s">
        <v>830</v>
      </c>
      <c r="N55" s="25"/>
    </row>
    <row r="56" customFormat="false" ht="67.5" hidden="false" customHeight="true" outlineLevel="0" collapsed="false">
      <c r="A56" s="19" t="s">
        <v>831</v>
      </c>
      <c r="B56" s="20" t="s">
        <v>653</v>
      </c>
      <c r="C56" s="20" t="s">
        <v>653</v>
      </c>
      <c r="D56" s="20" t="s">
        <v>623</v>
      </c>
      <c r="E56" s="21" t="s">
        <v>832</v>
      </c>
      <c r="F56" s="22" t="s">
        <v>686</v>
      </c>
      <c r="G56" s="22" t="s">
        <v>808</v>
      </c>
      <c r="H56" s="22" t="s">
        <v>809</v>
      </c>
      <c r="I56" s="30" t="s">
        <v>817</v>
      </c>
      <c r="J56" s="29" t="s">
        <v>818</v>
      </c>
      <c r="K56" s="31" t="n">
        <v>1.11</v>
      </c>
      <c r="L56" s="27" t="s">
        <v>686</v>
      </c>
      <c r="M56" s="24" t="s">
        <v>819</v>
      </c>
      <c r="N56" s="25"/>
    </row>
    <row r="57" customFormat="false" ht="67.5" hidden="false" customHeight="true" outlineLevel="0" collapsed="false">
      <c r="A57" s="19" t="s">
        <v>833</v>
      </c>
      <c r="B57" s="20" t="s">
        <v>653</v>
      </c>
      <c r="C57" s="20" t="s">
        <v>653</v>
      </c>
      <c r="D57" s="20" t="s">
        <v>623</v>
      </c>
      <c r="E57" s="21" t="s">
        <v>834</v>
      </c>
      <c r="F57" s="22" t="s">
        <v>686</v>
      </c>
      <c r="G57" s="22" t="s">
        <v>808</v>
      </c>
      <c r="H57" s="22" t="s">
        <v>809</v>
      </c>
      <c r="I57" s="30" t="s">
        <v>822</v>
      </c>
      <c r="J57" s="29" t="s">
        <v>823</v>
      </c>
      <c r="K57" s="31" t="n">
        <v>1.11</v>
      </c>
      <c r="L57" s="27" t="s">
        <v>686</v>
      </c>
      <c r="M57" s="24" t="s">
        <v>819</v>
      </c>
      <c r="N57" s="25"/>
    </row>
    <row r="58" customFormat="false" ht="67.5" hidden="false" customHeight="true" outlineLevel="0" collapsed="false">
      <c r="A58" s="19" t="s">
        <v>835</v>
      </c>
      <c r="B58" s="20" t="s">
        <v>653</v>
      </c>
      <c r="C58" s="20" t="s">
        <v>653</v>
      </c>
      <c r="D58" s="20" t="s">
        <v>623</v>
      </c>
      <c r="E58" s="21" t="s">
        <v>836</v>
      </c>
      <c r="F58" s="22" t="s">
        <v>686</v>
      </c>
      <c r="G58" s="22" t="s">
        <v>808</v>
      </c>
      <c r="H58" s="22" t="s">
        <v>809</v>
      </c>
      <c r="I58" s="30" t="s">
        <v>826</v>
      </c>
      <c r="J58" s="29" t="s">
        <v>827</v>
      </c>
      <c r="K58" s="31" t="n">
        <v>1.11</v>
      </c>
      <c r="L58" s="27" t="s">
        <v>686</v>
      </c>
      <c r="M58" s="24" t="s">
        <v>819</v>
      </c>
      <c r="N58" s="25"/>
    </row>
    <row r="59" customFormat="false" ht="81" hidden="false" customHeight="true" outlineLevel="0" collapsed="false">
      <c r="A59" s="19" t="s">
        <v>837</v>
      </c>
      <c r="B59" s="20" t="s">
        <v>653</v>
      </c>
      <c r="C59" s="20" t="s">
        <v>653</v>
      </c>
      <c r="D59" s="20" t="s">
        <v>623</v>
      </c>
      <c r="E59" s="21" t="s">
        <v>348</v>
      </c>
      <c r="F59" s="22" t="s">
        <v>686</v>
      </c>
      <c r="G59" s="22" t="s">
        <v>808</v>
      </c>
      <c r="H59" s="22" t="s">
        <v>809</v>
      </c>
      <c r="I59" s="30" t="s">
        <v>838</v>
      </c>
      <c r="J59" s="29" t="s">
        <v>641</v>
      </c>
      <c r="K59" s="31" t="n">
        <v>3.33</v>
      </c>
      <c r="L59" s="27" t="s">
        <v>686</v>
      </c>
      <c r="M59" s="24" t="s">
        <v>839</v>
      </c>
      <c r="N59" s="25"/>
    </row>
    <row r="60" customFormat="false" ht="67.5" hidden="false" customHeight="true" outlineLevel="0" collapsed="false">
      <c r="A60" s="19" t="s">
        <v>840</v>
      </c>
      <c r="B60" s="20" t="s">
        <v>653</v>
      </c>
      <c r="C60" s="20" t="s">
        <v>653</v>
      </c>
      <c r="D60" s="20" t="s">
        <v>623</v>
      </c>
      <c r="E60" s="21" t="s">
        <v>841</v>
      </c>
      <c r="F60" s="22" t="s">
        <v>686</v>
      </c>
      <c r="G60" s="22" t="s">
        <v>808</v>
      </c>
      <c r="H60" s="22" t="s">
        <v>809</v>
      </c>
      <c r="I60" s="30" t="s">
        <v>817</v>
      </c>
      <c r="J60" s="29" t="s">
        <v>818</v>
      </c>
      <c r="K60" s="31" t="n">
        <v>1.11</v>
      </c>
      <c r="L60" s="27" t="s">
        <v>686</v>
      </c>
      <c r="M60" s="24" t="s">
        <v>819</v>
      </c>
      <c r="N60" s="25"/>
    </row>
    <row r="61" customFormat="false" ht="67.5" hidden="false" customHeight="true" outlineLevel="0" collapsed="false">
      <c r="A61" s="19" t="s">
        <v>842</v>
      </c>
      <c r="B61" s="20" t="s">
        <v>653</v>
      </c>
      <c r="C61" s="20" t="s">
        <v>653</v>
      </c>
      <c r="D61" s="20" t="s">
        <v>623</v>
      </c>
      <c r="E61" s="21" t="s">
        <v>843</v>
      </c>
      <c r="F61" s="22" t="s">
        <v>686</v>
      </c>
      <c r="G61" s="22" t="s">
        <v>808</v>
      </c>
      <c r="H61" s="22" t="s">
        <v>809</v>
      </c>
      <c r="I61" s="30" t="s">
        <v>822</v>
      </c>
      <c r="J61" s="29" t="s">
        <v>823</v>
      </c>
      <c r="K61" s="31" t="n">
        <v>1.11</v>
      </c>
      <c r="L61" s="27" t="s">
        <v>686</v>
      </c>
      <c r="M61" s="24" t="s">
        <v>819</v>
      </c>
      <c r="N61" s="25"/>
    </row>
    <row r="62" customFormat="false" ht="67.5" hidden="false" customHeight="true" outlineLevel="0" collapsed="false">
      <c r="A62" s="19" t="s">
        <v>844</v>
      </c>
      <c r="B62" s="20" t="s">
        <v>653</v>
      </c>
      <c r="C62" s="20" t="s">
        <v>653</v>
      </c>
      <c r="D62" s="20" t="s">
        <v>623</v>
      </c>
      <c r="E62" s="21" t="s">
        <v>845</v>
      </c>
      <c r="F62" s="22" t="s">
        <v>686</v>
      </c>
      <c r="G62" s="22" t="s">
        <v>808</v>
      </c>
      <c r="H62" s="22" t="s">
        <v>809</v>
      </c>
      <c r="I62" s="30" t="s">
        <v>826</v>
      </c>
      <c r="J62" s="29" t="s">
        <v>827</v>
      </c>
      <c r="K62" s="31" t="n">
        <v>1.11</v>
      </c>
      <c r="L62" s="27" t="s">
        <v>686</v>
      </c>
      <c r="M62" s="24" t="s">
        <v>819</v>
      </c>
      <c r="N62" s="25"/>
    </row>
    <row r="63" customFormat="false" ht="40.5" hidden="false" customHeight="true" outlineLevel="0" collapsed="false">
      <c r="A63" s="19" t="s">
        <v>846</v>
      </c>
      <c r="B63" s="20" t="s">
        <v>699</v>
      </c>
      <c r="C63" s="20" t="s">
        <v>653</v>
      </c>
      <c r="D63" s="20" t="s">
        <v>623</v>
      </c>
      <c r="E63" s="21" t="s">
        <v>847</v>
      </c>
      <c r="F63" s="22" t="s">
        <v>686</v>
      </c>
      <c r="G63" s="22" t="s">
        <v>808</v>
      </c>
      <c r="H63" s="22" t="s">
        <v>848</v>
      </c>
      <c r="I63" s="27" t="s">
        <v>849</v>
      </c>
      <c r="J63" s="19" t="s">
        <v>627</v>
      </c>
      <c r="K63" s="23" t="n">
        <v>10</v>
      </c>
      <c r="L63" s="27" t="s">
        <v>686</v>
      </c>
      <c r="M63" s="24" t="s">
        <v>653</v>
      </c>
      <c r="N63" s="25"/>
    </row>
    <row r="64" customFormat="false" ht="108" hidden="false" customHeight="true" outlineLevel="0" collapsed="false">
      <c r="A64" s="29" t="s">
        <v>850</v>
      </c>
      <c r="B64" s="30" t="s">
        <v>287</v>
      </c>
      <c r="C64" s="30" t="s">
        <v>653</v>
      </c>
      <c r="D64" s="20" t="s">
        <v>623</v>
      </c>
      <c r="E64" s="21" t="s">
        <v>352</v>
      </c>
      <c r="F64" s="22" t="s">
        <v>686</v>
      </c>
      <c r="G64" s="22" t="s">
        <v>808</v>
      </c>
      <c r="H64" s="22" t="s">
        <v>848</v>
      </c>
      <c r="I64" s="30" t="s">
        <v>851</v>
      </c>
      <c r="J64" s="29" t="s">
        <v>641</v>
      </c>
      <c r="K64" s="23" t="n">
        <v>3.33</v>
      </c>
      <c r="L64" s="20" t="s">
        <v>686</v>
      </c>
      <c r="M64" s="24" t="s">
        <v>852</v>
      </c>
      <c r="N64" s="25" t="s">
        <v>853</v>
      </c>
    </row>
    <row r="65" customFormat="false" ht="135" hidden="false" customHeight="true" outlineLevel="0" collapsed="false">
      <c r="A65" s="29" t="s">
        <v>854</v>
      </c>
      <c r="B65" s="30" t="s">
        <v>295</v>
      </c>
      <c r="C65" s="30" t="s">
        <v>653</v>
      </c>
      <c r="D65" s="20" t="s">
        <v>623</v>
      </c>
      <c r="E65" s="21" t="s">
        <v>364</v>
      </c>
      <c r="F65" s="22" t="s">
        <v>686</v>
      </c>
      <c r="G65" s="22" t="s">
        <v>808</v>
      </c>
      <c r="H65" s="22" t="s">
        <v>848</v>
      </c>
      <c r="I65" s="30" t="s">
        <v>855</v>
      </c>
      <c r="J65" s="29" t="s">
        <v>641</v>
      </c>
      <c r="K65" s="23" t="n">
        <v>3.33</v>
      </c>
      <c r="L65" s="20" t="s">
        <v>686</v>
      </c>
      <c r="M65" s="24" t="s">
        <v>856</v>
      </c>
      <c r="N65" s="25"/>
    </row>
    <row r="66" customFormat="false" ht="40.5" hidden="false" customHeight="true" outlineLevel="0" collapsed="false">
      <c r="A66" s="29" t="s">
        <v>857</v>
      </c>
      <c r="B66" s="30" t="s">
        <v>653</v>
      </c>
      <c r="C66" s="30" t="s">
        <v>653</v>
      </c>
      <c r="D66" s="20" t="s">
        <v>623</v>
      </c>
      <c r="E66" s="21" t="s">
        <v>372</v>
      </c>
      <c r="F66" s="22" t="s">
        <v>686</v>
      </c>
      <c r="G66" s="22" t="s">
        <v>808</v>
      </c>
      <c r="H66" s="22" t="s">
        <v>848</v>
      </c>
      <c r="I66" s="30" t="s">
        <v>838</v>
      </c>
      <c r="J66" s="29" t="s">
        <v>641</v>
      </c>
      <c r="K66" s="23" t="n">
        <v>3.33</v>
      </c>
      <c r="L66" s="27" t="s">
        <v>686</v>
      </c>
      <c r="M66" s="24" t="s">
        <v>858</v>
      </c>
      <c r="N66" s="25"/>
    </row>
    <row r="67" customFormat="false" ht="40.5" hidden="false" customHeight="true" outlineLevel="0" collapsed="false">
      <c r="A67" s="19" t="s">
        <v>859</v>
      </c>
      <c r="B67" s="20" t="s">
        <v>788</v>
      </c>
      <c r="C67" s="20" t="s">
        <v>653</v>
      </c>
      <c r="D67" s="20" t="s">
        <v>623</v>
      </c>
      <c r="E67" s="21" t="s">
        <v>860</v>
      </c>
      <c r="F67" s="22" t="s">
        <v>686</v>
      </c>
      <c r="G67" s="22" t="s">
        <v>808</v>
      </c>
      <c r="H67" s="22" t="s">
        <v>861</v>
      </c>
      <c r="I67" s="27" t="s">
        <v>862</v>
      </c>
      <c r="J67" s="19" t="s">
        <v>627</v>
      </c>
      <c r="K67" s="23" t="n">
        <v>10</v>
      </c>
      <c r="L67" s="20" t="s">
        <v>686</v>
      </c>
      <c r="M67" s="24" t="s">
        <v>653</v>
      </c>
      <c r="N67" s="25"/>
    </row>
    <row r="68" customFormat="false" ht="216" hidden="false" customHeight="true" outlineLevel="0" collapsed="false">
      <c r="A68" s="19" t="s">
        <v>863</v>
      </c>
      <c r="B68" s="20" t="s">
        <v>653</v>
      </c>
      <c r="C68" s="20" t="s">
        <v>653</v>
      </c>
      <c r="D68" s="20" t="s">
        <v>623</v>
      </c>
      <c r="E68" s="21" t="s">
        <v>380</v>
      </c>
      <c r="F68" s="22" t="s">
        <v>686</v>
      </c>
      <c r="G68" s="22" t="s">
        <v>808</v>
      </c>
      <c r="H68" s="22" t="s">
        <v>861</v>
      </c>
      <c r="I68" s="30" t="s">
        <v>864</v>
      </c>
      <c r="J68" s="29" t="s">
        <v>641</v>
      </c>
      <c r="K68" s="23" t="n">
        <v>3.33</v>
      </c>
      <c r="L68" s="27" t="s">
        <v>686</v>
      </c>
      <c r="M68" s="24" t="s">
        <v>865</v>
      </c>
      <c r="N68" s="25"/>
    </row>
    <row r="69" customFormat="false" ht="148.5" hidden="false" customHeight="true" outlineLevel="0" collapsed="false">
      <c r="A69" s="19" t="s">
        <v>866</v>
      </c>
      <c r="B69" s="20" t="s">
        <v>653</v>
      </c>
      <c r="C69" s="20" t="s">
        <v>653</v>
      </c>
      <c r="D69" s="20" t="s">
        <v>623</v>
      </c>
      <c r="E69" s="21" t="s">
        <v>386</v>
      </c>
      <c r="F69" s="22" t="s">
        <v>686</v>
      </c>
      <c r="G69" s="22" t="s">
        <v>808</v>
      </c>
      <c r="H69" s="22" t="s">
        <v>861</v>
      </c>
      <c r="I69" s="30" t="s">
        <v>855</v>
      </c>
      <c r="J69" s="29" t="s">
        <v>641</v>
      </c>
      <c r="K69" s="23" t="n">
        <v>3.33</v>
      </c>
      <c r="L69" s="27" t="s">
        <v>686</v>
      </c>
      <c r="M69" s="24" t="s">
        <v>867</v>
      </c>
      <c r="N69" s="25"/>
    </row>
    <row r="70" customFormat="false" ht="162" hidden="false" customHeight="true" outlineLevel="0" collapsed="false">
      <c r="A70" s="19" t="s">
        <v>868</v>
      </c>
      <c r="B70" s="20" t="s">
        <v>653</v>
      </c>
      <c r="C70" s="20" t="s">
        <v>653</v>
      </c>
      <c r="D70" s="20" t="s">
        <v>623</v>
      </c>
      <c r="E70" s="21" t="s">
        <v>392</v>
      </c>
      <c r="F70" s="22" t="s">
        <v>686</v>
      </c>
      <c r="G70" s="22" t="s">
        <v>808</v>
      </c>
      <c r="H70" s="22" t="s">
        <v>861</v>
      </c>
      <c r="I70" s="30" t="s">
        <v>838</v>
      </c>
      <c r="J70" s="29" t="s">
        <v>641</v>
      </c>
      <c r="K70" s="23" t="n">
        <v>3.33</v>
      </c>
      <c r="L70" s="27" t="s">
        <v>686</v>
      </c>
      <c r="M70" s="24" t="s">
        <v>869</v>
      </c>
      <c r="N70" s="25"/>
    </row>
    <row r="71" customFormat="false" ht="40.5" hidden="false" customHeight="true" outlineLevel="0" collapsed="false">
      <c r="A71" s="19" t="s">
        <v>870</v>
      </c>
      <c r="B71" s="20" t="s">
        <v>653</v>
      </c>
      <c r="C71" s="20" t="s">
        <v>653</v>
      </c>
      <c r="D71" s="20" t="s">
        <v>623</v>
      </c>
      <c r="E71" s="21" t="s">
        <v>871</v>
      </c>
      <c r="F71" s="22" t="s">
        <v>686</v>
      </c>
      <c r="G71" s="22" t="s">
        <v>808</v>
      </c>
      <c r="H71" s="22" t="s">
        <v>872</v>
      </c>
      <c r="I71" s="27" t="s">
        <v>873</v>
      </c>
      <c r="J71" s="19" t="s">
        <v>627</v>
      </c>
      <c r="K71" s="23" t="n">
        <v>10</v>
      </c>
      <c r="L71" s="27" t="s">
        <v>686</v>
      </c>
      <c r="M71" s="24" t="s">
        <v>653</v>
      </c>
      <c r="N71" s="25"/>
    </row>
    <row r="72" customFormat="false" ht="202.5" hidden="false" customHeight="true" outlineLevel="0" collapsed="false">
      <c r="A72" s="19" t="s">
        <v>874</v>
      </c>
      <c r="B72" s="20" t="s">
        <v>653</v>
      </c>
      <c r="C72" s="20" t="s">
        <v>653</v>
      </c>
      <c r="D72" s="20" t="s">
        <v>623</v>
      </c>
      <c r="E72" s="21" t="s">
        <v>396</v>
      </c>
      <c r="F72" s="22" t="s">
        <v>686</v>
      </c>
      <c r="G72" s="22" t="s">
        <v>808</v>
      </c>
      <c r="H72" s="22" t="s">
        <v>872</v>
      </c>
      <c r="I72" s="30" t="s">
        <v>875</v>
      </c>
      <c r="J72" s="29" t="s">
        <v>641</v>
      </c>
      <c r="K72" s="23" t="n">
        <v>3.33</v>
      </c>
      <c r="L72" s="20" t="s">
        <v>686</v>
      </c>
      <c r="M72" s="24" t="s">
        <v>876</v>
      </c>
      <c r="N72" s="25"/>
    </row>
    <row r="73" customFormat="false" ht="162" hidden="false" customHeight="true" outlineLevel="0" collapsed="false">
      <c r="A73" s="19" t="s">
        <v>877</v>
      </c>
      <c r="B73" s="20" t="s">
        <v>653</v>
      </c>
      <c r="C73" s="20" t="s">
        <v>653</v>
      </c>
      <c r="D73" s="20" t="s">
        <v>623</v>
      </c>
      <c r="E73" s="21" t="s">
        <v>404</v>
      </c>
      <c r="F73" s="22" t="s">
        <v>686</v>
      </c>
      <c r="G73" s="22" t="s">
        <v>808</v>
      </c>
      <c r="H73" s="22" t="s">
        <v>872</v>
      </c>
      <c r="I73" s="30" t="s">
        <v>855</v>
      </c>
      <c r="J73" s="29" t="s">
        <v>641</v>
      </c>
      <c r="K73" s="23" t="n">
        <v>3.33</v>
      </c>
      <c r="L73" s="20" t="s">
        <v>686</v>
      </c>
      <c r="M73" s="24" t="s">
        <v>878</v>
      </c>
      <c r="N73" s="25"/>
    </row>
    <row r="74" customFormat="false" ht="148.5" hidden="false" customHeight="true" outlineLevel="0" collapsed="false">
      <c r="A74" s="19" t="s">
        <v>879</v>
      </c>
      <c r="B74" s="20" t="s">
        <v>653</v>
      </c>
      <c r="C74" s="20" t="s">
        <v>653</v>
      </c>
      <c r="D74" s="20" t="s">
        <v>623</v>
      </c>
      <c r="E74" s="21" t="s">
        <v>410</v>
      </c>
      <c r="F74" s="22" t="s">
        <v>686</v>
      </c>
      <c r="G74" s="22" t="s">
        <v>808</v>
      </c>
      <c r="H74" s="22" t="s">
        <v>872</v>
      </c>
      <c r="I74" s="30" t="s">
        <v>838</v>
      </c>
      <c r="J74" s="29" t="s">
        <v>641</v>
      </c>
      <c r="K74" s="23" t="n">
        <v>3.33</v>
      </c>
      <c r="L74" s="20" t="s">
        <v>686</v>
      </c>
      <c r="M74" s="24" t="s">
        <v>880</v>
      </c>
      <c r="N74" s="25"/>
    </row>
    <row r="75" customFormat="false" ht="40.5" hidden="false" customHeight="true" outlineLevel="0" collapsed="false">
      <c r="A75" s="19" t="s">
        <v>881</v>
      </c>
      <c r="B75" s="20" t="s">
        <v>653</v>
      </c>
      <c r="C75" s="20" t="s">
        <v>653</v>
      </c>
      <c r="D75" s="20" t="s">
        <v>623</v>
      </c>
      <c r="E75" s="21" t="s">
        <v>772</v>
      </c>
      <c r="F75" s="21" t="s">
        <v>686</v>
      </c>
      <c r="G75" s="22" t="s">
        <v>882</v>
      </c>
      <c r="H75" s="22" t="s">
        <v>882</v>
      </c>
      <c r="I75" s="48" t="s">
        <v>883</v>
      </c>
      <c r="J75" s="29" t="s">
        <v>627</v>
      </c>
      <c r="K75" s="23" t="n">
        <v>10</v>
      </c>
      <c r="L75" s="20" t="s">
        <v>686</v>
      </c>
      <c r="M75" s="24" t="s">
        <v>811</v>
      </c>
      <c r="N75" s="25"/>
    </row>
    <row r="76" customFormat="false" ht="175.5" hidden="false" customHeight="true" outlineLevel="0" collapsed="false">
      <c r="A76" s="19" t="s">
        <v>884</v>
      </c>
      <c r="B76" s="20" t="s">
        <v>653</v>
      </c>
      <c r="C76" s="20" t="s">
        <v>653</v>
      </c>
      <c r="D76" s="20" t="s">
        <v>623</v>
      </c>
      <c r="E76" s="21" t="s">
        <v>416</v>
      </c>
      <c r="F76" s="21" t="s">
        <v>686</v>
      </c>
      <c r="G76" s="22" t="s">
        <v>882</v>
      </c>
      <c r="H76" s="22" t="s">
        <v>882</v>
      </c>
      <c r="I76" s="21" t="s">
        <v>885</v>
      </c>
      <c r="J76" s="29" t="s">
        <v>641</v>
      </c>
      <c r="K76" s="23" t="n">
        <v>5</v>
      </c>
      <c r="L76" s="20" t="s">
        <v>686</v>
      </c>
      <c r="M76" s="24" t="s">
        <v>886</v>
      </c>
      <c r="N76" s="25" t="s">
        <v>887</v>
      </c>
    </row>
    <row r="77" customFormat="false" ht="121.5" hidden="false" customHeight="true" outlineLevel="0" collapsed="false">
      <c r="A77" s="19" t="s">
        <v>888</v>
      </c>
      <c r="B77" s="20" t="s">
        <v>653</v>
      </c>
      <c r="C77" s="20" t="s">
        <v>653</v>
      </c>
      <c r="D77" s="20" t="s">
        <v>623</v>
      </c>
      <c r="E77" s="21" t="s">
        <v>423</v>
      </c>
      <c r="F77" s="21" t="s">
        <v>686</v>
      </c>
      <c r="G77" s="22" t="s">
        <v>882</v>
      </c>
      <c r="H77" s="22" t="s">
        <v>882</v>
      </c>
      <c r="I77" s="30" t="s">
        <v>889</v>
      </c>
      <c r="J77" s="29" t="s">
        <v>641</v>
      </c>
      <c r="K77" s="23" t="n">
        <v>5</v>
      </c>
      <c r="L77" s="20" t="s">
        <v>686</v>
      </c>
      <c r="M77" s="24" t="s">
        <v>890</v>
      </c>
      <c r="N77" s="25" t="s">
        <v>891</v>
      </c>
    </row>
    <row r="78" customFormat="false" ht="40.5" hidden="false" customHeight="true" outlineLevel="0" collapsed="false">
      <c r="A78" s="42" t="s">
        <v>892</v>
      </c>
      <c r="B78" s="41" t="s">
        <v>653</v>
      </c>
      <c r="C78" s="41" t="s">
        <v>653</v>
      </c>
      <c r="D78" s="20" t="s">
        <v>623</v>
      </c>
      <c r="E78" s="21" t="s">
        <v>776</v>
      </c>
      <c r="F78" s="21" t="s">
        <v>686</v>
      </c>
      <c r="G78" s="22" t="s">
        <v>882</v>
      </c>
      <c r="H78" s="22" t="s">
        <v>882</v>
      </c>
      <c r="I78" s="27" t="s">
        <v>893</v>
      </c>
      <c r="J78" s="42" t="s">
        <v>627</v>
      </c>
      <c r="K78" s="43" t="n">
        <v>10</v>
      </c>
      <c r="L78" s="41" t="s">
        <v>686</v>
      </c>
      <c r="M78" s="24" t="s">
        <v>894</v>
      </c>
      <c r="N78" s="25"/>
    </row>
    <row r="79" customFormat="false" ht="148.5" hidden="false" customHeight="true" outlineLevel="0" collapsed="false">
      <c r="A79" s="42" t="s">
        <v>895</v>
      </c>
      <c r="B79" s="41" t="s">
        <v>653</v>
      </c>
      <c r="C79" s="41" t="s">
        <v>653</v>
      </c>
      <c r="D79" s="20" t="s">
        <v>623</v>
      </c>
      <c r="E79" s="21" t="s">
        <v>427</v>
      </c>
      <c r="F79" s="21" t="s">
        <v>686</v>
      </c>
      <c r="G79" s="22" t="s">
        <v>882</v>
      </c>
      <c r="H79" s="22" t="s">
        <v>896</v>
      </c>
      <c r="I79" s="49" t="s">
        <v>897</v>
      </c>
      <c r="J79" s="42" t="s">
        <v>641</v>
      </c>
      <c r="K79" s="43" t="n">
        <v>2.5</v>
      </c>
      <c r="L79" s="41" t="s">
        <v>686</v>
      </c>
      <c r="M79" s="24" t="s">
        <v>898</v>
      </c>
      <c r="N79" s="25"/>
    </row>
    <row r="80" customFormat="false" ht="135" hidden="false" customHeight="true" outlineLevel="0" collapsed="false">
      <c r="A80" s="42" t="s">
        <v>899</v>
      </c>
      <c r="B80" s="41" t="s">
        <v>653</v>
      </c>
      <c r="C80" s="41" t="s">
        <v>653</v>
      </c>
      <c r="D80" s="20" t="s">
        <v>623</v>
      </c>
      <c r="E80" s="21" t="s">
        <v>440</v>
      </c>
      <c r="F80" s="21" t="s">
        <v>686</v>
      </c>
      <c r="G80" s="22" t="s">
        <v>900</v>
      </c>
      <c r="H80" s="22" t="s">
        <v>901</v>
      </c>
      <c r="I80" s="30" t="s">
        <v>902</v>
      </c>
      <c r="J80" s="42" t="s">
        <v>641</v>
      </c>
      <c r="K80" s="43" t="n">
        <v>2.5</v>
      </c>
      <c r="L80" s="41" t="s">
        <v>686</v>
      </c>
      <c r="M80" s="24" t="s">
        <v>903</v>
      </c>
      <c r="N80" s="25"/>
    </row>
    <row r="81" customFormat="false" ht="135" hidden="false" customHeight="true" outlineLevel="0" collapsed="false">
      <c r="A81" s="42" t="s">
        <v>904</v>
      </c>
      <c r="B81" s="41" t="s">
        <v>653</v>
      </c>
      <c r="C81" s="41" t="s">
        <v>653</v>
      </c>
      <c r="D81" s="20" t="s">
        <v>623</v>
      </c>
      <c r="E81" s="21" t="s">
        <v>447</v>
      </c>
      <c r="F81" s="21" t="s">
        <v>686</v>
      </c>
      <c r="G81" s="22" t="s">
        <v>900</v>
      </c>
      <c r="H81" s="22" t="s">
        <v>905</v>
      </c>
      <c r="I81" s="49" t="s">
        <v>906</v>
      </c>
      <c r="J81" s="42" t="s">
        <v>641</v>
      </c>
      <c r="K81" s="43" t="n">
        <v>2.5</v>
      </c>
      <c r="L81" s="41" t="s">
        <v>686</v>
      </c>
      <c r="M81" s="24" t="s">
        <v>907</v>
      </c>
      <c r="N81" s="25"/>
    </row>
    <row r="82" customFormat="false" ht="135" hidden="false" customHeight="true" outlineLevel="0" collapsed="false">
      <c r="A82" s="42" t="s">
        <v>908</v>
      </c>
      <c r="B82" s="41" t="s">
        <v>653</v>
      </c>
      <c r="C82" s="41" t="s">
        <v>653</v>
      </c>
      <c r="D82" s="20" t="s">
        <v>623</v>
      </c>
      <c r="E82" s="21" t="s">
        <v>451</v>
      </c>
      <c r="F82" s="21" t="s">
        <v>686</v>
      </c>
      <c r="G82" s="22" t="s">
        <v>900</v>
      </c>
      <c r="H82" s="22" t="s">
        <v>909</v>
      </c>
      <c r="I82" s="49" t="s">
        <v>910</v>
      </c>
      <c r="J82" s="42" t="s">
        <v>641</v>
      </c>
      <c r="K82" s="43" t="n">
        <v>2.5</v>
      </c>
      <c r="L82" s="41" t="s">
        <v>686</v>
      </c>
      <c r="M82" s="24" t="s">
        <v>911</v>
      </c>
      <c r="N82" s="25"/>
    </row>
    <row r="83" customFormat="false" ht="54" hidden="false" customHeight="true" outlineLevel="0" collapsed="false">
      <c r="A83" s="19" t="s">
        <v>912</v>
      </c>
      <c r="B83" s="20" t="s">
        <v>807</v>
      </c>
      <c r="C83" s="20" t="s">
        <v>172</v>
      </c>
      <c r="D83" s="20" t="s">
        <v>623</v>
      </c>
      <c r="E83" s="21" t="s">
        <v>786</v>
      </c>
      <c r="F83" s="22" t="s">
        <v>686</v>
      </c>
      <c r="G83" s="22" t="s">
        <v>913</v>
      </c>
      <c r="H83" s="22" t="s">
        <v>914</v>
      </c>
      <c r="I83" s="27" t="s">
        <v>915</v>
      </c>
      <c r="J83" s="19" t="s">
        <v>627</v>
      </c>
      <c r="K83" s="23" t="n">
        <v>10</v>
      </c>
      <c r="L83" s="20" t="s">
        <v>628</v>
      </c>
      <c r="M83" s="24" t="s">
        <v>811</v>
      </c>
      <c r="N83" s="25"/>
    </row>
    <row r="84" customFormat="false" ht="283.5" hidden="false" customHeight="true" outlineLevel="0" collapsed="false">
      <c r="A84" s="19" t="s">
        <v>916</v>
      </c>
      <c r="B84" s="20" t="s">
        <v>653</v>
      </c>
      <c r="C84" s="20" t="s">
        <v>653</v>
      </c>
      <c r="D84" s="20" t="s">
        <v>623</v>
      </c>
      <c r="E84" s="21" t="s">
        <v>457</v>
      </c>
      <c r="F84" s="22" t="s">
        <v>686</v>
      </c>
      <c r="G84" s="22" t="s">
        <v>913</v>
      </c>
      <c r="H84" s="22" t="s">
        <v>914</v>
      </c>
      <c r="I84" s="30" t="s">
        <v>917</v>
      </c>
      <c r="J84" s="19" t="s">
        <v>641</v>
      </c>
      <c r="K84" s="23" t="n">
        <v>5</v>
      </c>
      <c r="L84" s="27" t="s">
        <v>628</v>
      </c>
      <c r="M84" s="24" t="s">
        <v>918</v>
      </c>
      <c r="N84" s="25"/>
    </row>
    <row r="85" customFormat="false" ht="391.5" hidden="false" customHeight="true" outlineLevel="0" collapsed="false">
      <c r="A85" s="19" t="s">
        <v>919</v>
      </c>
      <c r="B85" s="20" t="s">
        <v>653</v>
      </c>
      <c r="C85" s="20" t="s">
        <v>653</v>
      </c>
      <c r="D85" s="20" t="s">
        <v>623</v>
      </c>
      <c r="E85" s="21" t="s">
        <v>469</v>
      </c>
      <c r="F85" s="22" t="s">
        <v>686</v>
      </c>
      <c r="G85" s="22" t="s">
        <v>913</v>
      </c>
      <c r="H85" s="22" t="s">
        <v>914</v>
      </c>
      <c r="I85" s="30" t="s">
        <v>920</v>
      </c>
      <c r="J85" s="19" t="s">
        <v>641</v>
      </c>
      <c r="K85" s="23" t="n">
        <v>5</v>
      </c>
      <c r="L85" s="27" t="s">
        <v>686</v>
      </c>
      <c r="M85" s="24" t="s">
        <v>921</v>
      </c>
      <c r="N85" s="25"/>
    </row>
    <row r="86" customFormat="false" ht="40.5" hidden="false" customHeight="true" outlineLevel="0" collapsed="false">
      <c r="A86" s="19" t="s">
        <v>922</v>
      </c>
      <c r="B86" s="20" t="s">
        <v>653</v>
      </c>
      <c r="C86" s="20" t="s">
        <v>653</v>
      </c>
      <c r="D86" s="20" t="s">
        <v>623</v>
      </c>
      <c r="E86" s="21" t="s">
        <v>923</v>
      </c>
      <c r="F86" s="22" t="s">
        <v>686</v>
      </c>
      <c r="G86" s="22" t="s">
        <v>913</v>
      </c>
      <c r="H86" s="22" t="s">
        <v>924</v>
      </c>
      <c r="I86" s="20" t="s">
        <v>925</v>
      </c>
      <c r="J86" s="26" t="s">
        <v>627</v>
      </c>
      <c r="K86" s="28" t="n">
        <v>10</v>
      </c>
      <c r="L86" s="27" t="s">
        <v>686</v>
      </c>
      <c r="M86" s="24" t="s">
        <v>811</v>
      </c>
      <c r="N86" s="25"/>
    </row>
    <row r="87" customFormat="false" ht="148.5" hidden="false" customHeight="true" outlineLevel="0" collapsed="false">
      <c r="A87" s="19" t="s">
        <v>926</v>
      </c>
      <c r="B87" s="20" t="s">
        <v>653</v>
      </c>
      <c r="C87" s="20" t="s">
        <v>653</v>
      </c>
      <c r="D87" s="20" t="s">
        <v>623</v>
      </c>
      <c r="E87" s="21" t="s">
        <v>478</v>
      </c>
      <c r="F87" s="22" t="s">
        <v>686</v>
      </c>
      <c r="G87" s="22" t="s">
        <v>913</v>
      </c>
      <c r="H87" s="22" t="s">
        <v>924</v>
      </c>
      <c r="I87" s="20" t="s">
        <v>927</v>
      </c>
      <c r="J87" s="19" t="s">
        <v>641</v>
      </c>
      <c r="K87" s="23" t="n">
        <v>5</v>
      </c>
      <c r="L87" s="20" t="s">
        <v>628</v>
      </c>
      <c r="M87" s="24" t="s">
        <v>928</v>
      </c>
      <c r="N87" s="25"/>
    </row>
    <row r="88" customFormat="false" ht="89.25" hidden="false" customHeight="true" outlineLevel="0" collapsed="false">
      <c r="A88" s="19" t="s">
        <v>929</v>
      </c>
      <c r="B88" s="20" t="s">
        <v>653</v>
      </c>
      <c r="C88" s="20" t="s">
        <v>653</v>
      </c>
      <c r="D88" s="20" t="s">
        <v>623</v>
      </c>
      <c r="E88" s="21" t="s">
        <v>489</v>
      </c>
      <c r="F88" s="22" t="s">
        <v>686</v>
      </c>
      <c r="G88" s="22" t="s">
        <v>913</v>
      </c>
      <c r="H88" s="22" t="s">
        <v>924</v>
      </c>
      <c r="I88" s="20" t="s">
        <v>930</v>
      </c>
      <c r="J88" s="19" t="s">
        <v>641</v>
      </c>
      <c r="K88" s="23" t="n">
        <v>5</v>
      </c>
      <c r="L88" s="20" t="s">
        <v>686</v>
      </c>
      <c r="M88" s="24" t="s">
        <v>931</v>
      </c>
      <c r="N88" s="25" t="s">
        <v>932</v>
      </c>
    </row>
    <row r="89" customFormat="false" ht="135" hidden="false" customHeight="true" outlineLevel="0" collapsed="false">
      <c r="A89" s="42" t="s">
        <v>933</v>
      </c>
      <c r="B89" s="41" t="s">
        <v>653</v>
      </c>
      <c r="C89" s="41" t="s">
        <v>653</v>
      </c>
      <c r="D89" s="20" t="s">
        <v>623</v>
      </c>
      <c r="E89" s="21" t="s">
        <v>501</v>
      </c>
      <c r="F89" s="22" t="s">
        <v>686</v>
      </c>
      <c r="G89" s="22" t="s">
        <v>934</v>
      </c>
      <c r="H89" s="22" t="s">
        <v>935</v>
      </c>
      <c r="I89" s="21" t="s">
        <v>502</v>
      </c>
      <c r="J89" s="50" t="s">
        <v>627</v>
      </c>
      <c r="K89" s="51" t="n">
        <v>10</v>
      </c>
      <c r="L89" s="41" t="s">
        <v>936</v>
      </c>
      <c r="M89" s="24" t="s">
        <v>937</v>
      </c>
      <c r="N89" s="25"/>
    </row>
    <row r="90" s="58" customFormat="true" ht="148.5" hidden="false" customHeight="true" outlineLevel="0" collapsed="false">
      <c r="A90" s="52" t="s">
        <v>938</v>
      </c>
      <c r="B90" s="53" t="s">
        <v>653</v>
      </c>
      <c r="C90" s="53" t="s">
        <v>653</v>
      </c>
      <c r="D90" s="20" t="s">
        <v>623</v>
      </c>
      <c r="E90" s="54" t="s">
        <v>939</v>
      </c>
      <c r="F90" s="22" t="s">
        <v>686</v>
      </c>
      <c r="G90" s="22" t="s">
        <v>934</v>
      </c>
      <c r="H90" s="22" t="s">
        <v>940</v>
      </c>
      <c r="I90" s="22" t="s">
        <v>941</v>
      </c>
      <c r="J90" s="55" t="s">
        <v>627</v>
      </c>
      <c r="K90" s="56" t="n">
        <v>10</v>
      </c>
      <c r="L90" s="27" t="s">
        <v>628</v>
      </c>
      <c r="M90" s="46" t="s">
        <v>942</v>
      </c>
      <c r="N90" s="57"/>
    </row>
    <row r="91" s="58" customFormat="true" ht="283.5" hidden="false" customHeight="true" outlineLevel="0" collapsed="false">
      <c r="A91" s="52" t="s">
        <v>943</v>
      </c>
      <c r="B91" s="53" t="s">
        <v>653</v>
      </c>
      <c r="C91" s="53" t="s">
        <v>653</v>
      </c>
      <c r="D91" s="20" t="s">
        <v>623</v>
      </c>
      <c r="E91" s="54" t="s">
        <v>509</v>
      </c>
      <c r="F91" s="59" t="s">
        <v>686</v>
      </c>
      <c r="G91" s="22" t="s">
        <v>934</v>
      </c>
      <c r="H91" s="22" t="s">
        <v>940</v>
      </c>
      <c r="I91" s="22" t="s">
        <v>944</v>
      </c>
      <c r="J91" s="19" t="s">
        <v>641</v>
      </c>
      <c r="K91" s="56" t="n">
        <v>2</v>
      </c>
      <c r="L91" s="27" t="s">
        <v>628</v>
      </c>
      <c r="M91" s="46" t="s">
        <v>945</v>
      </c>
      <c r="N91" s="60"/>
    </row>
    <row r="92" s="58" customFormat="true" ht="409.5" hidden="false" customHeight="true" outlineLevel="0" collapsed="false">
      <c r="A92" s="52" t="s">
        <v>946</v>
      </c>
      <c r="B92" s="53"/>
      <c r="C92" s="53"/>
      <c r="D92" s="20" t="s">
        <v>623</v>
      </c>
      <c r="E92" s="54" t="s">
        <v>516</v>
      </c>
      <c r="F92" s="59" t="s">
        <v>686</v>
      </c>
      <c r="G92" s="22" t="s">
        <v>934</v>
      </c>
      <c r="H92" s="22" t="s">
        <v>940</v>
      </c>
      <c r="I92" s="61" t="s">
        <v>947</v>
      </c>
      <c r="J92" s="62" t="s">
        <v>641</v>
      </c>
      <c r="K92" s="63" t="n">
        <v>2</v>
      </c>
      <c r="L92" s="20" t="s">
        <v>628</v>
      </c>
      <c r="M92" s="46" t="s">
        <v>948</v>
      </c>
      <c r="N92" s="57" t="s">
        <v>949</v>
      </c>
    </row>
    <row r="93" s="58" customFormat="true" ht="283.5" hidden="false" customHeight="true" outlineLevel="0" collapsed="false">
      <c r="A93" s="52" t="s">
        <v>950</v>
      </c>
      <c r="B93" s="53"/>
      <c r="C93" s="53"/>
      <c r="D93" s="20" t="s">
        <v>623</v>
      </c>
      <c r="E93" s="54" t="s">
        <v>522</v>
      </c>
      <c r="F93" s="59" t="s">
        <v>686</v>
      </c>
      <c r="G93" s="22" t="s">
        <v>934</v>
      </c>
      <c r="H93" s="22" t="s">
        <v>940</v>
      </c>
      <c r="I93" s="61" t="s">
        <v>951</v>
      </c>
      <c r="J93" s="62" t="s">
        <v>641</v>
      </c>
      <c r="K93" s="63" t="n">
        <v>2</v>
      </c>
      <c r="L93" s="20" t="s">
        <v>628</v>
      </c>
      <c r="M93" s="46" t="s">
        <v>952</v>
      </c>
      <c r="N93" s="57" t="s">
        <v>953</v>
      </c>
    </row>
    <row r="94" s="58" customFormat="true" ht="364.5" hidden="false" customHeight="true" outlineLevel="0" collapsed="false">
      <c r="A94" s="52" t="s">
        <v>954</v>
      </c>
      <c r="B94" s="53"/>
      <c r="C94" s="53"/>
      <c r="D94" s="20" t="s">
        <v>623</v>
      </c>
      <c r="E94" s="54" t="s">
        <v>533</v>
      </c>
      <c r="F94" s="59" t="s">
        <v>686</v>
      </c>
      <c r="G94" s="22" t="s">
        <v>934</v>
      </c>
      <c r="H94" s="22" t="s">
        <v>940</v>
      </c>
      <c r="I94" s="61" t="s">
        <v>955</v>
      </c>
      <c r="J94" s="62" t="s">
        <v>641</v>
      </c>
      <c r="K94" s="63" t="n">
        <v>2</v>
      </c>
      <c r="L94" s="20" t="s">
        <v>628</v>
      </c>
      <c r="M94" s="46" t="s">
        <v>956</v>
      </c>
      <c r="N94" s="57" t="s">
        <v>949</v>
      </c>
    </row>
    <row r="95" s="58" customFormat="true" ht="351" hidden="false" customHeight="true" outlineLevel="0" collapsed="false">
      <c r="A95" s="52" t="s">
        <v>957</v>
      </c>
      <c r="B95" s="53"/>
      <c r="C95" s="53"/>
      <c r="D95" s="20" t="s">
        <v>623</v>
      </c>
      <c r="E95" s="54" t="s">
        <v>539</v>
      </c>
      <c r="F95" s="59" t="s">
        <v>686</v>
      </c>
      <c r="G95" s="22" t="s">
        <v>934</v>
      </c>
      <c r="H95" s="22" t="s">
        <v>940</v>
      </c>
      <c r="I95" s="61" t="s">
        <v>958</v>
      </c>
      <c r="J95" s="62" t="s">
        <v>641</v>
      </c>
      <c r="K95" s="63" t="n">
        <v>2</v>
      </c>
      <c r="L95" s="20" t="s">
        <v>628</v>
      </c>
      <c r="M95" s="46" t="s">
        <v>959</v>
      </c>
      <c r="N95" s="57" t="s">
        <v>949</v>
      </c>
    </row>
    <row r="96" customFormat="false" ht="54" hidden="false" customHeight="true" outlineLevel="0" collapsed="false">
      <c r="A96" s="19" t="s">
        <v>960</v>
      </c>
      <c r="B96" s="20" t="s">
        <v>275</v>
      </c>
      <c r="C96" s="20" t="s">
        <v>148</v>
      </c>
      <c r="D96" s="20" t="s">
        <v>623</v>
      </c>
      <c r="E96" s="21" t="s">
        <v>695</v>
      </c>
      <c r="F96" s="22" t="s">
        <v>686</v>
      </c>
      <c r="G96" s="22" t="s">
        <v>934</v>
      </c>
      <c r="H96" s="22" t="s">
        <v>961</v>
      </c>
      <c r="I96" s="64" t="s">
        <v>962</v>
      </c>
      <c r="J96" s="26" t="s">
        <v>627</v>
      </c>
      <c r="K96" s="28" t="n">
        <v>10</v>
      </c>
      <c r="L96" s="27" t="s">
        <v>936</v>
      </c>
      <c r="M96" s="24" t="s">
        <v>963</v>
      </c>
      <c r="N96" s="25"/>
    </row>
    <row r="97" customFormat="false" ht="108" hidden="false" customHeight="true" outlineLevel="0" collapsed="false">
      <c r="A97" s="19" t="s">
        <v>964</v>
      </c>
      <c r="B97" s="20" t="s">
        <v>653</v>
      </c>
      <c r="C97" s="20" t="s">
        <v>653</v>
      </c>
      <c r="D97" s="20" t="s">
        <v>623</v>
      </c>
      <c r="E97" s="21" t="s">
        <v>549</v>
      </c>
      <c r="F97" s="22" t="s">
        <v>686</v>
      </c>
      <c r="G97" s="22" t="s">
        <v>934</v>
      </c>
      <c r="H97" s="22" t="s">
        <v>961</v>
      </c>
      <c r="I97" s="61" t="s">
        <v>965</v>
      </c>
      <c r="J97" s="19" t="s">
        <v>641</v>
      </c>
      <c r="K97" s="23" t="n">
        <v>5</v>
      </c>
      <c r="L97" s="20" t="s">
        <v>628</v>
      </c>
      <c r="M97" s="24" t="s">
        <v>966</v>
      </c>
      <c r="N97" s="25"/>
    </row>
    <row r="98" customFormat="false" ht="135" hidden="false" customHeight="true" outlineLevel="0" collapsed="false">
      <c r="A98" s="19" t="s">
        <v>967</v>
      </c>
      <c r="B98" s="20" t="s">
        <v>653</v>
      </c>
      <c r="C98" s="20" t="s">
        <v>653</v>
      </c>
      <c r="D98" s="20" t="s">
        <v>623</v>
      </c>
      <c r="E98" s="21" t="s">
        <v>556</v>
      </c>
      <c r="F98" s="22" t="s">
        <v>686</v>
      </c>
      <c r="G98" s="22" t="s">
        <v>934</v>
      </c>
      <c r="H98" s="22" t="s">
        <v>961</v>
      </c>
      <c r="I98" s="61" t="s">
        <v>968</v>
      </c>
      <c r="J98" s="19" t="s">
        <v>641</v>
      </c>
      <c r="K98" s="23" t="n">
        <v>5</v>
      </c>
      <c r="L98" s="20" t="s">
        <v>686</v>
      </c>
      <c r="M98" s="24" t="s">
        <v>969</v>
      </c>
      <c r="N98" s="25"/>
    </row>
    <row r="99" customFormat="false" ht="256.5" hidden="false" customHeight="true" outlineLevel="0" collapsed="false">
      <c r="A99" s="42" t="s">
        <v>970</v>
      </c>
      <c r="B99" s="20" t="s">
        <v>847</v>
      </c>
      <c r="C99" s="20" t="s">
        <v>714</v>
      </c>
      <c r="D99" s="20" t="s">
        <v>623</v>
      </c>
      <c r="E99" s="21" t="s">
        <v>562</v>
      </c>
      <c r="F99" s="22" t="s">
        <v>686</v>
      </c>
      <c r="G99" s="22" t="s">
        <v>934</v>
      </c>
      <c r="H99" s="22" t="s">
        <v>971</v>
      </c>
      <c r="I99" s="65" t="s">
        <v>563</v>
      </c>
      <c r="J99" s="42" t="s">
        <v>627</v>
      </c>
      <c r="K99" s="43" t="n">
        <v>10</v>
      </c>
      <c r="L99" s="20" t="s">
        <v>628</v>
      </c>
      <c r="M99" s="24" t="s">
        <v>972</v>
      </c>
      <c r="N99" s="25"/>
    </row>
    <row r="100" customFormat="false" ht="216" hidden="false" customHeight="true" outlineLevel="0" collapsed="false">
      <c r="A100" s="42" t="s">
        <v>973</v>
      </c>
      <c r="B100" s="20" t="s">
        <v>860</v>
      </c>
      <c r="C100" s="20" t="s">
        <v>739</v>
      </c>
      <c r="D100" s="20" t="s">
        <v>623</v>
      </c>
      <c r="E100" s="21" t="s">
        <v>566</v>
      </c>
      <c r="F100" s="22" t="s">
        <v>686</v>
      </c>
      <c r="G100" s="22" t="s">
        <v>934</v>
      </c>
      <c r="H100" s="22" t="s">
        <v>971</v>
      </c>
      <c r="I100" s="65" t="s">
        <v>567</v>
      </c>
      <c r="J100" s="42" t="s">
        <v>627</v>
      </c>
      <c r="K100" s="43" t="n">
        <v>10</v>
      </c>
      <c r="L100" s="20" t="s">
        <v>628</v>
      </c>
      <c r="M100" s="24" t="s">
        <v>974</v>
      </c>
      <c r="N100" s="25" t="s">
        <v>975</v>
      </c>
    </row>
    <row r="101" customFormat="false" ht="54" hidden="false" customHeight="true" outlineLevel="0" collapsed="false">
      <c r="A101" s="42" t="s">
        <v>976</v>
      </c>
      <c r="B101" s="20" t="s">
        <v>871</v>
      </c>
      <c r="C101" s="20" t="s">
        <v>653</v>
      </c>
      <c r="D101" s="20" t="s">
        <v>623</v>
      </c>
      <c r="E101" s="21" t="s">
        <v>575</v>
      </c>
      <c r="F101" s="20" t="s">
        <v>686</v>
      </c>
      <c r="G101" s="22" t="s">
        <v>977</v>
      </c>
      <c r="H101" s="22" t="s">
        <v>978</v>
      </c>
      <c r="I101" s="20" t="s">
        <v>576</v>
      </c>
      <c r="J101" s="42" t="s">
        <v>627</v>
      </c>
      <c r="K101" s="43" t="n">
        <v>10</v>
      </c>
      <c r="L101" s="20" t="s">
        <v>686</v>
      </c>
      <c r="M101" s="24" t="s">
        <v>979</v>
      </c>
      <c r="N101" s="25"/>
    </row>
    <row r="102" customFormat="false" ht="162" hidden="false" customHeight="true" outlineLevel="0" collapsed="false">
      <c r="A102" s="42" t="s">
        <v>980</v>
      </c>
      <c r="B102" s="20" t="s">
        <v>923</v>
      </c>
      <c r="C102" s="20" t="s">
        <v>255</v>
      </c>
      <c r="D102" s="20" t="s">
        <v>623</v>
      </c>
      <c r="E102" s="21" t="s">
        <v>579</v>
      </c>
      <c r="F102" s="21" t="s">
        <v>981</v>
      </c>
      <c r="G102" s="22" t="s">
        <v>977</v>
      </c>
      <c r="H102" s="22" t="s">
        <v>978</v>
      </c>
      <c r="I102" s="20" t="s">
        <v>580</v>
      </c>
      <c r="J102" s="42" t="s">
        <v>627</v>
      </c>
      <c r="K102" s="43" t="n">
        <v>10</v>
      </c>
      <c r="L102" s="20" t="s">
        <v>982</v>
      </c>
      <c r="M102" s="24" t="s">
        <v>983</v>
      </c>
      <c r="N102" s="25"/>
    </row>
    <row r="103" customFormat="false" ht="40.5" hidden="false" customHeight="true" outlineLevel="0" collapsed="false">
      <c r="A103" s="42" t="s">
        <v>984</v>
      </c>
      <c r="B103" s="20" t="s">
        <v>501</v>
      </c>
      <c r="C103" s="20" t="s">
        <v>672</v>
      </c>
      <c r="D103" s="20" t="s">
        <v>623</v>
      </c>
      <c r="E103" s="21" t="s">
        <v>985</v>
      </c>
      <c r="F103" s="21" t="s">
        <v>981</v>
      </c>
      <c r="G103" s="22" t="s">
        <v>977</v>
      </c>
      <c r="H103" s="22" t="s">
        <v>986</v>
      </c>
      <c r="I103" s="27" t="s">
        <v>987</v>
      </c>
      <c r="J103" s="50" t="s">
        <v>627</v>
      </c>
      <c r="K103" s="51" t="n">
        <v>10</v>
      </c>
      <c r="L103" s="64" t="s">
        <v>686</v>
      </c>
      <c r="M103" s="66" t="s">
        <v>811</v>
      </c>
      <c r="N103" s="25"/>
    </row>
    <row r="104" customFormat="false" ht="121.5" hidden="false" customHeight="true" outlineLevel="0" collapsed="false">
      <c r="A104" s="42" t="s">
        <v>988</v>
      </c>
      <c r="B104" s="20" t="s">
        <v>653</v>
      </c>
      <c r="C104" s="20" t="s">
        <v>653</v>
      </c>
      <c r="D104" s="20" t="s">
        <v>623</v>
      </c>
      <c r="E104" s="21" t="s">
        <v>588</v>
      </c>
      <c r="F104" s="21" t="s">
        <v>981</v>
      </c>
      <c r="G104" s="22" t="s">
        <v>977</v>
      </c>
      <c r="H104" s="22" t="s">
        <v>986</v>
      </c>
      <c r="I104" s="30" t="s">
        <v>989</v>
      </c>
      <c r="J104" s="42" t="s">
        <v>641</v>
      </c>
      <c r="K104" s="43" t="n">
        <v>5</v>
      </c>
      <c r="L104" s="65" t="s">
        <v>686</v>
      </c>
      <c r="M104" s="67" t="s">
        <v>990</v>
      </c>
      <c r="N104" s="25"/>
    </row>
    <row r="105" customFormat="false" ht="148.5" hidden="false" customHeight="true" outlineLevel="0" collapsed="false">
      <c r="A105" s="42" t="s">
        <v>991</v>
      </c>
      <c r="B105" s="20" t="s">
        <v>653</v>
      </c>
      <c r="C105" s="20" t="s">
        <v>653</v>
      </c>
      <c r="D105" s="20" t="s">
        <v>623</v>
      </c>
      <c r="E105" s="21" t="s">
        <v>596</v>
      </c>
      <c r="F105" s="21" t="s">
        <v>981</v>
      </c>
      <c r="G105" s="22" t="s">
        <v>977</v>
      </c>
      <c r="H105" s="22" t="s">
        <v>986</v>
      </c>
      <c r="I105" s="30" t="s">
        <v>992</v>
      </c>
      <c r="J105" s="42" t="s">
        <v>641</v>
      </c>
      <c r="K105" s="43" t="n">
        <v>5</v>
      </c>
      <c r="L105" s="65" t="s">
        <v>686</v>
      </c>
      <c r="M105" s="67" t="s">
        <v>993</v>
      </c>
      <c r="N105" s="25"/>
    </row>
    <row r="106" customFormat="false" ht="409.5" hidden="false" customHeight="true" outlineLevel="0" collapsed="false">
      <c r="A106" s="68" t="s">
        <v>994</v>
      </c>
      <c r="B106" s="69" t="s">
        <v>939</v>
      </c>
      <c r="C106" s="69" t="s">
        <v>275</v>
      </c>
      <c r="D106" s="69" t="s">
        <v>623</v>
      </c>
      <c r="E106" s="70" t="s">
        <v>600</v>
      </c>
      <c r="F106" s="70" t="s">
        <v>981</v>
      </c>
      <c r="G106" s="71" t="s">
        <v>977</v>
      </c>
      <c r="H106" s="71" t="s">
        <v>995</v>
      </c>
      <c r="I106" s="20" t="s">
        <v>601</v>
      </c>
      <c r="J106" s="68" t="s">
        <v>627</v>
      </c>
      <c r="K106" s="72" t="n">
        <v>10</v>
      </c>
      <c r="L106" s="69" t="s">
        <v>628</v>
      </c>
      <c r="M106" s="73" t="s">
        <v>996</v>
      </c>
      <c r="N106" s="73" t="s">
        <v>997</v>
      </c>
      <c r="O106" s="74"/>
    </row>
    <row r="107" customFormat="false" ht="13.5" hidden="false" customHeight="true" outlineLevel="0" collapsed="false">
      <c r="A107" s="11"/>
      <c r="I107" s="58"/>
    </row>
    <row r="108" customFormat="false" ht="13.5" hidden="false" customHeight="true" outlineLevel="0" collapsed="false">
      <c r="A108" s="11"/>
    </row>
    <row r="109" customFormat="false" ht="13.5" hidden="false" customHeight="true" outlineLevel="0" collapsed="false">
      <c r="A109" s="11"/>
    </row>
    <row r="110" customFormat="false" ht="13.5" hidden="false" customHeight="true" outlineLevel="0" collapsed="false">
      <c r="A110" s="11"/>
    </row>
    <row r="111" customFormat="false" ht="13.5" hidden="false" customHeight="true" outlineLevel="0" collapsed="false">
      <c r="A111" s="11"/>
    </row>
    <row r="112" customFormat="false" ht="13.5" hidden="false" customHeight="true" outlineLevel="0" collapsed="false">
      <c r="A112" s="75"/>
      <c r="B112" s="76"/>
      <c r="C112" s="76"/>
      <c r="D112" s="76"/>
      <c r="I112" s="76"/>
      <c r="J112" s="75"/>
      <c r="K112" s="75"/>
      <c r="L112" s="76"/>
      <c r="M112" s="40"/>
    </row>
    <row r="113" customFormat="false" ht="13.5" hidden="false" customHeight="true" outlineLevel="0" collapsed="false">
      <c r="A113" s="75"/>
      <c r="B113" s="76"/>
      <c r="C113" s="76"/>
      <c r="D113" s="76"/>
      <c r="I113" s="76"/>
      <c r="J113" s="75"/>
      <c r="K113" s="75"/>
      <c r="L113" s="76"/>
      <c r="M113" s="40"/>
    </row>
    <row r="114" customFormat="false" ht="13.5" hidden="false" customHeight="true" outlineLevel="0" collapsed="false">
      <c r="A114" s="75"/>
      <c r="B114" s="76"/>
      <c r="C114" s="76"/>
      <c r="D114" s="76"/>
      <c r="I114" s="76"/>
      <c r="J114" s="75"/>
      <c r="K114" s="75"/>
      <c r="L114" s="76"/>
      <c r="M114" s="40"/>
    </row>
    <row r="115" customFormat="false" ht="13.5" hidden="false" customHeight="true" outlineLevel="0" collapsed="false">
      <c r="A115" s="75"/>
      <c r="B115" s="76"/>
      <c r="C115" s="76"/>
      <c r="D115" s="76"/>
      <c r="I115" s="76"/>
      <c r="J115" s="75"/>
      <c r="K115" s="75"/>
      <c r="L115" s="76"/>
      <c r="M115" s="40"/>
    </row>
    <row r="116" customFormat="false" ht="13.5" hidden="false" customHeight="true" outlineLevel="0" collapsed="false">
      <c r="A116" s="75"/>
      <c r="B116" s="76"/>
      <c r="C116" s="76"/>
      <c r="D116" s="76"/>
      <c r="I116" s="76"/>
      <c r="J116" s="75"/>
      <c r="K116" s="75"/>
      <c r="L116" s="76"/>
      <c r="M116" s="40"/>
    </row>
    <row r="117" customFormat="false" ht="13.5" hidden="false" customHeight="true" outlineLevel="0" collapsed="false">
      <c r="A117" s="75"/>
      <c r="B117" s="76"/>
      <c r="C117" s="76"/>
      <c r="D117" s="76"/>
      <c r="I117" s="76"/>
      <c r="J117" s="75"/>
      <c r="K117" s="75"/>
      <c r="L117" s="76"/>
      <c r="M117" s="40"/>
    </row>
    <row r="118" customFormat="false" ht="13.5" hidden="false" customHeight="true" outlineLevel="0" collapsed="false">
      <c r="A118" s="75"/>
      <c r="B118" s="76"/>
      <c r="C118" s="76"/>
      <c r="D118" s="76"/>
      <c r="I118" s="76"/>
      <c r="J118" s="75"/>
      <c r="K118" s="75"/>
      <c r="L118" s="76"/>
      <c r="M118" s="40"/>
    </row>
    <row r="119" customFormat="false" ht="13.5" hidden="false" customHeight="true" outlineLevel="0" collapsed="false">
      <c r="A119" s="75"/>
      <c r="B119" s="76"/>
      <c r="C119" s="76"/>
      <c r="D119" s="76"/>
      <c r="I119" s="76"/>
      <c r="J119" s="75"/>
      <c r="K119" s="75"/>
      <c r="L119" s="76"/>
      <c r="M119" s="40"/>
    </row>
    <row r="120" customFormat="false" ht="13.5" hidden="false" customHeight="true" outlineLevel="0" collapsed="false">
      <c r="A120" s="75"/>
      <c r="B120" s="76"/>
      <c r="C120" s="76"/>
      <c r="D120" s="76"/>
      <c r="I120" s="76"/>
      <c r="J120" s="75"/>
      <c r="K120" s="75"/>
      <c r="L120" s="76"/>
      <c r="M120" s="40"/>
    </row>
    <row r="121" customFormat="false" ht="13.5" hidden="false" customHeight="true" outlineLevel="0" collapsed="false">
      <c r="A121" s="75"/>
      <c r="B121" s="76"/>
      <c r="C121" s="76"/>
      <c r="D121" s="76"/>
      <c r="I121" s="76"/>
      <c r="J121" s="75"/>
      <c r="K121" s="75"/>
      <c r="L121" s="76"/>
      <c r="M121" s="40"/>
    </row>
    <row r="122" customFormat="false" ht="13.5" hidden="false" customHeight="true" outlineLevel="0" collapsed="false">
      <c r="A122" s="75"/>
      <c r="B122" s="76"/>
      <c r="C122" s="76"/>
      <c r="D122" s="76"/>
      <c r="I122" s="76"/>
      <c r="J122" s="75"/>
      <c r="K122" s="75"/>
      <c r="L122" s="76"/>
      <c r="M122" s="40"/>
    </row>
    <row r="123" customFormat="false" ht="13.5" hidden="false" customHeight="true" outlineLevel="0" collapsed="false">
      <c r="A123" s="75"/>
      <c r="B123" s="76"/>
      <c r="C123" s="76"/>
      <c r="D123" s="76"/>
      <c r="I123" s="76"/>
      <c r="J123" s="75"/>
      <c r="K123" s="75"/>
      <c r="L123" s="76"/>
      <c r="M123" s="40"/>
    </row>
    <row r="124" customFormat="false" ht="13.5" hidden="false" customHeight="true" outlineLevel="0" collapsed="false">
      <c r="A124" s="75"/>
      <c r="B124" s="76"/>
      <c r="C124" s="76"/>
      <c r="D124" s="76"/>
      <c r="I124" s="76"/>
      <c r="J124" s="75"/>
      <c r="K124" s="75"/>
      <c r="L124" s="76"/>
      <c r="M124" s="40"/>
    </row>
    <row r="125" customFormat="false" ht="13.5" hidden="false" customHeight="true" outlineLevel="0" collapsed="false">
      <c r="A125" s="75"/>
      <c r="B125" s="76"/>
      <c r="C125" s="76"/>
      <c r="D125" s="76"/>
      <c r="I125" s="76"/>
      <c r="J125" s="75"/>
      <c r="K125" s="75"/>
      <c r="L125" s="76"/>
      <c r="M125" s="40"/>
    </row>
    <row r="126" customFormat="false" ht="13.5" hidden="false" customHeight="true" outlineLevel="0" collapsed="false">
      <c r="A126" s="75"/>
      <c r="B126" s="76"/>
      <c r="C126" s="76"/>
      <c r="D126" s="76"/>
      <c r="I126" s="76"/>
      <c r="J126" s="75"/>
      <c r="K126" s="75"/>
      <c r="L126" s="76"/>
      <c r="M126" s="40"/>
    </row>
    <row r="127" customFormat="false" ht="13.5" hidden="false" customHeight="true" outlineLevel="0" collapsed="false">
      <c r="A127" s="75"/>
      <c r="B127" s="76"/>
      <c r="C127" s="76"/>
      <c r="D127" s="76"/>
      <c r="I127" s="76"/>
      <c r="J127" s="75"/>
      <c r="K127" s="75"/>
      <c r="L127" s="76"/>
      <c r="M127" s="40"/>
    </row>
    <row r="128" customFormat="false" ht="13.5" hidden="false" customHeight="true" outlineLevel="0" collapsed="false">
      <c r="A128" s="75"/>
      <c r="B128" s="76"/>
      <c r="C128" s="76"/>
      <c r="D128" s="76"/>
      <c r="I128" s="76"/>
      <c r="J128" s="75"/>
      <c r="K128" s="75"/>
      <c r="L128" s="76"/>
      <c r="M128" s="40"/>
    </row>
    <row r="129" customFormat="false" ht="13.5" hidden="false" customHeight="true" outlineLevel="0" collapsed="false">
      <c r="A129" s="75"/>
      <c r="B129" s="76"/>
      <c r="C129" s="76"/>
      <c r="D129" s="76"/>
      <c r="I129" s="76"/>
      <c r="J129" s="75"/>
      <c r="K129" s="75"/>
      <c r="L129" s="76"/>
      <c r="M129" s="40"/>
    </row>
    <row r="130" customFormat="false" ht="13.5" hidden="false" customHeight="true" outlineLevel="0" collapsed="false">
      <c r="A130" s="75"/>
      <c r="B130" s="76"/>
      <c r="C130" s="76"/>
      <c r="D130" s="76"/>
      <c r="I130" s="76"/>
      <c r="J130" s="75"/>
      <c r="K130" s="75"/>
      <c r="L130" s="76"/>
      <c r="M130" s="40"/>
    </row>
    <row r="131" customFormat="false" ht="13.5" hidden="false" customHeight="true" outlineLevel="0" collapsed="false">
      <c r="A131" s="75"/>
      <c r="B131" s="76"/>
      <c r="C131" s="76"/>
      <c r="D131" s="76"/>
      <c r="I131" s="76"/>
      <c r="J131" s="75"/>
      <c r="K131" s="75"/>
      <c r="L131" s="76"/>
      <c r="M131" s="40"/>
    </row>
    <row r="132" customFormat="false" ht="13.5" hidden="false" customHeight="true" outlineLevel="0" collapsed="false">
      <c r="A132" s="75"/>
      <c r="B132" s="76"/>
      <c r="C132" s="76"/>
      <c r="D132" s="76"/>
      <c r="I132" s="76"/>
      <c r="J132" s="75"/>
      <c r="K132" s="75"/>
      <c r="L132" s="76"/>
      <c r="M132" s="40"/>
    </row>
    <row r="133" customFormat="false" ht="13.5" hidden="false" customHeight="true" outlineLevel="0" collapsed="false">
      <c r="A133" s="75"/>
      <c r="B133" s="76"/>
      <c r="C133" s="76"/>
      <c r="D133" s="76"/>
      <c r="I133" s="76"/>
      <c r="J133" s="75"/>
      <c r="K133" s="75"/>
      <c r="L133" s="76"/>
      <c r="M133" s="40"/>
    </row>
    <row r="134" customFormat="false" ht="13.5" hidden="false" customHeight="true" outlineLevel="0" collapsed="false">
      <c r="A134" s="75"/>
      <c r="B134" s="76"/>
      <c r="C134" s="76"/>
      <c r="D134" s="76"/>
      <c r="I134" s="76"/>
      <c r="J134" s="75"/>
      <c r="K134" s="75"/>
      <c r="L134" s="76"/>
      <c r="M134" s="40"/>
    </row>
    <row r="135" customFormat="false" ht="13.5" hidden="false" customHeight="true" outlineLevel="0" collapsed="false">
      <c r="A135" s="75"/>
      <c r="B135" s="76"/>
      <c r="C135" s="76"/>
      <c r="D135" s="76"/>
      <c r="I135" s="76"/>
      <c r="J135" s="75"/>
      <c r="K135" s="75"/>
      <c r="L135" s="76"/>
      <c r="M135" s="40"/>
    </row>
    <row r="136" customFormat="false" ht="13.5" hidden="false" customHeight="true" outlineLevel="0" collapsed="false">
      <c r="A136" s="75"/>
      <c r="B136" s="76"/>
      <c r="C136" s="76"/>
      <c r="D136" s="76"/>
      <c r="I136" s="76"/>
      <c r="J136" s="75"/>
      <c r="K136" s="75"/>
      <c r="L136" s="76"/>
      <c r="M136" s="40" t="s">
        <v>998</v>
      </c>
    </row>
    <row r="137" customFormat="false" ht="13.5" hidden="false" customHeight="true" outlineLevel="0" collapsed="false">
      <c r="A137" s="75"/>
      <c r="B137" s="76"/>
      <c r="C137" s="76"/>
      <c r="D137" s="76"/>
      <c r="I137" s="76"/>
      <c r="J137" s="75"/>
      <c r="K137" s="75"/>
      <c r="L137" s="76"/>
      <c r="M137" s="40"/>
    </row>
    <row r="138" customFormat="false" ht="13.5" hidden="false" customHeight="true" outlineLevel="0" collapsed="false">
      <c r="A138" s="75"/>
      <c r="B138" s="76"/>
      <c r="C138" s="76"/>
      <c r="D138" s="76"/>
      <c r="I138" s="76"/>
      <c r="J138" s="75"/>
      <c r="K138" s="75"/>
      <c r="L138" s="76"/>
      <c r="M138" s="40"/>
    </row>
    <row r="139" customFormat="false" ht="13.5" hidden="false" customHeight="true" outlineLevel="0" collapsed="false">
      <c r="A139" s="75"/>
      <c r="B139" s="76"/>
      <c r="C139" s="76"/>
      <c r="D139" s="76"/>
      <c r="I139" s="76"/>
      <c r="J139" s="75"/>
      <c r="K139" s="75"/>
      <c r="L139" s="76"/>
      <c r="M139" s="40"/>
    </row>
    <row r="140" customFormat="false" ht="13.5" hidden="false" customHeight="true" outlineLevel="0" collapsed="false">
      <c r="A140" s="75"/>
      <c r="B140" s="76"/>
      <c r="C140" s="76"/>
      <c r="D140" s="76"/>
      <c r="I140" s="76"/>
      <c r="J140" s="75"/>
      <c r="K140" s="75"/>
      <c r="L140" s="76"/>
      <c r="M140" s="40"/>
    </row>
    <row r="141" customFormat="false" ht="13.5" hidden="false" customHeight="true" outlineLevel="0" collapsed="false">
      <c r="A141" s="75"/>
      <c r="B141" s="76"/>
      <c r="C141" s="76"/>
      <c r="D141" s="76"/>
      <c r="I141" s="76"/>
      <c r="J141" s="75"/>
      <c r="K141" s="75"/>
      <c r="L141" s="76"/>
      <c r="M141" s="40"/>
    </row>
    <row r="142" customFormat="false" ht="13.5" hidden="false" customHeight="true" outlineLevel="0" collapsed="false">
      <c r="A142" s="75"/>
      <c r="B142" s="76"/>
      <c r="C142" s="76"/>
      <c r="D142" s="76"/>
      <c r="I142" s="76"/>
      <c r="J142" s="75"/>
      <c r="K142" s="75"/>
      <c r="L142" s="76"/>
      <c r="M142" s="40"/>
    </row>
    <row r="143" customFormat="false" ht="13.5" hidden="false" customHeight="true" outlineLevel="0" collapsed="false">
      <c r="A143" s="75"/>
      <c r="B143" s="76"/>
      <c r="C143" s="76"/>
      <c r="D143" s="76"/>
      <c r="I143" s="76"/>
      <c r="J143" s="75"/>
      <c r="K143" s="75"/>
      <c r="L143" s="76"/>
      <c r="M143" s="40" t="s">
        <v>998</v>
      </c>
    </row>
    <row r="144" customFormat="false" ht="13.5" hidden="false" customHeight="true" outlineLevel="0" collapsed="false">
      <c r="A144" s="75"/>
      <c r="B144" s="76"/>
      <c r="C144" s="76"/>
      <c r="D144" s="76"/>
      <c r="I144" s="76"/>
      <c r="J144" s="75"/>
      <c r="K144" s="75"/>
      <c r="L144" s="76"/>
      <c r="M144" s="40"/>
    </row>
    <row r="145" customFormat="false" ht="13.5" hidden="false" customHeight="true" outlineLevel="0" collapsed="false">
      <c r="A145" s="75"/>
      <c r="B145" s="76"/>
      <c r="C145" s="76"/>
      <c r="D145" s="76"/>
      <c r="I145" s="76"/>
      <c r="J145" s="75"/>
      <c r="K145" s="75"/>
      <c r="L145" s="76"/>
      <c r="M145" s="40"/>
    </row>
    <row r="146" customFormat="false" ht="13.5" hidden="false" customHeight="true" outlineLevel="0" collapsed="false">
      <c r="A146" s="75"/>
      <c r="B146" s="76"/>
      <c r="C146" s="76"/>
      <c r="D146" s="76"/>
      <c r="I146" s="76"/>
      <c r="J146" s="75"/>
      <c r="K146" s="75"/>
      <c r="L146" s="76"/>
      <c r="M146" s="40"/>
    </row>
    <row r="147" customFormat="false" ht="13.5" hidden="false" customHeight="true" outlineLevel="0" collapsed="false">
      <c r="A147" s="75"/>
      <c r="B147" s="76"/>
      <c r="C147" s="76"/>
      <c r="D147" s="76"/>
      <c r="I147" s="76"/>
      <c r="J147" s="75"/>
      <c r="K147" s="75"/>
      <c r="L147" s="76"/>
      <c r="M147" s="40"/>
    </row>
    <row r="148" customFormat="false" ht="13.5" hidden="false" customHeight="true" outlineLevel="0" collapsed="false">
      <c r="A148" s="75"/>
      <c r="B148" s="76"/>
      <c r="C148" s="76"/>
      <c r="D148" s="76"/>
      <c r="I148" s="76"/>
      <c r="J148" s="75"/>
      <c r="K148" s="75"/>
      <c r="L148" s="76"/>
      <c r="M148" s="40"/>
    </row>
    <row r="149" customFormat="false" ht="13.5" hidden="false" customHeight="true" outlineLevel="0" collapsed="false">
      <c r="A149" s="75"/>
      <c r="B149" s="76"/>
      <c r="C149" s="76"/>
      <c r="D149" s="76"/>
      <c r="I149" s="76"/>
      <c r="J149" s="75"/>
      <c r="K149" s="75"/>
      <c r="L149" s="76"/>
      <c r="M149" s="40" t="s">
        <v>998</v>
      </c>
    </row>
    <row r="150" customFormat="false" ht="13.5" hidden="false" customHeight="true" outlineLevel="0" collapsed="false">
      <c r="A150" s="75"/>
      <c r="B150" s="76"/>
      <c r="C150" s="76"/>
      <c r="D150" s="76"/>
      <c r="I150" s="76"/>
      <c r="J150" s="75"/>
      <c r="K150" s="75"/>
      <c r="L150" s="76"/>
      <c r="M150" s="40"/>
    </row>
    <row r="151" customFormat="false" ht="13.5" hidden="false" customHeight="true" outlineLevel="0" collapsed="false">
      <c r="A151" s="75"/>
      <c r="B151" s="76"/>
      <c r="C151" s="76"/>
      <c r="D151" s="76"/>
      <c r="I151" s="76"/>
      <c r="J151" s="75"/>
      <c r="K151" s="75"/>
      <c r="L151" s="76"/>
      <c r="M151" s="40"/>
    </row>
    <row r="152" customFormat="false" ht="13.5" hidden="false" customHeight="true" outlineLevel="0" collapsed="false">
      <c r="A152" s="75"/>
      <c r="B152" s="76"/>
      <c r="C152" s="76"/>
      <c r="D152" s="76"/>
      <c r="I152" s="76"/>
      <c r="J152" s="75"/>
      <c r="K152" s="75"/>
      <c r="L152" s="76"/>
      <c r="M152" s="40"/>
    </row>
    <row r="153" customFormat="false" ht="13.5" hidden="false" customHeight="true" outlineLevel="0" collapsed="false">
      <c r="A153" s="75"/>
      <c r="B153" s="76"/>
      <c r="C153" s="76"/>
      <c r="D153" s="76"/>
      <c r="I153" s="76"/>
      <c r="J153" s="75"/>
      <c r="K153" s="75"/>
      <c r="L153" s="76"/>
      <c r="M153" s="40"/>
    </row>
    <row r="154" customFormat="false" ht="13.5" hidden="false" customHeight="true" outlineLevel="0" collapsed="false">
      <c r="A154" s="75"/>
      <c r="B154" s="76"/>
      <c r="C154" s="76"/>
      <c r="D154" s="76"/>
      <c r="I154" s="76"/>
      <c r="J154" s="75"/>
      <c r="K154" s="75"/>
      <c r="L154" s="76"/>
      <c r="M154" s="40"/>
    </row>
    <row r="155" customFormat="false" ht="13.5" hidden="false" customHeight="true" outlineLevel="0" collapsed="false">
      <c r="A155" s="75"/>
      <c r="B155" s="76"/>
      <c r="C155" s="76"/>
      <c r="D155" s="76"/>
      <c r="I155" s="76"/>
      <c r="J155" s="75"/>
      <c r="K155" s="75"/>
      <c r="L155" s="76"/>
      <c r="M155" s="40"/>
    </row>
    <row r="156" customFormat="false" ht="13.5" hidden="false" customHeight="true" outlineLevel="0" collapsed="false">
      <c r="A156" s="75"/>
      <c r="B156" s="76"/>
      <c r="C156" s="76"/>
      <c r="D156" s="76"/>
      <c r="I156" s="76"/>
      <c r="J156" s="75"/>
      <c r="K156" s="75"/>
      <c r="L156" s="76"/>
      <c r="M156" s="40"/>
    </row>
    <row r="157" customFormat="false" ht="13.5" hidden="false" customHeight="true" outlineLevel="0" collapsed="false">
      <c r="A157" s="75"/>
      <c r="B157" s="76"/>
      <c r="C157" s="76"/>
      <c r="D157" s="76"/>
      <c r="I157" s="76"/>
      <c r="J157" s="75"/>
      <c r="K157" s="75"/>
      <c r="L157" s="76"/>
      <c r="M157" s="40"/>
    </row>
    <row r="158" customFormat="false" ht="13.5" hidden="false" customHeight="true" outlineLevel="0" collapsed="false">
      <c r="A158" s="75"/>
      <c r="B158" s="76"/>
      <c r="C158" s="76"/>
      <c r="D158" s="76"/>
      <c r="I158" s="76"/>
      <c r="J158" s="75"/>
      <c r="K158" s="75"/>
      <c r="L158" s="76"/>
      <c r="M158" s="40"/>
    </row>
    <row r="159" customFormat="false" ht="13.5" hidden="false" customHeight="true" outlineLevel="0" collapsed="false">
      <c r="A159" s="75"/>
      <c r="B159" s="76"/>
      <c r="C159" s="76"/>
      <c r="D159" s="76"/>
      <c r="I159" s="76"/>
      <c r="J159" s="75"/>
      <c r="K159" s="75"/>
      <c r="L159" s="76"/>
      <c r="M159" s="40"/>
    </row>
    <row r="160" customFormat="false" ht="13.5" hidden="false" customHeight="true" outlineLevel="0" collapsed="false">
      <c r="A160" s="75"/>
      <c r="B160" s="76"/>
      <c r="C160" s="76"/>
      <c r="D160" s="76"/>
      <c r="I160" s="76"/>
      <c r="J160" s="75"/>
      <c r="K160" s="75"/>
      <c r="L160" s="76"/>
      <c r="M160" s="40"/>
    </row>
    <row r="161" customFormat="false" ht="13.5" hidden="false" customHeight="true" outlineLevel="0" collapsed="false">
      <c r="A161" s="75"/>
      <c r="B161" s="76"/>
      <c r="C161" s="76"/>
      <c r="D161" s="76"/>
      <c r="I161" s="76"/>
      <c r="J161" s="75"/>
      <c r="K161" s="75"/>
      <c r="L161" s="76"/>
      <c r="M161" s="40"/>
    </row>
    <row r="162" customFormat="false" ht="13.5" hidden="false" customHeight="true" outlineLevel="0" collapsed="false">
      <c r="A162" s="75"/>
      <c r="B162" s="76"/>
      <c r="C162" s="76"/>
      <c r="D162" s="76"/>
      <c r="I162" s="76"/>
      <c r="J162" s="75"/>
      <c r="K162" s="75"/>
      <c r="L162" s="76"/>
      <c r="M162" s="40"/>
    </row>
    <row r="163" customFormat="false" ht="13.5" hidden="false" customHeight="true" outlineLevel="0" collapsed="false">
      <c r="A163" s="75"/>
      <c r="B163" s="76"/>
      <c r="C163" s="76"/>
      <c r="D163" s="76"/>
      <c r="I163" s="76"/>
      <c r="J163" s="75"/>
      <c r="K163" s="75"/>
      <c r="L163" s="76"/>
      <c r="M163" s="40"/>
    </row>
    <row r="164" customFormat="false" ht="13.5" hidden="false" customHeight="true" outlineLevel="0" collapsed="false">
      <c r="A164" s="75"/>
      <c r="B164" s="76"/>
      <c r="C164" s="76"/>
      <c r="D164" s="76"/>
      <c r="I164" s="76"/>
      <c r="J164" s="75"/>
      <c r="K164" s="75"/>
      <c r="L164" s="76"/>
      <c r="M164" s="40"/>
    </row>
    <row r="165" customFormat="false" ht="13.5" hidden="false" customHeight="true" outlineLevel="0" collapsed="false">
      <c r="A165" s="75"/>
      <c r="B165" s="76"/>
      <c r="C165" s="76"/>
      <c r="D165" s="76"/>
      <c r="I165" s="76"/>
      <c r="J165" s="75"/>
      <c r="K165" s="75"/>
      <c r="L165" s="76"/>
      <c r="M165" s="40"/>
    </row>
    <row r="166" customFormat="false" ht="13.5" hidden="false" customHeight="true" outlineLevel="0" collapsed="false">
      <c r="A166" s="75"/>
      <c r="B166" s="76"/>
      <c r="C166" s="76"/>
      <c r="D166" s="76"/>
      <c r="I166" s="76"/>
      <c r="J166" s="75"/>
      <c r="K166" s="75"/>
      <c r="L166" s="76"/>
      <c r="M166" s="40"/>
    </row>
    <row r="167" customFormat="false" ht="13.5" hidden="false" customHeight="true" outlineLevel="0" collapsed="false">
      <c r="A167" s="75"/>
      <c r="B167" s="76"/>
      <c r="C167" s="76"/>
      <c r="D167" s="76"/>
      <c r="I167" s="76"/>
      <c r="J167" s="75"/>
      <c r="K167" s="75"/>
      <c r="L167" s="76"/>
      <c r="M167" s="40"/>
    </row>
    <row r="168" customFormat="false" ht="13.5" hidden="false" customHeight="true" outlineLevel="0" collapsed="false">
      <c r="A168" s="75"/>
      <c r="B168" s="76"/>
      <c r="C168" s="76"/>
      <c r="D168" s="76"/>
      <c r="I168" s="76"/>
      <c r="J168" s="75"/>
      <c r="K168" s="75"/>
      <c r="L168" s="76"/>
      <c r="M168" s="40"/>
    </row>
    <row r="169" customFormat="false" ht="13.5" hidden="false" customHeight="true" outlineLevel="0" collapsed="false">
      <c r="A169" s="75"/>
      <c r="B169" s="76"/>
      <c r="C169" s="76"/>
      <c r="D169" s="76"/>
      <c r="I169" s="76"/>
      <c r="J169" s="75"/>
      <c r="K169" s="75"/>
      <c r="L169" s="76"/>
      <c r="M169" s="40"/>
    </row>
    <row r="170" customFormat="false" ht="13.5" hidden="false" customHeight="true" outlineLevel="0" collapsed="false">
      <c r="A170" s="75"/>
      <c r="B170" s="76"/>
      <c r="C170" s="76"/>
      <c r="D170" s="76"/>
      <c r="I170" s="76"/>
      <c r="J170" s="75"/>
      <c r="K170" s="75"/>
      <c r="L170" s="76"/>
      <c r="M170" s="40"/>
    </row>
    <row r="171" customFormat="false" ht="13.5" hidden="false" customHeight="true" outlineLevel="0" collapsed="false">
      <c r="A171" s="75"/>
      <c r="B171" s="76"/>
      <c r="C171" s="76"/>
      <c r="D171" s="76"/>
      <c r="I171" s="76"/>
      <c r="J171" s="75"/>
      <c r="K171" s="75"/>
      <c r="L171" s="76"/>
      <c r="M171" s="40" t="s">
        <v>998</v>
      </c>
    </row>
    <row r="172" customFormat="false" ht="13.5" hidden="false" customHeight="true" outlineLevel="0" collapsed="false">
      <c r="A172" s="75"/>
      <c r="B172" s="76"/>
      <c r="C172" s="76"/>
      <c r="D172" s="76"/>
      <c r="I172" s="76"/>
      <c r="J172" s="75"/>
      <c r="K172" s="75"/>
      <c r="L172" s="76"/>
      <c r="M172" s="40"/>
    </row>
    <row r="173" customFormat="false" ht="13.5" hidden="false" customHeight="true" outlineLevel="0" collapsed="false">
      <c r="A173" s="75"/>
      <c r="B173" s="76"/>
      <c r="C173" s="76"/>
      <c r="D173" s="76"/>
      <c r="I173" s="76"/>
      <c r="J173" s="75"/>
      <c r="K173" s="75"/>
      <c r="L173" s="76"/>
      <c r="M173" s="40"/>
    </row>
    <row r="174" customFormat="false" ht="13.5" hidden="false" customHeight="true" outlineLevel="0" collapsed="false">
      <c r="A174" s="75"/>
      <c r="B174" s="76"/>
      <c r="C174" s="76"/>
      <c r="D174" s="76"/>
      <c r="I174" s="76"/>
      <c r="J174" s="75"/>
      <c r="K174" s="75"/>
      <c r="L174" s="76"/>
      <c r="M174" s="40" t="s">
        <v>998</v>
      </c>
    </row>
    <row r="175" customFormat="false" ht="13.5" hidden="false" customHeight="true" outlineLevel="0" collapsed="false">
      <c r="A175" s="75"/>
      <c r="B175" s="76"/>
      <c r="C175" s="76"/>
      <c r="D175" s="76"/>
      <c r="I175" s="76"/>
      <c r="J175" s="75"/>
      <c r="K175" s="75"/>
      <c r="L175" s="76"/>
      <c r="M175" s="40"/>
    </row>
    <row r="176" customFormat="false" ht="13.5" hidden="false" customHeight="true" outlineLevel="0" collapsed="false">
      <c r="A176" s="75"/>
      <c r="B176" s="76"/>
      <c r="C176" s="76"/>
      <c r="D176" s="76"/>
      <c r="I176" s="76"/>
      <c r="J176" s="75"/>
      <c r="K176" s="75"/>
      <c r="L176" s="76"/>
      <c r="M176" s="40"/>
    </row>
  </sheetData>
  <autoFilter ref="A1:N10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8" ySplit="2" topLeftCell="I5" activePane="bottomRight" state="frozen"/>
      <selection pane="topLeft" activeCell="A1" activeCellId="0" sqref="A1"/>
      <selection pane="topRight" activeCell="I1" activeCellId="0" sqref="I1"/>
      <selection pane="bottomLeft" activeCell="A5" activeCellId="0" sqref="A5"/>
      <selection pane="bottomRight" activeCell="F4" activeCellId="0" sqref="F4"/>
    </sheetView>
  </sheetViews>
  <sheetFormatPr defaultColWidth="8.5703125" defaultRowHeight="14.25" customHeight="false" zeroHeight="false" outlineLevelRow="0" outlineLevelCol="0"/>
  <cols>
    <col collapsed="false" customWidth="true" hidden="false" outlineLevel="0" max="1" min="1" style="77" width="11.43"/>
    <col collapsed="false" customWidth="true" hidden="false" outlineLevel="0" max="2" min="2" style="77" width="12"/>
    <col collapsed="false" customWidth="true" hidden="false" outlineLevel="0" max="3" min="3" style="77" width="18"/>
    <col collapsed="false" customWidth="true" hidden="false" outlineLevel="0" max="4" min="4" style="77" width="14"/>
    <col collapsed="false" customWidth="true" hidden="false" outlineLevel="0" max="5" min="5" style="77" width="7"/>
    <col collapsed="false" customWidth="true" hidden="false" outlineLevel="0" max="6" min="6" style="77" width="60"/>
    <col collapsed="false" customWidth="true" hidden="false" outlineLevel="0" max="7" min="7" style="77" width="12"/>
    <col collapsed="false" customWidth="true" hidden="false" outlineLevel="0" max="8" min="8" style="77" width="8"/>
    <col collapsed="false" customWidth="true" hidden="false" outlineLevel="0" max="37" min="9" style="77" width="6.57"/>
  </cols>
  <sheetData>
    <row r="1" customFormat="false" ht="93.75" hidden="false" customHeight="true" outlineLevel="0" collapsed="false">
      <c r="A1" s="78" t="s">
        <v>613</v>
      </c>
      <c r="B1" s="78" t="s">
        <v>614</v>
      </c>
      <c r="C1" s="78" t="s">
        <v>615</v>
      </c>
      <c r="D1" s="78" t="s">
        <v>616</v>
      </c>
      <c r="E1" s="78" t="s">
        <v>617</v>
      </c>
      <c r="F1" s="78" t="s">
        <v>0</v>
      </c>
      <c r="G1" s="78" t="s">
        <v>619</v>
      </c>
      <c r="H1" s="78" t="s">
        <v>618</v>
      </c>
      <c r="I1" s="79" t="s">
        <v>999</v>
      </c>
      <c r="J1" s="79" t="s">
        <v>19</v>
      </c>
      <c r="K1" s="79" t="s">
        <v>1000</v>
      </c>
      <c r="L1" s="79" t="s">
        <v>1001</v>
      </c>
      <c r="M1" s="79" t="s">
        <v>1002</v>
      </c>
      <c r="N1" s="79" t="s">
        <v>1003</v>
      </c>
      <c r="O1" s="79" t="s">
        <v>1004</v>
      </c>
      <c r="P1" s="79" t="s">
        <v>1005</v>
      </c>
      <c r="Q1" s="79" t="s">
        <v>1006</v>
      </c>
      <c r="R1" s="79" t="s">
        <v>1007</v>
      </c>
      <c r="S1" s="79" t="s">
        <v>1008</v>
      </c>
      <c r="T1" s="79" t="s">
        <v>1009</v>
      </c>
      <c r="U1" s="79" t="s">
        <v>1010</v>
      </c>
      <c r="V1" s="79" t="s">
        <v>1011</v>
      </c>
      <c r="W1" s="79" t="s">
        <v>1012</v>
      </c>
      <c r="X1" s="79" t="s">
        <v>1013</v>
      </c>
      <c r="Y1" s="79" t="s">
        <v>1014</v>
      </c>
      <c r="Z1" s="79" t="s">
        <v>1015</v>
      </c>
      <c r="AA1" s="79" t="s">
        <v>1016</v>
      </c>
      <c r="AB1" s="79" t="s">
        <v>1017</v>
      </c>
      <c r="AC1" s="79" t="s">
        <v>30</v>
      </c>
      <c r="AD1" s="79" t="s">
        <v>1018</v>
      </c>
      <c r="AE1" s="79" t="s">
        <v>1019</v>
      </c>
      <c r="AF1" s="79" t="s">
        <v>1020</v>
      </c>
      <c r="AG1" s="79" t="s">
        <v>1021</v>
      </c>
      <c r="AH1" s="79" t="s">
        <v>1022</v>
      </c>
      <c r="AI1" s="79" t="s">
        <v>1023</v>
      </c>
      <c r="AJ1" s="79" t="s">
        <v>1024</v>
      </c>
      <c r="AK1" s="79" t="s">
        <v>1025</v>
      </c>
    </row>
    <row r="2" customFormat="false" ht="14.25" hidden="false" customHeight="true" outlineLevel="0" collapsed="false">
      <c r="A2" s="80" t="s">
        <v>1026</v>
      </c>
      <c r="B2" s="81" t="s">
        <v>1027</v>
      </c>
      <c r="C2" s="81" t="s">
        <v>1027</v>
      </c>
      <c r="D2" s="81" t="s">
        <v>1027</v>
      </c>
      <c r="E2" s="81" t="s">
        <v>1027</v>
      </c>
      <c r="F2" s="81" t="s">
        <v>1027</v>
      </c>
      <c r="G2" s="81" t="s">
        <v>1027</v>
      </c>
      <c r="H2" s="81" t="s">
        <v>1027</v>
      </c>
      <c r="I2" s="82" t="s">
        <v>1027</v>
      </c>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row>
    <row r="3" customFormat="false" ht="25.5" hidden="false" customHeight="true" outlineLevel="0" collapsed="false">
      <c r="A3" s="83" t="s">
        <v>18</v>
      </c>
      <c r="B3" s="84" t="str">
        <f aca="false">IF(ISBLANK($A3),"NO_CODE",VLOOKUP($A3,'UPD Questions_290926 '!$E$1:$N$300,MATCH(B$1,'UPD Questions_290926 '!$E$1:$N$1,0),0)&amp;"")</f>
        <v>Planning </v>
      </c>
      <c r="C3" s="85" t="str">
        <f aca="false">IF(ISBLANK($A3),"NO_CODE",VLOOKUP($A3,'UPD Questions_290926 '!$E$1:$N$300,MATCH(C$1,'UPD Questions_290926 '!$E$1:$N$1,0),0)&amp;"")</f>
        <v>Legal and institutional planning architecture</v>
      </c>
      <c r="D3" s="84" t="str">
        <f aca="false">IF(ISBLANK($A3),"NO_CODE",VLOOKUP($A3,'UPD Questions_290926 '!$E$1:$N$300,MATCH(D$1,'UPD Questions_290926 '!$E$1:$N$1,0),0)&amp;"")</f>
        <v>State-level planning framework</v>
      </c>
      <c r="E3" s="84" t="str">
        <f aca="false">IF(ISBLANK($A3),"NO_CODE",VLOOKUP($A3,'UPD Questions_290926 '!$E$1:$N$300,MATCH(E$1,'UPD Questions_290926 '!$E$1:$N$1,0),0)&amp;"")</f>
        <v>MQ</v>
      </c>
      <c r="F3" s="84" t="str">
        <f aca="false">IF(ISBLANK($A3),"NO_CODE",VLOOKUP($A3,'UPD Questions_290926 '!$E$1:$N$300,MATCH(F$1,'UPD Questions_290926 '!$E$1:$N$1,0),0)&amp;"")</f>
        <v>Is there a provision for a State Spatial Planning Board which is mandated with planning policies and reforms for the state?</v>
      </c>
      <c r="G3" s="84" t="str">
        <f aca="false">IF(ISBLANK($A3),"NO_CODE",VLOOKUP($A3,'UPD Questions_290926 '!$E$1:$N$300,MATCH(G$1,'UPD Questions_290926 '!$E$1:$N$1,0),0)&amp;"")</f>
        <v>Law or Policy</v>
      </c>
      <c r="H3" s="86" t="n">
        <f aca="false">IF(ISBLANK($A3),"NO_CODE",VLOOKUP($A3,'UPD Questions_290926 '!$E$1:$N$300,MATCH(H$1,'UPD Questions_290926 '!$E$1:$N$1,0),0))</f>
        <v>10</v>
      </c>
      <c r="I3" s="87" t="str">
        <f aca="true">IF($H3=0,"NA",IF($A3=INDIRECT("'"&amp;$A3&amp;"'!$B$1"),IF(VLOOKUP(I$1,INDIRECT("'"&amp;$A3&amp;"'!$A$12:$Z$41"),MATCH("Points (Auto-generate)",INDIRECT("'"&amp;$A3&amp;"'!$A$12:$Z$12"),0),0)="","?",VLOOKUP(I$1,INDIRECT("'"&amp;$A3&amp;"'!$A$12:$Z$41"),MATCH("Points (Auto-generate)",INDIRECT("'"&amp;$A3&amp;"'!$A$12:$Z$12"),0),0)),"ER"))</f>
        <v>?</v>
      </c>
      <c r="J3" s="87" t="str">
        <f aca="true">IF($H3=0,"NA",IF($A3=INDIRECT("'"&amp;$A3&amp;"'!$B$1"),IF(VLOOKUP(J$1,INDIRECT("'"&amp;$A3&amp;"'!$A$12:$Z$41"),MATCH("Points (Auto-generate)",INDIRECT("'"&amp;$A3&amp;"'!$A$12:$Z$12"),0),0)="","?",VLOOKUP(J$1,INDIRECT("'"&amp;$A3&amp;"'!$A$12:$Z$41"),MATCH("Points (Auto-generate)",INDIRECT("'"&amp;$A3&amp;"'!$A$12:$Z$12"),0),0)),"ER"))</f>
        <v>?</v>
      </c>
      <c r="K3" s="87" t="str">
        <f aca="true">IF($H3=0,"NA",IF($A3=INDIRECT("'"&amp;$A3&amp;"'!$B$1"),IF(VLOOKUP(K$1,INDIRECT("'"&amp;$A3&amp;"'!$A$12:$Z$41"),MATCH("Points (Auto-generate)",INDIRECT("'"&amp;$A3&amp;"'!$A$12:$Z$12"),0),0)="","?",VLOOKUP(K$1,INDIRECT("'"&amp;$A3&amp;"'!$A$12:$Z$41"),MATCH("Points (Auto-generate)",INDIRECT("'"&amp;$A3&amp;"'!$A$12:$Z$12"),0),0)),"ER"))</f>
        <v>?</v>
      </c>
      <c r="L3" s="87" t="str">
        <f aca="true">IF($H3=0,"NA",IF($A3=INDIRECT("'"&amp;$A3&amp;"'!$B$1"),IF(VLOOKUP(L$1,INDIRECT("'"&amp;$A3&amp;"'!$A$12:$Z$41"),MATCH("Points (Auto-generate)",INDIRECT("'"&amp;$A3&amp;"'!$A$12:$Z$12"),0),0)="","?",VLOOKUP(L$1,INDIRECT("'"&amp;$A3&amp;"'!$A$12:$Z$41"),MATCH("Points (Auto-generate)",INDIRECT("'"&amp;$A3&amp;"'!$A$12:$Z$12"),0),0)),"ER"))</f>
        <v>?</v>
      </c>
      <c r="M3" s="87" t="str">
        <f aca="true">IF($H3=0,"NA",IF($A3=INDIRECT("'"&amp;$A3&amp;"'!$B$1"),IF(VLOOKUP(M$1,INDIRECT("'"&amp;$A3&amp;"'!$A$12:$Z$41"),MATCH("Points (Auto-generate)",INDIRECT("'"&amp;$A3&amp;"'!$A$12:$Z$12"),0),0)="","?",VLOOKUP(M$1,INDIRECT("'"&amp;$A3&amp;"'!$A$12:$Z$41"),MATCH("Points (Auto-generate)",INDIRECT("'"&amp;$A3&amp;"'!$A$12:$Z$12"),0),0)),"ER"))</f>
        <v>?</v>
      </c>
      <c r="N3" s="87" t="str">
        <f aca="true">IF($H3=0,"NA",IF($A3=INDIRECT("'"&amp;$A3&amp;"'!$B$1"),IF(VLOOKUP(N$1,INDIRECT("'"&amp;$A3&amp;"'!$A$12:$Z$41"),MATCH("Points (Auto-generate)",INDIRECT("'"&amp;$A3&amp;"'!$A$12:$Z$12"),0),0)="","?",VLOOKUP(N$1,INDIRECT("'"&amp;$A3&amp;"'!$A$12:$Z$41"),MATCH("Points (Auto-generate)",INDIRECT("'"&amp;$A3&amp;"'!$A$12:$Z$12"),0),0)),"ER"))</f>
        <v>?</v>
      </c>
      <c r="O3" s="87" t="str">
        <f aca="true">IF($H3=0,"NA",IF($A3=INDIRECT("'"&amp;$A3&amp;"'!$B$1"),IF(VLOOKUP(O$1,INDIRECT("'"&amp;$A3&amp;"'!$A$12:$Z$41"),MATCH("Points (Auto-generate)",INDIRECT("'"&amp;$A3&amp;"'!$A$12:$Z$12"),0),0)="","?",VLOOKUP(O$1,INDIRECT("'"&amp;$A3&amp;"'!$A$12:$Z$41"),MATCH("Points (Auto-generate)",INDIRECT("'"&amp;$A3&amp;"'!$A$12:$Z$12"),0),0)),"ER"))</f>
        <v>?</v>
      </c>
      <c r="P3" s="87" t="str">
        <f aca="true">IF($H3=0,"NA",IF($A3=INDIRECT("'"&amp;$A3&amp;"'!$B$1"),IF(VLOOKUP(P$1,INDIRECT("'"&amp;$A3&amp;"'!$A$12:$Z$41"),MATCH("Points (Auto-generate)",INDIRECT("'"&amp;$A3&amp;"'!$A$12:$Z$12"),0),0)="","?",VLOOKUP(P$1,INDIRECT("'"&amp;$A3&amp;"'!$A$12:$Z$41"),MATCH("Points (Auto-generate)",INDIRECT("'"&amp;$A3&amp;"'!$A$12:$Z$12"),0),0)),"ER"))</f>
        <v>?</v>
      </c>
      <c r="Q3" s="87" t="str">
        <f aca="true">IF($H3=0,"NA",IF($A3=INDIRECT("'"&amp;$A3&amp;"'!$B$1"),IF(VLOOKUP(Q$1,INDIRECT("'"&amp;$A3&amp;"'!$A$12:$Z$41"),MATCH("Points (Auto-generate)",INDIRECT("'"&amp;$A3&amp;"'!$A$12:$Z$12"),0),0)="","?",VLOOKUP(Q$1,INDIRECT("'"&amp;$A3&amp;"'!$A$12:$Z$41"),MATCH("Points (Auto-generate)",INDIRECT("'"&amp;$A3&amp;"'!$A$12:$Z$12"),0),0)),"ER"))</f>
        <v>?</v>
      </c>
      <c r="R3" s="87" t="str">
        <f aca="true">IF($H3=0,"NA",IF($A3=INDIRECT("'"&amp;$A3&amp;"'!$B$1"),IF(VLOOKUP(R$1,INDIRECT("'"&amp;$A3&amp;"'!$A$12:$Z$41"),MATCH("Points (Auto-generate)",INDIRECT("'"&amp;$A3&amp;"'!$A$12:$Z$12"),0),0)="","?",VLOOKUP(R$1,INDIRECT("'"&amp;$A3&amp;"'!$A$12:$Z$41"),MATCH("Points (Auto-generate)",INDIRECT("'"&amp;$A3&amp;"'!$A$12:$Z$12"),0),0)),"ER"))</f>
        <v>?</v>
      </c>
      <c r="S3" s="87" t="str">
        <f aca="true">IF($H3=0,"NA",IF($A3=INDIRECT("'"&amp;$A3&amp;"'!$B$1"),IF(VLOOKUP(S$1,INDIRECT("'"&amp;$A3&amp;"'!$A$12:$Z$41"),MATCH("Points (Auto-generate)",INDIRECT("'"&amp;$A3&amp;"'!$A$12:$Z$12"),0),0)="","?",VLOOKUP(S$1,INDIRECT("'"&amp;$A3&amp;"'!$A$12:$Z$41"),MATCH("Points (Auto-generate)",INDIRECT("'"&amp;$A3&amp;"'!$A$12:$Z$12"),0),0)),"ER"))</f>
        <v>?</v>
      </c>
      <c r="T3" s="87" t="str">
        <f aca="true">IF($H3=0,"NA",IF($A3=INDIRECT("'"&amp;$A3&amp;"'!$B$1"),IF(VLOOKUP(T$1,INDIRECT("'"&amp;$A3&amp;"'!$A$12:$Z$41"),MATCH("Points (Auto-generate)",INDIRECT("'"&amp;$A3&amp;"'!$A$12:$Z$12"),0),0)="","?",VLOOKUP(T$1,INDIRECT("'"&amp;$A3&amp;"'!$A$12:$Z$41"),MATCH("Points (Auto-generate)",INDIRECT("'"&amp;$A3&amp;"'!$A$12:$Z$12"),0),0)),"ER"))</f>
        <v>?</v>
      </c>
      <c r="U3" s="87" t="str">
        <f aca="true">IF($H3=0,"NA",IF($A3=INDIRECT("'"&amp;$A3&amp;"'!$B$1"),IF(VLOOKUP(U$1,INDIRECT("'"&amp;$A3&amp;"'!$A$12:$Z$41"),MATCH("Points (Auto-generate)",INDIRECT("'"&amp;$A3&amp;"'!$A$12:$Z$12"),0),0)="","?",VLOOKUP(U$1,INDIRECT("'"&amp;$A3&amp;"'!$A$12:$Z$41"),MATCH("Points (Auto-generate)",INDIRECT("'"&amp;$A3&amp;"'!$A$12:$Z$12"),0),0)),"ER"))</f>
        <v>?</v>
      </c>
      <c r="V3" s="87" t="str">
        <f aca="true">IF($H3=0,"NA",IF($A3=INDIRECT("'"&amp;$A3&amp;"'!$B$1"),IF(VLOOKUP(V$1,INDIRECT("'"&amp;$A3&amp;"'!$A$12:$Z$41"),MATCH("Points (Auto-generate)",INDIRECT("'"&amp;$A3&amp;"'!$A$12:$Z$12"),0),0)="","?",VLOOKUP(V$1,INDIRECT("'"&amp;$A3&amp;"'!$A$12:$Z$41"),MATCH("Points (Auto-generate)",INDIRECT("'"&amp;$A3&amp;"'!$A$12:$Z$12"),0),0)),"ER"))</f>
        <v>?</v>
      </c>
      <c r="W3" s="87" t="str">
        <f aca="true">IF($H3=0,"NA",IF($A3=INDIRECT("'"&amp;$A3&amp;"'!$B$1"),IF(VLOOKUP(W$1,INDIRECT("'"&amp;$A3&amp;"'!$A$12:$Z$41"),MATCH("Points (Auto-generate)",INDIRECT("'"&amp;$A3&amp;"'!$A$12:$Z$12"),0),0)="","?",VLOOKUP(W$1,INDIRECT("'"&amp;$A3&amp;"'!$A$12:$Z$41"),MATCH("Points (Auto-generate)",INDIRECT("'"&amp;$A3&amp;"'!$A$12:$Z$12"),0),0)),"ER"))</f>
        <v>?</v>
      </c>
      <c r="X3" s="87" t="str">
        <f aca="true">IF($H3=0,"NA",IF($A3=INDIRECT("'"&amp;$A3&amp;"'!$B$1"),IF(VLOOKUP(X$1,INDIRECT("'"&amp;$A3&amp;"'!$A$12:$Z$41"),MATCH("Points (Auto-generate)",INDIRECT("'"&amp;$A3&amp;"'!$A$12:$Z$12"),0),0)="","?",VLOOKUP(X$1,INDIRECT("'"&amp;$A3&amp;"'!$A$12:$Z$41"),MATCH("Points (Auto-generate)",INDIRECT("'"&amp;$A3&amp;"'!$A$12:$Z$12"),0),0)),"ER"))</f>
        <v>?</v>
      </c>
      <c r="Y3" s="87" t="str">
        <f aca="true">IF($H3=0,"NA",IF($A3=INDIRECT("'"&amp;$A3&amp;"'!$B$1"),IF(VLOOKUP(Y$1,INDIRECT("'"&amp;$A3&amp;"'!$A$12:$Z$41"),MATCH("Points (Auto-generate)",INDIRECT("'"&amp;$A3&amp;"'!$A$12:$Z$12"),0),0)="","?",VLOOKUP(Y$1,INDIRECT("'"&amp;$A3&amp;"'!$A$12:$Z$41"),MATCH("Points (Auto-generate)",INDIRECT("'"&amp;$A3&amp;"'!$A$12:$Z$12"),0),0)),"ER"))</f>
        <v>?</v>
      </c>
      <c r="Z3" s="87" t="str">
        <f aca="true">IF($H3=0,"NA",IF($A3=INDIRECT("'"&amp;$A3&amp;"'!$B$1"),IF(VLOOKUP(Z$1,INDIRECT("'"&amp;$A3&amp;"'!$A$12:$Z$41"),MATCH("Points (Auto-generate)",INDIRECT("'"&amp;$A3&amp;"'!$A$12:$Z$12"),0),0)="","?",VLOOKUP(Z$1,INDIRECT("'"&amp;$A3&amp;"'!$A$12:$Z$41"),MATCH("Points (Auto-generate)",INDIRECT("'"&amp;$A3&amp;"'!$A$12:$Z$12"),0),0)),"ER"))</f>
        <v>?</v>
      </c>
      <c r="AA3" s="87" t="str">
        <f aca="true">IF($H3=0,"NA",IF($A3=INDIRECT("'"&amp;$A3&amp;"'!$B$1"),IF(VLOOKUP(AA$1,INDIRECT("'"&amp;$A3&amp;"'!$A$12:$Z$41"),MATCH("Points (Auto-generate)",INDIRECT("'"&amp;$A3&amp;"'!$A$12:$Z$12"),0),0)="","?",VLOOKUP(AA$1,INDIRECT("'"&amp;$A3&amp;"'!$A$12:$Z$41"),MATCH("Points (Auto-generate)",INDIRECT("'"&amp;$A3&amp;"'!$A$12:$Z$12"),0),0)),"ER"))</f>
        <v>?</v>
      </c>
      <c r="AB3" s="87" t="str">
        <f aca="true">IF($H3=0,"NA",IF($A3=INDIRECT("'"&amp;$A3&amp;"'!$B$1"),IF(VLOOKUP(AB$1,INDIRECT("'"&amp;$A3&amp;"'!$A$12:$Z$41"),MATCH("Points (Auto-generate)",INDIRECT("'"&amp;$A3&amp;"'!$A$12:$Z$12"),0),0)="","?",VLOOKUP(AB$1,INDIRECT("'"&amp;$A3&amp;"'!$A$12:$Z$41"),MATCH("Points (Auto-generate)",INDIRECT("'"&amp;$A3&amp;"'!$A$12:$Z$12"),0),0)),"ER"))</f>
        <v>?</v>
      </c>
      <c r="AC3" s="87" t="str">
        <f aca="true">IF($H3=0,"NA",IF($A3=INDIRECT("'"&amp;$A3&amp;"'!$B$1"),IF(VLOOKUP(AC$1,INDIRECT("'"&amp;$A3&amp;"'!$A$12:$Z$41"),MATCH("Points (Auto-generate)",INDIRECT("'"&amp;$A3&amp;"'!$A$12:$Z$12"),0),0)="","?",VLOOKUP(AC$1,INDIRECT("'"&amp;$A3&amp;"'!$A$12:$Z$41"),MATCH("Points (Auto-generate)",INDIRECT("'"&amp;$A3&amp;"'!$A$12:$Z$12"),0),0)),"ER"))</f>
        <v>?</v>
      </c>
      <c r="AD3" s="87" t="str">
        <f aca="true">IF($H3=0,"NA",IF($A3=INDIRECT("'"&amp;$A3&amp;"'!$B$1"),IF(VLOOKUP(AD$1,INDIRECT("'"&amp;$A3&amp;"'!$A$12:$Z$41"),MATCH("Points (Auto-generate)",INDIRECT("'"&amp;$A3&amp;"'!$A$12:$Z$12"),0),0)="","?",VLOOKUP(AD$1,INDIRECT("'"&amp;$A3&amp;"'!$A$12:$Z$41"),MATCH("Points (Auto-generate)",INDIRECT("'"&amp;$A3&amp;"'!$A$12:$Z$12"),0),0)),"ER"))</f>
        <v>?</v>
      </c>
      <c r="AE3" s="87" t="str">
        <f aca="true">IF($H3=0,"NA",IF($A3=INDIRECT("'"&amp;$A3&amp;"'!$B$1"),IF(VLOOKUP(AE$1,INDIRECT("'"&amp;$A3&amp;"'!$A$12:$Z$41"),MATCH("Points (Auto-generate)",INDIRECT("'"&amp;$A3&amp;"'!$A$12:$Z$12"),0),0)="","?",VLOOKUP(AE$1,INDIRECT("'"&amp;$A3&amp;"'!$A$12:$Z$41"),MATCH("Points (Auto-generate)",INDIRECT("'"&amp;$A3&amp;"'!$A$12:$Z$12"),0),0)),"ER"))</f>
        <v>?</v>
      </c>
      <c r="AF3" s="87" t="str">
        <f aca="true">IF($H3=0,"NA",IF($A3=INDIRECT("'"&amp;$A3&amp;"'!$B$1"),IF(VLOOKUP(AF$1,INDIRECT("'"&amp;$A3&amp;"'!$A$12:$Z$41"),MATCH("Points (Auto-generate)",INDIRECT("'"&amp;$A3&amp;"'!$A$12:$Z$12"),0),0)="","?",VLOOKUP(AF$1,INDIRECT("'"&amp;$A3&amp;"'!$A$12:$Z$41"),MATCH("Points (Auto-generate)",INDIRECT("'"&amp;$A3&amp;"'!$A$12:$Z$12"),0),0)),"ER"))</f>
        <v>?</v>
      </c>
      <c r="AG3" s="87" t="str">
        <f aca="true">IF($H3=0,"NA",IF($A3=INDIRECT("'"&amp;$A3&amp;"'!$B$1"),IF(VLOOKUP(AG$1,INDIRECT("'"&amp;$A3&amp;"'!$A$12:$Z$41"),MATCH("Points (Auto-generate)",INDIRECT("'"&amp;$A3&amp;"'!$A$12:$Z$12"),0),0)="","?",VLOOKUP(AG$1,INDIRECT("'"&amp;$A3&amp;"'!$A$12:$Z$41"),MATCH("Points (Auto-generate)",INDIRECT("'"&amp;$A3&amp;"'!$A$12:$Z$12"),0),0)),"ER"))</f>
        <v>?</v>
      </c>
      <c r="AH3" s="87" t="str">
        <f aca="true">IF($H3=0,"NA",IF($A3=INDIRECT("'"&amp;$A3&amp;"'!$B$1"),IF(VLOOKUP(AH$1,INDIRECT("'"&amp;$A3&amp;"'!$A$12:$Z$41"),MATCH("Points (Auto-generate)",INDIRECT("'"&amp;$A3&amp;"'!$A$12:$Z$12"),0),0)="","?",VLOOKUP(AH$1,INDIRECT("'"&amp;$A3&amp;"'!$A$12:$Z$41"),MATCH("Points (Auto-generate)",INDIRECT("'"&amp;$A3&amp;"'!$A$12:$Z$12"),0),0)),"ER"))</f>
        <v>?</v>
      </c>
      <c r="AI3" s="87" t="str">
        <f aca="true">IF($H3=0,"NA",IF($A3=INDIRECT("'"&amp;$A3&amp;"'!$B$1"),IF(VLOOKUP(AI$1,INDIRECT("'"&amp;$A3&amp;"'!$A$12:$Z$41"),MATCH("Points (Auto-generate)",INDIRECT("'"&amp;$A3&amp;"'!$A$12:$Z$12"),0),0)="","?",VLOOKUP(AI$1,INDIRECT("'"&amp;$A3&amp;"'!$A$12:$Z$41"),MATCH("Points (Auto-generate)",INDIRECT("'"&amp;$A3&amp;"'!$A$12:$Z$12"),0),0)),"ER"))</f>
        <v>?</v>
      </c>
      <c r="AJ3" s="87" t="str">
        <f aca="true">IF($H3=0,"NA",IF($A3=INDIRECT("'"&amp;$A3&amp;"'!$B$1"),IF(VLOOKUP(AJ$1,INDIRECT("'"&amp;$A3&amp;"'!$A$12:$Z$41"),MATCH("Points (Auto-generate)",INDIRECT("'"&amp;$A3&amp;"'!$A$12:$Z$12"),0),0)="","?",VLOOKUP(AJ$1,INDIRECT("'"&amp;$A3&amp;"'!$A$12:$Z$41"),MATCH("Points (Auto-generate)",INDIRECT("'"&amp;$A3&amp;"'!$A$12:$Z$12"),0),0)),"ER"))</f>
        <v>?</v>
      </c>
      <c r="AK3" s="87" t="str">
        <f aca="true">IF($H3=0,"NA",IF($A3=INDIRECT("'"&amp;$A3&amp;"'!$B$1"),IF(VLOOKUP(AK$1,INDIRECT("'"&amp;$A3&amp;"'!$A$12:$Z$41"),MATCH("Points (Auto-generate)",INDIRECT("'"&amp;$A3&amp;"'!$A$12:$Z$12"),0),0)="","?",VLOOKUP(AK$1,INDIRECT("'"&amp;$A3&amp;"'!$A$12:$Z$41"),MATCH("Points (Auto-generate)",INDIRECT("'"&amp;$A3&amp;"'!$A$12:$Z$12"),0),0)),"ER"))</f>
        <v>?</v>
      </c>
    </row>
    <row r="4" customFormat="false" ht="25.5" hidden="false" customHeight="true" outlineLevel="0" collapsed="false">
      <c r="A4" s="83" t="s">
        <v>33</v>
      </c>
      <c r="B4" s="84" t="str">
        <f aca="false">IF(ISBLANK($A4),"NO_CODE",VLOOKUP($A4,'UPD Questions_290926 '!$E$1:$N$300,MATCH(B$1,'UPD Questions_290926 '!$E$1:$N$1,0),0)&amp;"")</f>
        <v>Planning </v>
      </c>
      <c r="C4" s="85" t="str">
        <f aca="false">IF(ISBLANK($A4),"NO_CODE",VLOOKUP($A4,'UPD Questions_290926 '!$E$1:$N$300,MATCH(C$1,'UPD Questions_290926 '!$E$1:$N$1,0),0)&amp;"")</f>
        <v>Legal and institutional planning architecture</v>
      </c>
      <c r="D4" s="84" t="str">
        <f aca="false">IF(ISBLANK($A4),"NO_CODE",VLOOKUP($A4,'UPD Questions_290926 '!$E$1:$N$300,MATCH(D$1,'UPD Questions_290926 '!$E$1:$N$1,0),0)&amp;"")</f>
        <v>State-level planning framework</v>
      </c>
      <c r="E4" s="84" t="str">
        <f aca="false">IF(ISBLANK($A4),"NO_CODE",VLOOKUP($A4,'UPD Questions_290926 '!$E$1:$N$300,MATCH(E$1,'UPD Questions_290926 '!$E$1:$N$1,0),0)&amp;"")</f>
        <v>MQ</v>
      </c>
      <c r="F4" s="84" t="str">
        <f aca="false">IF(ISBLANK($A4),"NO_CODE",VLOOKUP($A4,'UPD Questions_290926 '!$E$1:$N$300,MATCH(F$1,'UPD Questions_290926 '!$E$1:$N$1,0),0)&amp;"")</f>
        <v>Is there a provision for the establishment of Planning Authorities for notified new towns or special developments?</v>
      </c>
      <c r="G4" s="84" t="str">
        <f aca="false">IF(ISBLANK($A4),"NO_CODE",VLOOKUP($A4,'UPD Questions_290926 '!$E$1:$N$300,MATCH(G$1,'UPD Questions_290926 '!$E$1:$N$1,0),0)&amp;"")</f>
        <v>Law or Policy</v>
      </c>
      <c r="H4" s="86" t="n">
        <f aca="false">IF(ISBLANK($A4),"NO_CODE",VLOOKUP($A4,'UPD Questions_290926 '!$E$1:$N$300,MATCH(H$1,'UPD Questions_290926 '!$E$1:$N$1,0),0))</f>
        <v>10</v>
      </c>
      <c r="I4" s="87" t="str">
        <f aca="true">IF($H4=0,"NA",IF($A4=INDIRECT("'"&amp;$A4&amp;"'!$B$1"),IF(VLOOKUP(I$1,INDIRECT("'"&amp;$A4&amp;"'!$A$12:$Z$41"),MATCH("Points (Auto-generate)",INDIRECT("'"&amp;$A4&amp;"'!$A$12:$Z$12"),0),0)="","?",VLOOKUP(I$1,INDIRECT("'"&amp;$A4&amp;"'!$A$12:$Z$41"),MATCH("Points (Auto-generate)",INDIRECT("'"&amp;$A4&amp;"'!$A$12:$Z$12"),0),0)),"ER"))</f>
        <v>?</v>
      </c>
      <c r="J4" s="87" t="n">
        <f aca="true">IF($H4=0,"NA",IF($A4=INDIRECT("'"&amp;$A4&amp;"'!$B$1"),IF(VLOOKUP(J$1,INDIRECT("'"&amp;$A4&amp;"'!$A$12:$Z$41"),MATCH("Points (Auto-generate)",INDIRECT("'"&amp;$A4&amp;"'!$A$12:$Z$12"),0),0)="","?",VLOOKUP(J$1,INDIRECT("'"&amp;$A4&amp;"'!$A$12:$Z$41"),MATCH("Points (Auto-generate)",INDIRECT("'"&amp;$A4&amp;"'!$A$12:$Z$12"),0),0)),"ER"))</f>
        <v>10</v>
      </c>
      <c r="K4" s="87" t="str">
        <f aca="true">IF($H4=0,"NA",IF($A4=INDIRECT("'"&amp;$A4&amp;"'!$B$1"),IF(VLOOKUP(K$1,INDIRECT("'"&amp;$A4&amp;"'!$A$12:$Z$41"),MATCH("Points (Auto-generate)",INDIRECT("'"&amp;$A4&amp;"'!$A$12:$Z$12"),0),0)="","?",VLOOKUP(K$1,INDIRECT("'"&amp;$A4&amp;"'!$A$12:$Z$41"),MATCH("Points (Auto-generate)",INDIRECT("'"&amp;$A4&amp;"'!$A$12:$Z$12"),0),0)),"ER"))</f>
        <v>?</v>
      </c>
      <c r="L4" s="87" t="str">
        <f aca="true">IF($H4=0,"NA",IF($A4=INDIRECT("'"&amp;$A4&amp;"'!$B$1"),IF(VLOOKUP(L$1,INDIRECT("'"&amp;$A4&amp;"'!$A$12:$Z$41"),MATCH("Points (Auto-generate)",INDIRECT("'"&amp;$A4&amp;"'!$A$12:$Z$12"),0),0)="","?",VLOOKUP(L$1,INDIRECT("'"&amp;$A4&amp;"'!$A$12:$Z$41"),MATCH("Points (Auto-generate)",INDIRECT("'"&amp;$A4&amp;"'!$A$12:$Z$12"),0),0)),"ER"))</f>
        <v>?</v>
      </c>
      <c r="M4" s="87" t="str">
        <f aca="true">IF($H4=0,"NA",IF($A4=INDIRECT("'"&amp;$A4&amp;"'!$B$1"),IF(VLOOKUP(M$1,INDIRECT("'"&amp;$A4&amp;"'!$A$12:$Z$41"),MATCH("Points (Auto-generate)",INDIRECT("'"&amp;$A4&amp;"'!$A$12:$Z$12"),0),0)="","?",VLOOKUP(M$1,INDIRECT("'"&amp;$A4&amp;"'!$A$12:$Z$41"),MATCH("Points (Auto-generate)",INDIRECT("'"&amp;$A4&amp;"'!$A$12:$Z$12"),0),0)),"ER"))</f>
        <v>?</v>
      </c>
      <c r="N4" s="87" t="str">
        <f aca="true">IF($H4=0,"NA",IF($A4=INDIRECT("'"&amp;$A4&amp;"'!$B$1"),IF(VLOOKUP(N$1,INDIRECT("'"&amp;$A4&amp;"'!$A$12:$Z$41"),MATCH("Points (Auto-generate)",INDIRECT("'"&amp;$A4&amp;"'!$A$12:$Z$12"),0),0)="","?",VLOOKUP(N$1,INDIRECT("'"&amp;$A4&amp;"'!$A$12:$Z$41"),MATCH("Points (Auto-generate)",INDIRECT("'"&amp;$A4&amp;"'!$A$12:$Z$12"),0),0)),"ER"))</f>
        <v>?</v>
      </c>
      <c r="O4" s="87" t="str">
        <f aca="true">IF($H4=0,"NA",IF($A4=INDIRECT("'"&amp;$A4&amp;"'!$B$1"),IF(VLOOKUP(O$1,INDIRECT("'"&amp;$A4&amp;"'!$A$12:$Z$41"),MATCH("Points (Auto-generate)",INDIRECT("'"&amp;$A4&amp;"'!$A$12:$Z$12"),0),0)="","?",VLOOKUP(O$1,INDIRECT("'"&amp;$A4&amp;"'!$A$12:$Z$41"),MATCH("Points (Auto-generate)",INDIRECT("'"&amp;$A4&amp;"'!$A$12:$Z$12"),0),0)),"ER"))</f>
        <v>?</v>
      </c>
      <c r="P4" s="87" t="str">
        <f aca="true">IF($H4=0,"NA",IF($A4=INDIRECT("'"&amp;$A4&amp;"'!$B$1"),IF(VLOOKUP(P$1,INDIRECT("'"&amp;$A4&amp;"'!$A$12:$Z$41"),MATCH("Points (Auto-generate)",INDIRECT("'"&amp;$A4&amp;"'!$A$12:$Z$12"),0),0)="","?",VLOOKUP(P$1,INDIRECT("'"&amp;$A4&amp;"'!$A$12:$Z$41"),MATCH("Points (Auto-generate)",INDIRECT("'"&amp;$A4&amp;"'!$A$12:$Z$12"),0),0)),"ER"))</f>
        <v>?</v>
      </c>
      <c r="Q4" s="87" t="str">
        <f aca="true">IF($H4=0,"NA",IF($A4=INDIRECT("'"&amp;$A4&amp;"'!$B$1"),IF(VLOOKUP(Q$1,INDIRECT("'"&amp;$A4&amp;"'!$A$12:$Z$41"),MATCH("Points (Auto-generate)",INDIRECT("'"&amp;$A4&amp;"'!$A$12:$Z$12"),0),0)="","?",VLOOKUP(Q$1,INDIRECT("'"&amp;$A4&amp;"'!$A$12:$Z$41"),MATCH("Points (Auto-generate)",INDIRECT("'"&amp;$A4&amp;"'!$A$12:$Z$12"),0),0)),"ER"))</f>
        <v>?</v>
      </c>
      <c r="R4" s="87" t="str">
        <f aca="true">IF($H4=0,"NA",IF($A4=INDIRECT("'"&amp;$A4&amp;"'!$B$1"),IF(VLOOKUP(R$1,INDIRECT("'"&amp;$A4&amp;"'!$A$12:$Z$41"),MATCH("Points (Auto-generate)",INDIRECT("'"&amp;$A4&amp;"'!$A$12:$Z$12"),0),0)="","?",VLOOKUP(R$1,INDIRECT("'"&amp;$A4&amp;"'!$A$12:$Z$41"),MATCH("Points (Auto-generate)",INDIRECT("'"&amp;$A4&amp;"'!$A$12:$Z$12"),0),0)),"ER"))</f>
        <v>?</v>
      </c>
      <c r="S4" s="87" t="str">
        <f aca="true">IF($H4=0,"NA",IF($A4=INDIRECT("'"&amp;$A4&amp;"'!$B$1"),IF(VLOOKUP(S$1,INDIRECT("'"&amp;$A4&amp;"'!$A$12:$Z$41"),MATCH("Points (Auto-generate)",INDIRECT("'"&amp;$A4&amp;"'!$A$12:$Z$12"),0),0)="","?",VLOOKUP(S$1,INDIRECT("'"&amp;$A4&amp;"'!$A$12:$Z$41"),MATCH("Points (Auto-generate)",INDIRECT("'"&amp;$A4&amp;"'!$A$12:$Z$12"),0),0)),"ER"))</f>
        <v>?</v>
      </c>
      <c r="T4" s="87" t="str">
        <f aca="true">IF($H4=0,"NA",IF($A4=INDIRECT("'"&amp;$A4&amp;"'!$B$1"),IF(VLOOKUP(T$1,INDIRECT("'"&amp;$A4&amp;"'!$A$12:$Z$41"),MATCH("Points (Auto-generate)",INDIRECT("'"&amp;$A4&amp;"'!$A$12:$Z$12"),0),0)="","?",VLOOKUP(T$1,INDIRECT("'"&amp;$A4&amp;"'!$A$12:$Z$41"),MATCH("Points (Auto-generate)",INDIRECT("'"&amp;$A4&amp;"'!$A$12:$Z$12"),0),0)),"ER"))</f>
        <v>?</v>
      </c>
      <c r="U4" s="87" t="str">
        <f aca="true">IF($H4=0,"NA",IF($A4=INDIRECT("'"&amp;$A4&amp;"'!$B$1"),IF(VLOOKUP(U$1,INDIRECT("'"&amp;$A4&amp;"'!$A$12:$Z$41"),MATCH("Points (Auto-generate)",INDIRECT("'"&amp;$A4&amp;"'!$A$12:$Z$12"),0),0)="","?",VLOOKUP(U$1,INDIRECT("'"&amp;$A4&amp;"'!$A$12:$Z$41"),MATCH("Points (Auto-generate)",INDIRECT("'"&amp;$A4&amp;"'!$A$12:$Z$12"),0),0)),"ER"))</f>
        <v>?</v>
      </c>
      <c r="V4" s="87" t="str">
        <f aca="true">IF($H4=0,"NA",IF($A4=INDIRECT("'"&amp;$A4&amp;"'!$B$1"),IF(VLOOKUP(V$1,INDIRECT("'"&amp;$A4&amp;"'!$A$12:$Z$41"),MATCH("Points (Auto-generate)",INDIRECT("'"&amp;$A4&amp;"'!$A$12:$Z$12"),0),0)="","?",VLOOKUP(V$1,INDIRECT("'"&amp;$A4&amp;"'!$A$12:$Z$41"),MATCH("Points (Auto-generate)",INDIRECT("'"&amp;$A4&amp;"'!$A$12:$Z$12"),0),0)),"ER"))</f>
        <v>?</v>
      </c>
      <c r="W4" s="87" t="str">
        <f aca="true">IF($H4=0,"NA",IF($A4=INDIRECT("'"&amp;$A4&amp;"'!$B$1"),IF(VLOOKUP(W$1,INDIRECT("'"&amp;$A4&amp;"'!$A$12:$Z$41"),MATCH("Points (Auto-generate)",INDIRECT("'"&amp;$A4&amp;"'!$A$12:$Z$12"),0),0)="","?",VLOOKUP(W$1,INDIRECT("'"&amp;$A4&amp;"'!$A$12:$Z$41"),MATCH("Points (Auto-generate)",INDIRECT("'"&amp;$A4&amp;"'!$A$12:$Z$12"),0),0)),"ER"))</f>
        <v>?</v>
      </c>
      <c r="X4" s="87" t="str">
        <f aca="true">IF($H4=0,"NA",IF($A4=INDIRECT("'"&amp;$A4&amp;"'!$B$1"),IF(VLOOKUP(X$1,INDIRECT("'"&amp;$A4&amp;"'!$A$12:$Z$41"),MATCH("Points (Auto-generate)",INDIRECT("'"&amp;$A4&amp;"'!$A$12:$Z$12"),0),0)="","?",VLOOKUP(X$1,INDIRECT("'"&amp;$A4&amp;"'!$A$12:$Z$41"),MATCH("Points (Auto-generate)",INDIRECT("'"&amp;$A4&amp;"'!$A$12:$Z$12"),0),0)),"ER"))</f>
        <v>?</v>
      </c>
      <c r="Y4" s="87" t="str">
        <f aca="true">IF($H4=0,"NA",IF($A4=INDIRECT("'"&amp;$A4&amp;"'!$B$1"),IF(VLOOKUP(Y$1,INDIRECT("'"&amp;$A4&amp;"'!$A$12:$Z$41"),MATCH("Points (Auto-generate)",INDIRECT("'"&amp;$A4&amp;"'!$A$12:$Z$12"),0),0)="","?",VLOOKUP(Y$1,INDIRECT("'"&amp;$A4&amp;"'!$A$12:$Z$41"),MATCH("Points (Auto-generate)",INDIRECT("'"&amp;$A4&amp;"'!$A$12:$Z$12"),0),0)),"ER"))</f>
        <v>?</v>
      </c>
      <c r="Z4" s="87" t="str">
        <f aca="true">IF($H4=0,"NA",IF($A4=INDIRECT("'"&amp;$A4&amp;"'!$B$1"),IF(VLOOKUP(Z$1,INDIRECT("'"&amp;$A4&amp;"'!$A$12:$Z$41"),MATCH("Points (Auto-generate)",INDIRECT("'"&amp;$A4&amp;"'!$A$12:$Z$12"),0),0)="","?",VLOOKUP(Z$1,INDIRECT("'"&amp;$A4&amp;"'!$A$12:$Z$41"),MATCH("Points (Auto-generate)",INDIRECT("'"&amp;$A4&amp;"'!$A$12:$Z$12"),0),0)),"ER"))</f>
        <v>?</v>
      </c>
      <c r="AA4" s="87" t="str">
        <f aca="true">IF($H4=0,"NA",IF($A4=INDIRECT("'"&amp;$A4&amp;"'!$B$1"),IF(VLOOKUP(AA$1,INDIRECT("'"&amp;$A4&amp;"'!$A$12:$Z$41"),MATCH("Points (Auto-generate)",INDIRECT("'"&amp;$A4&amp;"'!$A$12:$Z$12"),0),0)="","?",VLOOKUP(AA$1,INDIRECT("'"&amp;$A4&amp;"'!$A$12:$Z$41"),MATCH("Points (Auto-generate)",INDIRECT("'"&amp;$A4&amp;"'!$A$12:$Z$12"),0),0)),"ER"))</f>
        <v>?</v>
      </c>
      <c r="AB4" s="87" t="str">
        <f aca="true">IF($H4=0,"NA",IF($A4=INDIRECT("'"&amp;$A4&amp;"'!$B$1"),IF(VLOOKUP(AB$1,INDIRECT("'"&amp;$A4&amp;"'!$A$12:$Z$41"),MATCH("Points (Auto-generate)",INDIRECT("'"&amp;$A4&amp;"'!$A$12:$Z$12"),0),0)="","?",VLOOKUP(AB$1,INDIRECT("'"&amp;$A4&amp;"'!$A$12:$Z$41"),MATCH("Points (Auto-generate)",INDIRECT("'"&amp;$A4&amp;"'!$A$12:$Z$12"),0),0)),"ER"))</f>
        <v>?</v>
      </c>
      <c r="AC4" s="87" t="n">
        <f aca="true">IF($H4=0,"NA",IF($A4=INDIRECT("'"&amp;$A4&amp;"'!$B$1"),IF(VLOOKUP(AC$1,INDIRECT("'"&amp;$A4&amp;"'!$A$12:$Z$41"),MATCH("Points (Auto-generate)",INDIRECT("'"&amp;$A4&amp;"'!$A$12:$Z$12"),0),0)="","?",VLOOKUP(AC$1,INDIRECT("'"&amp;$A4&amp;"'!$A$12:$Z$41"),MATCH("Points (Auto-generate)",INDIRECT("'"&amp;$A4&amp;"'!$A$12:$Z$12"),0),0)),"ER"))</f>
        <v>10</v>
      </c>
      <c r="AD4" s="87" t="str">
        <f aca="true">IF($H4=0,"NA",IF($A4=INDIRECT("'"&amp;$A4&amp;"'!$B$1"),IF(VLOOKUP(AD$1,INDIRECT("'"&amp;$A4&amp;"'!$A$12:$Z$41"),MATCH("Points (Auto-generate)",INDIRECT("'"&amp;$A4&amp;"'!$A$12:$Z$12"),0),0)="","?",VLOOKUP(AD$1,INDIRECT("'"&amp;$A4&amp;"'!$A$12:$Z$41"),MATCH("Points (Auto-generate)",INDIRECT("'"&amp;$A4&amp;"'!$A$12:$Z$12"),0),0)),"ER"))</f>
        <v>?</v>
      </c>
      <c r="AE4" s="87" t="str">
        <f aca="true">IF($H4=0,"NA",IF($A4=INDIRECT("'"&amp;$A4&amp;"'!$B$1"),IF(VLOOKUP(AE$1,INDIRECT("'"&amp;$A4&amp;"'!$A$12:$Z$41"),MATCH("Points (Auto-generate)",INDIRECT("'"&amp;$A4&amp;"'!$A$12:$Z$12"),0),0)="","?",VLOOKUP(AE$1,INDIRECT("'"&amp;$A4&amp;"'!$A$12:$Z$41"),MATCH("Points (Auto-generate)",INDIRECT("'"&amp;$A4&amp;"'!$A$12:$Z$12"),0),0)),"ER"))</f>
        <v>?</v>
      </c>
      <c r="AF4" s="87" t="str">
        <f aca="true">IF($H4=0,"NA",IF($A4=INDIRECT("'"&amp;$A4&amp;"'!$B$1"),IF(VLOOKUP(AF$1,INDIRECT("'"&amp;$A4&amp;"'!$A$12:$Z$41"),MATCH("Points (Auto-generate)",INDIRECT("'"&amp;$A4&amp;"'!$A$12:$Z$12"),0),0)="","?",VLOOKUP(AF$1,INDIRECT("'"&amp;$A4&amp;"'!$A$12:$Z$41"),MATCH("Points (Auto-generate)",INDIRECT("'"&amp;$A4&amp;"'!$A$12:$Z$12"),0),0)),"ER"))</f>
        <v>?</v>
      </c>
      <c r="AG4" s="87" t="str">
        <f aca="true">IF($H4=0,"NA",IF($A4=INDIRECT("'"&amp;$A4&amp;"'!$B$1"),IF(VLOOKUP(AG$1,INDIRECT("'"&amp;$A4&amp;"'!$A$12:$Z$41"),MATCH("Points (Auto-generate)",INDIRECT("'"&amp;$A4&amp;"'!$A$12:$Z$12"),0),0)="","?",VLOOKUP(AG$1,INDIRECT("'"&amp;$A4&amp;"'!$A$12:$Z$41"),MATCH("Points (Auto-generate)",INDIRECT("'"&amp;$A4&amp;"'!$A$12:$Z$12"),0),0)),"ER"))</f>
        <v>?</v>
      </c>
      <c r="AH4" s="87" t="str">
        <f aca="true">IF($H4=0,"NA",IF($A4=INDIRECT("'"&amp;$A4&amp;"'!$B$1"),IF(VLOOKUP(AH$1,INDIRECT("'"&amp;$A4&amp;"'!$A$12:$Z$41"),MATCH("Points (Auto-generate)",INDIRECT("'"&amp;$A4&amp;"'!$A$12:$Z$12"),0),0)="","?",VLOOKUP(AH$1,INDIRECT("'"&amp;$A4&amp;"'!$A$12:$Z$41"),MATCH("Points (Auto-generate)",INDIRECT("'"&amp;$A4&amp;"'!$A$12:$Z$12"),0),0)),"ER"))</f>
        <v>?</v>
      </c>
      <c r="AI4" s="87" t="str">
        <f aca="true">IF($H4=0,"NA",IF($A4=INDIRECT("'"&amp;$A4&amp;"'!$B$1"),IF(VLOOKUP(AI$1,INDIRECT("'"&amp;$A4&amp;"'!$A$12:$Z$41"),MATCH("Points (Auto-generate)",INDIRECT("'"&amp;$A4&amp;"'!$A$12:$Z$12"),0),0)="","?",VLOOKUP(AI$1,INDIRECT("'"&amp;$A4&amp;"'!$A$12:$Z$41"),MATCH("Points (Auto-generate)",INDIRECT("'"&amp;$A4&amp;"'!$A$12:$Z$12"),0),0)),"ER"))</f>
        <v>?</v>
      </c>
      <c r="AJ4" s="87" t="str">
        <f aca="true">IF($H4=0,"NA",IF($A4=INDIRECT("'"&amp;$A4&amp;"'!$B$1"),IF(VLOOKUP(AJ$1,INDIRECT("'"&amp;$A4&amp;"'!$A$12:$Z$41"),MATCH("Points (Auto-generate)",INDIRECT("'"&amp;$A4&amp;"'!$A$12:$Z$12"),0),0)="","?",VLOOKUP(AJ$1,INDIRECT("'"&amp;$A4&amp;"'!$A$12:$Z$41"),MATCH("Points (Auto-generate)",INDIRECT("'"&amp;$A4&amp;"'!$A$12:$Z$12"),0),0)),"ER"))</f>
        <v>?</v>
      </c>
      <c r="AK4" s="87" t="str">
        <f aca="true">IF($H4=0,"NA",IF($A4=INDIRECT("'"&amp;$A4&amp;"'!$B$1"),IF(VLOOKUP(AK$1,INDIRECT("'"&amp;$A4&amp;"'!$A$12:$Z$41"),MATCH("Points (Auto-generate)",INDIRECT("'"&amp;$A4&amp;"'!$A$12:$Z$12"),0),0)="","?",VLOOKUP(AK$1,INDIRECT("'"&amp;$A4&amp;"'!$A$12:$Z$41"),MATCH("Points (Auto-generate)",INDIRECT("'"&amp;$A4&amp;"'!$A$12:$Z$12"),0),0)),"ER"))</f>
        <v>?</v>
      </c>
    </row>
    <row r="5" customFormat="false" ht="25.5" hidden="false" customHeight="true" outlineLevel="0" collapsed="false">
      <c r="A5" s="83" t="s">
        <v>634</v>
      </c>
      <c r="B5" s="84" t="str">
        <f aca="false">IF(ISBLANK($A5),"NO_CODE",VLOOKUP($A5,'UPD Questions_290926 '!$E$1:$N$300,MATCH(B$1,'UPD Questions_290926 '!$E$1:$N$1,0),0)&amp;"")</f>
        <v>Planning </v>
      </c>
      <c r="C5" s="85" t="str">
        <f aca="false">IF(ISBLANK($A5),"NO_CODE",VLOOKUP($A5,'UPD Questions_290926 '!$E$1:$N$300,MATCH(C$1,'UPD Questions_290926 '!$E$1:$N$1,0),0)&amp;"")</f>
        <v>Legal and institutional planning architecture</v>
      </c>
      <c r="D5" s="84" t="str">
        <f aca="false">IF(ISBLANK($A5),"NO_CODE",VLOOKUP($A5,'UPD Questions_290926 '!$E$1:$N$300,MATCH(D$1,'UPD Questions_290926 '!$E$1:$N$1,0),0)&amp;"")</f>
        <v>Spatial planning hierarchy</v>
      </c>
      <c r="E5" s="84" t="str">
        <f aca="false">IF(ISBLANK($A5),"NO_CODE",VLOOKUP($A5,'UPD Questions_290926 '!$E$1:$N$300,MATCH(E$1,'UPD Questions_290926 '!$E$1:$N$1,0),0)&amp;"")</f>
        <v>MQ</v>
      </c>
      <c r="F5" s="84" t="str">
        <f aca="false">IF(ISBLANK($A5),"NO_CODE",VLOOKUP($A5,'UPD Questions_290926 '!$E$1:$N$300,MATCH(F$1,'UPD Questions_290926 '!$E$1:$N$1,0),0)&amp;"")</f>
        <v>Does the Act require three levels of spatial plans for cities: Metropolitan/Regional, Municipal and Ward(s) /Local</v>
      </c>
      <c r="G5" s="84" t="str">
        <f aca="false">IF(ISBLANK($A5),"NO_CODE",VLOOKUP($A5,'UPD Questions_290926 '!$E$1:$N$300,MATCH(G$1,'UPD Questions_290926 '!$E$1:$N$1,0),0)&amp;"")</f>
        <v>Law or Policy</v>
      </c>
      <c r="H5" s="86" t="n">
        <f aca="false">IF(ISBLANK($A5),"NO_CODE",VLOOKUP($A5,'UPD Questions_290926 '!$E$1:$N$300,MATCH(H$1,'UPD Questions_290926 '!$E$1:$N$1,0),0))</f>
        <v>10</v>
      </c>
      <c r="I5" s="87" t="str">
        <f aca="false">IF(OR(I6="ER",I7="ER",I8="ER"),"ER",IF(OR(I6="?",I7="?",I8="?"),"?",IF(AND(I6="NA",I7="NA",I8="NA"),"NA",SUM(I6,I7,I8)/((I6&lt;&gt;"NA")*$H$6+(I7&lt;&gt;"NA")*$H$7+(I8&lt;&gt;"NA")*$H$8)*$H5)))</f>
        <v>?</v>
      </c>
      <c r="J5" s="87" t="str">
        <f aca="false">IF(OR(J6="ER",J7="ER",J8="ER"),"ER",IF(OR(J6="?",J7="?",J8="?"),"?",IF(AND(J6="NA",J7="NA",J8="NA"),"NA",SUM(J6,J7,J8)/((J6&lt;&gt;"NA")*$H$6+(J7&lt;&gt;"NA")*$H$7+(J8&lt;&gt;"NA")*$H$8)*$H5)))</f>
        <v>?</v>
      </c>
      <c r="K5" s="87" t="str">
        <f aca="false">IF(OR(K6="ER",K7="ER",K8="ER"),"ER",IF(OR(K6="?",K7="?",K8="?"),"?",IF(AND(K6="NA",K7="NA",K8="NA"),"NA",SUM(K6,K7,K8)/((K6&lt;&gt;"NA")*$H$6+(K7&lt;&gt;"NA")*$H$7+(K8&lt;&gt;"NA")*$H$8)*$H5)))</f>
        <v>?</v>
      </c>
      <c r="L5" s="87" t="str">
        <f aca="false">IF(OR(L6="ER",L7="ER",L8="ER"),"ER",IF(OR(L6="?",L7="?",L8="?"),"?",IF(AND(L6="NA",L7="NA",L8="NA"),"NA",SUM(L6,L7,L8)/((L6&lt;&gt;"NA")*$H$6+(L7&lt;&gt;"NA")*$H$7+(L8&lt;&gt;"NA")*$H$8)*$H5)))</f>
        <v>?</v>
      </c>
      <c r="M5" s="87" t="str">
        <f aca="false">IF(OR(M6="ER",M7="ER",M8="ER"),"ER",IF(OR(M6="?",M7="?",M8="?"),"?",IF(AND(M6="NA",M7="NA",M8="NA"),"NA",SUM(M6,M7,M8)/((M6&lt;&gt;"NA")*$H$6+(M7&lt;&gt;"NA")*$H$7+(M8&lt;&gt;"NA")*$H$8)*$H5)))</f>
        <v>?</v>
      </c>
      <c r="N5" s="87" t="str">
        <f aca="false">IF(OR(N6="ER",N7="ER",N8="ER"),"ER",IF(OR(N6="?",N7="?",N8="?"),"?",IF(AND(N6="NA",N7="NA",N8="NA"),"NA",SUM(N6,N7,N8)/((N6&lt;&gt;"NA")*$H$6+(N7&lt;&gt;"NA")*$H$7+(N8&lt;&gt;"NA")*$H$8)*$H5)))</f>
        <v>?</v>
      </c>
      <c r="O5" s="87" t="str">
        <f aca="false">IF(OR(O6="ER",O7="ER",O8="ER"),"ER",IF(OR(O6="?",O7="?",O8="?"),"?",IF(AND(O6="NA",O7="NA",O8="NA"),"NA",SUM(O6,O7,O8)/((O6&lt;&gt;"NA")*$H$6+(O7&lt;&gt;"NA")*$H$7+(O8&lt;&gt;"NA")*$H$8)*$H5)))</f>
        <v>?</v>
      </c>
      <c r="P5" s="87" t="str">
        <f aca="false">IF(OR(P6="ER",P7="ER",P8="ER"),"ER",IF(OR(P6="?",P7="?",P8="?"),"?",IF(AND(P6="NA",P7="NA",P8="NA"),"NA",SUM(P6,P7,P8)/((P6&lt;&gt;"NA")*$H$6+(P7&lt;&gt;"NA")*$H$7+(P8&lt;&gt;"NA")*$H$8)*$H5)))</f>
        <v>?</v>
      </c>
      <c r="Q5" s="87" t="str">
        <f aca="false">IF(OR(Q6="ER",Q7="ER",Q8="ER"),"ER",IF(OR(Q6="?",Q7="?",Q8="?"),"?",IF(AND(Q6="NA",Q7="NA",Q8="NA"),"NA",SUM(Q6,Q7,Q8)/((Q6&lt;&gt;"NA")*$H$6+(Q7&lt;&gt;"NA")*$H$7+(Q8&lt;&gt;"NA")*$H$8)*$H5)))</f>
        <v>?</v>
      </c>
      <c r="R5" s="87" t="str">
        <f aca="false">IF(OR(R6="ER",R7="ER",R8="ER"),"ER",IF(OR(R6="?",R7="?",R8="?"),"?",IF(AND(R6="NA",R7="NA",R8="NA"),"NA",SUM(R6,R7,R8)/((R6&lt;&gt;"NA")*$H$6+(R7&lt;&gt;"NA")*$H$7+(R8&lt;&gt;"NA")*$H$8)*$H5)))</f>
        <v>?</v>
      </c>
      <c r="S5" s="87" t="str">
        <f aca="false">IF(OR(S6="ER",S7="ER",S8="ER"),"ER",IF(OR(S6="?",S7="?",S8="?"),"?",IF(AND(S6="NA",S7="NA",S8="NA"),"NA",SUM(S6,S7,S8)/((S6&lt;&gt;"NA")*$H$6+(S7&lt;&gt;"NA")*$H$7+(S8&lt;&gt;"NA")*$H$8)*$H5)))</f>
        <v>?</v>
      </c>
      <c r="T5" s="87" t="str">
        <f aca="false">IF(OR(T6="ER",T7="ER",T8="ER"),"ER",IF(OR(T6="?",T7="?",T8="?"),"?",IF(AND(T6="NA",T7="NA",T8="NA"),"NA",SUM(T6,T7,T8)/((T6&lt;&gt;"NA")*$H$6+(T7&lt;&gt;"NA")*$H$7+(T8&lt;&gt;"NA")*$H$8)*$H5)))</f>
        <v>?</v>
      </c>
      <c r="U5" s="87" t="str">
        <f aca="false">IF(OR(U6="ER",U7="ER",U8="ER"),"ER",IF(OR(U6="?",U7="?",U8="?"),"?",IF(AND(U6="NA",U7="NA",U8="NA"),"NA",SUM(U6,U7,U8)/((U6&lt;&gt;"NA")*$H$6+(U7&lt;&gt;"NA")*$H$7+(U8&lt;&gt;"NA")*$H$8)*$H5)))</f>
        <v>?</v>
      </c>
      <c r="V5" s="87" t="str">
        <f aca="false">IF(OR(V6="ER",V7="ER",V8="ER"),"ER",IF(OR(V6="?",V7="?",V8="?"),"?",IF(AND(V6="NA",V7="NA",V8="NA"),"NA",SUM(V6,V7,V8)/((V6&lt;&gt;"NA")*$H$6+(V7&lt;&gt;"NA")*$H$7+(V8&lt;&gt;"NA")*$H$8)*$H5)))</f>
        <v>?</v>
      </c>
      <c r="W5" s="87" t="str">
        <f aca="false">IF(OR(W6="ER",W7="ER",W8="ER"),"ER",IF(OR(W6="?",W7="?",W8="?"),"?",IF(AND(W6="NA",W7="NA",W8="NA"),"NA",SUM(W6,W7,W8)/((W6&lt;&gt;"NA")*$H$6+(W7&lt;&gt;"NA")*$H$7+(W8&lt;&gt;"NA")*$H$8)*$H5)))</f>
        <v>?</v>
      </c>
      <c r="X5" s="87" t="str">
        <f aca="false">IF(OR(X6="ER",X7="ER",X8="ER"),"ER",IF(OR(X6="?",X7="?",X8="?"),"?",IF(AND(X6="NA",X7="NA",X8="NA"),"NA",SUM(X6,X7,X8)/((X6&lt;&gt;"NA")*$H$6+(X7&lt;&gt;"NA")*$H$7+(X8&lt;&gt;"NA")*$H$8)*$H5)))</f>
        <v>?</v>
      </c>
      <c r="Y5" s="87" t="str">
        <f aca="false">IF(OR(Y6="ER",Y7="ER",Y8="ER"),"ER",IF(OR(Y6="?",Y7="?",Y8="?"),"?",IF(AND(Y6="NA",Y7="NA",Y8="NA"),"NA",SUM(Y6,Y7,Y8)/((Y6&lt;&gt;"NA")*$H$6+(Y7&lt;&gt;"NA")*$H$7+(Y8&lt;&gt;"NA")*$H$8)*$H5)))</f>
        <v>?</v>
      </c>
      <c r="Z5" s="87" t="str">
        <f aca="false">IF(OR(Z6="ER",Z7="ER",Z8="ER"),"ER",IF(OR(Z6="?",Z7="?",Z8="?"),"?",IF(AND(Z6="NA",Z7="NA",Z8="NA"),"NA",SUM(Z6,Z7,Z8)/((Z6&lt;&gt;"NA")*$H$6+(Z7&lt;&gt;"NA")*$H$7+(Z8&lt;&gt;"NA")*$H$8)*$H5)))</f>
        <v>?</v>
      </c>
      <c r="AA5" s="87" t="str">
        <f aca="false">IF(OR(AA6="ER",AA7="ER",AA8="ER"),"ER",IF(OR(AA6="?",AA7="?",AA8="?"),"?",IF(AND(AA6="NA",AA7="NA",AA8="NA"),"NA",SUM(AA6,AA7,AA8)/((AA6&lt;&gt;"NA")*$H$6+(AA7&lt;&gt;"NA")*$H$7+(AA8&lt;&gt;"NA")*$H$8)*$H5)))</f>
        <v>?</v>
      </c>
      <c r="AB5" s="87" t="str">
        <f aca="false">IF(OR(AB6="ER",AB7="ER",AB8="ER"),"ER",IF(OR(AB6="?",AB7="?",AB8="?"),"?",IF(AND(AB6="NA",AB7="NA",AB8="NA"),"NA",SUM(AB6,AB7,AB8)/((AB6&lt;&gt;"NA")*$H$6+(AB7&lt;&gt;"NA")*$H$7+(AB8&lt;&gt;"NA")*$H$8)*$H5)))</f>
        <v>?</v>
      </c>
      <c r="AC5" s="87" t="str">
        <f aca="false">IF(OR(AC6="ER",AC7="ER",AC8="ER"),"ER",IF(OR(AC6="?",AC7="?",AC8="?"),"?",IF(AND(AC6="NA",AC7="NA",AC8="NA"),"NA",SUM(AC6,AC7,AC8)/((AC6&lt;&gt;"NA")*$H$6+(AC7&lt;&gt;"NA")*$H$7+(AC8&lt;&gt;"NA")*$H$8)*$H5)))</f>
        <v>?</v>
      </c>
      <c r="AD5" s="87" t="str">
        <f aca="false">IF(OR(AD6="ER",AD7="ER",AD8="ER"),"ER",IF(OR(AD6="?",AD7="?",AD8="?"),"?",IF(AND(AD6="NA",AD7="NA",AD8="NA"),"NA",SUM(AD6,AD7,AD8)/((AD6&lt;&gt;"NA")*$H$6+(AD7&lt;&gt;"NA")*$H$7+(AD8&lt;&gt;"NA")*$H$8)*$H5)))</f>
        <v>?</v>
      </c>
      <c r="AE5" s="87" t="str">
        <f aca="false">IF(OR(AE6="ER",AE7="ER",AE8="ER"),"ER",IF(OR(AE6="?",AE7="?",AE8="?"),"?",IF(AND(AE6="NA",AE7="NA",AE8="NA"),"NA",SUM(AE6,AE7,AE8)/((AE6&lt;&gt;"NA")*$H$6+(AE7&lt;&gt;"NA")*$H$7+(AE8&lt;&gt;"NA")*$H$8)*$H5)))</f>
        <v>?</v>
      </c>
      <c r="AF5" s="87" t="str">
        <f aca="false">IF(OR(AF6="ER",AF7="ER",AF8="ER"),"ER",IF(OR(AF6="?",AF7="?",AF8="?"),"?",IF(AND(AF6="NA",AF7="NA",AF8="NA"),"NA",SUM(AF6,AF7,AF8)/((AF6&lt;&gt;"NA")*$H$6+(AF7&lt;&gt;"NA")*$H$7+(AF8&lt;&gt;"NA")*$H$8)*$H5)))</f>
        <v>?</v>
      </c>
      <c r="AG5" s="87" t="str">
        <f aca="false">IF(OR(AG6="ER",AG7="ER",AG8="ER"),"ER",IF(OR(AG6="?",AG7="?",AG8="?"),"?",IF(AND(AG6="NA",AG7="NA",AG8="NA"),"NA",SUM(AG6,AG7,AG8)/((AG6&lt;&gt;"NA")*$H$6+(AG7&lt;&gt;"NA")*$H$7+(AG8&lt;&gt;"NA")*$H$8)*$H5)))</f>
        <v>?</v>
      </c>
      <c r="AH5" s="87" t="str">
        <f aca="false">IF(OR(AH6="ER",AH7="ER",AH8="ER"),"ER",IF(OR(AH6="?",AH7="?",AH8="?"),"?",IF(AND(AH6="NA",AH7="NA",AH8="NA"),"NA",SUM(AH6,AH7,AH8)/((AH6&lt;&gt;"NA")*$H$6+(AH7&lt;&gt;"NA")*$H$7+(AH8&lt;&gt;"NA")*$H$8)*$H5)))</f>
        <v>?</v>
      </c>
      <c r="AI5" s="87" t="str">
        <f aca="false">IF(OR(AI6="ER",AI7="ER",AI8="ER"),"ER",IF(OR(AI6="?",AI7="?",AI8="?"),"?",IF(AND(AI6="NA",AI7="NA",AI8="NA"),"NA",SUM(AI6,AI7,AI8)/((AI6&lt;&gt;"NA")*$H$6+(AI7&lt;&gt;"NA")*$H$7+(AI8&lt;&gt;"NA")*$H$8)*$H5)))</f>
        <v>?</v>
      </c>
      <c r="AJ5" s="87" t="str">
        <f aca="false">IF(OR(AJ6="ER",AJ7="ER",AJ8="ER"),"ER",IF(OR(AJ6="?",AJ7="?",AJ8="?"),"?",IF(AND(AJ6="NA",AJ7="NA",AJ8="NA"),"NA",SUM(AJ6,AJ7,AJ8)/((AJ6&lt;&gt;"NA")*$H$6+(AJ7&lt;&gt;"NA")*$H$7+(AJ8&lt;&gt;"NA")*$H$8)*$H5)))</f>
        <v>?</v>
      </c>
      <c r="AK5" s="87" t="str">
        <f aca="false">IF(OR(AK6="ER",AK7="ER",AK8="ER"),"ER",IF(OR(AK6="?",AK7="?",AK8="?"),"?",IF(AND(AK6="NA",AK7="NA",AK8="NA"),"NA",SUM(AK6,AK7,AK8)/((AK6&lt;&gt;"NA")*$H$6+(AK7&lt;&gt;"NA")*$H$7+(AK8&lt;&gt;"NA")*$H$8)*$H5)))</f>
        <v>?</v>
      </c>
    </row>
    <row r="6" customFormat="false" ht="25.5" hidden="false" customHeight="true" outlineLevel="0" collapsed="false">
      <c r="A6" s="83" t="s">
        <v>45</v>
      </c>
      <c r="B6" s="84" t="str">
        <f aca="false">IF(ISBLANK($A6),"NO_CODE",VLOOKUP($A6,'UPD Questions_290926 '!$E$1:$N$300,MATCH(B$1,'UPD Questions_290926 '!$E$1:$N$1,0),0)&amp;"")</f>
        <v>Planning </v>
      </c>
      <c r="C6" s="85" t="str">
        <f aca="false">IF(ISBLANK($A6),"NO_CODE",VLOOKUP($A6,'UPD Questions_290926 '!$E$1:$N$300,MATCH(C$1,'UPD Questions_290926 '!$E$1:$N$1,0),0)&amp;"")</f>
        <v>Legal and institutional planning architecture</v>
      </c>
      <c r="D6" s="84" t="str">
        <f aca="false">IF(ISBLANK($A6),"NO_CODE",VLOOKUP($A6,'UPD Questions_290926 '!$E$1:$N$300,MATCH(D$1,'UPD Questions_290926 '!$E$1:$N$1,0),0)&amp;"")</f>
        <v>Spatial planning hierarchy</v>
      </c>
      <c r="E6" s="84" t="str">
        <f aca="false">IF(ISBLANK($A6),"NO_CODE",VLOOKUP($A6,'UPD Questions_290926 '!$E$1:$N$300,MATCH(E$1,'UPD Questions_290926 '!$E$1:$N$1,0),0)&amp;"")</f>
        <v>SQ</v>
      </c>
      <c r="F6" s="84" t="str">
        <f aca="false">IF(ISBLANK($A6),"NO_CODE",VLOOKUP($A6,'UPD Questions_290926 '!$E$1:$N$300,MATCH(F$1,'UPD Questions_290926 '!$E$1:$N$1,0),0)&amp;"")</f>
        <v>Metropolitan/ Regional Plan</v>
      </c>
      <c r="G6" s="84" t="str">
        <f aca="false">IF(ISBLANK($A6),"NO_CODE",VLOOKUP($A6,'UPD Questions_290926 '!$E$1:$N$300,MATCH(G$1,'UPD Questions_290926 '!$E$1:$N$1,0),0)&amp;"")</f>
        <v>Law or Policy</v>
      </c>
      <c r="H6" s="86" t="n">
        <f aca="false">IF(ISBLANK($A6),"NO_CODE",VLOOKUP($A6,'UPD Questions_290926 '!$E$1:$N$300,MATCH(H$1,'UPD Questions_290926 '!$E$1:$N$1,0),0))</f>
        <v>3.33</v>
      </c>
      <c r="I6" s="87" t="str">
        <f aca="true">IF($H6=0,"NA",IF($A6=INDIRECT("'"&amp;$A6&amp;"'!$B$1"),IF(VLOOKUP(I$1,INDIRECT("'"&amp;$A6&amp;"'!$A$12:$Z$41"),MATCH("Points (Auto-generate)",INDIRECT("'"&amp;$A6&amp;"'!$A$12:$Z$12"),0),0)="","?",VLOOKUP(I$1,INDIRECT("'"&amp;$A6&amp;"'!$A$12:$Z$41"),MATCH("Points (Auto-generate)",INDIRECT("'"&amp;$A6&amp;"'!$A$12:$Z$12"),0),0)),"ER"))</f>
        <v>?</v>
      </c>
      <c r="J6" s="87" t="n">
        <f aca="true">IF($H6=0,"NA",IF($A6=INDIRECT("'"&amp;$A6&amp;"'!$B$1"),IF(VLOOKUP(J$1,INDIRECT("'"&amp;$A6&amp;"'!$A$12:$Z$41"),MATCH("Points (Auto-generate)",INDIRECT("'"&amp;$A6&amp;"'!$A$12:$Z$12"),0),0)="","?",VLOOKUP(J$1,INDIRECT("'"&amp;$A6&amp;"'!$A$12:$Z$41"),MATCH("Points (Auto-generate)",INDIRECT("'"&amp;$A6&amp;"'!$A$12:$Z$12"),0),0)),"ER"))</f>
        <v>3.33</v>
      </c>
      <c r="K6" s="87" t="str">
        <f aca="true">IF($H6=0,"NA",IF($A6=INDIRECT("'"&amp;$A6&amp;"'!$B$1"),IF(VLOOKUP(K$1,INDIRECT("'"&amp;$A6&amp;"'!$A$12:$Z$41"),MATCH("Points (Auto-generate)",INDIRECT("'"&amp;$A6&amp;"'!$A$12:$Z$12"),0),0)="","?",VLOOKUP(K$1,INDIRECT("'"&amp;$A6&amp;"'!$A$12:$Z$41"),MATCH("Points (Auto-generate)",INDIRECT("'"&amp;$A6&amp;"'!$A$12:$Z$12"),0),0)),"ER"))</f>
        <v>?</v>
      </c>
      <c r="L6" s="87" t="str">
        <f aca="true">IF($H6=0,"NA",IF($A6=INDIRECT("'"&amp;$A6&amp;"'!$B$1"),IF(VLOOKUP(L$1,INDIRECT("'"&amp;$A6&amp;"'!$A$12:$Z$41"),MATCH("Points (Auto-generate)",INDIRECT("'"&amp;$A6&amp;"'!$A$12:$Z$12"),0),0)="","?",VLOOKUP(L$1,INDIRECT("'"&amp;$A6&amp;"'!$A$12:$Z$41"),MATCH("Points (Auto-generate)",INDIRECT("'"&amp;$A6&amp;"'!$A$12:$Z$12"),0),0)),"ER"))</f>
        <v>?</v>
      </c>
      <c r="M6" s="87" t="str">
        <f aca="true">IF($H6=0,"NA",IF($A6=INDIRECT("'"&amp;$A6&amp;"'!$B$1"),IF(VLOOKUP(M$1,INDIRECT("'"&amp;$A6&amp;"'!$A$12:$Z$41"),MATCH("Points (Auto-generate)",INDIRECT("'"&amp;$A6&amp;"'!$A$12:$Z$12"),0),0)="","?",VLOOKUP(M$1,INDIRECT("'"&amp;$A6&amp;"'!$A$12:$Z$41"),MATCH("Points (Auto-generate)",INDIRECT("'"&amp;$A6&amp;"'!$A$12:$Z$12"),0),0)),"ER"))</f>
        <v>?</v>
      </c>
      <c r="N6" s="87" t="str">
        <f aca="true">IF($H6=0,"NA",IF($A6=INDIRECT("'"&amp;$A6&amp;"'!$B$1"),IF(VLOOKUP(N$1,INDIRECT("'"&amp;$A6&amp;"'!$A$12:$Z$41"),MATCH("Points (Auto-generate)",INDIRECT("'"&amp;$A6&amp;"'!$A$12:$Z$12"),0),0)="","?",VLOOKUP(N$1,INDIRECT("'"&amp;$A6&amp;"'!$A$12:$Z$41"),MATCH("Points (Auto-generate)",INDIRECT("'"&amp;$A6&amp;"'!$A$12:$Z$12"),0),0)),"ER"))</f>
        <v>?</v>
      </c>
      <c r="O6" s="87" t="str">
        <f aca="true">IF($H6=0,"NA",IF($A6=INDIRECT("'"&amp;$A6&amp;"'!$B$1"),IF(VLOOKUP(O$1,INDIRECT("'"&amp;$A6&amp;"'!$A$12:$Z$41"),MATCH("Points (Auto-generate)",INDIRECT("'"&amp;$A6&amp;"'!$A$12:$Z$12"),0),0)="","?",VLOOKUP(O$1,INDIRECT("'"&amp;$A6&amp;"'!$A$12:$Z$41"),MATCH("Points (Auto-generate)",INDIRECT("'"&amp;$A6&amp;"'!$A$12:$Z$12"),0),0)),"ER"))</f>
        <v>?</v>
      </c>
      <c r="P6" s="87" t="str">
        <f aca="true">IF($H6=0,"NA",IF($A6=INDIRECT("'"&amp;$A6&amp;"'!$B$1"),IF(VLOOKUP(P$1,INDIRECT("'"&amp;$A6&amp;"'!$A$12:$Z$41"),MATCH("Points (Auto-generate)",INDIRECT("'"&amp;$A6&amp;"'!$A$12:$Z$12"),0),0)="","?",VLOOKUP(P$1,INDIRECT("'"&amp;$A6&amp;"'!$A$12:$Z$41"),MATCH("Points (Auto-generate)",INDIRECT("'"&amp;$A6&amp;"'!$A$12:$Z$12"),0),0)),"ER"))</f>
        <v>?</v>
      </c>
      <c r="Q6" s="87" t="str">
        <f aca="true">IF($H6=0,"NA",IF($A6=INDIRECT("'"&amp;$A6&amp;"'!$B$1"),IF(VLOOKUP(Q$1,INDIRECT("'"&amp;$A6&amp;"'!$A$12:$Z$41"),MATCH("Points (Auto-generate)",INDIRECT("'"&amp;$A6&amp;"'!$A$12:$Z$12"),0),0)="","?",VLOOKUP(Q$1,INDIRECT("'"&amp;$A6&amp;"'!$A$12:$Z$41"),MATCH("Points (Auto-generate)",INDIRECT("'"&amp;$A6&amp;"'!$A$12:$Z$12"),0),0)),"ER"))</f>
        <v>?</v>
      </c>
      <c r="R6" s="87" t="str">
        <f aca="true">IF($H6=0,"NA",IF($A6=INDIRECT("'"&amp;$A6&amp;"'!$B$1"),IF(VLOOKUP(R$1,INDIRECT("'"&amp;$A6&amp;"'!$A$12:$Z$41"),MATCH("Points (Auto-generate)",INDIRECT("'"&amp;$A6&amp;"'!$A$12:$Z$12"),0),0)="","?",VLOOKUP(R$1,INDIRECT("'"&amp;$A6&amp;"'!$A$12:$Z$41"),MATCH("Points (Auto-generate)",INDIRECT("'"&amp;$A6&amp;"'!$A$12:$Z$12"),0),0)),"ER"))</f>
        <v>?</v>
      </c>
      <c r="S6" s="87" t="str">
        <f aca="true">IF($H6=0,"NA",IF($A6=INDIRECT("'"&amp;$A6&amp;"'!$B$1"),IF(VLOOKUP(S$1,INDIRECT("'"&amp;$A6&amp;"'!$A$12:$Z$41"),MATCH("Points (Auto-generate)",INDIRECT("'"&amp;$A6&amp;"'!$A$12:$Z$12"),0),0)="","?",VLOOKUP(S$1,INDIRECT("'"&amp;$A6&amp;"'!$A$12:$Z$41"),MATCH("Points (Auto-generate)",INDIRECT("'"&amp;$A6&amp;"'!$A$12:$Z$12"),0),0)),"ER"))</f>
        <v>?</v>
      </c>
      <c r="T6" s="87" t="str">
        <f aca="true">IF($H6=0,"NA",IF($A6=INDIRECT("'"&amp;$A6&amp;"'!$B$1"),IF(VLOOKUP(T$1,INDIRECT("'"&amp;$A6&amp;"'!$A$12:$Z$41"),MATCH("Points (Auto-generate)",INDIRECT("'"&amp;$A6&amp;"'!$A$12:$Z$12"),0),0)="","?",VLOOKUP(T$1,INDIRECT("'"&amp;$A6&amp;"'!$A$12:$Z$41"),MATCH("Points (Auto-generate)",INDIRECT("'"&amp;$A6&amp;"'!$A$12:$Z$12"),0),0)),"ER"))</f>
        <v>?</v>
      </c>
      <c r="U6" s="87" t="str">
        <f aca="true">IF($H6=0,"NA",IF($A6=INDIRECT("'"&amp;$A6&amp;"'!$B$1"),IF(VLOOKUP(U$1,INDIRECT("'"&amp;$A6&amp;"'!$A$12:$Z$41"),MATCH("Points (Auto-generate)",INDIRECT("'"&amp;$A6&amp;"'!$A$12:$Z$12"),0),0)="","?",VLOOKUP(U$1,INDIRECT("'"&amp;$A6&amp;"'!$A$12:$Z$41"),MATCH("Points (Auto-generate)",INDIRECT("'"&amp;$A6&amp;"'!$A$12:$Z$12"),0),0)),"ER"))</f>
        <v>?</v>
      </c>
      <c r="V6" s="87" t="str">
        <f aca="true">IF($H6=0,"NA",IF($A6=INDIRECT("'"&amp;$A6&amp;"'!$B$1"),IF(VLOOKUP(V$1,INDIRECT("'"&amp;$A6&amp;"'!$A$12:$Z$41"),MATCH("Points (Auto-generate)",INDIRECT("'"&amp;$A6&amp;"'!$A$12:$Z$12"),0),0)="","?",VLOOKUP(V$1,INDIRECT("'"&amp;$A6&amp;"'!$A$12:$Z$41"),MATCH("Points (Auto-generate)",INDIRECT("'"&amp;$A6&amp;"'!$A$12:$Z$12"),0),0)),"ER"))</f>
        <v>?</v>
      </c>
      <c r="W6" s="87" t="str">
        <f aca="true">IF($H6=0,"NA",IF($A6=INDIRECT("'"&amp;$A6&amp;"'!$B$1"),IF(VLOOKUP(W$1,INDIRECT("'"&amp;$A6&amp;"'!$A$12:$Z$41"),MATCH("Points (Auto-generate)",INDIRECT("'"&amp;$A6&amp;"'!$A$12:$Z$12"),0),0)="","?",VLOOKUP(W$1,INDIRECT("'"&amp;$A6&amp;"'!$A$12:$Z$41"),MATCH("Points (Auto-generate)",INDIRECT("'"&amp;$A6&amp;"'!$A$12:$Z$12"),0),0)),"ER"))</f>
        <v>?</v>
      </c>
      <c r="X6" s="87" t="str">
        <f aca="true">IF($H6=0,"NA",IF($A6=INDIRECT("'"&amp;$A6&amp;"'!$B$1"),IF(VLOOKUP(X$1,INDIRECT("'"&amp;$A6&amp;"'!$A$12:$Z$41"),MATCH("Points (Auto-generate)",INDIRECT("'"&amp;$A6&amp;"'!$A$12:$Z$12"),0),0)="","?",VLOOKUP(X$1,INDIRECT("'"&amp;$A6&amp;"'!$A$12:$Z$41"),MATCH("Points (Auto-generate)",INDIRECT("'"&amp;$A6&amp;"'!$A$12:$Z$12"),0),0)),"ER"))</f>
        <v>?</v>
      </c>
      <c r="Y6" s="87" t="str">
        <f aca="true">IF($H6=0,"NA",IF($A6=INDIRECT("'"&amp;$A6&amp;"'!$B$1"),IF(VLOOKUP(Y$1,INDIRECT("'"&amp;$A6&amp;"'!$A$12:$Z$41"),MATCH("Points (Auto-generate)",INDIRECT("'"&amp;$A6&amp;"'!$A$12:$Z$12"),0),0)="","?",VLOOKUP(Y$1,INDIRECT("'"&amp;$A6&amp;"'!$A$12:$Z$41"),MATCH("Points (Auto-generate)",INDIRECT("'"&amp;$A6&amp;"'!$A$12:$Z$12"),0),0)),"ER"))</f>
        <v>?</v>
      </c>
      <c r="Z6" s="87" t="str">
        <f aca="true">IF($H6=0,"NA",IF($A6=INDIRECT("'"&amp;$A6&amp;"'!$B$1"),IF(VLOOKUP(Z$1,INDIRECT("'"&amp;$A6&amp;"'!$A$12:$Z$41"),MATCH("Points (Auto-generate)",INDIRECT("'"&amp;$A6&amp;"'!$A$12:$Z$12"),0),0)="","?",VLOOKUP(Z$1,INDIRECT("'"&amp;$A6&amp;"'!$A$12:$Z$41"),MATCH("Points (Auto-generate)",INDIRECT("'"&amp;$A6&amp;"'!$A$12:$Z$12"),0),0)),"ER"))</f>
        <v>?</v>
      </c>
      <c r="AA6" s="87" t="str">
        <f aca="true">IF($H6=0,"NA",IF($A6=INDIRECT("'"&amp;$A6&amp;"'!$B$1"),IF(VLOOKUP(AA$1,INDIRECT("'"&amp;$A6&amp;"'!$A$12:$Z$41"),MATCH("Points (Auto-generate)",INDIRECT("'"&amp;$A6&amp;"'!$A$12:$Z$12"),0),0)="","?",VLOOKUP(AA$1,INDIRECT("'"&amp;$A6&amp;"'!$A$12:$Z$41"),MATCH("Points (Auto-generate)",INDIRECT("'"&amp;$A6&amp;"'!$A$12:$Z$12"),0),0)),"ER"))</f>
        <v>?</v>
      </c>
      <c r="AB6" s="87" t="str">
        <f aca="true">IF($H6=0,"NA",IF($A6=INDIRECT("'"&amp;$A6&amp;"'!$B$1"),IF(VLOOKUP(AB$1,INDIRECT("'"&amp;$A6&amp;"'!$A$12:$Z$41"),MATCH("Points (Auto-generate)",INDIRECT("'"&amp;$A6&amp;"'!$A$12:$Z$12"),0),0)="","?",VLOOKUP(AB$1,INDIRECT("'"&amp;$A6&amp;"'!$A$12:$Z$41"),MATCH("Points (Auto-generate)",INDIRECT("'"&amp;$A6&amp;"'!$A$12:$Z$12"),0),0)),"ER"))</f>
        <v>?</v>
      </c>
      <c r="AC6" s="87" t="str">
        <f aca="true">IF($H6=0,"NA",IF($A6=INDIRECT("'"&amp;$A6&amp;"'!$B$1"),IF(VLOOKUP(AC$1,INDIRECT("'"&amp;$A6&amp;"'!$A$12:$Z$41"),MATCH("Points (Auto-generate)",INDIRECT("'"&amp;$A6&amp;"'!$A$12:$Z$12"),0),0)="","?",VLOOKUP(AC$1,INDIRECT("'"&amp;$A6&amp;"'!$A$12:$Z$41"),MATCH("Points (Auto-generate)",INDIRECT("'"&amp;$A6&amp;"'!$A$12:$Z$12"),0),0)),"ER"))</f>
        <v>?</v>
      </c>
      <c r="AD6" s="87" t="str">
        <f aca="true">IF($H6=0,"NA",IF($A6=INDIRECT("'"&amp;$A6&amp;"'!$B$1"),IF(VLOOKUP(AD$1,INDIRECT("'"&amp;$A6&amp;"'!$A$12:$Z$41"),MATCH("Points (Auto-generate)",INDIRECT("'"&amp;$A6&amp;"'!$A$12:$Z$12"),0),0)="","?",VLOOKUP(AD$1,INDIRECT("'"&amp;$A6&amp;"'!$A$12:$Z$41"),MATCH("Points (Auto-generate)",INDIRECT("'"&amp;$A6&amp;"'!$A$12:$Z$12"),0),0)),"ER"))</f>
        <v>?</v>
      </c>
      <c r="AE6" s="87" t="str">
        <f aca="true">IF($H6=0,"NA",IF($A6=INDIRECT("'"&amp;$A6&amp;"'!$B$1"),IF(VLOOKUP(AE$1,INDIRECT("'"&amp;$A6&amp;"'!$A$12:$Z$41"),MATCH("Points (Auto-generate)",INDIRECT("'"&amp;$A6&amp;"'!$A$12:$Z$12"),0),0)="","?",VLOOKUP(AE$1,INDIRECT("'"&amp;$A6&amp;"'!$A$12:$Z$41"),MATCH("Points (Auto-generate)",INDIRECT("'"&amp;$A6&amp;"'!$A$12:$Z$12"),0),0)),"ER"))</f>
        <v>?</v>
      </c>
      <c r="AF6" s="87" t="str">
        <f aca="true">IF($H6=0,"NA",IF($A6=INDIRECT("'"&amp;$A6&amp;"'!$B$1"),IF(VLOOKUP(AF$1,INDIRECT("'"&amp;$A6&amp;"'!$A$12:$Z$41"),MATCH("Points (Auto-generate)",INDIRECT("'"&amp;$A6&amp;"'!$A$12:$Z$12"),0),0)="","?",VLOOKUP(AF$1,INDIRECT("'"&amp;$A6&amp;"'!$A$12:$Z$41"),MATCH("Points (Auto-generate)",INDIRECT("'"&amp;$A6&amp;"'!$A$12:$Z$12"),0),0)),"ER"))</f>
        <v>?</v>
      </c>
      <c r="AG6" s="87" t="str">
        <f aca="true">IF($H6=0,"NA",IF($A6=INDIRECT("'"&amp;$A6&amp;"'!$B$1"),IF(VLOOKUP(AG$1,INDIRECT("'"&amp;$A6&amp;"'!$A$12:$Z$41"),MATCH("Points (Auto-generate)",INDIRECT("'"&amp;$A6&amp;"'!$A$12:$Z$12"),0),0)="","?",VLOOKUP(AG$1,INDIRECT("'"&amp;$A6&amp;"'!$A$12:$Z$41"),MATCH("Points (Auto-generate)",INDIRECT("'"&amp;$A6&amp;"'!$A$12:$Z$12"),0),0)),"ER"))</f>
        <v>?</v>
      </c>
      <c r="AH6" s="87" t="str">
        <f aca="true">IF($H6=0,"NA",IF($A6=INDIRECT("'"&amp;$A6&amp;"'!$B$1"),IF(VLOOKUP(AH$1,INDIRECT("'"&amp;$A6&amp;"'!$A$12:$Z$41"),MATCH("Points (Auto-generate)",INDIRECT("'"&amp;$A6&amp;"'!$A$12:$Z$12"),0),0)="","?",VLOOKUP(AH$1,INDIRECT("'"&amp;$A6&amp;"'!$A$12:$Z$41"),MATCH("Points (Auto-generate)",INDIRECT("'"&amp;$A6&amp;"'!$A$12:$Z$12"),0),0)),"ER"))</f>
        <v>?</v>
      </c>
      <c r="AI6" s="87" t="str">
        <f aca="true">IF($H6=0,"NA",IF($A6=INDIRECT("'"&amp;$A6&amp;"'!$B$1"),IF(VLOOKUP(AI$1,INDIRECT("'"&amp;$A6&amp;"'!$A$12:$Z$41"),MATCH("Points (Auto-generate)",INDIRECT("'"&amp;$A6&amp;"'!$A$12:$Z$12"),0),0)="","?",VLOOKUP(AI$1,INDIRECT("'"&amp;$A6&amp;"'!$A$12:$Z$41"),MATCH("Points (Auto-generate)",INDIRECT("'"&amp;$A6&amp;"'!$A$12:$Z$12"),0),0)),"ER"))</f>
        <v>?</v>
      </c>
      <c r="AJ6" s="87" t="str">
        <f aca="true">IF($H6=0,"NA",IF($A6=INDIRECT("'"&amp;$A6&amp;"'!$B$1"),IF(VLOOKUP(AJ$1,INDIRECT("'"&amp;$A6&amp;"'!$A$12:$Z$41"),MATCH("Points (Auto-generate)",INDIRECT("'"&amp;$A6&amp;"'!$A$12:$Z$12"),0),0)="","?",VLOOKUP(AJ$1,INDIRECT("'"&amp;$A6&amp;"'!$A$12:$Z$41"),MATCH("Points (Auto-generate)",INDIRECT("'"&amp;$A6&amp;"'!$A$12:$Z$12"),0),0)),"ER"))</f>
        <v>?</v>
      </c>
      <c r="AK6" s="87" t="str">
        <f aca="true">IF($H6=0,"NA",IF($A6=INDIRECT("'"&amp;$A6&amp;"'!$B$1"),IF(VLOOKUP(AK$1,INDIRECT("'"&amp;$A6&amp;"'!$A$12:$Z$41"),MATCH("Points (Auto-generate)",INDIRECT("'"&amp;$A6&amp;"'!$A$12:$Z$12"),0),0)="","?",VLOOKUP(AK$1,INDIRECT("'"&amp;$A6&amp;"'!$A$12:$Z$41"),MATCH("Points (Auto-generate)",INDIRECT("'"&amp;$A6&amp;"'!$A$12:$Z$12"),0),0)),"ER"))</f>
        <v>?</v>
      </c>
    </row>
    <row r="7" customFormat="false" ht="25.5" hidden="false" customHeight="true" outlineLevel="0" collapsed="false">
      <c r="A7" s="83" t="s">
        <v>59</v>
      </c>
      <c r="B7" s="84" t="str">
        <f aca="false">IF(ISBLANK($A7),"NO_CODE",VLOOKUP($A7,'UPD Questions_290926 '!$E$1:$N$300,MATCH(B$1,'UPD Questions_290926 '!$E$1:$N$1,0),0)&amp;"")</f>
        <v>Planning </v>
      </c>
      <c r="C7" s="85" t="str">
        <f aca="false">IF(ISBLANK($A7),"NO_CODE",VLOOKUP($A7,'UPD Questions_290926 '!$E$1:$N$300,MATCH(C$1,'UPD Questions_290926 '!$E$1:$N$1,0),0)&amp;"")</f>
        <v>Legal and institutional planning architecture</v>
      </c>
      <c r="D7" s="84" t="str">
        <f aca="false">IF(ISBLANK($A7),"NO_CODE",VLOOKUP($A7,'UPD Questions_290926 '!$E$1:$N$300,MATCH(D$1,'UPD Questions_290926 '!$E$1:$N$1,0),0)&amp;"")</f>
        <v>Spatial planning hierarchy</v>
      </c>
      <c r="E7" s="84" t="str">
        <f aca="false">IF(ISBLANK($A7),"NO_CODE",VLOOKUP($A7,'UPD Questions_290926 '!$E$1:$N$300,MATCH(E$1,'UPD Questions_290926 '!$E$1:$N$1,0),0)&amp;"")</f>
        <v>SQ</v>
      </c>
      <c r="F7" s="84" t="str">
        <f aca="false">IF(ISBLANK($A7),"NO_CODE",VLOOKUP($A7,'UPD Questions_290926 '!$E$1:$N$300,MATCH(F$1,'UPD Questions_290926 '!$E$1:$N$1,0),0)&amp;"")</f>
        <v>Municipal/city plan</v>
      </c>
      <c r="G7" s="84" t="str">
        <f aca="false">IF(ISBLANK($A7),"NO_CODE",VLOOKUP($A7,'UPD Questions_290926 '!$E$1:$N$300,MATCH(G$1,'UPD Questions_290926 '!$E$1:$N$1,0),0)&amp;"")</f>
        <v>Law or Policy</v>
      </c>
      <c r="H7" s="86" t="n">
        <f aca="false">IF(ISBLANK($A7),"NO_CODE",VLOOKUP($A7,'UPD Questions_290926 '!$E$1:$N$300,MATCH(H$1,'UPD Questions_290926 '!$E$1:$N$1,0),0))</f>
        <v>3.33</v>
      </c>
      <c r="I7" s="87" t="str">
        <f aca="true">IF($H7=0,"NA",IF($A7=INDIRECT("'"&amp;$A7&amp;"'!$B$1"),IF(VLOOKUP(I$1,INDIRECT("'"&amp;$A7&amp;"'!$A$12:$Z$41"),MATCH("Points (Auto-generate)",INDIRECT("'"&amp;$A7&amp;"'!$A$12:$Z$12"),0),0)="","?",VLOOKUP(I$1,INDIRECT("'"&amp;$A7&amp;"'!$A$12:$Z$41"),MATCH("Points (Auto-generate)",INDIRECT("'"&amp;$A7&amp;"'!$A$12:$Z$12"),0),0)),"ER"))</f>
        <v>?</v>
      </c>
      <c r="J7" s="87" t="n">
        <f aca="true">IF($H7=0,"NA",IF($A7=INDIRECT("'"&amp;$A7&amp;"'!$B$1"),IF(VLOOKUP(J$1,INDIRECT("'"&amp;$A7&amp;"'!$A$12:$Z$41"),MATCH("Points (Auto-generate)",INDIRECT("'"&amp;$A7&amp;"'!$A$12:$Z$12"),0),0)="","?",VLOOKUP(J$1,INDIRECT("'"&amp;$A7&amp;"'!$A$12:$Z$41"),MATCH("Points (Auto-generate)",INDIRECT("'"&amp;$A7&amp;"'!$A$12:$Z$12"),0),0)),"ER"))</f>
        <v>3.33</v>
      </c>
      <c r="K7" s="87" t="str">
        <f aca="true">IF($H7=0,"NA",IF($A7=INDIRECT("'"&amp;$A7&amp;"'!$B$1"),IF(VLOOKUP(K$1,INDIRECT("'"&amp;$A7&amp;"'!$A$12:$Z$41"),MATCH("Points (Auto-generate)",INDIRECT("'"&amp;$A7&amp;"'!$A$12:$Z$12"),0),0)="","?",VLOOKUP(K$1,INDIRECT("'"&amp;$A7&amp;"'!$A$12:$Z$41"),MATCH("Points (Auto-generate)",INDIRECT("'"&amp;$A7&amp;"'!$A$12:$Z$12"),0),0)),"ER"))</f>
        <v>?</v>
      </c>
      <c r="L7" s="87" t="str">
        <f aca="true">IF($H7=0,"NA",IF($A7=INDIRECT("'"&amp;$A7&amp;"'!$B$1"),IF(VLOOKUP(L$1,INDIRECT("'"&amp;$A7&amp;"'!$A$12:$Z$41"),MATCH("Points (Auto-generate)",INDIRECT("'"&amp;$A7&amp;"'!$A$12:$Z$12"),0),0)="","?",VLOOKUP(L$1,INDIRECT("'"&amp;$A7&amp;"'!$A$12:$Z$41"),MATCH("Points (Auto-generate)",INDIRECT("'"&amp;$A7&amp;"'!$A$12:$Z$12"),0),0)),"ER"))</f>
        <v>?</v>
      </c>
      <c r="M7" s="87" t="str">
        <f aca="true">IF($H7=0,"NA",IF($A7=INDIRECT("'"&amp;$A7&amp;"'!$B$1"),IF(VLOOKUP(M$1,INDIRECT("'"&amp;$A7&amp;"'!$A$12:$Z$41"),MATCH("Points (Auto-generate)",INDIRECT("'"&amp;$A7&amp;"'!$A$12:$Z$12"),0),0)="","?",VLOOKUP(M$1,INDIRECT("'"&amp;$A7&amp;"'!$A$12:$Z$41"),MATCH("Points (Auto-generate)",INDIRECT("'"&amp;$A7&amp;"'!$A$12:$Z$12"),0),0)),"ER"))</f>
        <v>?</v>
      </c>
      <c r="N7" s="87" t="str">
        <f aca="true">IF($H7=0,"NA",IF($A7=INDIRECT("'"&amp;$A7&amp;"'!$B$1"),IF(VLOOKUP(N$1,INDIRECT("'"&amp;$A7&amp;"'!$A$12:$Z$41"),MATCH("Points (Auto-generate)",INDIRECT("'"&amp;$A7&amp;"'!$A$12:$Z$12"),0),0)="","?",VLOOKUP(N$1,INDIRECT("'"&amp;$A7&amp;"'!$A$12:$Z$41"),MATCH("Points (Auto-generate)",INDIRECT("'"&amp;$A7&amp;"'!$A$12:$Z$12"),0),0)),"ER"))</f>
        <v>?</v>
      </c>
      <c r="O7" s="87" t="str">
        <f aca="true">IF($H7=0,"NA",IF($A7=INDIRECT("'"&amp;$A7&amp;"'!$B$1"),IF(VLOOKUP(O$1,INDIRECT("'"&amp;$A7&amp;"'!$A$12:$Z$41"),MATCH("Points (Auto-generate)",INDIRECT("'"&amp;$A7&amp;"'!$A$12:$Z$12"),0),0)="","?",VLOOKUP(O$1,INDIRECT("'"&amp;$A7&amp;"'!$A$12:$Z$41"),MATCH("Points (Auto-generate)",INDIRECT("'"&amp;$A7&amp;"'!$A$12:$Z$12"),0),0)),"ER"))</f>
        <v>?</v>
      </c>
      <c r="P7" s="87" t="str">
        <f aca="true">IF($H7=0,"NA",IF($A7=INDIRECT("'"&amp;$A7&amp;"'!$B$1"),IF(VLOOKUP(P$1,INDIRECT("'"&amp;$A7&amp;"'!$A$12:$Z$41"),MATCH("Points (Auto-generate)",INDIRECT("'"&amp;$A7&amp;"'!$A$12:$Z$12"),0),0)="","?",VLOOKUP(P$1,INDIRECT("'"&amp;$A7&amp;"'!$A$12:$Z$41"),MATCH("Points (Auto-generate)",INDIRECT("'"&amp;$A7&amp;"'!$A$12:$Z$12"),0),0)),"ER"))</f>
        <v>?</v>
      </c>
      <c r="Q7" s="87" t="str">
        <f aca="true">IF($H7=0,"NA",IF($A7=INDIRECT("'"&amp;$A7&amp;"'!$B$1"),IF(VLOOKUP(Q$1,INDIRECT("'"&amp;$A7&amp;"'!$A$12:$Z$41"),MATCH("Points (Auto-generate)",INDIRECT("'"&amp;$A7&amp;"'!$A$12:$Z$12"),0),0)="","?",VLOOKUP(Q$1,INDIRECT("'"&amp;$A7&amp;"'!$A$12:$Z$41"),MATCH("Points (Auto-generate)",INDIRECT("'"&amp;$A7&amp;"'!$A$12:$Z$12"),0),0)),"ER"))</f>
        <v>?</v>
      </c>
      <c r="R7" s="87" t="str">
        <f aca="true">IF($H7=0,"NA",IF($A7=INDIRECT("'"&amp;$A7&amp;"'!$B$1"),IF(VLOOKUP(R$1,INDIRECT("'"&amp;$A7&amp;"'!$A$12:$Z$41"),MATCH("Points (Auto-generate)",INDIRECT("'"&amp;$A7&amp;"'!$A$12:$Z$12"),0),0)="","?",VLOOKUP(R$1,INDIRECT("'"&amp;$A7&amp;"'!$A$12:$Z$41"),MATCH("Points (Auto-generate)",INDIRECT("'"&amp;$A7&amp;"'!$A$12:$Z$12"),0),0)),"ER"))</f>
        <v>?</v>
      </c>
      <c r="S7" s="87" t="str">
        <f aca="true">IF($H7=0,"NA",IF($A7=INDIRECT("'"&amp;$A7&amp;"'!$B$1"),IF(VLOOKUP(S$1,INDIRECT("'"&amp;$A7&amp;"'!$A$12:$Z$41"),MATCH("Points (Auto-generate)",INDIRECT("'"&amp;$A7&amp;"'!$A$12:$Z$12"),0),0)="","?",VLOOKUP(S$1,INDIRECT("'"&amp;$A7&amp;"'!$A$12:$Z$41"),MATCH("Points (Auto-generate)",INDIRECT("'"&amp;$A7&amp;"'!$A$12:$Z$12"),0),0)),"ER"))</f>
        <v>?</v>
      </c>
      <c r="T7" s="87" t="str">
        <f aca="true">IF($H7=0,"NA",IF($A7=INDIRECT("'"&amp;$A7&amp;"'!$B$1"),IF(VLOOKUP(T$1,INDIRECT("'"&amp;$A7&amp;"'!$A$12:$Z$41"),MATCH("Points (Auto-generate)",INDIRECT("'"&amp;$A7&amp;"'!$A$12:$Z$12"),0),0)="","?",VLOOKUP(T$1,INDIRECT("'"&amp;$A7&amp;"'!$A$12:$Z$41"),MATCH("Points (Auto-generate)",INDIRECT("'"&amp;$A7&amp;"'!$A$12:$Z$12"),0),0)),"ER"))</f>
        <v>?</v>
      </c>
      <c r="U7" s="87" t="str">
        <f aca="true">IF($H7=0,"NA",IF($A7=INDIRECT("'"&amp;$A7&amp;"'!$B$1"),IF(VLOOKUP(U$1,INDIRECT("'"&amp;$A7&amp;"'!$A$12:$Z$41"),MATCH("Points (Auto-generate)",INDIRECT("'"&amp;$A7&amp;"'!$A$12:$Z$12"),0),0)="","?",VLOOKUP(U$1,INDIRECT("'"&amp;$A7&amp;"'!$A$12:$Z$41"),MATCH("Points (Auto-generate)",INDIRECT("'"&amp;$A7&amp;"'!$A$12:$Z$12"),0),0)),"ER"))</f>
        <v>?</v>
      </c>
      <c r="V7" s="87" t="str">
        <f aca="true">IF($H7=0,"NA",IF($A7=INDIRECT("'"&amp;$A7&amp;"'!$B$1"),IF(VLOOKUP(V$1,INDIRECT("'"&amp;$A7&amp;"'!$A$12:$Z$41"),MATCH("Points (Auto-generate)",INDIRECT("'"&amp;$A7&amp;"'!$A$12:$Z$12"),0),0)="","?",VLOOKUP(V$1,INDIRECT("'"&amp;$A7&amp;"'!$A$12:$Z$41"),MATCH("Points (Auto-generate)",INDIRECT("'"&amp;$A7&amp;"'!$A$12:$Z$12"),0),0)),"ER"))</f>
        <v>?</v>
      </c>
      <c r="W7" s="87" t="str">
        <f aca="true">IF($H7=0,"NA",IF($A7=INDIRECT("'"&amp;$A7&amp;"'!$B$1"),IF(VLOOKUP(W$1,INDIRECT("'"&amp;$A7&amp;"'!$A$12:$Z$41"),MATCH("Points (Auto-generate)",INDIRECT("'"&amp;$A7&amp;"'!$A$12:$Z$12"),0),0)="","?",VLOOKUP(W$1,INDIRECT("'"&amp;$A7&amp;"'!$A$12:$Z$41"),MATCH("Points (Auto-generate)",INDIRECT("'"&amp;$A7&amp;"'!$A$12:$Z$12"),0),0)),"ER"))</f>
        <v>?</v>
      </c>
      <c r="X7" s="87" t="str">
        <f aca="true">IF($H7=0,"NA",IF($A7=INDIRECT("'"&amp;$A7&amp;"'!$B$1"),IF(VLOOKUP(X$1,INDIRECT("'"&amp;$A7&amp;"'!$A$12:$Z$41"),MATCH("Points (Auto-generate)",INDIRECT("'"&amp;$A7&amp;"'!$A$12:$Z$12"),0),0)="","?",VLOOKUP(X$1,INDIRECT("'"&amp;$A7&amp;"'!$A$12:$Z$41"),MATCH("Points (Auto-generate)",INDIRECT("'"&amp;$A7&amp;"'!$A$12:$Z$12"),0),0)),"ER"))</f>
        <v>?</v>
      </c>
      <c r="Y7" s="87" t="str">
        <f aca="true">IF($H7=0,"NA",IF($A7=INDIRECT("'"&amp;$A7&amp;"'!$B$1"),IF(VLOOKUP(Y$1,INDIRECT("'"&amp;$A7&amp;"'!$A$12:$Z$41"),MATCH("Points (Auto-generate)",INDIRECT("'"&amp;$A7&amp;"'!$A$12:$Z$12"),0),0)="","?",VLOOKUP(Y$1,INDIRECT("'"&amp;$A7&amp;"'!$A$12:$Z$41"),MATCH("Points (Auto-generate)",INDIRECT("'"&amp;$A7&amp;"'!$A$12:$Z$12"),0),0)),"ER"))</f>
        <v>?</v>
      </c>
      <c r="Z7" s="87" t="str">
        <f aca="true">IF($H7=0,"NA",IF($A7=INDIRECT("'"&amp;$A7&amp;"'!$B$1"),IF(VLOOKUP(Z$1,INDIRECT("'"&amp;$A7&amp;"'!$A$12:$Z$41"),MATCH("Points (Auto-generate)",INDIRECT("'"&amp;$A7&amp;"'!$A$12:$Z$12"),0),0)="","?",VLOOKUP(Z$1,INDIRECT("'"&amp;$A7&amp;"'!$A$12:$Z$41"),MATCH("Points (Auto-generate)",INDIRECT("'"&amp;$A7&amp;"'!$A$12:$Z$12"),0),0)),"ER"))</f>
        <v>?</v>
      </c>
      <c r="AA7" s="87" t="str">
        <f aca="true">IF($H7=0,"NA",IF($A7=INDIRECT("'"&amp;$A7&amp;"'!$B$1"),IF(VLOOKUP(AA$1,INDIRECT("'"&amp;$A7&amp;"'!$A$12:$Z$41"),MATCH("Points (Auto-generate)",INDIRECT("'"&amp;$A7&amp;"'!$A$12:$Z$12"),0),0)="","?",VLOOKUP(AA$1,INDIRECT("'"&amp;$A7&amp;"'!$A$12:$Z$41"),MATCH("Points (Auto-generate)",INDIRECT("'"&amp;$A7&amp;"'!$A$12:$Z$12"),0),0)),"ER"))</f>
        <v>?</v>
      </c>
      <c r="AB7" s="87" t="str">
        <f aca="true">IF($H7=0,"NA",IF($A7=INDIRECT("'"&amp;$A7&amp;"'!$B$1"),IF(VLOOKUP(AB$1,INDIRECT("'"&amp;$A7&amp;"'!$A$12:$Z$41"),MATCH("Points (Auto-generate)",INDIRECT("'"&amp;$A7&amp;"'!$A$12:$Z$12"),0),0)="","?",VLOOKUP(AB$1,INDIRECT("'"&amp;$A7&amp;"'!$A$12:$Z$41"),MATCH("Points (Auto-generate)",INDIRECT("'"&amp;$A7&amp;"'!$A$12:$Z$12"),0),0)),"ER"))</f>
        <v>?</v>
      </c>
      <c r="AC7" s="87" t="n">
        <f aca="true">IF($H7=0,"NA",IF($A7=INDIRECT("'"&amp;$A7&amp;"'!$B$1"),IF(VLOOKUP(AC$1,INDIRECT("'"&amp;$A7&amp;"'!$A$12:$Z$41"),MATCH("Points (Auto-generate)",INDIRECT("'"&amp;$A7&amp;"'!$A$12:$Z$12"),0),0)="","?",VLOOKUP(AC$1,INDIRECT("'"&amp;$A7&amp;"'!$A$12:$Z$41"),MATCH("Points (Auto-generate)",INDIRECT("'"&amp;$A7&amp;"'!$A$12:$Z$12"),0),0)),"ER"))</f>
        <v>3.33</v>
      </c>
      <c r="AD7" s="87" t="str">
        <f aca="true">IF($H7=0,"NA",IF($A7=INDIRECT("'"&amp;$A7&amp;"'!$B$1"),IF(VLOOKUP(AD$1,INDIRECT("'"&amp;$A7&amp;"'!$A$12:$Z$41"),MATCH("Points (Auto-generate)",INDIRECT("'"&amp;$A7&amp;"'!$A$12:$Z$12"),0),0)="","?",VLOOKUP(AD$1,INDIRECT("'"&amp;$A7&amp;"'!$A$12:$Z$41"),MATCH("Points (Auto-generate)",INDIRECT("'"&amp;$A7&amp;"'!$A$12:$Z$12"),0),0)),"ER"))</f>
        <v>?</v>
      </c>
      <c r="AE7" s="87" t="str">
        <f aca="true">IF($H7=0,"NA",IF($A7=INDIRECT("'"&amp;$A7&amp;"'!$B$1"),IF(VLOOKUP(AE$1,INDIRECT("'"&amp;$A7&amp;"'!$A$12:$Z$41"),MATCH("Points (Auto-generate)",INDIRECT("'"&amp;$A7&amp;"'!$A$12:$Z$12"),0),0)="","?",VLOOKUP(AE$1,INDIRECT("'"&amp;$A7&amp;"'!$A$12:$Z$41"),MATCH("Points (Auto-generate)",INDIRECT("'"&amp;$A7&amp;"'!$A$12:$Z$12"),0),0)),"ER"))</f>
        <v>?</v>
      </c>
      <c r="AF7" s="87" t="str">
        <f aca="true">IF($H7=0,"NA",IF($A7=INDIRECT("'"&amp;$A7&amp;"'!$B$1"),IF(VLOOKUP(AF$1,INDIRECT("'"&amp;$A7&amp;"'!$A$12:$Z$41"),MATCH("Points (Auto-generate)",INDIRECT("'"&amp;$A7&amp;"'!$A$12:$Z$12"),0),0)="","?",VLOOKUP(AF$1,INDIRECT("'"&amp;$A7&amp;"'!$A$12:$Z$41"),MATCH("Points (Auto-generate)",INDIRECT("'"&amp;$A7&amp;"'!$A$12:$Z$12"),0),0)),"ER"))</f>
        <v>?</v>
      </c>
      <c r="AG7" s="87" t="str">
        <f aca="true">IF($H7=0,"NA",IF($A7=INDIRECT("'"&amp;$A7&amp;"'!$B$1"),IF(VLOOKUP(AG$1,INDIRECT("'"&amp;$A7&amp;"'!$A$12:$Z$41"),MATCH("Points (Auto-generate)",INDIRECT("'"&amp;$A7&amp;"'!$A$12:$Z$12"),0),0)="","?",VLOOKUP(AG$1,INDIRECT("'"&amp;$A7&amp;"'!$A$12:$Z$41"),MATCH("Points (Auto-generate)",INDIRECT("'"&amp;$A7&amp;"'!$A$12:$Z$12"),0),0)),"ER"))</f>
        <v>?</v>
      </c>
      <c r="AH7" s="87" t="str">
        <f aca="true">IF($H7=0,"NA",IF($A7=INDIRECT("'"&amp;$A7&amp;"'!$B$1"),IF(VLOOKUP(AH$1,INDIRECT("'"&amp;$A7&amp;"'!$A$12:$Z$41"),MATCH("Points (Auto-generate)",INDIRECT("'"&amp;$A7&amp;"'!$A$12:$Z$12"),0),0)="","?",VLOOKUP(AH$1,INDIRECT("'"&amp;$A7&amp;"'!$A$12:$Z$41"),MATCH("Points (Auto-generate)",INDIRECT("'"&amp;$A7&amp;"'!$A$12:$Z$12"),0),0)),"ER"))</f>
        <v>?</v>
      </c>
      <c r="AI7" s="87" t="str">
        <f aca="true">IF($H7=0,"NA",IF($A7=INDIRECT("'"&amp;$A7&amp;"'!$B$1"),IF(VLOOKUP(AI$1,INDIRECT("'"&amp;$A7&amp;"'!$A$12:$Z$41"),MATCH("Points (Auto-generate)",INDIRECT("'"&amp;$A7&amp;"'!$A$12:$Z$12"),0),0)="","?",VLOOKUP(AI$1,INDIRECT("'"&amp;$A7&amp;"'!$A$12:$Z$41"),MATCH("Points (Auto-generate)",INDIRECT("'"&amp;$A7&amp;"'!$A$12:$Z$12"),0),0)),"ER"))</f>
        <v>?</v>
      </c>
      <c r="AJ7" s="87" t="str">
        <f aca="true">IF($H7=0,"NA",IF($A7=INDIRECT("'"&amp;$A7&amp;"'!$B$1"),IF(VLOOKUP(AJ$1,INDIRECT("'"&amp;$A7&amp;"'!$A$12:$Z$41"),MATCH("Points (Auto-generate)",INDIRECT("'"&amp;$A7&amp;"'!$A$12:$Z$12"),0),0)="","?",VLOOKUP(AJ$1,INDIRECT("'"&amp;$A7&amp;"'!$A$12:$Z$41"),MATCH("Points (Auto-generate)",INDIRECT("'"&amp;$A7&amp;"'!$A$12:$Z$12"),0),0)),"ER"))</f>
        <v>?</v>
      </c>
      <c r="AK7" s="87" t="str">
        <f aca="true">IF($H7=0,"NA",IF($A7=INDIRECT("'"&amp;$A7&amp;"'!$B$1"),IF(VLOOKUP(AK$1,INDIRECT("'"&amp;$A7&amp;"'!$A$12:$Z$41"),MATCH("Points (Auto-generate)",INDIRECT("'"&amp;$A7&amp;"'!$A$12:$Z$12"),0),0)="","?",VLOOKUP(AK$1,INDIRECT("'"&amp;$A7&amp;"'!$A$12:$Z$41"),MATCH("Points (Auto-generate)",INDIRECT("'"&amp;$A7&amp;"'!$A$12:$Z$12"),0),0)),"ER"))</f>
        <v>?</v>
      </c>
    </row>
    <row r="8" customFormat="false" ht="25.5" hidden="false" customHeight="true" outlineLevel="0" collapsed="false">
      <c r="A8" s="83" t="s">
        <v>69</v>
      </c>
      <c r="B8" s="84" t="str">
        <f aca="false">IF(ISBLANK($A8),"NO_CODE",VLOOKUP($A8,'UPD Questions_290926 '!$E$1:$N$300,MATCH(B$1,'UPD Questions_290926 '!$E$1:$N$1,0),0)&amp;"")</f>
        <v>Planning </v>
      </c>
      <c r="C8" s="85" t="str">
        <f aca="false">IF(ISBLANK($A8),"NO_CODE",VLOOKUP($A8,'UPD Questions_290926 '!$E$1:$N$300,MATCH(C$1,'UPD Questions_290926 '!$E$1:$N$1,0),0)&amp;"")</f>
        <v>Legal and institutional planning architecture</v>
      </c>
      <c r="D8" s="84" t="str">
        <f aca="false">IF(ISBLANK($A8),"NO_CODE",VLOOKUP($A8,'UPD Questions_290926 '!$E$1:$N$300,MATCH(D$1,'UPD Questions_290926 '!$E$1:$N$1,0),0)&amp;"")</f>
        <v>Spatial planning hierarchy</v>
      </c>
      <c r="E8" s="84" t="str">
        <f aca="false">IF(ISBLANK($A8),"NO_CODE",VLOOKUP($A8,'UPD Questions_290926 '!$E$1:$N$300,MATCH(E$1,'UPD Questions_290926 '!$E$1:$N$1,0),0)&amp;"")</f>
        <v>SQ</v>
      </c>
      <c r="F8" s="84" t="str">
        <f aca="false">IF(ISBLANK($A8),"NO_CODE",VLOOKUP($A8,'UPD Questions_290926 '!$E$1:$N$300,MATCH(F$1,'UPD Questions_290926 '!$E$1:$N$1,0),0)&amp;"")</f>
        <v>Ward(s)/local plan</v>
      </c>
      <c r="G8" s="84" t="str">
        <f aca="false">IF(ISBLANK($A8),"NO_CODE",VLOOKUP($A8,'UPD Questions_290926 '!$E$1:$N$300,MATCH(G$1,'UPD Questions_290926 '!$E$1:$N$1,0),0)&amp;"")</f>
        <v>Law or Policy</v>
      </c>
      <c r="H8" s="86" t="n">
        <f aca="false">IF(ISBLANK($A8),"NO_CODE",VLOOKUP($A8,'UPD Questions_290926 '!$E$1:$N$300,MATCH(H$1,'UPD Questions_290926 '!$E$1:$N$1,0),0))</f>
        <v>3.33</v>
      </c>
      <c r="I8" s="87" t="str">
        <f aca="true">IF($H8=0,"NA",IF($A8=INDIRECT("'"&amp;$A8&amp;"'!$B$1"),IF(VLOOKUP(I$1,INDIRECT("'"&amp;$A8&amp;"'!$A$12:$Z$41"),MATCH("Points (Auto-generate)",INDIRECT("'"&amp;$A8&amp;"'!$A$12:$Z$12"),0),0)="","?",VLOOKUP(I$1,INDIRECT("'"&amp;$A8&amp;"'!$A$12:$Z$41"),MATCH("Points (Auto-generate)",INDIRECT("'"&amp;$A8&amp;"'!$A$12:$Z$12"),0),0)),"ER"))</f>
        <v>?</v>
      </c>
      <c r="J8" s="87" t="str">
        <f aca="true">IF($H8=0,"NA",IF($A8=INDIRECT("'"&amp;$A8&amp;"'!$B$1"),IF(VLOOKUP(J$1,INDIRECT("'"&amp;$A8&amp;"'!$A$12:$Z$41"),MATCH("Points (Auto-generate)",INDIRECT("'"&amp;$A8&amp;"'!$A$12:$Z$12"),0),0)="","?",VLOOKUP(J$1,INDIRECT("'"&amp;$A8&amp;"'!$A$12:$Z$41"),MATCH("Points (Auto-generate)",INDIRECT("'"&amp;$A8&amp;"'!$A$12:$Z$12"),0),0)),"ER"))</f>
        <v>?</v>
      </c>
      <c r="K8" s="87" t="str">
        <f aca="true">IF($H8=0,"NA",IF($A8=INDIRECT("'"&amp;$A8&amp;"'!$B$1"),IF(VLOOKUP(K$1,INDIRECT("'"&amp;$A8&amp;"'!$A$12:$Z$41"),MATCH("Points (Auto-generate)",INDIRECT("'"&amp;$A8&amp;"'!$A$12:$Z$12"),0),0)="","?",VLOOKUP(K$1,INDIRECT("'"&amp;$A8&amp;"'!$A$12:$Z$41"),MATCH("Points (Auto-generate)",INDIRECT("'"&amp;$A8&amp;"'!$A$12:$Z$12"),0),0)),"ER"))</f>
        <v>?</v>
      </c>
      <c r="L8" s="87" t="str">
        <f aca="true">IF($H8=0,"NA",IF($A8=INDIRECT("'"&amp;$A8&amp;"'!$B$1"),IF(VLOOKUP(L$1,INDIRECT("'"&amp;$A8&amp;"'!$A$12:$Z$41"),MATCH("Points (Auto-generate)",INDIRECT("'"&amp;$A8&amp;"'!$A$12:$Z$12"),0),0)="","?",VLOOKUP(L$1,INDIRECT("'"&amp;$A8&amp;"'!$A$12:$Z$41"),MATCH("Points (Auto-generate)",INDIRECT("'"&amp;$A8&amp;"'!$A$12:$Z$12"),0),0)),"ER"))</f>
        <v>?</v>
      </c>
      <c r="M8" s="87" t="str">
        <f aca="true">IF($H8=0,"NA",IF($A8=INDIRECT("'"&amp;$A8&amp;"'!$B$1"),IF(VLOOKUP(M$1,INDIRECT("'"&amp;$A8&amp;"'!$A$12:$Z$41"),MATCH("Points (Auto-generate)",INDIRECT("'"&amp;$A8&amp;"'!$A$12:$Z$12"),0),0)="","?",VLOOKUP(M$1,INDIRECT("'"&amp;$A8&amp;"'!$A$12:$Z$41"),MATCH("Points (Auto-generate)",INDIRECT("'"&amp;$A8&amp;"'!$A$12:$Z$12"),0),0)),"ER"))</f>
        <v>?</v>
      </c>
      <c r="N8" s="87" t="str">
        <f aca="true">IF($H8=0,"NA",IF($A8=INDIRECT("'"&amp;$A8&amp;"'!$B$1"),IF(VLOOKUP(N$1,INDIRECT("'"&amp;$A8&amp;"'!$A$12:$Z$41"),MATCH("Points (Auto-generate)",INDIRECT("'"&amp;$A8&amp;"'!$A$12:$Z$12"),0),0)="","?",VLOOKUP(N$1,INDIRECT("'"&amp;$A8&amp;"'!$A$12:$Z$41"),MATCH("Points (Auto-generate)",INDIRECT("'"&amp;$A8&amp;"'!$A$12:$Z$12"),0),0)),"ER"))</f>
        <v>?</v>
      </c>
      <c r="O8" s="87" t="str">
        <f aca="true">IF($H8=0,"NA",IF($A8=INDIRECT("'"&amp;$A8&amp;"'!$B$1"),IF(VLOOKUP(O$1,INDIRECT("'"&amp;$A8&amp;"'!$A$12:$Z$41"),MATCH("Points (Auto-generate)",INDIRECT("'"&amp;$A8&amp;"'!$A$12:$Z$12"),0),0)="","?",VLOOKUP(O$1,INDIRECT("'"&amp;$A8&amp;"'!$A$12:$Z$41"),MATCH("Points (Auto-generate)",INDIRECT("'"&amp;$A8&amp;"'!$A$12:$Z$12"),0),0)),"ER"))</f>
        <v>?</v>
      </c>
      <c r="P8" s="87" t="str">
        <f aca="true">IF($H8=0,"NA",IF($A8=INDIRECT("'"&amp;$A8&amp;"'!$B$1"),IF(VLOOKUP(P$1,INDIRECT("'"&amp;$A8&amp;"'!$A$12:$Z$41"),MATCH("Points (Auto-generate)",INDIRECT("'"&amp;$A8&amp;"'!$A$12:$Z$12"),0),0)="","?",VLOOKUP(P$1,INDIRECT("'"&amp;$A8&amp;"'!$A$12:$Z$41"),MATCH("Points (Auto-generate)",INDIRECT("'"&amp;$A8&amp;"'!$A$12:$Z$12"),0),0)),"ER"))</f>
        <v>?</v>
      </c>
      <c r="Q8" s="87" t="str">
        <f aca="true">IF($H8=0,"NA",IF($A8=INDIRECT("'"&amp;$A8&amp;"'!$B$1"),IF(VLOOKUP(Q$1,INDIRECT("'"&amp;$A8&amp;"'!$A$12:$Z$41"),MATCH("Points (Auto-generate)",INDIRECT("'"&amp;$A8&amp;"'!$A$12:$Z$12"),0),0)="","?",VLOOKUP(Q$1,INDIRECT("'"&amp;$A8&amp;"'!$A$12:$Z$41"),MATCH("Points (Auto-generate)",INDIRECT("'"&amp;$A8&amp;"'!$A$12:$Z$12"),0),0)),"ER"))</f>
        <v>?</v>
      </c>
      <c r="R8" s="87" t="str">
        <f aca="true">IF($H8=0,"NA",IF($A8=INDIRECT("'"&amp;$A8&amp;"'!$B$1"),IF(VLOOKUP(R$1,INDIRECT("'"&amp;$A8&amp;"'!$A$12:$Z$41"),MATCH("Points (Auto-generate)",INDIRECT("'"&amp;$A8&amp;"'!$A$12:$Z$12"),0),0)="","?",VLOOKUP(R$1,INDIRECT("'"&amp;$A8&amp;"'!$A$12:$Z$41"),MATCH("Points (Auto-generate)",INDIRECT("'"&amp;$A8&amp;"'!$A$12:$Z$12"),0),0)),"ER"))</f>
        <v>?</v>
      </c>
      <c r="S8" s="87" t="str">
        <f aca="true">IF($H8=0,"NA",IF($A8=INDIRECT("'"&amp;$A8&amp;"'!$B$1"),IF(VLOOKUP(S$1,INDIRECT("'"&amp;$A8&amp;"'!$A$12:$Z$41"),MATCH("Points (Auto-generate)",INDIRECT("'"&amp;$A8&amp;"'!$A$12:$Z$12"),0),0)="","?",VLOOKUP(S$1,INDIRECT("'"&amp;$A8&amp;"'!$A$12:$Z$41"),MATCH("Points (Auto-generate)",INDIRECT("'"&amp;$A8&amp;"'!$A$12:$Z$12"),0),0)),"ER"))</f>
        <v>?</v>
      </c>
      <c r="T8" s="87" t="str">
        <f aca="true">IF($H8=0,"NA",IF($A8=INDIRECT("'"&amp;$A8&amp;"'!$B$1"),IF(VLOOKUP(T$1,INDIRECT("'"&amp;$A8&amp;"'!$A$12:$Z$41"),MATCH("Points (Auto-generate)",INDIRECT("'"&amp;$A8&amp;"'!$A$12:$Z$12"),0),0)="","?",VLOOKUP(T$1,INDIRECT("'"&amp;$A8&amp;"'!$A$12:$Z$41"),MATCH("Points (Auto-generate)",INDIRECT("'"&amp;$A8&amp;"'!$A$12:$Z$12"),0),0)),"ER"))</f>
        <v>?</v>
      </c>
      <c r="U8" s="87" t="str">
        <f aca="true">IF($H8=0,"NA",IF($A8=INDIRECT("'"&amp;$A8&amp;"'!$B$1"),IF(VLOOKUP(U$1,INDIRECT("'"&amp;$A8&amp;"'!$A$12:$Z$41"),MATCH("Points (Auto-generate)",INDIRECT("'"&amp;$A8&amp;"'!$A$12:$Z$12"),0),0)="","?",VLOOKUP(U$1,INDIRECT("'"&amp;$A8&amp;"'!$A$12:$Z$41"),MATCH("Points (Auto-generate)",INDIRECT("'"&amp;$A8&amp;"'!$A$12:$Z$12"),0),0)),"ER"))</f>
        <v>?</v>
      </c>
      <c r="V8" s="87" t="str">
        <f aca="true">IF($H8=0,"NA",IF($A8=INDIRECT("'"&amp;$A8&amp;"'!$B$1"),IF(VLOOKUP(V$1,INDIRECT("'"&amp;$A8&amp;"'!$A$12:$Z$41"),MATCH("Points (Auto-generate)",INDIRECT("'"&amp;$A8&amp;"'!$A$12:$Z$12"),0),0)="","?",VLOOKUP(V$1,INDIRECT("'"&amp;$A8&amp;"'!$A$12:$Z$41"),MATCH("Points (Auto-generate)",INDIRECT("'"&amp;$A8&amp;"'!$A$12:$Z$12"),0),0)),"ER"))</f>
        <v>?</v>
      </c>
      <c r="W8" s="87" t="str">
        <f aca="true">IF($H8=0,"NA",IF($A8=INDIRECT("'"&amp;$A8&amp;"'!$B$1"),IF(VLOOKUP(W$1,INDIRECT("'"&amp;$A8&amp;"'!$A$12:$Z$41"),MATCH("Points (Auto-generate)",INDIRECT("'"&amp;$A8&amp;"'!$A$12:$Z$12"),0),0)="","?",VLOOKUP(W$1,INDIRECT("'"&amp;$A8&amp;"'!$A$12:$Z$41"),MATCH("Points (Auto-generate)",INDIRECT("'"&amp;$A8&amp;"'!$A$12:$Z$12"),0),0)),"ER"))</f>
        <v>?</v>
      </c>
      <c r="X8" s="87" t="str">
        <f aca="true">IF($H8=0,"NA",IF($A8=INDIRECT("'"&amp;$A8&amp;"'!$B$1"),IF(VLOOKUP(X$1,INDIRECT("'"&amp;$A8&amp;"'!$A$12:$Z$41"),MATCH("Points (Auto-generate)",INDIRECT("'"&amp;$A8&amp;"'!$A$12:$Z$12"),0),0)="","?",VLOOKUP(X$1,INDIRECT("'"&amp;$A8&amp;"'!$A$12:$Z$41"),MATCH("Points (Auto-generate)",INDIRECT("'"&amp;$A8&amp;"'!$A$12:$Z$12"),0),0)),"ER"))</f>
        <v>?</v>
      </c>
      <c r="Y8" s="87" t="str">
        <f aca="true">IF($H8=0,"NA",IF($A8=INDIRECT("'"&amp;$A8&amp;"'!$B$1"),IF(VLOOKUP(Y$1,INDIRECT("'"&amp;$A8&amp;"'!$A$12:$Z$41"),MATCH("Points (Auto-generate)",INDIRECT("'"&amp;$A8&amp;"'!$A$12:$Z$12"),0),0)="","?",VLOOKUP(Y$1,INDIRECT("'"&amp;$A8&amp;"'!$A$12:$Z$41"),MATCH("Points (Auto-generate)",INDIRECT("'"&amp;$A8&amp;"'!$A$12:$Z$12"),0),0)),"ER"))</f>
        <v>?</v>
      </c>
      <c r="Z8" s="87" t="str">
        <f aca="true">IF($H8=0,"NA",IF($A8=INDIRECT("'"&amp;$A8&amp;"'!$B$1"),IF(VLOOKUP(Z$1,INDIRECT("'"&amp;$A8&amp;"'!$A$12:$Z$41"),MATCH("Points (Auto-generate)",INDIRECT("'"&amp;$A8&amp;"'!$A$12:$Z$12"),0),0)="","?",VLOOKUP(Z$1,INDIRECT("'"&amp;$A8&amp;"'!$A$12:$Z$41"),MATCH("Points (Auto-generate)",INDIRECT("'"&amp;$A8&amp;"'!$A$12:$Z$12"),0),0)),"ER"))</f>
        <v>?</v>
      </c>
      <c r="AA8" s="87" t="str">
        <f aca="true">IF($H8=0,"NA",IF($A8=INDIRECT("'"&amp;$A8&amp;"'!$B$1"),IF(VLOOKUP(AA$1,INDIRECT("'"&amp;$A8&amp;"'!$A$12:$Z$41"),MATCH("Points (Auto-generate)",INDIRECT("'"&amp;$A8&amp;"'!$A$12:$Z$12"),0),0)="","?",VLOOKUP(AA$1,INDIRECT("'"&amp;$A8&amp;"'!$A$12:$Z$41"),MATCH("Points (Auto-generate)",INDIRECT("'"&amp;$A8&amp;"'!$A$12:$Z$12"),0),0)),"ER"))</f>
        <v>?</v>
      </c>
      <c r="AB8" s="87" t="str">
        <f aca="true">IF($H8=0,"NA",IF($A8=INDIRECT("'"&amp;$A8&amp;"'!$B$1"),IF(VLOOKUP(AB$1,INDIRECT("'"&amp;$A8&amp;"'!$A$12:$Z$41"),MATCH("Points (Auto-generate)",INDIRECT("'"&amp;$A8&amp;"'!$A$12:$Z$12"),0),0)="","?",VLOOKUP(AB$1,INDIRECT("'"&amp;$A8&amp;"'!$A$12:$Z$41"),MATCH("Points (Auto-generate)",INDIRECT("'"&amp;$A8&amp;"'!$A$12:$Z$12"),0),0)),"ER"))</f>
        <v>?</v>
      </c>
      <c r="AC8" s="87" t="str">
        <f aca="true">IF($H8=0,"NA",IF($A8=INDIRECT("'"&amp;$A8&amp;"'!$B$1"),IF(VLOOKUP(AC$1,INDIRECT("'"&amp;$A8&amp;"'!$A$12:$Z$41"),MATCH("Points (Auto-generate)",INDIRECT("'"&amp;$A8&amp;"'!$A$12:$Z$12"),0),0)="","?",VLOOKUP(AC$1,INDIRECT("'"&amp;$A8&amp;"'!$A$12:$Z$41"),MATCH("Points (Auto-generate)",INDIRECT("'"&amp;$A8&amp;"'!$A$12:$Z$12"),0),0)),"ER"))</f>
        <v>?</v>
      </c>
      <c r="AD8" s="87" t="str">
        <f aca="true">IF($H8=0,"NA",IF($A8=INDIRECT("'"&amp;$A8&amp;"'!$B$1"),IF(VLOOKUP(AD$1,INDIRECT("'"&amp;$A8&amp;"'!$A$12:$Z$41"),MATCH("Points (Auto-generate)",INDIRECT("'"&amp;$A8&amp;"'!$A$12:$Z$12"),0),0)="","?",VLOOKUP(AD$1,INDIRECT("'"&amp;$A8&amp;"'!$A$12:$Z$41"),MATCH("Points (Auto-generate)",INDIRECT("'"&amp;$A8&amp;"'!$A$12:$Z$12"),0),0)),"ER"))</f>
        <v>?</v>
      </c>
      <c r="AE8" s="87" t="str">
        <f aca="true">IF($H8=0,"NA",IF($A8=INDIRECT("'"&amp;$A8&amp;"'!$B$1"),IF(VLOOKUP(AE$1,INDIRECT("'"&amp;$A8&amp;"'!$A$12:$Z$41"),MATCH("Points (Auto-generate)",INDIRECT("'"&amp;$A8&amp;"'!$A$12:$Z$12"),0),0)="","?",VLOOKUP(AE$1,INDIRECT("'"&amp;$A8&amp;"'!$A$12:$Z$41"),MATCH("Points (Auto-generate)",INDIRECT("'"&amp;$A8&amp;"'!$A$12:$Z$12"),0),0)),"ER"))</f>
        <v>?</v>
      </c>
      <c r="AF8" s="87" t="str">
        <f aca="true">IF($H8=0,"NA",IF($A8=INDIRECT("'"&amp;$A8&amp;"'!$B$1"),IF(VLOOKUP(AF$1,INDIRECT("'"&amp;$A8&amp;"'!$A$12:$Z$41"),MATCH("Points (Auto-generate)",INDIRECT("'"&amp;$A8&amp;"'!$A$12:$Z$12"),0),0)="","?",VLOOKUP(AF$1,INDIRECT("'"&amp;$A8&amp;"'!$A$12:$Z$41"),MATCH("Points (Auto-generate)",INDIRECT("'"&amp;$A8&amp;"'!$A$12:$Z$12"),0),0)),"ER"))</f>
        <v>?</v>
      </c>
      <c r="AG8" s="87" t="str">
        <f aca="true">IF($H8=0,"NA",IF($A8=INDIRECT("'"&amp;$A8&amp;"'!$B$1"),IF(VLOOKUP(AG$1,INDIRECT("'"&amp;$A8&amp;"'!$A$12:$Z$41"),MATCH("Points (Auto-generate)",INDIRECT("'"&amp;$A8&amp;"'!$A$12:$Z$12"),0),0)="","?",VLOOKUP(AG$1,INDIRECT("'"&amp;$A8&amp;"'!$A$12:$Z$41"),MATCH("Points (Auto-generate)",INDIRECT("'"&amp;$A8&amp;"'!$A$12:$Z$12"),0),0)),"ER"))</f>
        <v>?</v>
      </c>
      <c r="AH8" s="87" t="str">
        <f aca="true">IF($H8=0,"NA",IF($A8=INDIRECT("'"&amp;$A8&amp;"'!$B$1"),IF(VLOOKUP(AH$1,INDIRECT("'"&amp;$A8&amp;"'!$A$12:$Z$41"),MATCH("Points (Auto-generate)",INDIRECT("'"&amp;$A8&amp;"'!$A$12:$Z$12"),0),0)="","?",VLOOKUP(AH$1,INDIRECT("'"&amp;$A8&amp;"'!$A$12:$Z$41"),MATCH("Points (Auto-generate)",INDIRECT("'"&amp;$A8&amp;"'!$A$12:$Z$12"),0),0)),"ER"))</f>
        <v>?</v>
      </c>
      <c r="AI8" s="87" t="str">
        <f aca="true">IF($H8=0,"NA",IF($A8=INDIRECT("'"&amp;$A8&amp;"'!$B$1"),IF(VLOOKUP(AI$1,INDIRECT("'"&amp;$A8&amp;"'!$A$12:$Z$41"),MATCH("Points (Auto-generate)",INDIRECT("'"&amp;$A8&amp;"'!$A$12:$Z$12"),0),0)="","?",VLOOKUP(AI$1,INDIRECT("'"&amp;$A8&amp;"'!$A$12:$Z$41"),MATCH("Points (Auto-generate)",INDIRECT("'"&amp;$A8&amp;"'!$A$12:$Z$12"),0),0)),"ER"))</f>
        <v>?</v>
      </c>
      <c r="AJ8" s="87" t="str">
        <f aca="true">IF($H8=0,"NA",IF($A8=INDIRECT("'"&amp;$A8&amp;"'!$B$1"),IF(VLOOKUP(AJ$1,INDIRECT("'"&amp;$A8&amp;"'!$A$12:$Z$41"),MATCH("Points (Auto-generate)",INDIRECT("'"&amp;$A8&amp;"'!$A$12:$Z$12"),0),0)="","?",VLOOKUP(AJ$1,INDIRECT("'"&amp;$A8&amp;"'!$A$12:$Z$41"),MATCH("Points (Auto-generate)",INDIRECT("'"&amp;$A8&amp;"'!$A$12:$Z$12"),0),0)),"ER"))</f>
        <v>?</v>
      </c>
      <c r="AK8" s="87" t="str">
        <f aca="true">IF($H8=0,"NA",IF($A8=INDIRECT("'"&amp;$A8&amp;"'!$B$1"),IF(VLOOKUP(AK$1,INDIRECT("'"&amp;$A8&amp;"'!$A$12:$Z$41"),MATCH("Points (Auto-generate)",INDIRECT("'"&amp;$A8&amp;"'!$A$12:$Z$12"),0),0)="","?",VLOOKUP(AK$1,INDIRECT("'"&amp;$A8&amp;"'!$A$12:$Z$41"),MATCH("Points (Auto-generate)",INDIRECT("'"&amp;$A8&amp;"'!$A$12:$Z$12"),0),0)),"ER"))</f>
        <v>?</v>
      </c>
    </row>
    <row r="9" customFormat="false" ht="25.5" hidden="false" customHeight="true" outlineLevel="0" collapsed="false">
      <c r="A9" s="83" t="s">
        <v>76</v>
      </c>
      <c r="B9" s="84" t="str">
        <f aca="false">IF(ISBLANK($A9),"NO_CODE",VLOOKUP($A9,'UPD Questions_290926 '!$E$1:$N$300,MATCH(B$1,'UPD Questions_290926 '!$E$1:$N$1,0),0)&amp;"")</f>
        <v>Planning </v>
      </c>
      <c r="C9" s="85" t="str">
        <f aca="false">IF(ISBLANK($A9),"NO_CODE",VLOOKUP($A9,'UPD Questions_290926 '!$E$1:$N$300,MATCH(C$1,'UPD Questions_290926 '!$E$1:$N$1,0),0)&amp;"")</f>
        <v>Legal and institutional planning architecture</v>
      </c>
      <c r="D9" s="84" t="str">
        <f aca="false">IF(ISBLANK($A9),"NO_CODE",VLOOKUP($A9,'UPD Questions_290926 '!$E$1:$N$300,MATCH(D$1,'UPD Questions_290926 '!$E$1:$N$1,0),0)&amp;"")</f>
        <v>Spatial planning hierarchy</v>
      </c>
      <c r="E9" s="84" t="str">
        <f aca="false">IF(ISBLANK($A9),"NO_CODE",VLOOKUP($A9,'UPD Questions_290926 '!$E$1:$N$300,MATCH(E$1,'UPD Questions_290926 '!$E$1:$N$1,0),0)&amp;"")</f>
        <v>MQ</v>
      </c>
      <c r="F9" s="84" t="str">
        <f aca="false">IF(ISBLANK($A9),"NO_CODE",VLOOKUP($A9,'UPD Questions_290926 '!$E$1:$N$300,MATCH(F$1,'UPD Questions_290926 '!$E$1:$N$1,0),0)&amp;"")</f>
        <v>Is the planning boundary of the municipal/city plan aligned with political and administrative boundaries?</v>
      </c>
      <c r="G9" s="84" t="str">
        <f aca="false">IF(ISBLANK($A9),"NO_CODE",VLOOKUP($A9,'UPD Questions_290926 '!$E$1:$N$300,MATCH(G$1,'UPD Questions_290926 '!$E$1:$N$1,0),0)&amp;"")</f>
        <v>Law or Policy</v>
      </c>
      <c r="H9" s="86" t="n">
        <f aca="false">IF(ISBLANK($A9),"NO_CODE",VLOOKUP($A9,'UPD Questions_290926 '!$E$1:$N$300,MATCH(H$1,'UPD Questions_290926 '!$E$1:$N$1,0),0))</f>
        <v>10</v>
      </c>
      <c r="I9" s="87" t="str">
        <f aca="true">IF($H9=0,"NA",IF($A9=INDIRECT("'"&amp;$A9&amp;"'!$B$1"),IF(VLOOKUP(I$1,INDIRECT("'"&amp;$A9&amp;"'!$A$12:$Z$41"),MATCH("Points (Auto-generate)",INDIRECT("'"&amp;$A9&amp;"'!$A$12:$Z$12"),0),0)="","?",VLOOKUP(I$1,INDIRECT("'"&amp;$A9&amp;"'!$A$12:$Z$41"),MATCH("Points (Auto-generate)",INDIRECT("'"&amp;$A9&amp;"'!$A$12:$Z$12"),0),0)),"ER"))</f>
        <v>?</v>
      </c>
      <c r="J9" s="87" t="n">
        <f aca="true">IF($H9=0,"NA",IF($A9=INDIRECT("'"&amp;$A9&amp;"'!$B$1"),IF(VLOOKUP(J$1,INDIRECT("'"&amp;$A9&amp;"'!$A$12:$Z$41"),MATCH("Points (Auto-generate)",INDIRECT("'"&amp;$A9&amp;"'!$A$12:$Z$12"),0),0)="","?",VLOOKUP(J$1,INDIRECT("'"&amp;$A9&amp;"'!$A$12:$Z$41"),MATCH("Points (Auto-generate)",INDIRECT("'"&amp;$A9&amp;"'!$A$12:$Z$12"),0),0)),"ER"))</f>
        <v>10</v>
      </c>
      <c r="K9" s="87" t="str">
        <f aca="true">IF($H9=0,"NA",IF($A9=INDIRECT("'"&amp;$A9&amp;"'!$B$1"),IF(VLOOKUP(K$1,INDIRECT("'"&amp;$A9&amp;"'!$A$12:$Z$41"),MATCH("Points (Auto-generate)",INDIRECT("'"&amp;$A9&amp;"'!$A$12:$Z$12"),0),0)="","?",VLOOKUP(K$1,INDIRECT("'"&amp;$A9&amp;"'!$A$12:$Z$41"),MATCH("Points (Auto-generate)",INDIRECT("'"&amp;$A9&amp;"'!$A$12:$Z$12"),0),0)),"ER"))</f>
        <v>?</v>
      </c>
      <c r="L9" s="87" t="str">
        <f aca="true">IF($H9=0,"NA",IF($A9=INDIRECT("'"&amp;$A9&amp;"'!$B$1"),IF(VLOOKUP(L$1,INDIRECT("'"&amp;$A9&amp;"'!$A$12:$Z$41"),MATCH("Points (Auto-generate)",INDIRECT("'"&amp;$A9&amp;"'!$A$12:$Z$12"),0),0)="","?",VLOOKUP(L$1,INDIRECT("'"&amp;$A9&amp;"'!$A$12:$Z$41"),MATCH("Points (Auto-generate)",INDIRECT("'"&amp;$A9&amp;"'!$A$12:$Z$12"),0),0)),"ER"))</f>
        <v>?</v>
      </c>
      <c r="M9" s="87" t="str">
        <f aca="true">IF($H9=0,"NA",IF($A9=INDIRECT("'"&amp;$A9&amp;"'!$B$1"),IF(VLOOKUP(M$1,INDIRECT("'"&amp;$A9&amp;"'!$A$12:$Z$41"),MATCH("Points (Auto-generate)",INDIRECT("'"&amp;$A9&amp;"'!$A$12:$Z$12"),0),0)="","?",VLOOKUP(M$1,INDIRECT("'"&amp;$A9&amp;"'!$A$12:$Z$41"),MATCH("Points (Auto-generate)",INDIRECT("'"&amp;$A9&amp;"'!$A$12:$Z$12"),0),0)),"ER"))</f>
        <v>?</v>
      </c>
      <c r="N9" s="87" t="str">
        <f aca="true">IF($H9=0,"NA",IF($A9=INDIRECT("'"&amp;$A9&amp;"'!$B$1"),IF(VLOOKUP(N$1,INDIRECT("'"&amp;$A9&amp;"'!$A$12:$Z$41"),MATCH("Points (Auto-generate)",INDIRECT("'"&amp;$A9&amp;"'!$A$12:$Z$12"),0),0)="","?",VLOOKUP(N$1,INDIRECT("'"&amp;$A9&amp;"'!$A$12:$Z$41"),MATCH("Points (Auto-generate)",INDIRECT("'"&amp;$A9&amp;"'!$A$12:$Z$12"),0),0)),"ER"))</f>
        <v>?</v>
      </c>
      <c r="O9" s="87" t="str">
        <f aca="true">IF($H9=0,"NA",IF($A9=INDIRECT("'"&amp;$A9&amp;"'!$B$1"),IF(VLOOKUP(O$1,INDIRECT("'"&amp;$A9&amp;"'!$A$12:$Z$41"),MATCH("Points (Auto-generate)",INDIRECT("'"&amp;$A9&amp;"'!$A$12:$Z$12"),0),0)="","?",VLOOKUP(O$1,INDIRECT("'"&amp;$A9&amp;"'!$A$12:$Z$41"),MATCH("Points (Auto-generate)",INDIRECT("'"&amp;$A9&amp;"'!$A$12:$Z$12"),0),0)),"ER"))</f>
        <v>?</v>
      </c>
      <c r="P9" s="87" t="str">
        <f aca="true">IF($H9=0,"NA",IF($A9=INDIRECT("'"&amp;$A9&amp;"'!$B$1"),IF(VLOOKUP(P$1,INDIRECT("'"&amp;$A9&amp;"'!$A$12:$Z$41"),MATCH("Points (Auto-generate)",INDIRECT("'"&amp;$A9&amp;"'!$A$12:$Z$12"),0),0)="","?",VLOOKUP(P$1,INDIRECT("'"&amp;$A9&amp;"'!$A$12:$Z$41"),MATCH("Points (Auto-generate)",INDIRECT("'"&amp;$A9&amp;"'!$A$12:$Z$12"),0),0)),"ER"))</f>
        <v>?</v>
      </c>
      <c r="Q9" s="87" t="str">
        <f aca="true">IF($H9=0,"NA",IF($A9=INDIRECT("'"&amp;$A9&amp;"'!$B$1"),IF(VLOOKUP(Q$1,INDIRECT("'"&amp;$A9&amp;"'!$A$12:$Z$41"),MATCH("Points (Auto-generate)",INDIRECT("'"&amp;$A9&amp;"'!$A$12:$Z$12"),0),0)="","?",VLOOKUP(Q$1,INDIRECT("'"&amp;$A9&amp;"'!$A$12:$Z$41"),MATCH("Points (Auto-generate)",INDIRECT("'"&amp;$A9&amp;"'!$A$12:$Z$12"),0),0)),"ER"))</f>
        <v>?</v>
      </c>
      <c r="R9" s="87" t="str">
        <f aca="true">IF($H9=0,"NA",IF($A9=INDIRECT("'"&amp;$A9&amp;"'!$B$1"),IF(VLOOKUP(R$1,INDIRECT("'"&amp;$A9&amp;"'!$A$12:$Z$41"),MATCH("Points (Auto-generate)",INDIRECT("'"&amp;$A9&amp;"'!$A$12:$Z$12"),0),0)="","?",VLOOKUP(R$1,INDIRECT("'"&amp;$A9&amp;"'!$A$12:$Z$41"),MATCH("Points (Auto-generate)",INDIRECT("'"&amp;$A9&amp;"'!$A$12:$Z$12"),0),0)),"ER"))</f>
        <v>?</v>
      </c>
      <c r="S9" s="87" t="str">
        <f aca="true">IF($H9=0,"NA",IF($A9=INDIRECT("'"&amp;$A9&amp;"'!$B$1"),IF(VLOOKUP(S$1,INDIRECT("'"&amp;$A9&amp;"'!$A$12:$Z$41"),MATCH("Points (Auto-generate)",INDIRECT("'"&amp;$A9&amp;"'!$A$12:$Z$12"),0),0)="","?",VLOOKUP(S$1,INDIRECT("'"&amp;$A9&amp;"'!$A$12:$Z$41"),MATCH("Points (Auto-generate)",INDIRECT("'"&amp;$A9&amp;"'!$A$12:$Z$12"),0),0)),"ER"))</f>
        <v>?</v>
      </c>
      <c r="T9" s="87" t="str">
        <f aca="true">IF($H9=0,"NA",IF($A9=INDIRECT("'"&amp;$A9&amp;"'!$B$1"),IF(VLOOKUP(T$1,INDIRECT("'"&amp;$A9&amp;"'!$A$12:$Z$41"),MATCH("Points (Auto-generate)",INDIRECT("'"&amp;$A9&amp;"'!$A$12:$Z$12"),0),0)="","?",VLOOKUP(T$1,INDIRECT("'"&amp;$A9&amp;"'!$A$12:$Z$41"),MATCH("Points (Auto-generate)",INDIRECT("'"&amp;$A9&amp;"'!$A$12:$Z$12"),0),0)),"ER"))</f>
        <v>?</v>
      </c>
      <c r="U9" s="87" t="str">
        <f aca="true">IF($H9=0,"NA",IF($A9=INDIRECT("'"&amp;$A9&amp;"'!$B$1"),IF(VLOOKUP(U$1,INDIRECT("'"&amp;$A9&amp;"'!$A$12:$Z$41"),MATCH("Points (Auto-generate)",INDIRECT("'"&amp;$A9&amp;"'!$A$12:$Z$12"),0),0)="","?",VLOOKUP(U$1,INDIRECT("'"&amp;$A9&amp;"'!$A$12:$Z$41"),MATCH("Points (Auto-generate)",INDIRECT("'"&amp;$A9&amp;"'!$A$12:$Z$12"),0),0)),"ER"))</f>
        <v>?</v>
      </c>
      <c r="V9" s="87" t="str">
        <f aca="true">IF($H9=0,"NA",IF($A9=INDIRECT("'"&amp;$A9&amp;"'!$B$1"),IF(VLOOKUP(V$1,INDIRECT("'"&amp;$A9&amp;"'!$A$12:$Z$41"),MATCH("Points (Auto-generate)",INDIRECT("'"&amp;$A9&amp;"'!$A$12:$Z$12"),0),0)="","?",VLOOKUP(V$1,INDIRECT("'"&amp;$A9&amp;"'!$A$12:$Z$41"),MATCH("Points (Auto-generate)",INDIRECT("'"&amp;$A9&amp;"'!$A$12:$Z$12"),0),0)),"ER"))</f>
        <v>?</v>
      </c>
      <c r="W9" s="87" t="str">
        <f aca="true">IF($H9=0,"NA",IF($A9=INDIRECT("'"&amp;$A9&amp;"'!$B$1"),IF(VLOOKUP(W$1,INDIRECT("'"&amp;$A9&amp;"'!$A$12:$Z$41"),MATCH("Points (Auto-generate)",INDIRECT("'"&amp;$A9&amp;"'!$A$12:$Z$12"),0),0)="","?",VLOOKUP(W$1,INDIRECT("'"&amp;$A9&amp;"'!$A$12:$Z$41"),MATCH("Points (Auto-generate)",INDIRECT("'"&amp;$A9&amp;"'!$A$12:$Z$12"),0),0)),"ER"))</f>
        <v>?</v>
      </c>
      <c r="X9" s="87" t="str">
        <f aca="true">IF($H9=0,"NA",IF($A9=INDIRECT("'"&amp;$A9&amp;"'!$B$1"),IF(VLOOKUP(X$1,INDIRECT("'"&amp;$A9&amp;"'!$A$12:$Z$41"),MATCH("Points (Auto-generate)",INDIRECT("'"&amp;$A9&amp;"'!$A$12:$Z$12"),0),0)="","?",VLOOKUP(X$1,INDIRECT("'"&amp;$A9&amp;"'!$A$12:$Z$41"),MATCH("Points (Auto-generate)",INDIRECT("'"&amp;$A9&amp;"'!$A$12:$Z$12"),0),0)),"ER"))</f>
        <v>?</v>
      </c>
      <c r="Y9" s="87" t="str">
        <f aca="true">IF($H9=0,"NA",IF($A9=INDIRECT("'"&amp;$A9&amp;"'!$B$1"),IF(VLOOKUP(Y$1,INDIRECT("'"&amp;$A9&amp;"'!$A$12:$Z$41"),MATCH("Points (Auto-generate)",INDIRECT("'"&amp;$A9&amp;"'!$A$12:$Z$12"),0),0)="","?",VLOOKUP(Y$1,INDIRECT("'"&amp;$A9&amp;"'!$A$12:$Z$41"),MATCH("Points (Auto-generate)",INDIRECT("'"&amp;$A9&amp;"'!$A$12:$Z$12"),0),0)),"ER"))</f>
        <v>?</v>
      </c>
      <c r="Z9" s="87" t="str">
        <f aca="true">IF($H9=0,"NA",IF($A9=INDIRECT("'"&amp;$A9&amp;"'!$B$1"),IF(VLOOKUP(Z$1,INDIRECT("'"&amp;$A9&amp;"'!$A$12:$Z$41"),MATCH("Points (Auto-generate)",INDIRECT("'"&amp;$A9&amp;"'!$A$12:$Z$12"),0),0)="","?",VLOOKUP(Z$1,INDIRECT("'"&amp;$A9&amp;"'!$A$12:$Z$41"),MATCH("Points (Auto-generate)",INDIRECT("'"&amp;$A9&amp;"'!$A$12:$Z$12"),0),0)),"ER"))</f>
        <v>?</v>
      </c>
      <c r="AA9" s="87" t="str">
        <f aca="true">IF($H9=0,"NA",IF($A9=INDIRECT("'"&amp;$A9&amp;"'!$B$1"),IF(VLOOKUP(AA$1,INDIRECT("'"&amp;$A9&amp;"'!$A$12:$Z$41"),MATCH("Points (Auto-generate)",INDIRECT("'"&amp;$A9&amp;"'!$A$12:$Z$12"),0),0)="","?",VLOOKUP(AA$1,INDIRECT("'"&amp;$A9&amp;"'!$A$12:$Z$41"),MATCH("Points (Auto-generate)",INDIRECT("'"&amp;$A9&amp;"'!$A$12:$Z$12"),0),0)),"ER"))</f>
        <v>?</v>
      </c>
      <c r="AB9" s="87" t="str">
        <f aca="true">IF($H9=0,"NA",IF($A9=INDIRECT("'"&amp;$A9&amp;"'!$B$1"),IF(VLOOKUP(AB$1,INDIRECT("'"&amp;$A9&amp;"'!$A$12:$Z$41"),MATCH("Points (Auto-generate)",INDIRECT("'"&amp;$A9&amp;"'!$A$12:$Z$12"),0),0)="","?",VLOOKUP(AB$1,INDIRECT("'"&amp;$A9&amp;"'!$A$12:$Z$41"),MATCH("Points (Auto-generate)",INDIRECT("'"&amp;$A9&amp;"'!$A$12:$Z$12"),0),0)),"ER"))</f>
        <v>?</v>
      </c>
      <c r="AC9" s="87" t="n">
        <f aca="true">IF($H9=0,"NA",IF($A9=INDIRECT("'"&amp;$A9&amp;"'!$B$1"),IF(VLOOKUP(AC$1,INDIRECT("'"&amp;$A9&amp;"'!$A$12:$Z$41"),MATCH("Points (Auto-generate)",INDIRECT("'"&amp;$A9&amp;"'!$A$12:$Z$12"),0),0)="","?",VLOOKUP(AC$1,INDIRECT("'"&amp;$A9&amp;"'!$A$12:$Z$41"),MATCH("Points (Auto-generate)",INDIRECT("'"&amp;$A9&amp;"'!$A$12:$Z$12"),0),0)),"ER"))</f>
        <v>0</v>
      </c>
      <c r="AD9" s="87" t="str">
        <f aca="true">IF($H9=0,"NA",IF($A9=INDIRECT("'"&amp;$A9&amp;"'!$B$1"),IF(VLOOKUP(AD$1,INDIRECT("'"&amp;$A9&amp;"'!$A$12:$Z$41"),MATCH("Points (Auto-generate)",INDIRECT("'"&amp;$A9&amp;"'!$A$12:$Z$12"),0),0)="","?",VLOOKUP(AD$1,INDIRECT("'"&amp;$A9&amp;"'!$A$12:$Z$41"),MATCH("Points (Auto-generate)",INDIRECT("'"&amp;$A9&amp;"'!$A$12:$Z$12"),0),0)),"ER"))</f>
        <v>?</v>
      </c>
      <c r="AE9" s="87" t="str">
        <f aca="true">IF($H9=0,"NA",IF($A9=INDIRECT("'"&amp;$A9&amp;"'!$B$1"),IF(VLOOKUP(AE$1,INDIRECT("'"&amp;$A9&amp;"'!$A$12:$Z$41"),MATCH("Points (Auto-generate)",INDIRECT("'"&amp;$A9&amp;"'!$A$12:$Z$12"),0),0)="","?",VLOOKUP(AE$1,INDIRECT("'"&amp;$A9&amp;"'!$A$12:$Z$41"),MATCH("Points (Auto-generate)",INDIRECT("'"&amp;$A9&amp;"'!$A$12:$Z$12"),0),0)),"ER"))</f>
        <v>?</v>
      </c>
      <c r="AF9" s="87" t="str">
        <f aca="true">IF($H9=0,"NA",IF($A9=INDIRECT("'"&amp;$A9&amp;"'!$B$1"),IF(VLOOKUP(AF$1,INDIRECT("'"&amp;$A9&amp;"'!$A$12:$Z$41"),MATCH("Points (Auto-generate)",INDIRECT("'"&amp;$A9&amp;"'!$A$12:$Z$12"),0),0)="","?",VLOOKUP(AF$1,INDIRECT("'"&amp;$A9&amp;"'!$A$12:$Z$41"),MATCH("Points (Auto-generate)",INDIRECT("'"&amp;$A9&amp;"'!$A$12:$Z$12"),0),0)),"ER"))</f>
        <v>?</v>
      </c>
      <c r="AG9" s="87" t="str">
        <f aca="true">IF($H9=0,"NA",IF($A9=INDIRECT("'"&amp;$A9&amp;"'!$B$1"),IF(VLOOKUP(AG$1,INDIRECT("'"&amp;$A9&amp;"'!$A$12:$Z$41"),MATCH("Points (Auto-generate)",INDIRECT("'"&amp;$A9&amp;"'!$A$12:$Z$12"),0),0)="","?",VLOOKUP(AG$1,INDIRECT("'"&amp;$A9&amp;"'!$A$12:$Z$41"),MATCH("Points (Auto-generate)",INDIRECT("'"&amp;$A9&amp;"'!$A$12:$Z$12"),0),0)),"ER"))</f>
        <v>?</v>
      </c>
      <c r="AH9" s="87" t="str">
        <f aca="true">IF($H9=0,"NA",IF($A9=INDIRECT("'"&amp;$A9&amp;"'!$B$1"),IF(VLOOKUP(AH$1,INDIRECT("'"&amp;$A9&amp;"'!$A$12:$Z$41"),MATCH("Points (Auto-generate)",INDIRECT("'"&amp;$A9&amp;"'!$A$12:$Z$12"),0),0)="","?",VLOOKUP(AH$1,INDIRECT("'"&amp;$A9&amp;"'!$A$12:$Z$41"),MATCH("Points (Auto-generate)",INDIRECT("'"&amp;$A9&amp;"'!$A$12:$Z$12"),0),0)),"ER"))</f>
        <v>?</v>
      </c>
      <c r="AI9" s="87" t="str">
        <f aca="true">IF($H9=0,"NA",IF($A9=INDIRECT("'"&amp;$A9&amp;"'!$B$1"),IF(VLOOKUP(AI$1,INDIRECT("'"&amp;$A9&amp;"'!$A$12:$Z$41"),MATCH("Points (Auto-generate)",INDIRECT("'"&amp;$A9&amp;"'!$A$12:$Z$12"),0),0)="","?",VLOOKUP(AI$1,INDIRECT("'"&amp;$A9&amp;"'!$A$12:$Z$41"),MATCH("Points (Auto-generate)",INDIRECT("'"&amp;$A9&amp;"'!$A$12:$Z$12"),0),0)),"ER"))</f>
        <v>?</v>
      </c>
      <c r="AJ9" s="87" t="str">
        <f aca="true">IF($H9=0,"NA",IF($A9=INDIRECT("'"&amp;$A9&amp;"'!$B$1"),IF(VLOOKUP(AJ$1,INDIRECT("'"&amp;$A9&amp;"'!$A$12:$Z$41"),MATCH("Points (Auto-generate)",INDIRECT("'"&amp;$A9&amp;"'!$A$12:$Z$12"),0),0)="","?",VLOOKUP(AJ$1,INDIRECT("'"&amp;$A9&amp;"'!$A$12:$Z$41"),MATCH("Points (Auto-generate)",INDIRECT("'"&amp;$A9&amp;"'!$A$12:$Z$12"),0),0)),"ER"))</f>
        <v>?</v>
      </c>
      <c r="AK9" s="87" t="str">
        <f aca="true">IF($H9=0,"NA",IF($A9=INDIRECT("'"&amp;$A9&amp;"'!$B$1"),IF(VLOOKUP(AK$1,INDIRECT("'"&amp;$A9&amp;"'!$A$12:$Z$41"),MATCH("Points (Auto-generate)",INDIRECT("'"&amp;$A9&amp;"'!$A$12:$Z$12"),0),0)="","?",VLOOKUP(AK$1,INDIRECT("'"&amp;$A9&amp;"'!$A$12:$Z$41"),MATCH("Points (Auto-generate)",INDIRECT("'"&amp;$A9&amp;"'!$A$12:$Z$12"),0),0)),"ER"))</f>
        <v>?</v>
      </c>
    </row>
    <row r="10" customFormat="false" ht="25.5" hidden="false" customHeight="true" outlineLevel="0" collapsed="false">
      <c r="A10" s="83" t="s">
        <v>656</v>
      </c>
      <c r="B10" s="84" t="str">
        <f aca="false">IF(ISBLANK($A10),"NO_CODE",VLOOKUP($A10,'UPD Questions_290926 '!$E$1:$N$300,MATCH(B$1,'UPD Questions_290926 '!$E$1:$N$1,0),0)&amp;"")</f>
        <v>Planning </v>
      </c>
      <c r="C10" s="85" t="str">
        <f aca="false">IF(ISBLANK($A10),"NO_CODE",VLOOKUP($A10,'UPD Questions_290926 '!$E$1:$N$300,MATCH(C$1,'UPD Questions_290926 '!$E$1:$N$1,0),0)&amp;"")</f>
        <v>Legal and institutional planning architecture</v>
      </c>
      <c r="D10" s="84" t="str">
        <f aca="false">IF(ISBLANK($A10),"NO_CODE",VLOOKUP($A10,'UPD Questions_290926 '!$E$1:$N$300,MATCH(D$1,'UPD Questions_290926 '!$E$1:$N$1,0),0)&amp;"")</f>
        <v>Spatial planning hierarchy</v>
      </c>
      <c r="E10" s="84" t="str">
        <f aca="false">IF(ISBLANK($A10),"NO_CODE",VLOOKUP($A10,'UPD Questions_290926 '!$E$1:$N$300,MATCH(E$1,'UPD Questions_290926 '!$E$1:$N$1,0),0)&amp;"")</f>
        <v>MQ</v>
      </c>
      <c r="F10" s="84" t="str">
        <f aca="false">IF(ISBLANK($A10),"NO_CODE",VLOOKUP($A10,'UPD Questions_290926 '!$E$1:$N$300,MATCH(F$1,'UPD Questions_290926 '!$E$1:$N$1,0),0)&amp;"")</f>
        <v>Is there a clear decentralised procedure for approvals of each level of plans?</v>
      </c>
      <c r="G10" s="84" t="str">
        <f aca="false">IF(ISBLANK($A10),"NO_CODE",VLOOKUP($A10,'UPD Questions_290926 '!$E$1:$N$300,MATCH(G$1,'UPD Questions_290926 '!$E$1:$N$1,0),0)&amp;"")</f>
        <v>Law or Policy</v>
      </c>
      <c r="H10" s="86" t="n">
        <f aca="false">IF(ISBLANK($A10),"NO_CODE",VLOOKUP($A10,'UPD Questions_290926 '!$E$1:$N$300,MATCH(H$1,'UPD Questions_290926 '!$E$1:$N$1,0),0))</f>
        <v>10</v>
      </c>
      <c r="I10" s="87" t="str">
        <f aca="false">IF(OR(I11="ER",I12="ER",I13="ER"),"ER",IF(OR(I11="?",I12="?",I13="?"),"?",IF(AND(I11="NA",I12="NA",I13="NA"),"NA",SUM(I11,I12,I13)/((I11&lt;&gt;"NA")*$H$11+(I12&lt;&gt;"NA")*$H$12+(I13&lt;&gt;"NA")*$H$13)*$H10)))</f>
        <v>?</v>
      </c>
      <c r="J10" s="87" t="str">
        <f aca="false">IF(OR(J11="ER",J12="ER",J13="ER"),"ER",IF(OR(J11="?",J12="?",J13="?"),"?",IF(AND(J11="NA",J12="NA",J13="NA"),"NA",SUM(J11,J12,J13)/((J11&lt;&gt;"NA")*$H$11+(J12&lt;&gt;"NA")*$H$12+(J13&lt;&gt;"NA")*$H$13)*$H10)))</f>
        <v>?</v>
      </c>
      <c r="K10" s="87" t="str">
        <f aca="false">IF(OR(K11="ER",K12="ER",K13="ER"),"ER",IF(OR(K11="?",K12="?",K13="?"),"?",IF(AND(K11="NA",K12="NA",K13="NA"),"NA",SUM(K11,K12,K13)/((K11&lt;&gt;"NA")*$H$11+(K12&lt;&gt;"NA")*$H$12+(K13&lt;&gt;"NA")*$H$13)*$H10)))</f>
        <v>?</v>
      </c>
      <c r="L10" s="87" t="str">
        <f aca="false">IF(OR(L11="ER",L12="ER",L13="ER"),"ER",IF(OR(L11="?",L12="?",L13="?"),"?",IF(AND(L11="NA",L12="NA",L13="NA"),"NA",SUM(L11,L12,L13)/((L11&lt;&gt;"NA")*$H$11+(L12&lt;&gt;"NA")*$H$12+(L13&lt;&gt;"NA")*$H$13)*$H10)))</f>
        <v>?</v>
      </c>
      <c r="M10" s="87" t="str">
        <f aca="false">IF(OR(M11="ER",M12="ER",M13="ER"),"ER",IF(OR(M11="?",M12="?",M13="?"),"?",IF(AND(M11="NA",M12="NA",M13="NA"),"NA",SUM(M11,M12,M13)/((M11&lt;&gt;"NA")*$H$11+(M12&lt;&gt;"NA")*$H$12+(M13&lt;&gt;"NA")*$H$13)*$H10)))</f>
        <v>?</v>
      </c>
      <c r="N10" s="87" t="str">
        <f aca="false">IF(OR(N11="ER",N12="ER",N13="ER"),"ER",IF(OR(N11="?",N12="?",N13="?"),"?",IF(AND(N11="NA",N12="NA",N13="NA"),"NA",SUM(N11,N12,N13)/((N11&lt;&gt;"NA")*$H$11+(N12&lt;&gt;"NA")*$H$12+(N13&lt;&gt;"NA")*$H$13)*$H10)))</f>
        <v>?</v>
      </c>
      <c r="O10" s="87" t="str">
        <f aca="false">IF(OR(O11="ER",O12="ER",O13="ER"),"ER",IF(OR(O11="?",O12="?",O13="?"),"?",IF(AND(O11="NA",O12="NA",O13="NA"),"NA",SUM(O11,O12,O13)/((O11&lt;&gt;"NA")*$H$11+(O12&lt;&gt;"NA")*$H$12+(O13&lt;&gt;"NA")*$H$13)*$H10)))</f>
        <v>?</v>
      </c>
      <c r="P10" s="87" t="str">
        <f aca="false">IF(OR(P11="ER",P12="ER",P13="ER"),"ER",IF(OR(P11="?",P12="?",P13="?"),"?",IF(AND(P11="NA",P12="NA",P13="NA"),"NA",SUM(P11,P12,P13)/((P11&lt;&gt;"NA")*$H$11+(P12&lt;&gt;"NA")*$H$12+(P13&lt;&gt;"NA")*$H$13)*$H10)))</f>
        <v>?</v>
      </c>
      <c r="Q10" s="87" t="str">
        <f aca="false">IF(OR(Q11="ER",Q12="ER",Q13="ER"),"ER",IF(OR(Q11="?",Q12="?",Q13="?"),"?",IF(AND(Q11="NA",Q12="NA",Q13="NA"),"NA",SUM(Q11,Q12,Q13)/((Q11&lt;&gt;"NA")*$H$11+(Q12&lt;&gt;"NA")*$H$12+(Q13&lt;&gt;"NA")*$H$13)*$H10)))</f>
        <v>?</v>
      </c>
      <c r="R10" s="87" t="str">
        <f aca="false">IF(OR(R11="ER",R12="ER",R13="ER"),"ER",IF(OR(R11="?",R12="?",R13="?"),"?",IF(AND(R11="NA",R12="NA",R13="NA"),"NA",SUM(R11,R12,R13)/((R11&lt;&gt;"NA")*$H$11+(R12&lt;&gt;"NA")*$H$12+(R13&lt;&gt;"NA")*$H$13)*$H10)))</f>
        <v>?</v>
      </c>
      <c r="S10" s="87" t="str">
        <f aca="false">IF(OR(S11="ER",S12="ER",S13="ER"),"ER",IF(OR(S11="?",S12="?",S13="?"),"?",IF(AND(S11="NA",S12="NA",S13="NA"),"NA",SUM(S11,S12,S13)/((S11&lt;&gt;"NA")*$H$11+(S12&lt;&gt;"NA")*$H$12+(S13&lt;&gt;"NA")*$H$13)*$H10)))</f>
        <v>?</v>
      </c>
      <c r="T10" s="87" t="str">
        <f aca="false">IF(OR(T11="ER",T12="ER",T13="ER"),"ER",IF(OR(T11="?",T12="?",T13="?"),"?",IF(AND(T11="NA",T12="NA",T13="NA"),"NA",SUM(T11,T12,T13)/((T11&lt;&gt;"NA")*$H$11+(T12&lt;&gt;"NA")*$H$12+(T13&lt;&gt;"NA")*$H$13)*$H10)))</f>
        <v>?</v>
      </c>
      <c r="U10" s="87" t="str">
        <f aca="false">IF(OR(U11="ER",U12="ER",U13="ER"),"ER",IF(OR(U11="?",U12="?",U13="?"),"?",IF(AND(U11="NA",U12="NA",U13="NA"),"NA",SUM(U11,U12,U13)/((U11&lt;&gt;"NA")*$H$11+(U12&lt;&gt;"NA")*$H$12+(U13&lt;&gt;"NA")*$H$13)*$H10)))</f>
        <v>?</v>
      </c>
      <c r="V10" s="87" t="str">
        <f aca="false">IF(OR(V11="ER",V12="ER",V13="ER"),"ER",IF(OR(V11="?",V12="?",V13="?"),"?",IF(AND(V11="NA",V12="NA",V13="NA"),"NA",SUM(V11,V12,V13)/((V11&lt;&gt;"NA")*$H$11+(V12&lt;&gt;"NA")*$H$12+(V13&lt;&gt;"NA")*$H$13)*$H10)))</f>
        <v>?</v>
      </c>
      <c r="W10" s="87" t="str">
        <f aca="false">IF(OR(W11="ER",W12="ER",W13="ER"),"ER",IF(OR(W11="?",W12="?",W13="?"),"?",IF(AND(W11="NA",W12="NA",W13="NA"),"NA",SUM(W11,W12,W13)/((W11&lt;&gt;"NA")*$H$11+(W12&lt;&gt;"NA")*$H$12+(W13&lt;&gt;"NA")*$H$13)*$H10)))</f>
        <v>?</v>
      </c>
      <c r="X10" s="87" t="str">
        <f aca="false">IF(OR(X11="ER",X12="ER",X13="ER"),"ER",IF(OR(X11="?",X12="?",X13="?"),"?",IF(AND(X11="NA",X12="NA",X13="NA"),"NA",SUM(X11,X12,X13)/((X11&lt;&gt;"NA")*$H$11+(X12&lt;&gt;"NA")*$H$12+(X13&lt;&gt;"NA")*$H$13)*$H10)))</f>
        <v>?</v>
      </c>
      <c r="Y10" s="87" t="str">
        <f aca="false">IF(OR(Y11="ER",Y12="ER",Y13="ER"),"ER",IF(OR(Y11="?",Y12="?",Y13="?"),"?",IF(AND(Y11="NA",Y12="NA",Y13="NA"),"NA",SUM(Y11,Y12,Y13)/((Y11&lt;&gt;"NA")*$H$11+(Y12&lt;&gt;"NA")*$H$12+(Y13&lt;&gt;"NA")*$H$13)*$H10)))</f>
        <v>?</v>
      </c>
      <c r="Z10" s="87" t="str">
        <f aca="false">IF(OR(Z11="ER",Z12="ER",Z13="ER"),"ER",IF(OR(Z11="?",Z12="?",Z13="?"),"?",IF(AND(Z11="NA",Z12="NA",Z13="NA"),"NA",SUM(Z11,Z12,Z13)/((Z11&lt;&gt;"NA")*$H$11+(Z12&lt;&gt;"NA")*$H$12+(Z13&lt;&gt;"NA")*$H$13)*$H10)))</f>
        <v>?</v>
      </c>
      <c r="AA10" s="87" t="str">
        <f aca="false">IF(OR(AA11="ER",AA12="ER",AA13="ER"),"ER",IF(OR(AA11="?",AA12="?",AA13="?"),"?",IF(AND(AA11="NA",AA12="NA",AA13="NA"),"NA",SUM(AA11,AA12,AA13)/((AA11&lt;&gt;"NA")*$H$11+(AA12&lt;&gt;"NA")*$H$12+(AA13&lt;&gt;"NA")*$H$13)*$H10)))</f>
        <v>?</v>
      </c>
      <c r="AB10" s="87" t="str">
        <f aca="false">IF(OR(AB11="ER",AB12="ER",AB13="ER"),"ER",IF(OR(AB11="?",AB12="?",AB13="?"),"?",IF(AND(AB11="NA",AB12="NA",AB13="NA"),"NA",SUM(AB11,AB12,AB13)/((AB11&lt;&gt;"NA")*$H$11+(AB12&lt;&gt;"NA")*$H$12+(AB13&lt;&gt;"NA")*$H$13)*$H10)))</f>
        <v>?</v>
      </c>
      <c r="AC10" s="87" t="str">
        <f aca="false">IF(OR(AC11="ER",AC12="ER",AC13="ER"),"ER",IF(OR(AC11="?",AC12="?",AC13="?"),"?",IF(AND(AC11="NA",AC12="NA",AC13="NA"),"NA",SUM(AC11,AC12,AC13)/((AC11&lt;&gt;"NA")*$H$11+(AC12&lt;&gt;"NA")*$H$12+(AC13&lt;&gt;"NA")*$H$13)*$H10)))</f>
        <v>?</v>
      </c>
      <c r="AD10" s="87" t="str">
        <f aca="false">IF(OR(AD11="ER",AD12="ER",AD13="ER"),"ER",IF(OR(AD11="?",AD12="?",AD13="?"),"?",IF(AND(AD11="NA",AD12="NA",AD13="NA"),"NA",SUM(AD11,AD12,AD13)/((AD11&lt;&gt;"NA")*$H$11+(AD12&lt;&gt;"NA")*$H$12+(AD13&lt;&gt;"NA")*$H$13)*$H10)))</f>
        <v>?</v>
      </c>
      <c r="AE10" s="87" t="str">
        <f aca="false">IF(OR(AE11="ER",AE12="ER",AE13="ER"),"ER",IF(OR(AE11="?",AE12="?",AE13="?"),"?",IF(AND(AE11="NA",AE12="NA",AE13="NA"),"NA",SUM(AE11,AE12,AE13)/((AE11&lt;&gt;"NA")*$H$11+(AE12&lt;&gt;"NA")*$H$12+(AE13&lt;&gt;"NA")*$H$13)*$H10)))</f>
        <v>?</v>
      </c>
      <c r="AF10" s="87" t="str">
        <f aca="false">IF(OR(AF11="ER",AF12="ER",AF13="ER"),"ER",IF(OR(AF11="?",AF12="?",AF13="?"),"?",IF(AND(AF11="NA",AF12="NA",AF13="NA"),"NA",SUM(AF11,AF12,AF13)/((AF11&lt;&gt;"NA")*$H$11+(AF12&lt;&gt;"NA")*$H$12+(AF13&lt;&gt;"NA")*$H$13)*$H10)))</f>
        <v>?</v>
      </c>
      <c r="AG10" s="87" t="str">
        <f aca="false">IF(OR(AG11="ER",AG12="ER",AG13="ER"),"ER",IF(OR(AG11="?",AG12="?",AG13="?"),"?",IF(AND(AG11="NA",AG12="NA",AG13="NA"),"NA",SUM(AG11,AG12,AG13)/((AG11&lt;&gt;"NA")*$H$11+(AG12&lt;&gt;"NA")*$H$12+(AG13&lt;&gt;"NA")*$H$13)*$H10)))</f>
        <v>?</v>
      </c>
      <c r="AH10" s="87" t="str">
        <f aca="false">IF(OR(AH11="ER",AH12="ER",AH13="ER"),"ER",IF(OR(AH11="?",AH12="?",AH13="?"),"?",IF(AND(AH11="NA",AH12="NA",AH13="NA"),"NA",SUM(AH11,AH12,AH13)/((AH11&lt;&gt;"NA")*$H$11+(AH12&lt;&gt;"NA")*$H$12+(AH13&lt;&gt;"NA")*$H$13)*$H10)))</f>
        <v>?</v>
      </c>
      <c r="AI10" s="87" t="str">
        <f aca="false">IF(OR(AI11="ER",AI12="ER",AI13="ER"),"ER",IF(OR(AI11="?",AI12="?",AI13="?"),"?",IF(AND(AI11="NA",AI12="NA",AI13="NA"),"NA",SUM(AI11,AI12,AI13)/((AI11&lt;&gt;"NA")*$H$11+(AI12&lt;&gt;"NA")*$H$12+(AI13&lt;&gt;"NA")*$H$13)*$H10)))</f>
        <v>?</v>
      </c>
      <c r="AJ10" s="87" t="str">
        <f aca="false">IF(OR(AJ11="ER",AJ12="ER",AJ13="ER"),"ER",IF(OR(AJ11="?",AJ12="?",AJ13="?"),"?",IF(AND(AJ11="NA",AJ12="NA",AJ13="NA"),"NA",SUM(AJ11,AJ12,AJ13)/((AJ11&lt;&gt;"NA")*$H$11+(AJ12&lt;&gt;"NA")*$H$12+(AJ13&lt;&gt;"NA")*$H$13)*$H10)))</f>
        <v>?</v>
      </c>
      <c r="AK10" s="87" t="str">
        <f aca="false">IF(OR(AK11="ER",AK12="ER",AK13="ER"),"ER",IF(OR(AK11="?",AK12="?",AK13="?"),"?",IF(AND(AK11="NA",AK12="NA",AK13="NA"),"NA",SUM(AK11,AK12,AK13)/((AK11&lt;&gt;"NA")*$H$11+(AK12&lt;&gt;"NA")*$H$12+(AK13&lt;&gt;"NA")*$H$13)*$H10)))</f>
        <v>?</v>
      </c>
    </row>
    <row r="11" customFormat="false" ht="25.5" hidden="false" customHeight="true" outlineLevel="0" collapsed="false">
      <c r="A11" s="83" t="s">
        <v>84</v>
      </c>
      <c r="B11" s="84" t="str">
        <f aca="false">IF(ISBLANK($A11),"NO_CODE",VLOOKUP($A11,'UPD Questions_290926 '!$E$1:$N$300,MATCH(B$1,'UPD Questions_290926 '!$E$1:$N$1,0),0)&amp;"")</f>
        <v>Planning </v>
      </c>
      <c r="C11" s="85" t="str">
        <f aca="false">IF(ISBLANK($A11),"NO_CODE",VLOOKUP($A11,'UPD Questions_290926 '!$E$1:$N$300,MATCH(C$1,'UPD Questions_290926 '!$E$1:$N$1,0),0)&amp;"")</f>
        <v>Legal and institutional planning architecture</v>
      </c>
      <c r="D11" s="84" t="str">
        <f aca="false">IF(ISBLANK($A11),"NO_CODE",VLOOKUP($A11,'UPD Questions_290926 '!$E$1:$N$300,MATCH(D$1,'UPD Questions_290926 '!$E$1:$N$1,0),0)&amp;"")</f>
        <v>Spatial planning hierarchy</v>
      </c>
      <c r="E11" s="84" t="str">
        <f aca="false">IF(ISBLANK($A11),"NO_CODE",VLOOKUP($A11,'UPD Questions_290926 '!$E$1:$N$300,MATCH(E$1,'UPD Questions_290926 '!$E$1:$N$1,0),0)&amp;"")</f>
        <v>SQ</v>
      </c>
      <c r="F11" s="84" t="str">
        <f aca="false">IF(ISBLANK($A11),"NO_CODE",VLOOKUP($A11,'UPD Questions_290926 '!$E$1:$N$300,MATCH(F$1,'UPD Questions_290926 '!$E$1:$N$1,0),0)&amp;"")</f>
        <v>Does the law mandate that the metropolitan/regional plan be approved by the state government?</v>
      </c>
      <c r="G11" s="84" t="str">
        <f aca="false">IF(ISBLANK($A11),"NO_CODE",VLOOKUP($A11,'UPD Questions_290926 '!$E$1:$N$300,MATCH(G$1,'UPD Questions_290926 '!$E$1:$N$1,0),0)&amp;"")</f>
        <v>Law or Policy</v>
      </c>
      <c r="H11" s="86" t="n">
        <f aca="false">IF(ISBLANK($A11),"NO_CODE",VLOOKUP($A11,'UPD Questions_290926 '!$E$1:$N$300,MATCH(H$1,'UPD Questions_290926 '!$E$1:$N$1,0),0))</f>
        <v>3.33</v>
      </c>
      <c r="I11" s="87" t="str">
        <f aca="true">IF($H11=0,"NA",IF($A11=INDIRECT("'"&amp;$A11&amp;"'!$B$1"),IF(VLOOKUP(I$1,INDIRECT("'"&amp;$A11&amp;"'!$A$12:$Z$41"),MATCH("Points (Auto-generate)",INDIRECT("'"&amp;$A11&amp;"'!$A$12:$Z$12"),0),0)="","?",VLOOKUP(I$1,INDIRECT("'"&amp;$A11&amp;"'!$A$12:$Z$41"),MATCH("Points (Auto-generate)",INDIRECT("'"&amp;$A11&amp;"'!$A$12:$Z$12"),0),0)),"ER"))</f>
        <v>?</v>
      </c>
      <c r="J11" s="87" t="str">
        <f aca="true">IF($H11=0,"NA",IF($A11=INDIRECT("'"&amp;$A11&amp;"'!$B$1"),IF(VLOOKUP(J$1,INDIRECT("'"&amp;$A11&amp;"'!$A$12:$Z$41"),MATCH("Points (Auto-generate)",INDIRECT("'"&amp;$A11&amp;"'!$A$12:$Z$12"),0),0)="","?",VLOOKUP(J$1,INDIRECT("'"&amp;$A11&amp;"'!$A$12:$Z$41"),MATCH("Points (Auto-generate)",INDIRECT("'"&amp;$A11&amp;"'!$A$12:$Z$12"),0),0)),"ER"))</f>
        <v>?</v>
      </c>
      <c r="K11" s="87" t="str">
        <f aca="true">IF($H11=0,"NA",IF($A11=INDIRECT("'"&amp;$A11&amp;"'!$B$1"),IF(VLOOKUP(K$1,INDIRECT("'"&amp;$A11&amp;"'!$A$12:$Z$41"),MATCH("Points (Auto-generate)",INDIRECT("'"&amp;$A11&amp;"'!$A$12:$Z$12"),0),0)="","?",VLOOKUP(K$1,INDIRECT("'"&amp;$A11&amp;"'!$A$12:$Z$41"),MATCH("Points (Auto-generate)",INDIRECT("'"&amp;$A11&amp;"'!$A$12:$Z$12"),0),0)),"ER"))</f>
        <v>?</v>
      </c>
      <c r="L11" s="87" t="str">
        <f aca="true">IF($H11=0,"NA",IF($A11=INDIRECT("'"&amp;$A11&amp;"'!$B$1"),IF(VLOOKUP(L$1,INDIRECT("'"&amp;$A11&amp;"'!$A$12:$Z$41"),MATCH("Points (Auto-generate)",INDIRECT("'"&amp;$A11&amp;"'!$A$12:$Z$12"),0),0)="","?",VLOOKUP(L$1,INDIRECT("'"&amp;$A11&amp;"'!$A$12:$Z$41"),MATCH("Points (Auto-generate)",INDIRECT("'"&amp;$A11&amp;"'!$A$12:$Z$12"),0),0)),"ER"))</f>
        <v>?</v>
      </c>
      <c r="M11" s="87" t="str">
        <f aca="true">IF($H11=0,"NA",IF($A11=INDIRECT("'"&amp;$A11&amp;"'!$B$1"),IF(VLOOKUP(M$1,INDIRECT("'"&amp;$A11&amp;"'!$A$12:$Z$41"),MATCH("Points (Auto-generate)",INDIRECT("'"&amp;$A11&amp;"'!$A$12:$Z$12"),0),0)="","?",VLOOKUP(M$1,INDIRECT("'"&amp;$A11&amp;"'!$A$12:$Z$41"),MATCH("Points (Auto-generate)",INDIRECT("'"&amp;$A11&amp;"'!$A$12:$Z$12"),0),0)),"ER"))</f>
        <v>?</v>
      </c>
      <c r="N11" s="87" t="str">
        <f aca="true">IF($H11=0,"NA",IF($A11=INDIRECT("'"&amp;$A11&amp;"'!$B$1"),IF(VLOOKUP(N$1,INDIRECT("'"&amp;$A11&amp;"'!$A$12:$Z$41"),MATCH("Points (Auto-generate)",INDIRECT("'"&amp;$A11&amp;"'!$A$12:$Z$12"),0),0)="","?",VLOOKUP(N$1,INDIRECT("'"&amp;$A11&amp;"'!$A$12:$Z$41"),MATCH("Points (Auto-generate)",INDIRECT("'"&amp;$A11&amp;"'!$A$12:$Z$12"),0),0)),"ER"))</f>
        <v>?</v>
      </c>
      <c r="O11" s="87" t="str">
        <f aca="true">IF($H11=0,"NA",IF($A11=INDIRECT("'"&amp;$A11&amp;"'!$B$1"),IF(VLOOKUP(O$1,INDIRECT("'"&amp;$A11&amp;"'!$A$12:$Z$41"),MATCH("Points (Auto-generate)",INDIRECT("'"&amp;$A11&amp;"'!$A$12:$Z$12"),0),0)="","?",VLOOKUP(O$1,INDIRECT("'"&amp;$A11&amp;"'!$A$12:$Z$41"),MATCH("Points (Auto-generate)",INDIRECT("'"&amp;$A11&amp;"'!$A$12:$Z$12"),0),0)),"ER"))</f>
        <v>?</v>
      </c>
      <c r="P11" s="87" t="str">
        <f aca="true">IF($H11=0,"NA",IF($A11=INDIRECT("'"&amp;$A11&amp;"'!$B$1"),IF(VLOOKUP(P$1,INDIRECT("'"&amp;$A11&amp;"'!$A$12:$Z$41"),MATCH("Points (Auto-generate)",INDIRECT("'"&amp;$A11&amp;"'!$A$12:$Z$12"),0),0)="","?",VLOOKUP(P$1,INDIRECT("'"&amp;$A11&amp;"'!$A$12:$Z$41"),MATCH("Points (Auto-generate)",INDIRECT("'"&amp;$A11&amp;"'!$A$12:$Z$12"),0),0)),"ER"))</f>
        <v>?</v>
      </c>
      <c r="Q11" s="87" t="str">
        <f aca="true">IF($H11=0,"NA",IF($A11=INDIRECT("'"&amp;$A11&amp;"'!$B$1"),IF(VLOOKUP(Q$1,INDIRECT("'"&amp;$A11&amp;"'!$A$12:$Z$41"),MATCH("Points (Auto-generate)",INDIRECT("'"&amp;$A11&amp;"'!$A$12:$Z$12"),0),0)="","?",VLOOKUP(Q$1,INDIRECT("'"&amp;$A11&amp;"'!$A$12:$Z$41"),MATCH("Points (Auto-generate)",INDIRECT("'"&amp;$A11&amp;"'!$A$12:$Z$12"),0),0)),"ER"))</f>
        <v>?</v>
      </c>
      <c r="R11" s="87" t="str">
        <f aca="true">IF($H11=0,"NA",IF($A11=INDIRECT("'"&amp;$A11&amp;"'!$B$1"),IF(VLOOKUP(R$1,INDIRECT("'"&amp;$A11&amp;"'!$A$12:$Z$41"),MATCH("Points (Auto-generate)",INDIRECT("'"&amp;$A11&amp;"'!$A$12:$Z$12"),0),0)="","?",VLOOKUP(R$1,INDIRECT("'"&amp;$A11&amp;"'!$A$12:$Z$41"),MATCH("Points (Auto-generate)",INDIRECT("'"&amp;$A11&amp;"'!$A$12:$Z$12"),0),0)),"ER"))</f>
        <v>?</v>
      </c>
      <c r="S11" s="87" t="str">
        <f aca="true">IF($H11=0,"NA",IF($A11=INDIRECT("'"&amp;$A11&amp;"'!$B$1"),IF(VLOOKUP(S$1,INDIRECT("'"&amp;$A11&amp;"'!$A$12:$Z$41"),MATCH("Points (Auto-generate)",INDIRECT("'"&amp;$A11&amp;"'!$A$12:$Z$12"),0),0)="","?",VLOOKUP(S$1,INDIRECT("'"&amp;$A11&amp;"'!$A$12:$Z$41"),MATCH("Points (Auto-generate)",INDIRECT("'"&amp;$A11&amp;"'!$A$12:$Z$12"),0),0)),"ER"))</f>
        <v>?</v>
      </c>
      <c r="T11" s="87" t="str">
        <f aca="true">IF($H11=0,"NA",IF($A11=INDIRECT("'"&amp;$A11&amp;"'!$B$1"),IF(VLOOKUP(T$1,INDIRECT("'"&amp;$A11&amp;"'!$A$12:$Z$41"),MATCH("Points (Auto-generate)",INDIRECT("'"&amp;$A11&amp;"'!$A$12:$Z$12"),0),0)="","?",VLOOKUP(T$1,INDIRECT("'"&amp;$A11&amp;"'!$A$12:$Z$41"),MATCH("Points (Auto-generate)",INDIRECT("'"&amp;$A11&amp;"'!$A$12:$Z$12"),0),0)),"ER"))</f>
        <v>?</v>
      </c>
      <c r="U11" s="87" t="str">
        <f aca="true">IF($H11=0,"NA",IF($A11=INDIRECT("'"&amp;$A11&amp;"'!$B$1"),IF(VLOOKUP(U$1,INDIRECT("'"&amp;$A11&amp;"'!$A$12:$Z$41"),MATCH("Points (Auto-generate)",INDIRECT("'"&amp;$A11&amp;"'!$A$12:$Z$12"),0),0)="","?",VLOOKUP(U$1,INDIRECT("'"&amp;$A11&amp;"'!$A$12:$Z$41"),MATCH("Points (Auto-generate)",INDIRECT("'"&amp;$A11&amp;"'!$A$12:$Z$12"),0),0)),"ER"))</f>
        <v>?</v>
      </c>
      <c r="V11" s="87" t="str">
        <f aca="true">IF($H11=0,"NA",IF($A11=INDIRECT("'"&amp;$A11&amp;"'!$B$1"),IF(VLOOKUP(V$1,INDIRECT("'"&amp;$A11&amp;"'!$A$12:$Z$41"),MATCH("Points (Auto-generate)",INDIRECT("'"&amp;$A11&amp;"'!$A$12:$Z$12"),0),0)="","?",VLOOKUP(V$1,INDIRECT("'"&amp;$A11&amp;"'!$A$12:$Z$41"),MATCH("Points (Auto-generate)",INDIRECT("'"&amp;$A11&amp;"'!$A$12:$Z$12"),0),0)),"ER"))</f>
        <v>?</v>
      </c>
      <c r="W11" s="87" t="str">
        <f aca="true">IF($H11=0,"NA",IF($A11=INDIRECT("'"&amp;$A11&amp;"'!$B$1"),IF(VLOOKUP(W$1,INDIRECT("'"&amp;$A11&amp;"'!$A$12:$Z$41"),MATCH("Points (Auto-generate)",INDIRECT("'"&amp;$A11&amp;"'!$A$12:$Z$12"),0),0)="","?",VLOOKUP(W$1,INDIRECT("'"&amp;$A11&amp;"'!$A$12:$Z$41"),MATCH("Points (Auto-generate)",INDIRECT("'"&amp;$A11&amp;"'!$A$12:$Z$12"),0),0)),"ER"))</f>
        <v>?</v>
      </c>
      <c r="X11" s="87" t="str">
        <f aca="true">IF($H11=0,"NA",IF($A11=INDIRECT("'"&amp;$A11&amp;"'!$B$1"),IF(VLOOKUP(X$1,INDIRECT("'"&amp;$A11&amp;"'!$A$12:$Z$41"),MATCH("Points (Auto-generate)",INDIRECT("'"&amp;$A11&amp;"'!$A$12:$Z$12"),0),0)="","?",VLOOKUP(X$1,INDIRECT("'"&amp;$A11&amp;"'!$A$12:$Z$41"),MATCH("Points (Auto-generate)",INDIRECT("'"&amp;$A11&amp;"'!$A$12:$Z$12"),0),0)),"ER"))</f>
        <v>?</v>
      </c>
      <c r="Y11" s="87" t="str">
        <f aca="true">IF($H11=0,"NA",IF($A11=INDIRECT("'"&amp;$A11&amp;"'!$B$1"),IF(VLOOKUP(Y$1,INDIRECT("'"&amp;$A11&amp;"'!$A$12:$Z$41"),MATCH("Points (Auto-generate)",INDIRECT("'"&amp;$A11&amp;"'!$A$12:$Z$12"),0),0)="","?",VLOOKUP(Y$1,INDIRECT("'"&amp;$A11&amp;"'!$A$12:$Z$41"),MATCH("Points (Auto-generate)",INDIRECT("'"&amp;$A11&amp;"'!$A$12:$Z$12"),0),0)),"ER"))</f>
        <v>?</v>
      </c>
      <c r="Z11" s="87" t="str">
        <f aca="true">IF($H11=0,"NA",IF($A11=INDIRECT("'"&amp;$A11&amp;"'!$B$1"),IF(VLOOKUP(Z$1,INDIRECT("'"&amp;$A11&amp;"'!$A$12:$Z$41"),MATCH("Points (Auto-generate)",INDIRECT("'"&amp;$A11&amp;"'!$A$12:$Z$12"),0),0)="","?",VLOOKUP(Z$1,INDIRECT("'"&amp;$A11&amp;"'!$A$12:$Z$41"),MATCH("Points (Auto-generate)",INDIRECT("'"&amp;$A11&amp;"'!$A$12:$Z$12"),0),0)),"ER"))</f>
        <v>?</v>
      </c>
      <c r="AA11" s="87" t="str">
        <f aca="true">IF($H11=0,"NA",IF($A11=INDIRECT("'"&amp;$A11&amp;"'!$B$1"),IF(VLOOKUP(AA$1,INDIRECT("'"&amp;$A11&amp;"'!$A$12:$Z$41"),MATCH("Points (Auto-generate)",INDIRECT("'"&amp;$A11&amp;"'!$A$12:$Z$12"),0),0)="","?",VLOOKUP(AA$1,INDIRECT("'"&amp;$A11&amp;"'!$A$12:$Z$41"),MATCH("Points (Auto-generate)",INDIRECT("'"&amp;$A11&amp;"'!$A$12:$Z$12"),0),0)),"ER"))</f>
        <v>?</v>
      </c>
      <c r="AB11" s="87" t="str">
        <f aca="true">IF($H11=0,"NA",IF($A11=INDIRECT("'"&amp;$A11&amp;"'!$B$1"),IF(VLOOKUP(AB$1,INDIRECT("'"&amp;$A11&amp;"'!$A$12:$Z$41"),MATCH("Points (Auto-generate)",INDIRECT("'"&amp;$A11&amp;"'!$A$12:$Z$12"),0),0)="","?",VLOOKUP(AB$1,INDIRECT("'"&amp;$A11&amp;"'!$A$12:$Z$41"),MATCH("Points (Auto-generate)",INDIRECT("'"&amp;$A11&amp;"'!$A$12:$Z$12"),0),0)),"ER"))</f>
        <v>?</v>
      </c>
      <c r="AC11" s="87" t="n">
        <f aca="true">IF($H11=0,"NA",IF($A11=INDIRECT("'"&amp;$A11&amp;"'!$B$1"),IF(VLOOKUP(AC$1,INDIRECT("'"&amp;$A11&amp;"'!$A$12:$Z$41"),MATCH("Points (Auto-generate)",INDIRECT("'"&amp;$A11&amp;"'!$A$12:$Z$12"),0),0)="","?",VLOOKUP(AC$1,INDIRECT("'"&amp;$A11&amp;"'!$A$12:$Z$41"),MATCH("Points (Auto-generate)",INDIRECT("'"&amp;$A11&amp;"'!$A$12:$Z$12"),0),0)),"ER"))</f>
        <v>3.33</v>
      </c>
      <c r="AD11" s="87" t="str">
        <f aca="true">IF($H11=0,"NA",IF($A11=INDIRECT("'"&amp;$A11&amp;"'!$B$1"),IF(VLOOKUP(AD$1,INDIRECT("'"&amp;$A11&amp;"'!$A$12:$Z$41"),MATCH("Points (Auto-generate)",INDIRECT("'"&amp;$A11&amp;"'!$A$12:$Z$12"),0),0)="","?",VLOOKUP(AD$1,INDIRECT("'"&amp;$A11&amp;"'!$A$12:$Z$41"),MATCH("Points (Auto-generate)",INDIRECT("'"&amp;$A11&amp;"'!$A$12:$Z$12"),0),0)),"ER"))</f>
        <v>?</v>
      </c>
      <c r="AE11" s="87" t="str">
        <f aca="true">IF($H11=0,"NA",IF($A11=INDIRECT("'"&amp;$A11&amp;"'!$B$1"),IF(VLOOKUP(AE$1,INDIRECT("'"&amp;$A11&amp;"'!$A$12:$Z$41"),MATCH("Points (Auto-generate)",INDIRECT("'"&amp;$A11&amp;"'!$A$12:$Z$12"),0),0)="","?",VLOOKUP(AE$1,INDIRECT("'"&amp;$A11&amp;"'!$A$12:$Z$41"),MATCH("Points (Auto-generate)",INDIRECT("'"&amp;$A11&amp;"'!$A$12:$Z$12"),0),0)),"ER"))</f>
        <v>?</v>
      </c>
      <c r="AF11" s="87" t="str">
        <f aca="true">IF($H11=0,"NA",IF($A11=INDIRECT("'"&amp;$A11&amp;"'!$B$1"),IF(VLOOKUP(AF$1,INDIRECT("'"&amp;$A11&amp;"'!$A$12:$Z$41"),MATCH("Points (Auto-generate)",INDIRECT("'"&amp;$A11&amp;"'!$A$12:$Z$12"),0),0)="","?",VLOOKUP(AF$1,INDIRECT("'"&amp;$A11&amp;"'!$A$12:$Z$41"),MATCH("Points (Auto-generate)",INDIRECT("'"&amp;$A11&amp;"'!$A$12:$Z$12"),0),0)),"ER"))</f>
        <v>?</v>
      </c>
      <c r="AG11" s="87" t="str">
        <f aca="true">IF($H11=0,"NA",IF($A11=INDIRECT("'"&amp;$A11&amp;"'!$B$1"),IF(VLOOKUP(AG$1,INDIRECT("'"&amp;$A11&amp;"'!$A$12:$Z$41"),MATCH("Points (Auto-generate)",INDIRECT("'"&amp;$A11&amp;"'!$A$12:$Z$12"),0),0)="","?",VLOOKUP(AG$1,INDIRECT("'"&amp;$A11&amp;"'!$A$12:$Z$41"),MATCH("Points (Auto-generate)",INDIRECT("'"&amp;$A11&amp;"'!$A$12:$Z$12"),0),0)),"ER"))</f>
        <v>?</v>
      </c>
      <c r="AH11" s="87" t="str">
        <f aca="true">IF($H11=0,"NA",IF($A11=INDIRECT("'"&amp;$A11&amp;"'!$B$1"),IF(VLOOKUP(AH$1,INDIRECT("'"&amp;$A11&amp;"'!$A$12:$Z$41"),MATCH("Points (Auto-generate)",INDIRECT("'"&amp;$A11&amp;"'!$A$12:$Z$12"),0),0)="","?",VLOOKUP(AH$1,INDIRECT("'"&amp;$A11&amp;"'!$A$12:$Z$41"),MATCH("Points (Auto-generate)",INDIRECT("'"&amp;$A11&amp;"'!$A$12:$Z$12"),0),0)),"ER"))</f>
        <v>?</v>
      </c>
      <c r="AI11" s="87" t="str">
        <f aca="true">IF($H11=0,"NA",IF($A11=INDIRECT("'"&amp;$A11&amp;"'!$B$1"),IF(VLOOKUP(AI$1,INDIRECT("'"&amp;$A11&amp;"'!$A$12:$Z$41"),MATCH("Points (Auto-generate)",INDIRECT("'"&amp;$A11&amp;"'!$A$12:$Z$12"),0),0)="","?",VLOOKUP(AI$1,INDIRECT("'"&amp;$A11&amp;"'!$A$12:$Z$41"),MATCH("Points (Auto-generate)",INDIRECT("'"&amp;$A11&amp;"'!$A$12:$Z$12"),0),0)),"ER"))</f>
        <v>?</v>
      </c>
      <c r="AJ11" s="87" t="str">
        <f aca="true">IF($H11=0,"NA",IF($A11=INDIRECT("'"&amp;$A11&amp;"'!$B$1"),IF(VLOOKUP(AJ$1,INDIRECT("'"&amp;$A11&amp;"'!$A$12:$Z$41"),MATCH("Points (Auto-generate)",INDIRECT("'"&amp;$A11&amp;"'!$A$12:$Z$12"),0),0)="","?",VLOOKUP(AJ$1,INDIRECT("'"&amp;$A11&amp;"'!$A$12:$Z$41"),MATCH("Points (Auto-generate)",INDIRECT("'"&amp;$A11&amp;"'!$A$12:$Z$12"),0),0)),"ER"))</f>
        <v>?</v>
      </c>
      <c r="AK11" s="87" t="str">
        <f aca="true">IF($H11=0,"NA",IF($A11=INDIRECT("'"&amp;$A11&amp;"'!$B$1"),IF(VLOOKUP(AK$1,INDIRECT("'"&amp;$A11&amp;"'!$A$12:$Z$41"),MATCH("Points (Auto-generate)",INDIRECT("'"&amp;$A11&amp;"'!$A$12:$Z$12"),0),0)="","?",VLOOKUP(AK$1,INDIRECT("'"&amp;$A11&amp;"'!$A$12:$Z$41"),MATCH("Points (Auto-generate)",INDIRECT("'"&amp;$A11&amp;"'!$A$12:$Z$12"),0),0)),"ER"))</f>
        <v>?</v>
      </c>
    </row>
    <row r="12" customFormat="false" ht="25.5" hidden="false" customHeight="true" outlineLevel="0" collapsed="false">
      <c r="A12" s="83" t="s">
        <v>94</v>
      </c>
      <c r="B12" s="84" t="str">
        <f aca="false">IF(ISBLANK($A12),"NO_CODE",VLOOKUP($A12,'UPD Questions_290926 '!$E$1:$N$300,MATCH(B$1,'UPD Questions_290926 '!$E$1:$N$1,0),0)&amp;"")</f>
        <v>Planning </v>
      </c>
      <c r="C12" s="85" t="str">
        <f aca="false">IF(ISBLANK($A12),"NO_CODE",VLOOKUP($A12,'UPD Questions_290926 '!$E$1:$N$300,MATCH(C$1,'UPD Questions_290926 '!$E$1:$N$1,0),0)&amp;"")</f>
        <v>Legal and institutional planning architecture</v>
      </c>
      <c r="D12" s="84" t="str">
        <f aca="false">IF(ISBLANK($A12),"NO_CODE",VLOOKUP($A12,'UPD Questions_290926 '!$E$1:$N$300,MATCH(D$1,'UPD Questions_290926 '!$E$1:$N$1,0),0)&amp;"")</f>
        <v>Spatial planning hierarchy</v>
      </c>
      <c r="E12" s="84" t="str">
        <f aca="false">IF(ISBLANK($A12),"NO_CODE",VLOOKUP($A12,'UPD Questions_290926 '!$E$1:$N$300,MATCH(E$1,'UPD Questions_290926 '!$E$1:$N$1,0),0)&amp;"")</f>
        <v>SQ</v>
      </c>
      <c r="F12" s="84" t="str">
        <f aca="false">IF(ISBLANK($A12),"NO_CODE",VLOOKUP($A12,'UPD Questions_290926 '!$E$1:$N$300,MATCH(F$1,'UPD Questions_290926 '!$E$1:$N$1,0),0)&amp;"")</f>
        <v>Does the law mandate that the municipal/city plan be approved by the MPC (Metropolitan Planning Committee)  for metropolitan cities or by DPC (District Planning Committee) for non-metropolitan cities?</v>
      </c>
      <c r="G12" s="84" t="str">
        <f aca="false">IF(ISBLANK($A12),"NO_CODE",VLOOKUP($A12,'UPD Questions_290926 '!$E$1:$N$300,MATCH(G$1,'UPD Questions_290926 '!$E$1:$N$1,0),0)&amp;"")</f>
        <v>Law or Policy</v>
      </c>
      <c r="H12" s="86" t="n">
        <f aca="false">IF(ISBLANK($A12),"NO_CODE",VLOOKUP($A12,'UPD Questions_290926 '!$E$1:$N$300,MATCH(H$1,'UPD Questions_290926 '!$E$1:$N$1,0),0))</f>
        <v>3.33</v>
      </c>
      <c r="I12" s="87" t="str">
        <f aca="true">IF($H12=0,"NA",IF($A12=INDIRECT("'"&amp;$A12&amp;"'!$B$1"),IF(VLOOKUP(I$1,INDIRECT("'"&amp;$A12&amp;"'!$A$12:$Z$41"),MATCH("Points (Auto-generate)",INDIRECT("'"&amp;$A12&amp;"'!$A$12:$Z$12"),0),0)="","?",VLOOKUP(I$1,INDIRECT("'"&amp;$A12&amp;"'!$A$12:$Z$41"),MATCH("Points (Auto-generate)",INDIRECT("'"&amp;$A12&amp;"'!$A$12:$Z$12"),0),0)),"ER"))</f>
        <v>?</v>
      </c>
      <c r="J12" s="87" t="str">
        <f aca="true">IF($H12=0,"NA",IF($A12=INDIRECT("'"&amp;$A12&amp;"'!$B$1"),IF(VLOOKUP(J$1,INDIRECT("'"&amp;$A12&amp;"'!$A$12:$Z$41"),MATCH("Points (Auto-generate)",INDIRECT("'"&amp;$A12&amp;"'!$A$12:$Z$12"),0),0)="","?",VLOOKUP(J$1,INDIRECT("'"&amp;$A12&amp;"'!$A$12:$Z$41"),MATCH("Points (Auto-generate)",INDIRECT("'"&amp;$A12&amp;"'!$A$12:$Z$12"),0),0)),"ER"))</f>
        <v>?</v>
      </c>
      <c r="K12" s="87" t="str">
        <f aca="true">IF($H12=0,"NA",IF($A12=INDIRECT("'"&amp;$A12&amp;"'!$B$1"),IF(VLOOKUP(K$1,INDIRECT("'"&amp;$A12&amp;"'!$A$12:$Z$41"),MATCH("Points (Auto-generate)",INDIRECT("'"&amp;$A12&amp;"'!$A$12:$Z$12"),0),0)="","?",VLOOKUP(K$1,INDIRECT("'"&amp;$A12&amp;"'!$A$12:$Z$41"),MATCH("Points (Auto-generate)",INDIRECT("'"&amp;$A12&amp;"'!$A$12:$Z$12"),0),0)),"ER"))</f>
        <v>?</v>
      </c>
      <c r="L12" s="87" t="str">
        <f aca="true">IF($H12=0,"NA",IF($A12=INDIRECT("'"&amp;$A12&amp;"'!$B$1"),IF(VLOOKUP(L$1,INDIRECT("'"&amp;$A12&amp;"'!$A$12:$Z$41"),MATCH("Points (Auto-generate)",INDIRECT("'"&amp;$A12&amp;"'!$A$12:$Z$12"),0),0)="","?",VLOOKUP(L$1,INDIRECT("'"&amp;$A12&amp;"'!$A$12:$Z$41"),MATCH("Points (Auto-generate)",INDIRECT("'"&amp;$A12&amp;"'!$A$12:$Z$12"),0),0)),"ER"))</f>
        <v>?</v>
      </c>
      <c r="M12" s="87" t="str">
        <f aca="true">IF($H12=0,"NA",IF($A12=INDIRECT("'"&amp;$A12&amp;"'!$B$1"),IF(VLOOKUP(M$1,INDIRECT("'"&amp;$A12&amp;"'!$A$12:$Z$41"),MATCH("Points (Auto-generate)",INDIRECT("'"&amp;$A12&amp;"'!$A$12:$Z$12"),0),0)="","?",VLOOKUP(M$1,INDIRECT("'"&amp;$A12&amp;"'!$A$12:$Z$41"),MATCH("Points (Auto-generate)",INDIRECT("'"&amp;$A12&amp;"'!$A$12:$Z$12"),0),0)),"ER"))</f>
        <v>?</v>
      </c>
      <c r="N12" s="87" t="str">
        <f aca="true">IF($H12=0,"NA",IF($A12=INDIRECT("'"&amp;$A12&amp;"'!$B$1"),IF(VLOOKUP(N$1,INDIRECT("'"&amp;$A12&amp;"'!$A$12:$Z$41"),MATCH("Points (Auto-generate)",INDIRECT("'"&amp;$A12&amp;"'!$A$12:$Z$12"),0),0)="","?",VLOOKUP(N$1,INDIRECT("'"&amp;$A12&amp;"'!$A$12:$Z$41"),MATCH("Points (Auto-generate)",INDIRECT("'"&amp;$A12&amp;"'!$A$12:$Z$12"),0),0)),"ER"))</f>
        <v>?</v>
      </c>
      <c r="O12" s="87" t="str">
        <f aca="true">IF($H12=0,"NA",IF($A12=INDIRECT("'"&amp;$A12&amp;"'!$B$1"),IF(VLOOKUP(O$1,INDIRECT("'"&amp;$A12&amp;"'!$A$12:$Z$41"),MATCH("Points (Auto-generate)",INDIRECT("'"&amp;$A12&amp;"'!$A$12:$Z$12"),0),0)="","?",VLOOKUP(O$1,INDIRECT("'"&amp;$A12&amp;"'!$A$12:$Z$41"),MATCH("Points (Auto-generate)",INDIRECT("'"&amp;$A12&amp;"'!$A$12:$Z$12"),0),0)),"ER"))</f>
        <v>?</v>
      </c>
      <c r="P12" s="87" t="str">
        <f aca="true">IF($H12=0,"NA",IF($A12=INDIRECT("'"&amp;$A12&amp;"'!$B$1"),IF(VLOOKUP(P$1,INDIRECT("'"&amp;$A12&amp;"'!$A$12:$Z$41"),MATCH("Points (Auto-generate)",INDIRECT("'"&amp;$A12&amp;"'!$A$12:$Z$12"),0),0)="","?",VLOOKUP(P$1,INDIRECT("'"&amp;$A12&amp;"'!$A$12:$Z$41"),MATCH("Points (Auto-generate)",INDIRECT("'"&amp;$A12&amp;"'!$A$12:$Z$12"),0),0)),"ER"))</f>
        <v>?</v>
      </c>
      <c r="Q12" s="87" t="str">
        <f aca="true">IF($H12=0,"NA",IF($A12=INDIRECT("'"&amp;$A12&amp;"'!$B$1"),IF(VLOOKUP(Q$1,INDIRECT("'"&amp;$A12&amp;"'!$A$12:$Z$41"),MATCH("Points (Auto-generate)",INDIRECT("'"&amp;$A12&amp;"'!$A$12:$Z$12"),0),0)="","?",VLOOKUP(Q$1,INDIRECT("'"&amp;$A12&amp;"'!$A$12:$Z$41"),MATCH("Points (Auto-generate)",INDIRECT("'"&amp;$A12&amp;"'!$A$12:$Z$12"),0),0)),"ER"))</f>
        <v>?</v>
      </c>
      <c r="R12" s="87" t="str">
        <f aca="true">IF($H12=0,"NA",IF($A12=INDIRECT("'"&amp;$A12&amp;"'!$B$1"),IF(VLOOKUP(R$1,INDIRECT("'"&amp;$A12&amp;"'!$A$12:$Z$41"),MATCH("Points (Auto-generate)",INDIRECT("'"&amp;$A12&amp;"'!$A$12:$Z$12"),0),0)="","?",VLOOKUP(R$1,INDIRECT("'"&amp;$A12&amp;"'!$A$12:$Z$41"),MATCH("Points (Auto-generate)",INDIRECT("'"&amp;$A12&amp;"'!$A$12:$Z$12"),0),0)),"ER"))</f>
        <v>?</v>
      </c>
      <c r="S12" s="87" t="str">
        <f aca="true">IF($H12=0,"NA",IF($A12=INDIRECT("'"&amp;$A12&amp;"'!$B$1"),IF(VLOOKUP(S$1,INDIRECT("'"&amp;$A12&amp;"'!$A$12:$Z$41"),MATCH("Points (Auto-generate)",INDIRECT("'"&amp;$A12&amp;"'!$A$12:$Z$12"),0),0)="","?",VLOOKUP(S$1,INDIRECT("'"&amp;$A12&amp;"'!$A$12:$Z$41"),MATCH("Points (Auto-generate)",INDIRECT("'"&amp;$A12&amp;"'!$A$12:$Z$12"),0),0)),"ER"))</f>
        <v>?</v>
      </c>
      <c r="T12" s="87" t="str">
        <f aca="true">IF($H12=0,"NA",IF($A12=INDIRECT("'"&amp;$A12&amp;"'!$B$1"),IF(VLOOKUP(T$1,INDIRECT("'"&amp;$A12&amp;"'!$A$12:$Z$41"),MATCH("Points (Auto-generate)",INDIRECT("'"&amp;$A12&amp;"'!$A$12:$Z$12"),0),0)="","?",VLOOKUP(T$1,INDIRECT("'"&amp;$A12&amp;"'!$A$12:$Z$41"),MATCH("Points (Auto-generate)",INDIRECT("'"&amp;$A12&amp;"'!$A$12:$Z$12"),0),0)),"ER"))</f>
        <v>?</v>
      </c>
      <c r="U12" s="87" t="str">
        <f aca="true">IF($H12=0,"NA",IF($A12=INDIRECT("'"&amp;$A12&amp;"'!$B$1"),IF(VLOOKUP(U$1,INDIRECT("'"&amp;$A12&amp;"'!$A$12:$Z$41"),MATCH("Points (Auto-generate)",INDIRECT("'"&amp;$A12&amp;"'!$A$12:$Z$12"),0),0)="","?",VLOOKUP(U$1,INDIRECT("'"&amp;$A12&amp;"'!$A$12:$Z$41"),MATCH("Points (Auto-generate)",INDIRECT("'"&amp;$A12&amp;"'!$A$12:$Z$12"),0),0)),"ER"))</f>
        <v>?</v>
      </c>
      <c r="V12" s="87" t="str">
        <f aca="true">IF($H12=0,"NA",IF($A12=INDIRECT("'"&amp;$A12&amp;"'!$B$1"),IF(VLOOKUP(V$1,INDIRECT("'"&amp;$A12&amp;"'!$A$12:$Z$41"),MATCH("Points (Auto-generate)",INDIRECT("'"&amp;$A12&amp;"'!$A$12:$Z$12"),0),0)="","?",VLOOKUP(V$1,INDIRECT("'"&amp;$A12&amp;"'!$A$12:$Z$41"),MATCH("Points (Auto-generate)",INDIRECT("'"&amp;$A12&amp;"'!$A$12:$Z$12"),0),0)),"ER"))</f>
        <v>?</v>
      </c>
      <c r="W12" s="87" t="str">
        <f aca="true">IF($H12=0,"NA",IF($A12=INDIRECT("'"&amp;$A12&amp;"'!$B$1"),IF(VLOOKUP(W$1,INDIRECT("'"&amp;$A12&amp;"'!$A$12:$Z$41"),MATCH("Points (Auto-generate)",INDIRECT("'"&amp;$A12&amp;"'!$A$12:$Z$12"),0),0)="","?",VLOOKUP(W$1,INDIRECT("'"&amp;$A12&amp;"'!$A$12:$Z$41"),MATCH("Points (Auto-generate)",INDIRECT("'"&amp;$A12&amp;"'!$A$12:$Z$12"),0),0)),"ER"))</f>
        <v>?</v>
      </c>
      <c r="X12" s="87" t="str">
        <f aca="true">IF($H12=0,"NA",IF($A12=INDIRECT("'"&amp;$A12&amp;"'!$B$1"),IF(VLOOKUP(X$1,INDIRECT("'"&amp;$A12&amp;"'!$A$12:$Z$41"),MATCH("Points (Auto-generate)",INDIRECT("'"&amp;$A12&amp;"'!$A$12:$Z$12"),0),0)="","?",VLOOKUP(X$1,INDIRECT("'"&amp;$A12&amp;"'!$A$12:$Z$41"),MATCH("Points (Auto-generate)",INDIRECT("'"&amp;$A12&amp;"'!$A$12:$Z$12"),0),0)),"ER"))</f>
        <v>?</v>
      </c>
      <c r="Y12" s="87" t="str">
        <f aca="true">IF($H12=0,"NA",IF($A12=INDIRECT("'"&amp;$A12&amp;"'!$B$1"),IF(VLOOKUP(Y$1,INDIRECT("'"&amp;$A12&amp;"'!$A$12:$Z$41"),MATCH("Points (Auto-generate)",INDIRECT("'"&amp;$A12&amp;"'!$A$12:$Z$12"),0),0)="","?",VLOOKUP(Y$1,INDIRECT("'"&amp;$A12&amp;"'!$A$12:$Z$41"),MATCH("Points (Auto-generate)",INDIRECT("'"&amp;$A12&amp;"'!$A$12:$Z$12"),0),0)),"ER"))</f>
        <v>?</v>
      </c>
      <c r="Z12" s="87" t="str">
        <f aca="true">IF($H12=0,"NA",IF($A12=INDIRECT("'"&amp;$A12&amp;"'!$B$1"),IF(VLOOKUP(Z$1,INDIRECT("'"&amp;$A12&amp;"'!$A$12:$Z$41"),MATCH("Points (Auto-generate)",INDIRECT("'"&amp;$A12&amp;"'!$A$12:$Z$12"),0),0)="","?",VLOOKUP(Z$1,INDIRECT("'"&amp;$A12&amp;"'!$A$12:$Z$41"),MATCH("Points (Auto-generate)",INDIRECT("'"&amp;$A12&amp;"'!$A$12:$Z$12"),0),0)),"ER"))</f>
        <v>?</v>
      </c>
      <c r="AA12" s="87" t="str">
        <f aca="true">IF($H12=0,"NA",IF($A12=INDIRECT("'"&amp;$A12&amp;"'!$B$1"),IF(VLOOKUP(AA$1,INDIRECT("'"&amp;$A12&amp;"'!$A$12:$Z$41"),MATCH("Points (Auto-generate)",INDIRECT("'"&amp;$A12&amp;"'!$A$12:$Z$12"),0),0)="","?",VLOOKUP(AA$1,INDIRECT("'"&amp;$A12&amp;"'!$A$12:$Z$41"),MATCH("Points (Auto-generate)",INDIRECT("'"&amp;$A12&amp;"'!$A$12:$Z$12"),0),0)),"ER"))</f>
        <v>?</v>
      </c>
      <c r="AB12" s="87" t="str">
        <f aca="true">IF($H12=0,"NA",IF($A12=INDIRECT("'"&amp;$A12&amp;"'!$B$1"),IF(VLOOKUP(AB$1,INDIRECT("'"&amp;$A12&amp;"'!$A$12:$Z$41"),MATCH("Points (Auto-generate)",INDIRECT("'"&amp;$A12&amp;"'!$A$12:$Z$12"),0),0)="","?",VLOOKUP(AB$1,INDIRECT("'"&amp;$A12&amp;"'!$A$12:$Z$41"),MATCH("Points (Auto-generate)",INDIRECT("'"&amp;$A12&amp;"'!$A$12:$Z$12"),0),0)),"ER"))</f>
        <v>?</v>
      </c>
      <c r="AC12" s="87" t="str">
        <f aca="true">IF($H12=0,"NA",IF($A12=INDIRECT("'"&amp;$A12&amp;"'!$B$1"),IF(VLOOKUP(AC$1,INDIRECT("'"&amp;$A12&amp;"'!$A$12:$Z$41"),MATCH("Points (Auto-generate)",INDIRECT("'"&amp;$A12&amp;"'!$A$12:$Z$12"),0),0)="","?",VLOOKUP(AC$1,INDIRECT("'"&amp;$A12&amp;"'!$A$12:$Z$41"),MATCH("Points (Auto-generate)",INDIRECT("'"&amp;$A12&amp;"'!$A$12:$Z$12"),0),0)),"ER"))</f>
        <v>?</v>
      </c>
      <c r="AD12" s="87" t="str">
        <f aca="true">IF($H12=0,"NA",IF($A12=INDIRECT("'"&amp;$A12&amp;"'!$B$1"),IF(VLOOKUP(AD$1,INDIRECT("'"&amp;$A12&amp;"'!$A$12:$Z$41"),MATCH("Points (Auto-generate)",INDIRECT("'"&amp;$A12&amp;"'!$A$12:$Z$12"),0),0)="","?",VLOOKUP(AD$1,INDIRECT("'"&amp;$A12&amp;"'!$A$12:$Z$41"),MATCH("Points (Auto-generate)",INDIRECT("'"&amp;$A12&amp;"'!$A$12:$Z$12"),0),0)),"ER"))</f>
        <v>?</v>
      </c>
      <c r="AE12" s="87" t="str">
        <f aca="true">IF($H12=0,"NA",IF($A12=INDIRECT("'"&amp;$A12&amp;"'!$B$1"),IF(VLOOKUP(AE$1,INDIRECT("'"&amp;$A12&amp;"'!$A$12:$Z$41"),MATCH("Points (Auto-generate)",INDIRECT("'"&amp;$A12&amp;"'!$A$12:$Z$12"),0),0)="","?",VLOOKUP(AE$1,INDIRECT("'"&amp;$A12&amp;"'!$A$12:$Z$41"),MATCH("Points (Auto-generate)",INDIRECT("'"&amp;$A12&amp;"'!$A$12:$Z$12"),0),0)),"ER"))</f>
        <v>?</v>
      </c>
      <c r="AF12" s="87" t="str">
        <f aca="true">IF($H12=0,"NA",IF($A12=INDIRECT("'"&amp;$A12&amp;"'!$B$1"),IF(VLOOKUP(AF$1,INDIRECT("'"&amp;$A12&amp;"'!$A$12:$Z$41"),MATCH("Points (Auto-generate)",INDIRECT("'"&amp;$A12&amp;"'!$A$12:$Z$12"),0),0)="","?",VLOOKUP(AF$1,INDIRECT("'"&amp;$A12&amp;"'!$A$12:$Z$41"),MATCH("Points (Auto-generate)",INDIRECT("'"&amp;$A12&amp;"'!$A$12:$Z$12"),0),0)),"ER"))</f>
        <v>?</v>
      </c>
      <c r="AG12" s="87" t="str">
        <f aca="true">IF($H12=0,"NA",IF($A12=INDIRECT("'"&amp;$A12&amp;"'!$B$1"),IF(VLOOKUP(AG$1,INDIRECT("'"&amp;$A12&amp;"'!$A$12:$Z$41"),MATCH("Points (Auto-generate)",INDIRECT("'"&amp;$A12&amp;"'!$A$12:$Z$12"),0),0)="","?",VLOOKUP(AG$1,INDIRECT("'"&amp;$A12&amp;"'!$A$12:$Z$41"),MATCH("Points (Auto-generate)",INDIRECT("'"&amp;$A12&amp;"'!$A$12:$Z$12"),0),0)),"ER"))</f>
        <v>?</v>
      </c>
      <c r="AH12" s="87" t="str">
        <f aca="true">IF($H12=0,"NA",IF($A12=INDIRECT("'"&amp;$A12&amp;"'!$B$1"),IF(VLOOKUP(AH$1,INDIRECT("'"&amp;$A12&amp;"'!$A$12:$Z$41"),MATCH("Points (Auto-generate)",INDIRECT("'"&amp;$A12&amp;"'!$A$12:$Z$12"),0),0)="","?",VLOOKUP(AH$1,INDIRECT("'"&amp;$A12&amp;"'!$A$12:$Z$41"),MATCH("Points (Auto-generate)",INDIRECT("'"&amp;$A12&amp;"'!$A$12:$Z$12"),0),0)),"ER"))</f>
        <v>?</v>
      </c>
      <c r="AI12" s="87" t="str">
        <f aca="true">IF($H12=0,"NA",IF($A12=INDIRECT("'"&amp;$A12&amp;"'!$B$1"),IF(VLOOKUP(AI$1,INDIRECT("'"&amp;$A12&amp;"'!$A$12:$Z$41"),MATCH("Points (Auto-generate)",INDIRECT("'"&amp;$A12&amp;"'!$A$12:$Z$12"),0),0)="","?",VLOOKUP(AI$1,INDIRECT("'"&amp;$A12&amp;"'!$A$12:$Z$41"),MATCH("Points (Auto-generate)",INDIRECT("'"&amp;$A12&amp;"'!$A$12:$Z$12"),0),0)),"ER"))</f>
        <v>?</v>
      </c>
      <c r="AJ12" s="87" t="str">
        <f aca="true">IF($H12=0,"NA",IF($A12=INDIRECT("'"&amp;$A12&amp;"'!$B$1"),IF(VLOOKUP(AJ$1,INDIRECT("'"&amp;$A12&amp;"'!$A$12:$Z$41"),MATCH("Points (Auto-generate)",INDIRECT("'"&amp;$A12&amp;"'!$A$12:$Z$12"),0),0)="","?",VLOOKUP(AJ$1,INDIRECT("'"&amp;$A12&amp;"'!$A$12:$Z$41"),MATCH("Points (Auto-generate)",INDIRECT("'"&amp;$A12&amp;"'!$A$12:$Z$12"),0),0)),"ER"))</f>
        <v>?</v>
      </c>
      <c r="AK12" s="87" t="str">
        <f aca="true">IF($H12=0,"NA",IF($A12=INDIRECT("'"&amp;$A12&amp;"'!$B$1"),IF(VLOOKUP(AK$1,INDIRECT("'"&amp;$A12&amp;"'!$A$12:$Z$41"),MATCH("Points (Auto-generate)",INDIRECT("'"&amp;$A12&amp;"'!$A$12:$Z$12"),0),0)="","?",VLOOKUP(AK$1,INDIRECT("'"&amp;$A12&amp;"'!$A$12:$Z$41"),MATCH("Points (Auto-generate)",INDIRECT("'"&amp;$A12&amp;"'!$A$12:$Z$12"),0),0)),"ER"))</f>
        <v>?</v>
      </c>
    </row>
    <row r="13" customFormat="false" ht="25.5" hidden="false" customHeight="true" outlineLevel="0" collapsed="false">
      <c r="A13" s="83" t="s">
        <v>101</v>
      </c>
      <c r="B13" s="84" t="str">
        <f aca="false">IF(ISBLANK($A13),"NO_CODE",VLOOKUP($A13,'UPD Questions_290926 '!$E$1:$N$300,MATCH(B$1,'UPD Questions_290926 '!$E$1:$N$1,0),0)&amp;"")</f>
        <v>Planning </v>
      </c>
      <c r="C13" s="85" t="str">
        <f aca="false">IF(ISBLANK($A13),"NO_CODE",VLOOKUP($A13,'UPD Questions_290926 '!$E$1:$N$300,MATCH(C$1,'UPD Questions_290926 '!$E$1:$N$1,0),0)&amp;"")</f>
        <v>Legal and institutional planning architecture</v>
      </c>
      <c r="D13" s="84" t="str">
        <f aca="false">IF(ISBLANK($A13),"NO_CODE",VLOOKUP($A13,'UPD Questions_290926 '!$E$1:$N$300,MATCH(D$1,'UPD Questions_290926 '!$E$1:$N$1,0),0)&amp;"")</f>
        <v>Spatial planning hierarchy</v>
      </c>
      <c r="E13" s="84" t="str">
        <f aca="false">IF(ISBLANK($A13),"NO_CODE",VLOOKUP($A13,'UPD Questions_290926 '!$E$1:$N$300,MATCH(E$1,'UPD Questions_290926 '!$E$1:$N$1,0),0)&amp;"")</f>
        <v>SQ</v>
      </c>
      <c r="F13" s="84" t="str">
        <f aca="false">IF(ISBLANK($A13),"NO_CODE",VLOOKUP($A13,'UPD Questions_290926 '!$E$1:$N$300,MATCH(F$1,'UPD Questions_290926 '!$E$1:$N$1,0),0)&amp;"")</f>
        <v>Does the law mandate that the ward(s)/local plan be approved by the ULG?</v>
      </c>
      <c r="G13" s="84" t="str">
        <f aca="false">IF(ISBLANK($A13),"NO_CODE",VLOOKUP($A13,'UPD Questions_290926 '!$E$1:$N$300,MATCH(G$1,'UPD Questions_290926 '!$E$1:$N$1,0),0)&amp;"")</f>
        <v>Law or Policy</v>
      </c>
      <c r="H13" s="86" t="n">
        <f aca="false">IF(ISBLANK($A13),"NO_CODE",VLOOKUP($A13,'UPD Questions_290926 '!$E$1:$N$300,MATCH(H$1,'UPD Questions_290926 '!$E$1:$N$1,0),0))</f>
        <v>3.33</v>
      </c>
      <c r="I13" s="87" t="str">
        <f aca="true">IF($H13=0,"NA",IF($A13=INDIRECT("'"&amp;$A13&amp;"'!$B$1"),IF(VLOOKUP(I$1,INDIRECT("'"&amp;$A13&amp;"'!$A$12:$Z$41"),MATCH("Points (Auto-generate)",INDIRECT("'"&amp;$A13&amp;"'!$A$12:$Z$12"),0),0)="","?",VLOOKUP(I$1,INDIRECT("'"&amp;$A13&amp;"'!$A$12:$Z$41"),MATCH("Points (Auto-generate)",INDIRECT("'"&amp;$A13&amp;"'!$A$12:$Z$12"),0),0)),"ER"))</f>
        <v>?</v>
      </c>
      <c r="J13" s="87" t="str">
        <f aca="true">IF($H13=0,"NA",IF($A13=INDIRECT("'"&amp;$A13&amp;"'!$B$1"),IF(VLOOKUP(J$1,INDIRECT("'"&amp;$A13&amp;"'!$A$12:$Z$41"),MATCH("Points (Auto-generate)",INDIRECT("'"&amp;$A13&amp;"'!$A$12:$Z$12"),0),0)="","?",VLOOKUP(J$1,INDIRECT("'"&amp;$A13&amp;"'!$A$12:$Z$41"),MATCH("Points (Auto-generate)",INDIRECT("'"&amp;$A13&amp;"'!$A$12:$Z$12"),0),0)),"ER"))</f>
        <v>?</v>
      </c>
      <c r="K13" s="87" t="str">
        <f aca="true">IF($H13=0,"NA",IF($A13=INDIRECT("'"&amp;$A13&amp;"'!$B$1"),IF(VLOOKUP(K$1,INDIRECT("'"&amp;$A13&amp;"'!$A$12:$Z$41"),MATCH("Points (Auto-generate)",INDIRECT("'"&amp;$A13&amp;"'!$A$12:$Z$12"),0),0)="","?",VLOOKUP(K$1,INDIRECT("'"&amp;$A13&amp;"'!$A$12:$Z$41"),MATCH("Points (Auto-generate)",INDIRECT("'"&amp;$A13&amp;"'!$A$12:$Z$12"),0),0)),"ER"))</f>
        <v>?</v>
      </c>
      <c r="L13" s="87" t="str">
        <f aca="true">IF($H13=0,"NA",IF($A13=INDIRECT("'"&amp;$A13&amp;"'!$B$1"),IF(VLOOKUP(L$1,INDIRECT("'"&amp;$A13&amp;"'!$A$12:$Z$41"),MATCH("Points (Auto-generate)",INDIRECT("'"&amp;$A13&amp;"'!$A$12:$Z$12"),0),0)="","?",VLOOKUP(L$1,INDIRECT("'"&amp;$A13&amp;"'!$A$12:$Z$41"),MATCH("Points (Auto-generate)",INDIRECT("'"&amp;$A13&amp;"'!$A$12:$Z$12"),0),0)),"ER"))</f>
        <v>?</v>
      </c>
      <c r="M13" s="87" t="str">
        <f aca="true">IF($H13=0,"NA",IF($A13=INDIRECT("'"&amp;$A13&amp;"'!$B$1"),IF(VLOOKUP(M$1,INDIRECT("'"&amp;$A13&amp;"'!$A$12:$Z$41"),MATCH("Points (Auto-generate)",INDIRECT("'"&amp;$A13&amp;"'!$A$12:$Z$12"),0),0)="","?",VLOOKUP(M$1,INDIRECT("'"&amp;$A13&amp;"'!$A$12:$Z$41"),MATCH("Points (Auto-generate)",INDIRECT("'"&amp;$A13&amp;"'!$A$12:$Z$12"),0),0)),"ER"))</f>
        <v>?</v>
      </c>
      <c r="N13" s="87" t="str">
        <f aca="true">IF($H13=0,"NA",IF($A13=INDIRECT("'"&amp;$A13&amp;"'!$B$1"),IF(VLOOKUP(N$1,INDIRECT("'"&amp;$A13&amp;"'!$A$12:$Z$41"),MATCH("Points (Auto-generate)",INDIRECT("'"&amp;$A13&amp;"'!$A$12:$Z$12"),0),0)="","?",VLOOKUP(N$1,INDIRECT("'"&amp;$A13&amp;"'!$A$12:$Z$41"),MATCH("Points (Auto-generate)",INDIRECT("'"&amp;$A13&amp;"'!$A$12:$Z$12"),0),0)),"ER"))</f>
        <v>?</v>
      </c>
      <c r="O13" s="87" t="str">
        <f aca="true">IF($H13=0,"NA",IF($A13=INDIRECT("'"&amp;$A13&amp;"'!$B$1"),IF(VLOOKUP(O$1,INDIRECT("'"&amp;$A13&amp;"'!$A$12:$Z$41"),MATCH("Points (Auto-generate)",INDIRECT("'"&amp;$A13&amp;"'!$A$12:$Z$12"),0),0)="","?",VLOOKUP(O$1,INDIRECT("'"&amp;$A13&amp;"'!$A$12:$Z$41"),MATCH("Points (Auto-generate)",INDIRECT("'"&amp;$A13&amp;"'!$A$12:$Z$12"),0),0)),"ER"))</f>
        <v>?</v>
      </c>
      <c r="P13" s="87" t="str">
        <f aca="true">IF($H13=0,"NA",IF($A13=INDIRECT("'"&amp;$A13&amp;"'!$B$1"),IF(VLOOKUP(P$1,INDIRECT("'"&amp;$A13&amp;"'!$A$12:$Z$41"),MATCH("Points (Auto-generate)",INDIRECT("'"&amp;$A13&amp;"'!$A$12:$Z$12"),0),0)="","?",VLOOKUP(P$1,INDIRECT("'"&amp;$A13&amp;"'!$A$12:$Z$41"),MATCH("Points (Auto-generate)",INDIRECT("'"&amp;$A13&amp;"'!$A$12:$Z$12"),0),0)),"ER"))</f>
        <v>?</v>
      </c>
      <c r="Q13" s="87" t="str">
        <f aca="true">IF($H13=0,"NA",IF($A13=INDIRECT("'"&amp;$A13&amp;"'!$B$1"),IF(VLOOKUP(Q$1,INDIRECT("'"&amp;$A13&amp;"'!$A$12:$Z$41"),MATCH("Points (Auto-generate)",INDIRECT("'"&amp;$A13&amp;"'!$A$12:$Z$12"),0),0)="","?",VLOOKUP(Q$1,INDIRECT("'"&amp;$A13&amp;"'!$A$12:$Z$41"),MATCH("Points (Auto-generate)",INDIRECT("'"&amp;$A13&amp;"'!$A$12:$Z$12"),0),0)),"ER"))</f>
        <v>?</v>
      </c>
      <c r="R13" s="87" t="str">
        <f aca="true">IF($H13=0,"NA",IF($A13=INDIRECT("'"&amp;$A13&amp;"'!$B$1"),IF(VLOOKUP(R$1,INDIRECT("'"&amp;$A13&amp;"'!$A$12:$Z$41"),MATCH("Points (Auto-generate)",INDIRECT("'"&amp;$A13&amp;"'!$A$12:$Z$12"),0),0)="","?",VLOOKUP(R$1,INDIRECT("'"&amp;$A13&amp;"'!$A$12:$Z$41"),MATCH("Points (Auto-generate)",INDIRECT("'"&amp;$A13&amp;"'!$A$12:$Z$12"),0),0)),"ER"))</f>
        <v>?</v>
      </c>
      <c r="S13" s="87" t="str">
        <f aca="true">IF($H13=0,"NA",IF($A13=INDIRECT("'"&amp;$A13&amp;"'!$B$1"),IF(VLOOKUP(S$1,INDIRECT("'"&amp;$A13&amp;"'!$A$12:$Z$41"),MATCH("Points (Auto-generate)",INDIRECT("'"&amp;$A13&amp;"'!$A$12:$Z$12"),0),0)="","?",VLOOKUP(S$1,INDIRECT("'"&amp;$A13&amp;"'!$A$12:$Z$41"),MATCH("Points (Auto-generate)",INDIRECT("'"&amp;$A13&amp;"'!$A$12:$Z$12"),0),0)),"ER"))</f>
        <v>?</v>
      </c>
      <c r="T13" s="87" t="str">
        <f aca="true">IF($H13=0,"NA",IF($A13=INDIRECT("'"&amp;$A13&amp;"'!$B$1"),IF(VLOOKUP(T$1,INDIRECT("'"&amp;$A13&amp;"'!$A$12:$Z$41"),MATCH("Points (Auto-generate)",INDIRECT("'"&amp;$A13&amp;"'!$A$12:$Z$12"),0),0)="","?",VLOOKUP(T$1,INDIRECT("'"&amp;$A13&amp;"'!$A$12:$Z$41"),MATCH("Points (Auto-generate)",INDIRECT("'"&amp;$A13&amp;"'!$A$12:$Z$12"),0),0)),"ER"))</f>
        <v>?</v>
      </c>
      <c r="U13" s="87" t="str">
        <f aca="true">IF($H13=0,"NA",IF($A13=INDIRECT("'"&amp;$A13&amp;"'!$B$1"),IF(VLOOKUP(U$1,INDIRECT("'"&amp;$A13&amp;"'!$A$12:$Z$41"),MATCH("Points (Auto-generate)",INDIRECT("'"&amp;$A13&amp;"'!$A$12:$Z$12"),0),0)="","?",VLOOKUP(U$1,INDIRECT("'"&amp;$A13&amp;"'!$A$12:$Z$41"),MATCH("Points (Auto-generate)",INDIRECT("'"&amp;$A13&amp;"'!$A$12:$Z$12"),0),0)),"ER"))</f>
        <v>?</v>
      </c>
      <c r="V13" s="87" t="str">
        <f aca="true">IF($H13=0,"NA",IF($A13=INDIRECT("'"&amp;$A13&amp;"'!$B$1"),IF(VLOOKUP(V$1,INDIRECT("'"&amp;$A13&amp;"'!$A$12:$Z$41"),MATCH("Points (Auto-generate)",INDIRECT("'"&amp;$A13&amp;"'!$A$12:$Z$12"),0),0)="","?",VLOOKUP(V$1,INDIRECT("'"&amp;$A13&amp;"'!$A$12:$Z$41"),MATCH("Points (Auto-generate)",INDIRECT("'"&amp;$A13&amp;"'!$A$12:$Z$12"),0),0)),"ER"))</f>
        <v>?</v>
      </c>
      <c r="W13" s="87" t="str">
        <f aca="true">IF($H13=0,"NA",IF($A13=INDIRECT("'"&amp;$A13&amp;"'!$B$1"),IF(VLOOKUP(W$1,INDIRECT("'"&amp;$A13&amp;"'!$A$12:$Z$41"),MATCH("Points (Auto-generate)",INDIRECT("'"&amp;$A13&amp;"'!$A$12:$Z$12"),0),0)="","?",VLOOKUP(W$1,INDIRECT("'"&amp;$A13&amp;"'!$A$12:$Z$41"),MATCH("Points (Auto-generate)",INDIRECT("'"&amp;$A13&amp;"'!$A$12:$Z$12"),0),0)),"ER"))</f>
        <v>?</v>
      </c>
      <c r="X13" s="87" t="str">
        <f aca="true">IF($H13=0,"NA",IF($A13=INDIRECT("'"&amp;$A13&amp;"'!$B$1"),IF(VLOOKUP(X$1,INDIRECT("'"&amp;$A13&amp;"'!$A$12:$Z$41"),MATCH("Points (Auto-generate)",INDIRECT("'"&amp;$A13&amp;"'!$A$12:$Z$12"),0),0)="","?",VLOOKUP(X$1,INDIRECT("'"&amp;$A13&amp;"'!$A$12:$Z$41"),MATCH("Points (Auto-generate)",INDIRECT("'"&amp;$A13&amp;"'!$A$12:$Z$12"),0),0)),"ER"))</f>
        <v>?</v>
      </c>
      <c r="Y13" s="87" t="str">
        <f aca="true">IF($H13=0,"NA",IF($A13=INDIRECT("'"&amp;$A13&amp;"'!$B$1"),IF(VLOOKUP(Y$1,INDIRECT("'"&amp;$A13&amp;"'!$A$12:$Z$41"),MATCH("Points (Auto-generate)",INDIRECT("'"&amp;$A13&amp;"'!$A$12:$Z$12"),0),0)="","?",VLOOKUP(Y$1,INDIRECT("'"&amp;$A13&amp;"'!$A$12:$Z$41"),MATCH("Points (Auto-generate)",INDIRECT("'"&amp;$A13&amp;"'!$A$12:$Z$12"),0),0)),"ER"))</f>
        <v>?</v>
      </c>
      <c r="Z13" s="87" t="str">
        <f aca="true">IF($H13=0,"NA",IF($A13=INDIRECT("'"&amp;$A13&amp;"'!$B$1"),IF(VLOOKUP(Z$1,INDIRECT("'"&amp;$A13&amp;"'!$A$12:$Z$41"),MATCH("Points (Auto-generate)",INDIRECT("'"&amp;$A13&amp;"'!$A$12:$Z$12"),0),0)="","?",VLOOKUP(Z$1,INDIRECT("'"&amp;$A13&amp;"'!$A$12:$Z$41"),MATCH("Points (Auto-generate)",INDIRECT("'"&amp;$A13&amp;"'!$A$12:$Z$12"),0),0)),"ER"))</f>
        <v>?</v>
      </c>
      <c r="AA13" s="87" t="str">
        <f aca="true">IF($H13=0,"NA",IF($A13=INDIRECT("'"&amp;$A13&amp;"'!$B$1"),IF(VLOOKUP(AA$1,INDIRECT("'"&amp;$A13&amp;"'!$A$12:$Z$41"),MATCH("Points (Auto-generate)",INDIRECT("'"&amp;$A13&amp;"'!$A$12:$Z$12"),0),0)="","?",VLOOKUP(AA$1,INDIRECT("'"&amp;$A13&amp;"'!$A$12:$Z$41"),MATCH("Points (Auto-generate)",INDIRECT("'"&amp;$A13&amp;"'!$A$12:$Z$12"),0),0)),"ER"))</f>
        <v>?</v>
      </c>
      <c r="AB13" s="87" t="str">
        <f aca="true">IF($H13=0,"NA",IF($A13=INDIRECT("'"&amp;$A13&amp;"'!$B$1"),IF(VLOOKUP(AB$1,INDIRECT("'"&amp;$A13&amp;"'!$A$12:$Z$41"),MATCH("Points (Auto-generate)",INDIRECT("'"&amp;$A13&amp;"'!$A$12:$Z$12"),0),0)="","?",VLOOKUP(AB$1,INDIRECT("'"&amp;$A13&amp;"'!$A$12:$Z$41"),MATCH("Points (Auto-generate)",INDIRECT("'"&amp;$A13&amp;"'!$A$12:$Z$12"),0),0)),"ER"))</f>
        <v>?</v>
      </c>
      <c r="AC13" s="87" t="str">
        <f aca="true">IF($H13=0,"NA",IF($A13=INDIRECT("'"&amp;$A13&amp;"'!$B$1"),IF(VLOOKUP(AC$1,INDIRECT("'"&amp;$A13&amp;"'!$A$12:$Z$41"),MATCH("Points (Auto-generate)",INDIRECT("'"&amp;$A13&amp;"'!$A$12:$Z$12"),0),0)="","?",VLOOKUP(AC$1,INDIRECT("'"&amp;$A13&amp;"'!$A$12:$Z$41"),MATCH("Points (Auto-generate)",INDIRECT("'"&amp;$A13&amp;"'!$A$12:$Z$12"),0),0)),"ER"))</f>
        <v>?</v>
      </c>
      <c r="AD13" s="87" t="str">
        <f aca="true">IF($H13=0,"NA",IF($A13=INDIRECT("'"&amp;$A13&amp;"'!$B$1"),IF(VLOOKUP(AD$1,INDIRECT("'"&amp;$A13&amp;"'!$A$12:$Z$41"),MATCH("Points (Auto-generate)",INDIRECT("'"&amp;$A13&amp;"'!$A$12:$Z$12"),0),0)="","?",VLOOKUP(AD$1,INDIRECT("'"&amp;$A13&amp;"'!$A$12:$Z$41"),MATCH("Points (Auto-generate)",INDIRECT("'"&amp;$A13&amp;"'!$A$12:$Z$12"),0),0)),"ER"))</f>
        <v>?</v>
      </c>
      <c r="AE13" s="87" t="str">
        <f aca="true">IF($H13=0,"NA",IF($A13=INDIRECT("'"&amp;$A13&amp;"'!$B$1"),IF(VLOOKUP(AE$1,INDIRECT("'"&amp;$A13&amp;"'!$A$12:$Z$41"),MATCH("Points (Auto-generate)",INDIRECT("'"&amp;$A13&amp;"'!$A$12:$Z$12"),0),0)="","?",VLOOKUP(AE$1,INDIRECT("'"&amp;$A13&amp;"'!$A$12:$Z$41"),MATCH("Points (Auto-generate)",INDIRECT("'"&amp;$A13&amp;"'!$A$12:$Z$12"),0),0)),"ER"))</f>
        <v>?</v>
      </c>
      <c r="AF13" s="87" t="str">
        <f aca="true">IF($H13=0,"NA",IF($A13=INDIRECT("'"&amp;$A13&amp;"'!$B$1"),IF(VLOOKUP(AF$1,INDIRECT("'"&amp;$A13&amp;"'!$A$12:$Z$41"),MATCH("Points (Auto-generate)",INDIRECT("'"&amp;$A13&amp;"'!$A$12:$Z$12"),0),0)="","?",VLOOKUP(AF$1,INDIRECT("'"&amp;$A13&amp;"'!$A$12:$Z$41"),MATCH("Points (Auto-generate)",INDIRECT("'"&amp;$A13&amp;"'!$A$12:$Z$12"),0),0)),"ER"))</f>
        <v>?</v>
      </c>
      <c r="AG13" s="87" t="str">
        <f aca="true">IF($H13=0,"NA",IF($A13=INDIRECT("'"&amp;$A13&amp;"'!$B$1"),IF(VLOOKUP(AG$1,INDIRECT("'"&amp;$A13&amp;"'!$A$12:$Z$41"),MATCH("Points (Auto-generate)",INDIRECT("'"&amp;$A13&amp;"'!$A$12:$Z$12"),0),0)="","?",VLOOKUP(AG$1,INDIRECT("'"&amp;$A13&amp;"'!$A$12:$Z$41"),MATCH("Points (Auto-generate)",INDIRECT("'"&amp;$A13&amp;"'!$A$12:$Z$12"),0),0)),"ER"))</f>
        <v>?</v>
      </c>
      <c r="AH13" s="87" t="str">
        <f aca="true">IF($H13=0,"NA",IF($A13=INDIRECT("'"&amp;$A13&amp;"'!$B$1"),IF(VLOOKUP(AH$1,INDIRECT("'"&amp;$A13&amp;"'!$A$12:$Z$41"),MATCH("Points (Auto-generate)",INDIRECT("'"&amp;$A13&amp;"'!$A$12:$Z$12"),0),0)="","?",VLOOKUP(AH$1,INDIRECT("'"&amp;$A13&amp;"'!$A$12:$Z$41"),MATCH("Points (Auto-generate)",INDIRECT("'"&amp;$A13&amp;"'!$A$12:$Z$12"),0),0)),"ER"))</f>
        <v>?</v>
      </c>
      <c r="AI13" s="87" t="str">
        <f aca="true">IF($H13=0,"NA",IF($A13=INDIRECT("'"&amp;$A13&amp;"'!$B$1"),IF(VLOOKUP(AI$1,INDIRECT("'"&amp;$A13&amp;"'!$A$12:$Z$41"),MATCH("Points (Auto-generate)",INDIRECT("'"&amp;$A13&amp;"'!$A$12:$Z$12"),0),0)="","?",VLOOKUP(AI$1,INDIRECT("'"&amp;$A13&amp;"'!$A$12:$Z$41"),MATCH("Points (Auto-generate)",INDIRECT("'"&amp;$A13&amp;"'!$A$12:$Z$12"),0),0)),"ER"))</f>
        <v>?</v>
      </c>
      <c r="AJ13" s="87" t="str">
        <f aca="true">IF($H13=0,"NA",IF($A13=INDIRECT("'"&amp;$A13&amp;"'!$B$1"),IF(VLOOKUP(AJ$1,INDIRECT("'"&amp;$A13&amp;"'!$A$12:$Z$41"),MATCH("Points (Auto-generate)",INDIRECT("'"&amp;$A13&amp;"'!$A$12:$Z$12"),0),0)="","?",VLOOKUP(AJ$1,INDIRECT("'"&amp;$A13&amp;"'!$A$12:$Z$41"),MATCH("Points (Auto-generate)",INDIRECT("'"&amp;$A13&amp;"'!$A$12:$Z$12"),0),0)),"ER"))</f>
        <v>?</v>
      </c>
      <c r="AK13" s="87" t="str">
        <f aca="true">IF($H13=0,"NA",IF($A13=INDIRECT("'"&amp;$A13&amp;"'!$B$1"),IF(VLOOKUP(AK$1,INDIRECT("'"&amp;$A13&amp;"'!$A$12:$Z$41"),MATCH("Points (Auto-generate)",INDIRECT("'"&amp;$A13&amp;"'!$A$12:$Z$12"),0),0)="","?",VLOOKUP(AK$1,INDIRECT("'"&amp;$A13&amp;"'!$A$12:$Z$41"),MATCH("Points (Auto-generate)",INDIRECT("'"&amp;$A13&amp;"'!$A$12:$Z$12"),0),0)),"ER"))</f>
        <v>?</v>
      </c>
    </row>
    <row r="14" customFormat="false" ht="25.5" hidden="false" customHeight="true" outlineLevel="0" collapsed="false">
      <c r="A14" s="83" t="s">
        <v>109</v>
      </c>
      <c r="B14" s="84" t="str">
        <f aca="false">IF(ISBLANK($A14),"NO_CODE",VLOOKUP($A14,'UPD Questions_290926 '!$E$1:$N$300,MATCH(B$1,'UPD Questions_290926 '!$E$1:$N$1,0),0)&amp;"")</f>
        <v>Planning </v>
      </c>
      <c r="C14" s="85" t="str">
        <f aca="false">IF(ISBLANK($A14),"NO_CODE",VLOOKUP($A14,'UPD Questions_290926 '!$E$1:$N$300,MATCH(C$1,'UPD Questions_290926 '!$E$1:$N$1,0),0)&amp;"")</f>
        <v>Legal and institutional planning architecture</v>
      </c>
      <c r="D14" s="84" t="str">
        <f aca="false">IF(ISBLANK($A14),"NO_CODE",VLOOKUP($A14,'UPD Questions_290926 '!$E$1:$N$300,MATCH(D$1,'UPD Questions_290926 '!$E$1:$N$1,0),0)&amp;"")</f>
        <v>Objectives of each level of Municipal/City Plans</v>
      </c>
      <c r="E14" s="84" t="str">
        <f aca="false">IF(ISBLANK($A14),"NO_CODE",VLOOKUP($A14,'UPD Questions_290926 '!$E$1:$N$300,MATCH(E$1,'UPD Questions_290926 '!$E$1:$N$1,0),0)&amp;"")</f>
        <v>MQ</v>
      </c>
      <c r="F14" s="84" t="str">
        <f aca="false">IF(ISBLANK($A14),"NO_CODE",VLOOKUP($A14,'UPD Questions_290926 '!$E$1:$N$300,MATCH(F$1,'UPD Questions_290926 '!$E$1:$N$1,0),0)&amp;"")</f>
        <v>Does the Act clearly define the objectives/contents of each level of spatial plan?</v>
      </c>
      <c r="G14" s="84" t="str">
        <f aca="false">IF(ISBLANK($A14),"NO_CODE",VLOOKUP($A14,'UPD Questions_290926 '!$E$1:$N$300,MATCH(G$1,'UPD Questions_290926 '!$E$1:$N$1,0),0)&amp;"")</f>
        <v>Law or Policy</v>
      </c>
      <c r="H14" s="86" t="n">
        <f aca="false">IF(ISBLANK($A14),"NO_CODE",VLOOKUP($A14,'UPD Questions_290926 '!$E$1:$N$300,MATCH(H$1,'UPD Questions_290926 '!$E$1:$N$1,0),0))</f>
        <v>10</v>
      </c>
      <c r="I14" s="87" t="str">
        <f aca="true">IF($H14=0,"NA",IF($A14=INDIRECT("'"&amp;$A14&amp;"'!$B$1"),IF(VLOOKUP(I$1,INDIRECT("'"&amp;$A14&amp;"'!$A$12:$Z$41"),MATCH("Points (Auto-generate)",INDIRECT("'"&amp;$A14&amp;"'!$A$12:$Z$12"),0),0)="","?",VLOOKUP(I$1,INDIRECT("'"&amp;$A14&amp;"'!$A$12:$Z$41"),MATCH("Points (Auto-generate)",INDIRECT("'"&amp;$A14&amp;"'!$A$12:$Z$12"),0),0)),"ER"))</f>
        <v>?</v>
      </c>
      <c r="J14" s="87" t="str">
        <f aca="true">IF($H14=0,"NA",IF($A14=INDIRECT("'"&amp;$A14&amp;"'!$B$1"),IF(VLOOKUP(J$1,INDIRECT("'"&amp;$A14&amp;"'!$A$12:$Z$41"),MATCH("Points (Auto-generate)",INDIRECT("'"&amp;$A14&amp;"'!$A$12:$Z$12"),0),0)="","?",VLOOKUP(J$1,INDIRECT("'"&amp;$A14&amp;"'!$A$12:$Z$41"),MATCH("Points (Auto-generate)",INDIRECT("'"&amp;$A14&amp;"'!$A$12:$Z$12"),0),0)),"ER"))</f>
        <v>?</v>
      </c>
      <c r="K14" s="87" t="str">
        <f aca="true">IF($H14=0,"NA",IF($A14=INDIRECT("'"&amp;$A14&amp;"'!$B$1"),IF(VLOOKUP(K$1,INDIRECT("'"&amp;$A14&amp;"'!$A$12:$Z$41"),MATCH("Points (Auto-generate)",INDIRECT("'"&amp;$A14&amp;"'!$A$12:$Z$12"),0),0)="","?",VLOOKUP(K$1,INDIRECT("'"&amp;$A14&amp;"'!$A$12:$Z$41"),MATCH("Points (Auto-generate)",INDIRECT("'"&amp;$A14&amp;"'!$A$12:$Z$12"),0),0)),"ER"))</f>
        <v>?</v>
      </c>
      <c r="L14" s="87" t="str">
        <f aca="true">IF($H14=0,"NA",IF($A14=INDIRECT("'"&amp;$A14&amp;"'!$B$1"),IF(VLOOKUP(L$1,INDIRECT("'"&amp;$A14&amp;"'!$A$12:$Z$41"),MATCH("Points (Auto-generate)",INDIRECT("'"&amp;$A14&amp;"'!$A$12:$Z$12"),0),0)="","?",VLOOKUP(L$1,INDIRECT("'"&amp;$A14&amp;"'!$A$12:$Z$41"),MATCH("Points (Auto-generate)",INDIRECT("'"&amp;$A14&amp;"'!$A$12:$Z$12"),0),0)),"ER"))</f>
        <v>?</v>
      </c>
      <c r="M14" s="87" t="str">
        <f aca="true">IF($H14=0,"NA",IF($A14=INDIRECT("'"&amp;$A14&amp;"'!$B$1"),IF(VLOOKUP(M$1,INDIRECT("'"&amp;$A14&amp;"'!$A$12:$Z$41"),MATCH("Points (Auto-generate)",INDIRECT("'"&amp;$A14&amp;"'!$A$12:$Z$12"),0),0)="","?",VLOOKUP(M$1,INDIRECT("'"&amp;$A14&amp;"'!$A$12:$Z$41"),MATCH("Points (Auto-generate)",INDIRECT("'"&amp;$A14&amp;"'!$A$12:$Z$12"),0),0)),"ER"))</f>
        <v>?</v>
      </c>
      <c r="N14" s="87" t="str">
        <f aca="true">IF($H14=0,"NA",IF($A14=INDIRECT("'"&amp;$A14&amp;"'!$B$1"),IF(VLOOKUP(N$1,INDIRECT("'"&amp;$A14&amp;"'!$A$12:$Z$41"),MATCH("Points (Auto-generate)",INDIRECT("'"&amp;$A14&amp;"'!$A$12:$Z$12"),0),0)="","?",VLOOKUP(N$1,INDIRECT("'"&amp;$A14&amp;"'!$A$12:$Z$41"),MATCH("Points (Auto-generate)",INDIRECT("'"&amp;$A14&amp;"'!$A$12:$Z$12"),0),0)),"ER"))</f>
        <v>?</v>
      </c>
      <c r="O14" s="87" t="str">
        <f aca="true">IF($H14=0,"NA",IF($A14=INDIRECT("'"&amp;$A14&amp;"'!$B$1"),IF(VLOOKUP(O$1,INDIRECT("'"&amp;$A14&amp;"'!$A$12:$Z$41"),MATCH("Points (Auto-generate)",INDIRECT("'"&amp;$A14&amp;"'!$A$12:$Z$12"),0),0)="","?",VLOOKUP(O$1,INDIRECT("'"&amp;$A14&amp;"'!$A$12:$Z$41"),MATCH("Points (Auto-generate)",INDIRECT("'"&amp;$A14&amp;"'!$A$12:$Z$12"),0),0)),"ER"))</f>
        <v>?</v>
      </c>
      <c r="P14" s="87" t="str">
        <f aca="true">IF($H14=0,"NA",IF($A14=INDIRECT("'"&amp;$A14&amp;"'!$B$1"),IF(VLOOKUP(P$1,INDIRECT("'"&amp;$A14&amp;"'!$A$12:$Z$41"),MATCH("Points (Auto-generate)",INDIRECT("'"&amp;$A14&amp;"'!$A$12:$Z$12"),0),0)="","?",VLOOKUP(P$1,INDIRECT("'"&amp;$A14&amp;"'!$A$12:$Z$41"),MATCH("Points (Auto-generate)",INDIRECT("'"&amp;$A14&amp;"'!$A$12:$Z$12"),0),0)),"ER"))</f>
        <v>?</v>
      </c>
      <c r="Q14" s="87" t="str">
        <f aca="true">IF($H14=0,"NA",IF($A14=INDIRECT("'"&amp;$A14&amp;"'!$B$1"),IF(VLOOKUP(Q$1,INDIRECT("'"&amp;$A14&amp;"'!$A$12:$Z$41"),MATCH("Points (Auto-generate)",INDIRECT("'"&amp;$A14&amp;"'!$A$12:$Z$12"),0),0)="","?",VLOOKUP(Q$1,INDIRECT("'"&amp;$A14&amp;"'!$A$12:$Z$41"),MATCH("Points (Auto-generate)",INDIRECT("'"&amp;$A14&amp;"'!$A$12:$Z$12"),0),0)),"ER"))</f>
        <v>?</v>
      </c>
      <c r="R14" s="87" t="str">
        <f aca="true">IF($H14=0,"NA",IF($A14=INDIRECT("'"&amp;$A14&amp;"'!$B$1"),IF(VLOOKUP(R$1,INDIRECT("'"&amp;$A14&amp;"'!$A$12:$Z$41"),MATCH("Points (Auto-generate)",INDIRECT("'"&amp;$A14&amp;"'!$A$12:$Z$12"),0),0)="","?",VLOOKUP(R$1,INDIRECT("'"&amp;$A14&amp;"'!$A$12:$Z$41"),MATCH("Points (Auto-generate)",INDIRECT("'"&amp;$A14&amp;"'!$A$12:$Z$12"),0),0)),"ER"))</f>
        <v>?</v>
      </c>
      <c r="S14" s="87" t="str">
        <f aca="true">IF($H14=0,"NA",IF($A14=INDIRECT("'"&amp;$A14&amp;"'!$B$1"),IF(VLOOKUP(S$1,INDIRECT("'"&amp;$A14&amp;"'!$A$12:$Z$41"),MATCH("Points (Auto-generate)",INDIRECT("'"&amp;$A14&amp;"'!$A$12:$Z$12"),0),0)="","?",VLOOKUP(S$1,INDIRECT("'"&amp;$A14&amp;"'!$A$12:$Z$41"),MATCH("Points (Auto-generate)",INDIRECT("'"&amp;$A14&amp;"'!$A$12:$Z$12"),0),0)),"ER"))</f>
        <v>?</v>
      </c>
      <c r="T14" s="87" t="str">
        <f aca="true">IF($H14=0,"NA",IF($A14=INDIRECT("'"&amp;$A14&amp;"'!$B$1"),IF(VLOOKUP(T$1,INDIRECT("'"&amp;$A14&amp;"'!$A$12:$Z$41"),MATCH("Points (Auto-generate)",INDIRECT("'"&amp;$A14&amp;"'!$A$12:$Z$12"),0),0)="","?",VLOOKUP(T$1,INDIRECT("'"&amp;$A14&amp;"'!$A$12:$Z$41"),MATCH("Points (Auto-generate)",INDIRECT("'"&amp;$A14&amp;"'!$A$12:$Z$12"),0),0)),"ER"))</f>
        <v>?</v>
      </c>
      <c r="U14" s="87" t="str">
        <f aca="true">IF($H14=0,"NA",IF($A14=INDIRECT("'"&amp;$A14&amp;"'!$B$1"),IF(VLOOKUP(U$1,INDIRECT("'"&amp;$A14&amp;"'!$A$12:$Z$41"),MATCH("Points (Auto-generate)",INDIRECT("'"&amp;$A14&amp;"'!$A$12:$Z$12"),0),0)="","?",VLOOKUP(U$1,INDIRECT("'"&amp;$A14&amp;"'!$A$12:$Z$41"),MATCH("Points (Auto-generate)",INDIRECT("'"&amp;$A14&amp;"'!$A$12:$Z$12"),0),0)),"ER"))</f>
        <v>?</v>
      </c>
      <c r="V14" s="87" t="str">
        <f aca="true">IF($H14=0,"NA",IF($A14=INDIRECT("'"&amp;$A14&amp;"'!$B$1"),IF(VLOOKUP(V$1,INDIRECT("'"&amp;$A14&amp;"'!$A$12:$Z$41"),MATCH("Points (Auto-generate)",INDIRECT("'"&amp;$A14&amp;"'!$A$12:$Z$12"),0),0)="","?",VLOOKUP(V$1,INDIRECT("'"&amp;$A14&amp;"'!$A$12:$Z$41"),MATCH("Points (Auto-generate)",INDIRECT("'"&amp;$A14&amp;"'!$A$12:$Z$12"),0),0)),"ER"))</f>
        <v>?</v>
      </c>
      <c r="W14" s="87" t="str">
        <f aca="true">IF($H14=0,"NA",IF($A14=INDIRECT("'"&amp;$A14&amp;"'!$B$1"),IF(VLOOKUP(W$1,INDIRECT("'"&amp;$A14&amp;"'!$A$12:$Z$41"),MATCH("Points (Auto-generate)",INDIRECT("'"&amp;$A14&amp;"'!$A$12:$Z$12"),0),0)="","?",VLOOKUP(W$1,INDIRECT("'"&amp;$A14&amp;"'!$A$12:$Z$41"),MATCH("Points (Auto-generate)",INDIRECT("'"&amp;$A14&amp;"'!$A$12:$Z$12"),0),0)),"ER"))</f>
        <v>?</v>
      </c>
      <c r="X14" s="87" t="str">
        <f aca="true">IF($H14=0,"NA",IF($A14=INDIRECT("'"&amp;$A14&amp;"'!$B$1"),IF(VLOOKUP(X$1,INDIRECT("'"&amp;$A14&amp;"'!$A$12:$Z$41"),MATCH("Points (Auto-generate)",INDIRECT("'"&amp;$A14&amp;"'!$A$12:$Z$12"),0),0)="","?",VLOOKUP(X$1,INDIRECT("'"&amp;$A14&amp;"'!$A$12:$Z$41"),MATCH("Points (Auto-generate)",INDIRECT("'"&amp;$A14&amp;"'!$A$12:$Z$12"),0),0)),"ER"))</f>
        <v>?</v>
      </c>
      <c r="Y14" s="87" t="str">
        <f aca="true">IF($H14=0,"NA",IF($A14=INDIRECT("'"&amp;$A14&amp;"'!$B$1"),IF(VLOOKUP(Y$1,INDIRECT("'"&amp;$A14&amp;"'!$A$12:$Z$41"),MATCH("Points (Auto-generate)",INDIRECT("'"&amp;$A14&amp;"'!$A$12:$Z$12"),0),0)="","?",VLOOKUP(Y$1,INDIRECT("'"&amp;$A14&amp;"'!$A$12:$Z$41"),MATCH("Points (Auto-generate)",INDIRECT("'"&amp;$A14&amp;"'!$A$12:$Z$12"),0),0)),"ER"))</f>
        <v>?</v>
      </c>
      <c r="Z14" s="87" t="str">
        <f aca="true">IF($H14=0,"NA",IF($A14=INDIRECT("'"&amp;$A14&amp;"'!$B$1"),IF(VLOOKUP(Z$1,INDIRECT("'"&amp;$A14&amp;"'!$A$12:$Z$41"),MATCH("Points (Auto-generate)",INDIRECT("'"&amp;$A14&amp;"'!$A$12:$Z$12"),0),0)="","?",VLOOKUP(Z$1,INDIRECT("'"&amp;$A14&amp;"'!$A$12:$Z$41"),MATCH("Points (Auto-generate)",INDIRECT("'"&amp;$A14&amp;"'!$A$12:$Z$12"),0),0)),"ER"))</f>
        <v>?</v>
      </c>
      <c r="AA14" s="87" t="str">
        <f aca="true">IF($H14=0,"NA",IF($A14=INDIRECT("'"&amp;$A14&amp;"'!$B$1"),IF(VLOOKUP(AA$1,INDIRECT("'"&amp;$A14&amp;"'!$A$12:$Z$41"),MATCH("Points (Auto-generate)",INDIRECT("'"&amp;$A14&amp;"'!$A$12:$Z$12"),0),0)="","?",VLOOKUP(AA$1,INDIRECT("'"&amp;$A14&amp;"'!$A$12:$Z$41"),MATCH("Points (Auto-generate)",INDIRECT("'"&amp;$A14&amp;"'!$A$12:$Z$12"),0),0)),"ER"))</f>
        <v>?</v>
      </c>
      <c r="AB14" s="87" t="str">
        <f aca="true">IF($H14=0,"NA",IF($A14=INDIRECT("'"&amp;$A14&amp;"'!$B$1"),IF(VLOOKUP(AB$1,INDIRECT("'"&amp;$A14&amp;"'!$A$12:$Z$41"),MATCH("Points (Auto-generate)",INDIRECT("'"&amp;$A14&amp;"'!$A$12:$Z$12"),0),0)="","?",VLOOKUP(AB$1,INDIRECT("'"&amp;$A14&amp;"'!$A$12:$Z$41"),MATCH("Points (Auto-generate)",INDIRECT("'"&amp;$A14&amp;"'!$A$12:$Z$12"),0),0)),"ER"))</f>
        <v>?</v>
      </c>
      <c r="AC14" s="87" t="str">
        <f aca="true">IF($H14=0,"NA",IF($A14=INDIRECT("'"&amp;$A14&amp;"'!$B$1"),IF(VLOOKUP(AC$1,INDIRECT("'"&amp;$A14&amp;"'!$A$12:$Z$41"),MATCH("Points (Auto-generate)",INDIRECT("'"&amp;$A14&amp;"'!$A$12:$Z$12"),0),0)="","?",VLOOKUP(AC$1,INDIRECT("'"&amp;$A14&amp;"'!$A$12:$Z$41"),MATCH("Points (Auto-generate)",INDIRECT("'"&amp;$A14&amp;"'!$A$12:$Z$12"),0),0)),"ER"))</f>
        <v>?</v>
      </c>
      <c r="AD14" s="87" t="str">
        <f aca="true">IF($H14=0,"NA",IF($A14=INDIRECT("'"&amp;$A14&amp;"'!$B$1"),IF(VLOOKUP(AD$1,INDIRECT("'"&amp;$A14&amp;"'!$A$12:$Z$41"),MATCH("Points (Auto-generate)",INDIRECT("'"&amp;$A14&amp;"'!$A$12:$Z$12"),0),0)="","?",VLOOKUP(AD$1,INDIRECT("'"&amp;$A14&amp;"'!$A$12:$Z$41"),MATCH("Points (Auto-generate)",INDIRECT("'"&amp;$A14&amp;"'!$A$12:$Z$12"),0),0)),"ER"))</f>
        <v>?</v>
      </c>
      <c r="AE14" s="87" t="str">
        <f aca="true">IF($H14=0,"NA",IF($A14=INDIRECT("'"&amp;$A14&amp;"'!$B$1"),IF(VLOOKUP(AE$1,INDIRECT("'"&amp;$A14&amp;"'!$A$12:$Z$41"),MATCH("Points (Auto-generate)",INDIRECT("'"&amp;$A14&amp;"'!$A$12:$Z$12"),0),0)="","?",VLOOKUP(AE$1,INDIRECT("'"&amp;$A14&amp;"'!$A$12:$Z$41"),MATCH("Points (Auto-generate)",INDIRECT("'"&amp;$A14&amp;"'!$A$12:$Z$12"),0),0)),"ER"))</f>
        <v>?</v>
      </c>
      <c r="AF14" s="87" t="str">
        <f aca="true">IF($H14=0,"NA",IF($A14=INDIRECT("'"&amp;$A14&amp;"'!$B$1"),IF(VLOOKUP(AF$1,INDIRECT("'"&amp;$A14&amp;"'!$A$12:$Z$41"),MATCH("Points (Auto-generate)",INDIRECT("'"&amp;$A14&amp;"'!$A$12:$Z$12"),0),0)="","?",VLOOKUP(AF$1,INDIRECT("'"&amp;$A14&amp;"'!$A$12:$Z$41"),MATCH("Points (Auto-generate)",INDIRECT("'"&amp;$A14&amp;"'!$A$12:$Z$12"),0),0)),"ER"))</f>
        <v>?</v>
      </c>
      <c r="AG14" s="87" t="str">
        <f aca="true">IF($H14=0,"NA",IF($A14=INDIRECT("'"&amp;$A14&amp;"'!$B$1"),IF(VLOOKUP(AG$1,INDIRECT("'"&amp;$A14&amp;"'!$A$12:$Z$41"),MATCH("Points (Auto-generate)",INDIRECT("'"&amp;$A14&amp;"'!$A$12:$Z$12"),0),0)="","?",VLOOKUP(AG$1,INDIRECT("'"&amp;$A14&amp;"'!$A$12:$Z$41"),MATCH("Points (Auto-generate)",INDIRECT("'"&amp;$A14&amp;"'!$A$12:$Z$12"),0),0)),"ER"))</f>
        <v>?</v>
      </c>
      <c r="AH14" s="87" t="str">
        <f aca="true">IF($H14=0,"NA",IF($A14=INDIRECT("'"&amp;$A14&amp;"'!$B$1"),IF(VLOOKUP(AH$1,INDIRECT("'"&amp;$A14&amp;"'!$A$12:$Z$41"),MATCH("Points (Auto-generate)",INDIRECT("'"&amp;$A14&amp;"'!$A$12:$Z$12"),0),0)="","?",VLOOKUP(AH$1,INDIRECT("'"&amp;$A14&amp;"'!$A$12:$Z$41"),MATCH("Points (Auto-generate)",INDIRECT("'"&amp;$A14&amp;"'!$A$12:$Z$12"),0),0)),"ER"))</f>
        <v>?</v>
      </c>
      <c r="AI14" s="87" t="str">
        <f aca="true">IF($H14=0,"NA",IF($A14=INDIRECT("'"&amp;$A14&amp;"'!$B$1"),IF(VLOOKUP(AI$1,INDIRECT("'"&amp;$A14&amp;"'!$A$12:$Z$41"),MATCH("Points (Auto-generate)",INDIRECT("'"&amp;$A14&amp;"'!$A$12:$Z$12"),0),0)="","?",VLOOKUP(AI$1,INDIRECT("'"&amp;$A14&amp;"'!$A$12:$Z$41"),MATCH("Points (Auto-generate)",INDIRECT("'"&amp;$A14&amp;"'!$A$12:$Z$12"),0),0)),"ER"))</f>
        <v>?</v>
      </c>
      <c r="AJ14" s="87" t="str">
        <f aca="true">IF($H14=0,"NA",IF($A14=INDIRECT("'"&amp;$A14&amp;"'!$B$1"),IF(VLOOKUP(AJ$1,INDIRECT("'"&amp;$A14&amp;"'!$A$12:$Z$41"),MATCH("Points (Auto-generate)",INDIRECT("'"&amp;$A14&amp;"'!$A$12:$Z$12"),0),0)="","?",VLOOKUP(AJ$1,INDIRECT("'"&amp;$A14&amp;"'!$A$12:$Z$41"),MATCH("Points (Auto-generate)",INDIRECT("'"&amp;$A14&amp;"'!$A$12:$Z$12"),0),0)),"ER"))</f>
        <v>?</v>
      </c>
      <c r="AK14" s="87" t="str">
        <f aca="true">IF($H14=0,"NA",IF($A14=INDIRECT("'"&amp;$A14&amp;"'!$B$1"),IF(VLOOKUP(AK$1,INDIRECT("'"&amp;$A14&amp;"'!$A$12:$Z$41"),MATCH("Points (Auto-generate)",INDIRECT("'"&amp;$A14&amp;"'!$A$12:$Z$12"),0),0)="","?",VLOOKUP(AK$1,INDIRECT("'"&amp;$A14&amp;"'!$A$12:$Z$41"),MATCH("Points (Auto-generate)",INDIRECT("'"&amp;$A14&amp;"'!$A$12:$Z$12"),0),0)),"ER"))</f>
        <v>?</v>
      </c>
    </row>
    <row r="15" customFormat="false" ht="25.5" hidden="false" customHeight="true" outlineLevel="0" collapsed="false">
      <c r="A15" s="83" t="s">
        <v>673</v>
      </c>
      <c r="B15" s="84" t="str">
        <f aca="false">IF(ISBLANK($A15),"NO_CODE",VLOOKUP($A15,'UPD Questions_290926 '!$E$1:$N$300,MATCH(B$1,'UPD Questions_290926 '!$E$1:$N$1,0),0)&amp;"")</f>
        <v>Planning </v>
      </c>
      <c r="C15" s="85" t="str">
        <f aca="false">IF(ISBLANK($A15),"NO_CODE",VLOOKUP($A15,'UPD Questions_290926 '!$E$1:$N$300,MATCH(C$1,'UPD Questions_290926 '!$E$1:$N$1,0),0)&amp;"")</f>
        <v>Legal and institutional planning architecture</v>
      </c>
      <c r="D15" s="84" t="str">
        <f aca="false">IF(ISBLANK($A15),"NO_CODE",VLOOKUP($A15,'UPD Questions_290926 '!$E$1:$N$300,MATCH(D$1,'UPD Questions_290926 '!$E$1:$N$1,0),0)&amp;"")</f>
        <v>Metropolitan and district planning institutions</v>
      </c>
      <c r="E15" s="84" t="str">
        <f aca="false">IF(ISBLANK($A15),"NO_CODE",VLOOKUP($A15,'UPD Questions_290926 '!$E$1:$N$300,MATCH(E$1,'UPD Questions_290926 '!$E$1:$N$1,0),0)&amp;"")</f>
        <v>MQ</v>
      </c>
      <c r="F15" s="84" t="str">
        <f aca="false">IF(ISBLANK($A15),"NO_CODE",VLOOKUP($A15,'UPD Questions_290926 '!$E$1:$N$300,MATCH(F$1,'UPD Questions_290926 '!$E$1:$N$1,0),0)&amp;"")</f>
        <v>Does the city have a functional MPC/DPC?</v>
      </c>
      <c r="G15" s="84" t="str">
        <f aca="false">IF(ISBLANK($A15),"NO_CODE",VLOOKUP($A15,'UPD Questions_290926 '!$E$1:$N$300,MATCH(G$1,'UPD Questions_290926 '!$E$1:$N$1,0),0)&amp;"")</f>
        <v>Law/Policy &amp; Implementation</v>
      </c>
      <c r="H15" s="86" t="n">
        <f aca="false">IF(ISBLANK($A15),"NO_CODE",VLOOKUP($A15,'UPD Questions_290926 '!$E$1:$N$300,MATCH(H$1,'UPD Questions_290926 '!$E$1:$N$1,0),0))</f>
        <v>10</v>
      </c>
      <c r="I15" s="87" t="str">
        <f aca="false">IF(OR(I16="ER",I17="ER"),"ER",IF(OR(I16="?",I17="?"),"?",IF(AND(I16="NA",I17="NA"),"NA",SUM(I16,I17)/((I16&lt;&gt;"NA")*$H$16+(I17&lt;&gt;"NA")*$H$17)*$H15)))</f>
        <v>?</v>
      </c>
      <c r="J15" s="87" t="str">
        <f aca="false">IF(OR(J16="ER",J17="ER"),"ER",IF(OR(J16="?",J17="?"),"?",IF(AND(J16="NA",J17="NA"),"NA",SUM(J16,J17)/((J16&lt;&gt;"NA")*$H$16+(J17&lt;&gt;"NA")*$H$17)*$H15)))</f>
        <v>?</v>
      </c>
      <c r="K15" s="87" t="str">
        <f aca="false">IF(OR(K16="ER",K17="ER"),"ER",IF(OR(K16="?",K17="?"),"?",IF(AND(K16="NA",K17="NA"),"NA",SUM(K16,K17)/((K16&lt;&gt;"NA")*$H$16+(K17&lt;&gt;"NA")*$H$17)*$H15)))</f>
        <v>?</v>
      </c>
      <c r="L15" s="87" t="str">
        <f aca="false">IF(OR(L16="ER",L17="ER"),"ER",IF(OR(L16="?",L17="?"),"?",IF(AND(L16="NA",L17="NA"),"NA",SUM(L16,L17)/((L16&lt;&gt;"NA")*$H$16+(L17&lt;&gt;"NA")*$H$17)*$H15)))</f>
        <v>?</v>
      </c>
      <c r="M15" s="87" t="str">
        <f aca="false">IF(OR(M16="ER",M17="ER"),"ER",IF(OR(M16="?",M17="?"),"?",IF(AND(M16="NA",M17="NA"),"NA",SUM(M16,M17)/((M16&lt;&gt;"NA")*$H$16+(M17&lt;&gt;"NA")*$H$17)*$H15)))</f>
        <v>?</v>
      </c>
      <c r="N15" s="87" t="str">
        <f aca="false">IF(OR(N16="ER",N17="ER"),"ER",IF(OR(N16="?",N17="?"),"?",IF(AND(N16="NA",N17="NA"),"NA",SUM(N16,N17)/((N16&lt;&gt;"NA")*$H$16+(N17&lt;&gt;"NA")*$H$17)*$H15)))</f>
        <v>?</v>
      </c>
      <c r="O15" s="87" t="str">
        <f aca="false">IF(OR(O16="ER",O17="ER"),"ER",IF(OR(O16="?",O17="?"),"?",IF(AND(O16="NA",O17="NA"),"NA",SUM(O16,O17)/((O16&lt;&gt;"NA")*$H$16+(O17&lt;&gt;"NA")*$H$17)*$H15)))</f>
        <v>?</v>
      </c>
      <c r="P15" s="87" t="str">
        <f aca="false">IF(OR(P16="ER",P17="ER"),"ER",IF(OR(P16="?",P17="?"),"?",IF(AND(P16="NA",P17="NA"),"NA",SUM(P16,P17)/((P16&lt;&gt;"NA")*$H$16+(P17&lt;&gt;"NA")*$H$17)*$H15)))</f>
        <v>?</v>
      </c>
      <c r="Q15" s="87" t="str">
        <f aca="false">IF(OR(Q16="ER",Q17="ER"),"ER",IF(OR(Q16="?",Q17="?"),"?",IF(AND(Q16="NA",Q17="NA"),"NA",SUM(Q16,Q17)/((Q16&lt;&gt;"NA")*$H$16+(Q17&lt;&gt;"NA")*$H$17)*$H15)))</f>
        <v>?</v>
      </c>
      <c r="R15" s="87" t="str">
        <f aca="false">IF(OR(R16="ER",R17="ER"),"ER",IF(OR(R16="?",R17="?"),"?",IF(AND(R16="NA",R17="NA"),"NA",SUM(R16,R17)/((R16&lt;&gt;"NA")*$H$16+(R17&lt;&gt;"NA")*$H$17)*$H15)))</f>
        <v>?</v>
      </c>
      <c r="S15" s="87" t="str">
        <f aca="false">IF(OR(S16="ER",S17="ER"),"ER",IF(OR(S16="?",S17="?"),"?",IF(AND(S16="NA",S17="NA"),"NA",SUM(S16,S17)/((S16&lt;&gt;"NA")*$H$16+(S17&lt;&gt;"NA")*$H$17)*$H15)))</f>
        <v>?</v>
      </c>
      <c r="T15" s="87" t="str">
        <f aca="false">IF(OR(T16="ER",T17="ER"),"ER",IF(OR(T16="?",T17="?"),"?",IF(AND(T16="NA",T17="NA"),"NA",SUM(T16,T17)/((T16&lt;&gt;"NA")*$H$16+(T17&lt;&gt;"NA")*$H$17)*$H15)))</f>
        <v>?</v>
      </c>
      <c r="U15" s="87" t="str">
        <f aca="false">IF(OR(U16="ER",U17="ER"),"ER",IF(OR(U16="?",U17="?"),"?",IF(AND(U16="NA",U17="NA"),"NA",SUM(U16,U17)/((U16&lt;&gt;"NA")*$H$16+(U17&lt;&gt;"NA")*$H$17)*$H15)))</f>
        <v>?</v>
      </c>
      <c r="V15" s="87" t="str">
        <f aca="false">IF(OR(V16="ER",V17="ER"),"ER",IF(OR(V16="?",V17="?"),"?",IF(AND(V16="NA",V17="NA"),"NA",SUM(V16,V17)/((V16&lt;&gt;"NA")*$H$16+(V17&lt;&gt;"NA")*$H$17)*$H15)))</f>
        <v>?</v>
      </c>
      <c r="W15" s="87" t="str">
        <f aca="false">IF(OR(W16="ER",W17="ER"),"ER",IF(OR(W16="?",W17="?"),"?",IF(AND(W16="NA",W17="NA"),"NA",SUM(W16,W17)/((W16&lt;&gt;"NA")*$H$16+(W17&lt;&gt;"NA")*$H$17)*$H15)))</f>
        <v>?</v>
      </c>
      <c r="X15" s="87" t="str">
        <f aca="false">IF(OR(X16="ER",X17="ER"),"ER",IF(OR(X16="?",X17="?"),"?",IF(AND(X16="NA",X17="NA"),"NA",SUM(X16,X17)/((X16&lt;&gt;"NA")*$H$16+(X17&lt;&gt;"NA")*$H$17)*$H15)))</f>
        <v>?</v>
      </c>
      <c r="Y15" s="87" t="str">
        <f aca="false">IF(OR(Y16="ER",Y17="ER"),"ER",IF(OR(Y16="?",Y17="?"),"?",IF(AND(Y16="NA",Y17="NA"),"NA",SUM(Y16,Y17)/((Y16&lt;&gt;"NA")*$H$16+(Y17&lt;&gt;"NA")*$H$17)*$H15)))</f>
        <v>?</v>
      </c>
      <c r="Z15" s="87" t="str">
        <f aca="false">IF(OR(Z16="ER",Z17="ER"),"ER",IF(OR(Z16="?",Z17="?"),"?",IF(AND(Z16="NA",Z17="NA"),"NA",SUM(Z16,Z17)/((Z16&lt;&gt;"NA")*$H$16+(Z17&lt;&gt;"NA")*$H$17)*$H15)))</f>
        <v>?</v>
      </c>
      <c r="AA15" s="87" t="str">
        <f aca="false">IF(OR(AA16="ER",AA17="ER"),"ER",IF(OR(AA16="?",AA17="?"),"?",IF(AND(AA16="NA",AA17="NA"),"NA",SUM(AA16,AA17)/((AA16&lt;&gt;"NA")*$H$16+(AA17&lt;&gt;"NA")*$H$17)*$H15)))</f>
        <v>?</v>
      </c>
      <c r="AB15" s="87" t="str">
        <f aca="false">IF(OR(AB16="ER",AB17="ER"),"ER",IF(OR(AB16="?",AB17="?"),"?",IF(AND(AB16="NA",AB17="NA"),"NA",SUM(AB16,AB17)/((AB16&lt;&gt;"NA")*$H$16+(AB17&lt;&gt;"NA")*$H$17)*$H15)))</f>
        <v>?</v>
      </c>
      <c r="AC15" s="87" t="str">
        <f aca="false">IF(OR(AC16="ER",AC17="ER"),"ER",IF(OR(AC16="?",AC17="?"),"?",IF(AND(AC16="NA",AC17="NA"),"NA",SUM(AC16,AC17)/((AC16&lt;&gt;"NA")*$H$16+(AC17&lt;&gt;"NA")*$H$17)*$H15)))</f>
        <v>?</v>
      </c>
      <c r="AD15" s="87" t="str">
        <f aca="false">IF(OR(AD16="ER",AD17="ER"),"ER",IF(OR(AD16="?",AD17="?"),"?",IF(AND(AD16="NA",AD17="NA"),"NA",SUM(AD16,AD17)/((AD16&lt;&gt;"NA")*$H$16+(AD17&lt;&gt;"NA")*$H$17)*$H15)))</f>
        <v>?</v>
      </c>
      <c r="AE15" s="87" t="str">
        <f aca="false">IF(OR(AE16="ER",AE17="ER"),"ER",IF(OR(AE16="?",AE17="?"),"?",IF(AND(AE16="NA",AE17="NA"),"NA",SUM(AE16,AE17)/((AE16&lt;&gt;"NA")*$H$16+(AE17&lt;&gt;"NA")*$H$17)*$H15)))</f>
        <v>?</v>
      </c>
      <c r="AF15" s="87" t="str">
        <f aca="false">IF(OR(AF16="ER",AF17="ER"),"ER",IF(OR(AF16="?",AF17="?"),"?",IF(AND(AF16="NA",AF17="NA"),"NA",SUM(AF16,AF17)/((AF16&lt;&gt;"NA")*$H$16+(AF17&lt;&gt;"NA")*$H$17)*$H15)))</f>
        <v>?</v>
      </c>
      <c r="AG15" s="87" t="str">
        <f aca="false">IF(OR(AG16="ER",AG17="ER"),"ER",IF(OR(AG16="?",AG17="?"),"?",IF(AND(AG16="NA",AG17="NA"),"NA",SUM(AG16,AG17)/((AG16&lt;&gt;"NA")*$H$16+(AG17&lt;&gt;"NA")*$H$17)*$H15)))</f>
        <v>?</v>
      </c>
      <c r="AH15" s="87" t="str">
        <f aca="false">IF(OR(AH16="ER",AH17="ER"),"ER",IF(OR(AH16="?",AH17="?"),"?",IF(AND(AH16="NA",AH17="NA"),"NA",SUM(AH16,AH17)/((AH16&lt;&gt;"NA")*$H$16+(AH17&lt;&gt;"NA")*$H$17)*$H15)))</f>
        <v>?</v>
      </c>
      <c r="AI15" s="87" t="str">
        <f aca="false">IF(OR(AI16="ER",AI17="ER"),"ER",IF(OR(AI16="?",AI17="?"),"?",IF(AND(AI16="NA",AI17="NA"),"NA",SUM(AI16,AI17)/((AI16&lt;&gt;"NA")*$H$16+(AI17&lt;&gt;"NA")*$H$17)*$H15)))</f>
        <v>?</v>
      </c>
      <c r="AJ15" s="87" t="str">
        <f aca="false">IF(OR(AJ16="ER",AJ17="ER"),"ER",IF(OR(AJ16="?",AJ17="?"),"?",IF(AND(AJ16="NA",AJ17="NA"),"NA",SUM(AJ16,AJ17)/((AJ16&lt;&gt;"NA")*$H$16+(AJ17&lt;&gt;"NA")*$H$17)*$H15)))</f>
        <v>?</v>
      </c>
      <c r="AK15" s="87" t="str">
        <f aca="false">IF(OR(AK16="ER",AK17="ER"),"ER",IF(OR(AK16="?",AK17="?"),"?",IF(AND(AK16="NA",AK17="NA"),"NA",SUM(AK16,AK17)/((AK16&lt;&gt;"NA")*$H$16+(AK17&lt;&gt;"NA")*$H$17)*$H15)))</f>
        <v>?</v>
      </c>
    </row>
    <row r="16" customFormat="false" ht="25.5" hidden="false" customHeight="true" outlineLevel="0" collapsed="false">
      <c r="A16" s="83" t="s">
        <v>116</v>
      </c>
      <c r="B16" s="84" t="str">
        <f aca="false">IF(ISBLANK($A16),"NO_CODE",VLOOKUP($A16,'UPD Questions_290926 '!$E$1:$N$300,MATCH(B$1,'UPD Questions_290926 '!$E$1:$N$1,0),0)&amp;"")</f>
        <v>Planning </v>
      </c>
      <c r="C16" s="85" t="str">
        <f aca="false">IF(ISBLANK($A16),"NO_CODE",VLOOKUP($A16,'UPD Questions_290926 '!$E$1:$N$300,MATCH(C$1,'UPD Questions_290926 '!$E$1:$N$1,0),0)&amp;"")</f>
        <v>Legal and institutional planning architecture</v>
      </c>
      <c r="D16" s="84" t="str">
        <f aca="false">IF(ISBLANK($A16),"NO_CODE",VLOOKUP($A16,'UPD Questions_290926 '!$E$1:$N$300,MATCH(D$1,'UPD Questions_290926 '!$E$1:$N$1,0),0)&amp;"")</f>
        <v>Metropolitan and district planning institutions</v>
      </c>
      <c r="E16" s="84" t="str">
        <f aca="false">IF(ISBLANK($A16),"NO_CODE",VLOOKUP($A16,'UPD Questions_290926 '!$E$1:$N$300,MATCH(E$1,'UPD Questions_290926 '!$E$1:$N$1,0),0)&amp;"")</f>
        <v>SQ</v>
      </c>
      <c r="F16" s="84" t="str">
        <f aca="false">IF(ISBLANK($A16),"NO_CODE",VLOOKUP($A16,'UPD Questions_290926 '!$E$1:$N$300,MATCH(F$1,'UPD Questions_290926 '!$E$1:$N$1,0),0)&amp;"")</f>
        <v>Does the law provide for the constitution of an MPC/DPC?</v>
      </c>
      <c r="G16" s="84" t="str">
        <f aca="false">IF(ISBLANK($A16),"NO_CODE",VLOOKUP($A16,'UPD Questions_290926 '!$E$1:$N$300,MATCH(G$1,'UPD Questions_290926 '!$E$1:$N$1,0),0)&amp;"")</f>
        <v>Law/Policy</v>
      </c>
      <c r="H16" s="86" t="n">
        <f aca="false">IF(ISBLANK($A16),"NO_CODE",VLOOKUP($A16,'UPD Questions_290926 '!$E$1:$N$300,MATCH(H$1,'UPD Questions_290926 '!$E$1:$N$1,0),0))</f>
        <v>5</v>
      </c>
      <c r="I16" s="87" t="str">
        <f aca="true">IF($H16=0,"NA",IF($A16=INDIRECT("'"&amp;$A16&amp;"'!$B$1"),IF(VLOOKUP(I$1,INDIRECT("'"&amp;$A16&amp;"'!$A$12:$Z$41"),MATCH("Points (Auto-generate)",INDIRECT("'"&amp;$A16&amp;"'!$A$12:$Z$12"),0),0)="","?",VLOOKUP(I$1,INDIRECT("'"&amp;$A16&amp;"'!$A$12:$Z$41"),MATCH("Points (Auto-generate)",INDIRECT("'"&amp;$A16&amp;"'!$A$12:$Z$12"),0),0)),"ER"))</f>
        <v>?</v>
      </c>
      <c r="J16" s="87" t="str">
        <f aca="true">IF($H16=0,"NA",IF($A16=INDIRECT("'"&amp;$A16&amp;"'!$B$1"),IF(VLOOKUP(J$1,INDIRECT("'"&amp;$A16&amp;"'!$A$12:$Z$41"),MATCH("Points (Auto-generate)",INDIRECT("'"&amp;$A16&amp;"'!$A$12:$Z$12"),0),0)="","?",VLOOKUP(J$1,INDIRECT("'"&amp;$A16&amp;"'!$A$12:$Z$41"),MATCH("Points (Auto-generate)",INDIRECT("'"&amp;$A16&amp;"'!$A$12:$Z$12"),0),0)),"ER"))</f>
        <v>?</v>
      </c>
      <c r="K16" s="87" t="str">
        <f aca="true">IF($H16=0,"NA",IF($A16=INDIRECT("'"&amp;$A16&amp;"'!$B$1"),IF(VLOOKUP(K$1,INDIRECT("'"&amp;$A16&amp;"'!$A$12:$Z$41"),MATCH("Points (Auto-generate)",INDIRECT("'"&amp;$A16&amp;"'!$A$12:$Z$12"),0),0)="","?",VLOOKUP(K$1,INDIRECT("'"&amp;$A16&amp;"'!$A$12:$Z$41"),MATCH("Points (Auto-generate)",INDIRECT("'"&amp;$A16&amp;"'!$A$12:$Z$12"),0),0)),"ER"))</f>
        <v>?</v>
      </c>
      <c r="L16" s="87" t="str">
        <f aca="true">IF($H16=0,"NA",IF($A16=INDIRECT("'"&amp;$A16&amp;"'!$B$1"),IF(VLOOKUP(L$1,INDIRECT("'"&amp;$A16&amp;"'!$A$12:$Z$41"),MATCH("Points (Auto-generate)",INDIRECT("'"&amp;$A16&amp;"'!$A$12:$Z$12"),0),0)="","?",VLOOKUP(L$1,INDIRECT("'"&amp;$A16&amp;"'!$A$12:$Z$41"),MATCH("Points (Auto-generate)",INDIRECT("'"&amp;$A16&amp;"'!$A$12:$Z$12"),0),0)),"ER"))</f>
        <v>?</v>
      </c>
      <c r="M16" s="87" t="str">
        <f aca="true">IF($H16=0,"NA",IF($A16=INDIRECT("'"&amp;$A16&amp;"'!$B$1"),IF(VLOOKUP(M$1,INDIRECT("'"&amp;$A16&amp;"'!$A$12:$Z$41"),MATCH("Points (Auto-generate)",INDIRECT("'"&amp;$A16&amp;"'!$A$12:$Z$12"),0),0)="","?",VLOOKUP(M$1,INDIRECT("'"&amp;$A16&amp;"'!$A$12:$Z$41"),MATCH("Points (Auto-generate)",INDIRECT("'"&amp;$A16&amp;"'!$A$12:$Z$12"),0),0)),"ER"))</f>
        <v>?</v>
      </c>
      <c r="N16" s="87" t="str">
        <f aca="true">IF($H16=0,"NA",IF($A16=INDIRECT("'"&amp;$A16&amp;"'!$B$1"),IF(VLOOKUP(N$1,INDIRECT("'"&amp;$A16&amp;"'!$A$12:$Z$41"),MATCH("Points (Auto-generate)",INDIRECT("'"&amp;$A16&amp;"'!$A$12:$Z$12"),0),0)="","?",VLOOKUP(N$1,INDIRECT("'"&amp;$A16&amp;"'!$A$12:$Z$41"),MATCH("Points (Auto-generate)",INDIRECT("'"&amp;$A16&amp;"'!$A$12:$Z$12"),0),0)),"ER"))</f>
        <v>?</v>
      </c>
      <c r="O16" s="87" t="str">
        <f aca="true">IF($H16=0,"NA",IF($A16=INDIRECT("'"&amp;$A16&amp;"'!$B$1"),IF(VLOOKUP(O$1,INDIRECT("'"&amp;$A16&amp;"'!$A$12:$Z$41"),MATCH("Points (Auto-generate)",INDIRECT("'"&amp;$A16&amp;"'!$A$12:$Z$12"),0),0)="","?",VLOOKUP(O$1,INDIRECT("'"&amp;$A16&amp;"'!$A$12:$Z$41"),MATCH("Points (Auto-generate)",INDIRECT("'"&amp;$A16&amp;"'!$A$12:$Z$12"),0),0)),"ER"))</f>
        <v>?</v>
      </c>
      <c r="P16" s="87" t="str">
        <f aca="true">IF($H16=0,"NA",IF($A16=INDIRECT("'"&amp;$A16&amp;"'!$B$1"),IF(VLOOKUP(P$1,INDIRECT("'"&amp;$A16&amp;"'!$A$12:$Z$41"),MATCH("Points (Auto-generate)",INDIRECT("'"&amp;$A16&amp;"'!$A$12:$Z$12"),0),0)="","?",VLOOKUP(P$1,INDIRECT("'"&amp;$A16&amp;"'!$A$12:$Z$41"),MATCH("Points (Auto-generate)",INDIRECT("'"&amp;$A16&amp;"'!$A$12:$Z$12"),0),0)),"ER"))</f>
        <v>?</v>
      </c>
      <c r="Q16" s="87" t="str">
        <f aca="true">IF($H16=0,"NA",IF($A16=INDIRECT("'"&amp;$A16&amp;"'!$B$1"),IF(VLOOKUP(Q$1,INDIRECT("'"&amp;$A16&amp;"'!$A$12:$Z$41"),MATCH("Points (Auto-generate)",INDIRECT("'"&amp;$A16&amp;"'!$A$12:$Z$12"),0),0)="","?",VLOOKUP(Q$1,INDIRECT("'"&amp;$A16&amp;"'!$A$12:$Z$41"),MATCH("Points (Auto-generate)",INDIRECT("'"&amp;$A16&amp;"'!$A$12:$Z$12"),0),0)),"ER"))</f>
        <v>?</v>
      </c>
      <c r="R16" s="87" t="str">
        <f aca="true">IF($H16=0,"NA",IF($A16=INDIRECT("'"&amp;$A16&amp;"'!$B$1"),IF(VLOOKUP(R$1,INDIRECT("'"&amp;$A16&amp;"'!$A$12:$Z$41"),MATCH("Points (Auto-generate)",INDIRECT("'"&amp;$A16&amp;"'!$A$12:$Z$12"),0),0)="","?",VLOOKUP(R$1,INDIRECT("'"&amp;$A16&amp;"'!$A$12:$Z$41"),MATCH("Points (Auto-generate)",INDIRECT("'"&amp;$A16&amp;"'!$A$12:$Z$12"),0),0)),"ER"))</f>
        <v>?</v>
      </c>
      <c r="S16" s="87" t="str">
        <f aca="true">IF($H16=0,"NA",IF($A16=INDIRECT("'"&amp;$A16&amp;"'!$B$1"),IF(VLOOKUP(S$1,INDIRECT("'"&amp;$A16&amp;"'!$A$12:$Z$41"),MATCH("Points (Auto-generate)",INDIRECT("'"&amp;$A16&amp;"'!$A$12:$Z$12"),0),0)="","?",VLOOKUP(S$1,INDIRECT("'"&amp;$A16&amp;"'!$A$12:$Z$41"),MATCH("Points (Auto-generate)",INDIRECT("'"&amp;$A16&amp;"'!$A$12:$Z$12"),0),0)),"ER"))</f>
        <v>?</v>
      </c>
      <c r="T16" s="87" t="str">
        <f aca="true">IF($H16=0,"NA",IF($A16=INDIRECT("'"&amp;$A16&amp;"'!$B$1"),IF(VLOOKUP(T$1,INDIRECT("'"&amp;$A16&amp;"'!$A$12:$Z$41"),MATCH("Points (Auto-generate)",INDIRECT("'"&amp;$A16&amp;"'!$A$12:$Z$12"),0),0)="","?",VLOOKUP(T$1,INDIRECT("'"&amp;$A16&amp;"'!$A$12:$Z$41"),MATCH("Points (Auto-generate)",INDIRECT("'"&amp;$A16&amp;"'!$A$12:$Z$12"),0),0)),"ER"))</f>
        <v>?</v>
      </c>
      <c r="U16" s="87" t="str">
        <f aca="true">IF($H16=0,"NA",IF($A16=INDIRECT("'"&amp;$A16&amp;"'!$B$1"),IF(VLOOKUP(U$1,INDIRECT("'"&amp;$A16&amp;"'!$A$12:$Z$41"),MATCH("Points (Auto-generate)",INDIRECT("'"&amp;$A16&amp;"'!$A$12:$Z$12"),0),0)="","?",VLOOKUP(U$1,INDIRECT("'"&amp;$A16&amp;"'!$A$12:$Z$41"),MATCH("Points (Auto-generate)",INDIRECT("'"&amp;$A16&amp;"'!$A$12:$Z$12"),0),0)),"ER"))</f>
        <v>?</v>
      </c>
      <c r="V16" s="87" t="str">
        <f aca="true">IF($H16=0,"NA",IF($A16=INDIRECT("'"&amp;$A16&amp;"'!$B$1"),IF(VLOOKUP(V$1,INDIRECT("'"&amp;$A16&amp;"'!$A$12:$Z$41"),MATCH("Points (Auto-generate)",INDIRECT("'"&amp;$A16&amp;"'!$A$12:$Z$12"),0),0)="","?",VLOOKUP(V$1,INDIRECT("'"&amp;$A16&amp;"'!$A$12:$Z$41"),MATCH("Points (Auto-generate)",INDIRECT("'"&amp;$A16&amp;"'!$A$12:$Z$12"),0),0)),"ER"))</f>
        <v>?</v>
      </c>
      <c r="W16" s="87" t="str">
        <f aca="true">IF($H16=0,"NA",IF($A16=INDIRECT("'"&amp;$A16&amp;"'!$B$1"),IF(VLOOKUP(W$1,INDIRECT("'"&amp;$A16&amp;"'!$A$12:$Z$41"),MATCH("Points (Auto-generate)",INDIRECT("'"&amp;$A16&amp;"'!$A$12:$Z$12"),0),0)="","?",VLOOKUP(W$1,INDIRECT("'"&amp;$A16&amp;"'!$A$12:$Z$41"),MATCH("Points (Auto-generate)",INDIRECT("'"&amp;$A16&amp;"'!$A$12:$Z$12"),0),0)),"ER"))</f>
        <v>?</v>
      </c>
      <c r="X16" s="87" t="str">
        <f aca="true">IF($H16=0,"NA",IF($A16=INDIRECT("'"&amp;$A16&amp;"'!$B$1"),IF(VLOOKUP(X$1,INDIRECT("'"&amp;$A16&amp;"'!$A$12:$Z$41"),MATCH("Points (Auto-generate)",INDIRECT("'"&amp;$A16&amp;"'!$A$12:$Z$12"),0),0)="","?",VLOOKUP(X$1,INDIRECT("'"&amp;$A16&amp;"'!$A$12:$Z$41"),MATCH("Points (Auto-generate)",INDIRECT("'"&amp;$A16&amp;"'!$A$12:$Z$12"),0),0)),"ER"))</f>
        <v>?</v>
      </c>
      <c r="Y16" s="87" t="str">
        <f aca="true">IF($H16=0,"NA",IF($A16=INDIRECT("'"&amp;$A16&amp;"'!$B$1"),IF(VLOOKUP(Y$1,INDIRECT("'"&amp;$A16&amp;"'!$A$12:$Z$41"),MATCH("Points (Auto-generate)",INDIRECT("'"&amp;$A16&amp;"'!$A$12:$Z$12"),0),0)="","?",VLOOKUP(Y$1,INDIRECT("'"&amp;$A16&amp;"'!$A$12:$Z$41"),MATCH("Points (Auto-generate)",INDIRECT("'"&amp;$A16&amp;"'!$A$12:$Z$12"),0),0)),"ER"))</f>
        <v>?</v>
      </c>
      <c r="Z16" s="87" t="str">
        <f aca="true">IF($H16=0,"NA",IF($A16=INDIRECT("'"&amp;$A16&amp;"'!$B$1"),IF(VLOOKUP(Z$1,INDIRECT("'"&amp;$A16&amp;"'!$A$12:$Z$41"),MATCH("Points (Auto-generate)",INDIRECT("'"&amp;$A16&amp;"'!$A$12:$Z$12"),0),0)="","?",VLOOKUP(Z$1,INDIRECT("'"&amp;$A16&amp;"'!$A$12:$Z$41"),MATCH("Points (Auto-generate)",INDIRECT("'"&amp;$A16&amp;"'!$A$12:$Z$12"),0),0)),"ER"))</f>
        <v>?</v>
      </c>
      <c r="AA16" s="87" t="str">
        <f aca="true">IF($H16=0,"NA",IF($A16=INDIRECT("'"&amp;$A16&amp;"'!$B$1"),IF(VLOOKUP(AA$1,INDIRECT("'"&amp;$A16&amp;"'!$A$12:$Z$41"),MATCH("Points (Auto-generate)",INDIRECT("'"&amp;$A16&amp;"'!$A$12:$Z$12"),0),0)="","?",VLOOKUP(AA$1,INDIRECT("'"&amp;$A16&amp;"'!$A$12:$Z$41"),MATCH("Points (Auto-generate)",INDIRECT("'"&amp;$A16&amp;"'!$A$12:$Z$12"),0),0)),"ER"))</f>
        <v>?</v>
      </c>
      <c r="AB16" s="87" t="str">
        <f aca="true">IF($H16=0,"NA",IF($A16=INDIRECT("'"&amp;$A16&amp;"'!$B$1"),IF(VLOOKUP(AB$1,INDIRECT("'"&amp;$A16&amp;"'!$A$12:$Z$41"),MATCH("Points (Auto-generate)",INDIRECT("'"&amp;$A16&amp;"'!$A$12:$Z$12"),0),0)="","?",VLOOKUP(AB$1,INDIRECT("'"&amp;$A16&amp;"'!$A$12:$Z$41"),MATCH("Points (Auto-generate)",INDIRECT("'"&amp;$A16&amp;"'!$A$12:$Z$12"),0),0)),"ER"))</f>
        <v>?</v>
      </c>
      <c r="AC16" s="87" t="str">
        <f aca="true">IF($H16=0,"NA",IF($A16=INDIRECT("'"&amp;$A16&amp;"'!$B$1"),IF(VLOOKUP(AC$1,INDIRECT("'"&amp;$A16&amp;"'!$A$12:$Z$41"),MATCH("Points (Auto-generate)",INDIRECT("'"&amp;$A16&amp;"'!$A$12:$Z$12"),0),0)="","?",VLOOKUP(AC$1,INDIRECT("'"&amp;$A16&amp;"'!$A$12:$Z$41"),MATCH("Points (Auto-generate)",INDIRECT("'"&amp;$A16&amp;"'!$A$12:$Z$12"),0),0)),"ER"))</f>
        <v>?</v>
      </c>
      <c r="AD16" s="87" t="str">
        <f aca="true">IF($H16=0,"NA",IF($A16=INDIRECT("'"&amp;$A16&amp;"'!$B$1"),IF(VLOOKUP(AD$1,INDIRECT("'"&amp;$A16&amp;"'!$A$12:$Z$41"),MATCH("Points (Auto-generate)",INDIRECT("'"&amp;$A16&amp;"'!$A$12:$Z$12"),0),0)="","?",VLOOKUP(AD$1,INDIRECT("'"&amp;$A16&amp;"'!$A$12:$Z$41"),MATCH("Points (Auto-generate)",INDIRECT("'"&amp;$A16&amp;"'!$A$12:$Z$12"),0),0)),"ER"))</f>
        <v>?</v>
      </c>
      <c r="AE16" s="87" t="str">
        <f aca="true">IF($H16=0,"NA",IF($A16=INDIRECT("'"&amp;$A16&amp;"'!$B$1"),IF(VLOOKUP(AE$1,INDIRECT("'"&amp;$A16&amp;"'!$A$12:$Z$41"),MATCH("Points (Auto-generate)",INDIRECT("'"&amp;$A16&amp;"'!$A$12:$Z$12"),0),0)="","?",VLOOKUP(AE$1,INDIRECT("'"&amp;$A16&amp;"'!$A$12:$Z$41"),MATCH("Points (Auto-generate)",INDIRECT("'"&amp;$A16&amp;"'!$A$12:$Z$12"),0),0)),"ER"))</f>
        <v>?</v>
      </c>
      <c r="AF16" s="87" t="str">
        <f aca="true">IF($H16=0,"NA",IF($A16=INDIRECT("'"&amp;$A16&amp;"'!$B$1"),IF(VLOOKUP(AF$1,INDIRECT("'"&amp;$A16&amp;"'!$A$12:$Z$41"),MATCH("Points (Auto-generate)",INDIRECT("'"&amp;$A16&amp;"'!$A$12:$Z$12"),0),0)="","?",VLOOKUP(AF$1,INDIRECT("'"&amp;$A16&amp;"'!$A$12:$Z$41"),MATCH("Points (Auto-generate)",INDIRECT("'"&amp;$A16&amp;"'!$A$12:$Z$12"),0),0)),"ER"))</f>
        <v>?</v>
      </c>
      <c r="AG16" s="87" t="str">
        <f aca="true">IF($H16=0,"NA",IF($A16=INDIRECT("'"&amp;$A16&amp;"'!$B$1"),IF(VLOOKUP(AG$1,INDIRECT("'"&amp;$A16&amp;"'!$A$12:$Z$41"),MATCH("Points (Auto-generate)",INDIRECT("'"&amp;$A16&amp;"'!$A$12:$Z$12"),0),0)="","?",VLOOKUP(AG$1,INDIRECT("'"&amp;$A16&amp;"'!$A$12:$Z$41"),MATCH("Points (Auto-generate)",INDIRECT("'"&amp;$A16&amp;"'!$A$12:$Z$12"),0),0)),"ER"))</f>
        <v>?</v>
      </c>
      <c r="AH16" s="87" t="str">
        <f aca="true">IF($H16=0,"NA",IF($A16=INDIRECT("'"&amp;$A16&amp;"'!$B$1"),IF(VLOOKUP(AH$1,INDIRECT("'"&amp;$A16&amp;"'!$A$12:$Z$41"),MATCH("Points (Auto-generate)",INDIRECT("'"&amp;$A16&amp;"'!$A$12:$Z$12"),0),0)="","?",VLOOKUP(AH$1,INDIRECT("'"&amp;$A16&amp;"'!$A$12:$Z$41"),MATCH("Points (Auto-generate)",INDIRECT("'"&amp;$A16&amp;"'!$A$12:$Z$12"),0),0)),"ER"))</f>
        <v>?</v>
      </c>
      <c r="AI16" s="87" t="str">
        <f aca="true">IF($H16=0,"NA",IF($A16=INDIRECT("'"&amp;$A16&amp;"'!$B$1"),IF(VLOOKUP(AI$1,INDIRECT("'"&amp;$A16&amp;"'!$A$12:$Z$41"),MATCH("Points (Auto-generate)",INDIRECT("'"&amp;$A16&amp;"'!$A$12:$Z$12"),0),0)="","?",VLOOKUP(AI$1,INDIRECT("'"&amp;$A16&amp;"'!$A$12:$Z$41"),MATCH("Points (Auto-generate)",INDIRECT("'"&amp;$A16&amp;"'!$A$12:$Z$12"),0),0)),"ER"))</f>
        <v>?</v>
      </c>
      <c r="AJ16" s="87" t="str">
        <f aca="true">IF($H16=0,"NA",IF($A16=INDIRECT("'"&amp;$A16&amp;"'!$B$1"),IF(VLOOKUP(AJ$1,INDIRECT("'"&amp;$A16&amp;"'!$A$12:$Z$41"),MATCH("Points (Auto-generate)",INDIRECT("'"&amp;$A16&amp;"'!$A$12:$Z$12"),0),0)="","?",VLOOKUP(AJ$1,INDIRECT("'"&amp;$A16&amp;"'!$A$12:$Z$41"),MATCH("Points (Auto-generate)",INDIRECT("'"&amp;$A16&amp;"'!$A$12:$Z$12"),0),0)),"ER"))</f>
        <v>?</v>
      </c>
      <c r="AK16" s="87" t="str">
        <f aca="true">IF($H16=0,"NA",IF($A16=INDIRECT("'"&amp;$A16&amp;"'!$B$1"),IF(VLOOKUP(AK$1,INDIRECT("'"&amp;$A16&amp;"'!$A$12:$Z$41"),MATCH("Points (Auto-generate)",INDIRECT("'"&amp;$A16&amp;"'!$A$12:$Z$12"),0),0)="","?",VLOOKUP(AK$1,INDIRECT("'"&amp;$A16&amp;"'!$A$12:$Z$41"),MATCH("Points (Auto-generate)",INDIRECT("'"&amp;$A16&amp;"'!$A$12:$Z$12"),0),0)),"ER"))</f>
        <v>?</v>
      </c>
    </row>
    <row r="17" customFormat="false" ht="25.5" hidden="false" customHeight="true" outlineLevel="0" collapsed="false">
      <c r="A17" s="83" t="s">
        <v>128</v>
      </c>
      <c r="B17" s="84" t="str">
        <f aca="false">IF(ISBLANK($A17),"NO_CODE",VLOOKUP($A17,'UPD Questions_290926 '!$E$1:$N$300,MATCH(B$1,'UPD Questions_290926 '!$E$1:$N$1,0),0)&amp;"")</f>
        <v>Planning </v>
      </c>
      <c r="C17" s="85" t="str">
        <f aca="false">IF(ISBLANK($A17),"NO_CODE",VLOOKUP($A17,'UPD Questions_290926 '!$E$1:$N$300,MATCH(C$1,'UPD Questions_290926 '!$E$1:$N$1,0),0)&amp;"")</f>
        <v>Legal and institutional planning architecture</v>
      </c>
      <c r="D17" s="84" t="str">
        <f aca="false">IF(ISBLANK($A17),"NO_CODE",VLOOKUP($A17,'UPD Questions_290926 '!$E$1:$N$300,MATCH(D$1,'UPD Questions_290926 '!$E$1:$N$1,0),0)&amp;"")</f>
        <v>Metropolitan and district planning institutions</v>
      </c>
      <c r="E17" s="84" t="str">
        <f aca="false">IF(ISBLANK($A17),"NO_CODE",VLOOKUP($A17,'UPD Questions_290926 '!$E$1:$N$300,MATCH(E$1,'UPD Questions_290926 '!$E$1:$N$1,0),0)&amp;"")</f>
        <v>SQ</v>
      </c>
      <c r="F17" s="84" t="str">
        <f aca="false">IF(ISBLANK($A17),"NO_CODE",VLOOKUP($A17,'UPD Questions_290926 '!$E$1:$N$300,MATCH(F$1,'UPD Questions_290926 '!$E$1:$N$1,0),0)&amp;"")</f>
        <v>Have they met at least once in the past two years?</v>
      </c>
      <c r="G17" s="84" t="str">
        <f aca="false">IF(ISBLANK($A17),"NO_CODE",VLOOKUP($A17,'UPD Questions_290926 '!$E$1:$N$300,MATCH(G$1,'UPD Questions_290926 '!$E$1:$N$1,0),0)&amp;"")</f>
        <v>Implementation</v>
      </c>
      <c r="H17" s="86" t="n">
        <f aca="false">IF(ISBLANK($A17),"NO_CODE",VLOOKUP($A17,'UPD Questions_290926 '!$E$1:$N$300,MATCH(H$1,'UPD Questions_290926 '!$E$1:$N$1,0),0))</f>
        <v>5</v>
      </c>
      <c r="I17" s="87" t="str">
        <f aca="true">IF($H17=0,"NA",IF($A17=INDIRECT("'"&amp;$A17&amp;"'!$B$1"),IF(VLOOKUP(I$1,INDIRECT("'"&amp;$A17&amp;"'!$A$12:$Z$41"),MATCH("Points (Auto-generate)",INDIRECT("'"&amp;$A17&amp;"'!$A$12:$Z$12"),0),0)="","?",VLOOKUP(I$1,INDIRECT("'"&amp;$A17&amp;"'!$A$12:$Z$41"),MATCH("Points (Auto-generate)",INDIRECT("'"&amp;$A17&amp;"'!$A$12:$Z$12"),0),0)),"ER"))</f>
        <v>?</v>
      </c>
      <c r="J17" s="87" t="str">
        <f aca="true">IF($H17=0,"NA",IF($A17=INDIRECT("'"&amp;$A17&amp;"'!$B$1"),IF(VLOOKUP(J$1,INDIRECT("'"&amp;$A17&amp;"'!$A$12:$Z$41"),MATCH("Points (Auto-generate)",INDIRECT("'"&amp;$A17&amp;"'!$A$12:$Z$12"),0),0)="","?",VLOOKUP(J$1,INDIRECT("'"&amp;$A17&amp;"'!$A$12:$Z$41"),MATCH("Points (Auto-generate)",INDIRECT("'"&amp;$A17&amp;"'!$A$12:$Z$12"),0),0)),"ER"))</f>
        <v>?</v>
      </c>
      <c r="K17" s="87" t="str">
        <f aca="true">IF($H17=0,"NA",IF($A17=INDIRECT("'"&amp;$A17&amp;"'!$B$1"),IF(VLOOKUP(K$1,INDIRECT("'"&amp;$A17&amp;"'!$A$12:$Z$41"),MATCH("Points (Auto-generate)",INDIRECT("'"&amp;$A17&amp;"'!$A$12:$Z$12"),0),0)="","?",VLOOKUP(K$1,INDIRECT("'"&amp;$A17&amp;"'!$A$12:$Z$41"),MATCH("Points (Auto-generate)",INDIRECT("'"&amp;$A17&amp;"'!$A$12:$Z$12"),0),0)),"ER"))</f>
        <v>?</v>
      </c>
      <c r="L17" s="87" t="str">
        <f aca="true">IF($H17=0,"NA",IF($A17=INDIRECT("'"&amp;$A17&amp;"'!$B$1"),IF(VLOOKUP(L$1,INDIRECT("'"&amp;$A17&amp;"'!$A$12:$Z$41"),MATCH("Points (Auto-generate)",INDIRECT("'"&amp;$A17&amp;"'!$A$12:$Z$12"),0),0)="","?",VLOOKUP(L$1,INDIRECT("'"&amp;$A17&amp;"'!$A$12:$Z$41"),MATCH("Points (Auto-generate)",INDIRECT("'"&amp;$A17&amp;"'!$A$12:$Z$12"),0),0)),"ER"))</f>
        <v>?</v>
      </c>
      <c r="M17" s="87" t="str">
        <f aca="true">IF($H17=0,"NA",IF($A17=INDIRECT("'"&amp;$A17&amp;"'!$B$1"),IF(VLOOKUP(M$1,INDIRECT("'"&amp;$A17&amp;"'!$A$12:$Z$41"),MATCH("Points (Auto-generate)",INDIRECT("'"&amp;$A17&amp;"'!$A$12:$Z$12"),0),0)="","?",VLOOKUP(M$1,INDIRECT("'"&amp;$A17&amp;"'!$A$12:$Z$41"),MATCH("Points (Auto-generate)",INDIRECT("'"&amp;$A17&amp;"'!$A$12:$Z$12"),0),0)),"ER"))</f>
        <v>?</v>
      </c>
      <c r="N17" s="87" t="str">
        <f aca="true">IF($H17=0,"NA",IF($A17=INDIRECT("'"&amp;$A17&amp;"'!$B$1"),IF(VLOOKUP(N$1,INDIRECT("'"&amp;$A17&amp;"'!$A$12:$Z$41"),MATCH("Points (Auto-generate)",INDIRECT("'"&amp;$A17&amp;"'!$A$12:$Z$12"),0),0)="","?",VLOOKUP(N$1,INDIRECT("'"&amp;$A17&amp;"'!$A$12:$Z$41"),MATCH("Points (Auto-generate)",INDIRECT("'"&amp;$A17&amp;"'!$A$12:$Z$12"),0),0)),"ER"))</f>
        <v>?</v>
      </c>
      <c r="O17" s="87" t="str">
        <f aca="true">IF($H17=0,"NA",IF($A17=INDIRECT("'"&amp;$A17&amp;"'!$B$1"),IF(VLOOKUP(O$1,INDIRECT("'"&amp;$A17&amp;"'!$A$12:$Z$41"),MATCH("Points (Auto-generate)",INDIRECT("'"&amp;$A17&amp;"'!$A$12:$Z$12"),0),0)="","?",VLOOKUP(O$1,INDIRECT("'"&amp;$A17&amp;"'!$A$12:$Z$41"),MATCH("Points (Auto-generate)",INDIRECT("'"&amp;$A17&amp;"'!$A$12:$Z$12"),0),0)),"ER"))</f>
        <v>?</v>
      </c>
      <c r="P17" s="87" t="str">
        <f aca="true">IF($H17=0,"NA",IF($A17=INDIRECT("'"&amp;$A17&amp;"'!$B$1"),IF(VLOOKUP(P$1,INDIRECT("'"&amp;$A17&amp;"'!$A$12:$Z$41"),MATCH("Points (Auto-generate)",INDIRECT("'"&amp;$A17&amp;"'!$A$12:$Z$12"),0),0)="","?",VLOOKUP(P$1,INDIRECT("'"&amp;$A17&amp;"'!$A$12:$Z$41"),MATCH("Points (Auto-generate)",INDIRECT("'"&amp;$A17&amp;"'!$A$12:$Z$12"),0),0)),"ER"))</f>
        <v>?</v>
      </c>
      <c r="Q17" s="87" t="str">
        <f aca="true">IF($H17=0,"NA",IF($A17=INDIRECT("'"&amp;$A17&amp;"'!$B$1"),IF(VLOOKUP(Q$1,INDIRECT("'"&amp;$A17&amp;"'!$A$12:$Z$41"),MATCH("Points (Auto-generate)",INDIRECT("'"&amp;$A17&amp;"'!$A$12:$Z$12"),0),0)="","?",VLOOKUP(Q$1,INDIRECT("'"&amp;$A17&amp;"'!$A$12:$Z$41"),MATCH("Points (Auto-generate)",INDIRECT("'"&amp;$A17&amp;"'!$A$12:$Z$12"),0),0)),"ER"))</f>
        <v>?</v>
      </c>
      <c r="R17" s="87" t="str">
        <f aca="true">IF($H17=0,"NA",IF($A17=INDIRECT("'"&amp;$A17&amp;"'!$B$1"),IF(VLOOKUP(R$1,INDIRECT("'"&amp;$A17&amp;"'!$A$12:$Z$41"),MATCH("Points (Auto-generate)",INDIRECT("'"&amp;$A17&amp;"'!$A$12:$Z$12"),0),0)="","?",VLOOKUP(R$1,INDIRECT("'"&amp;$A17&amp;"'!$A$12:$Z$41"),MATCH("Points (Auto-generate)",INDIRECT("'"&amp;$A17&amp;"'!$A$12:$Z$12"),0),0)),"ER"))</f>
        <v>?</v>
      </c>
      <c r="S17" s="87" t="str">
        <f aca="true">IF($H17=0,"NA",IF($A17=INDIRECT("'"&amp;$A17&amp;"'!$B$1"),IF(VLOOKUP(S$1,INDIRECT("'"&amp;$A17&amp;"'!$A$12:$Z$41"),MATCH("Points (Auto-generate)",INDIRECT("'"&amp;$A17&amp;"'!$A$12:$Z$12"),0),0)="","?",VLOOKUP(S$1,INDIRECT("'"&amp;$A17&amp;"'!$A$12:$Z$41"),MATCH("Points (Auto-generate)",INDIRECT("'"&amp;$A17&amp;"'!$A$12:$Z$12"),0),0)),"ER"))</f>
        <v>?</v>
      </c>
      <c r="T17" s="87" t="str">
        <f aca="true">IF($H17=0,"NA",IF($A17=INDIRECT("'"&amp;$A17&amp;"'!$B$1"),IF(VLOOKUP(T$1,INDIRECT("'"&amp;$A17&amp;"'!$A$12:$Z$41"),MATCH("Points (Auto-generate)",INDIRECT("'"&amp;$A17&amp;"'!$A$12:$Z$12"),0),0)="","?",VLOOKUP(T$1,INDIRECT("'"&amp;$A17&amp;"'!$A$12:$Z$41"),MATCH("Points (Auto-generate)",INDIRECT("'"&amp;$A17&amp;"'!$A$12:$Z$12"),0),0)),"ER"))</f>
        <v>?</v>
      </c>
      <c r="U17" s="87" t="str">
        <f aca="true">IF($H17=0,"NA",IF($A17=INDIRECT("'"&amp;$A17&amp;"'!$B$1"),IF(VLOOKUP(U$1,INDIRECT("'"&amp;$A17&amp;"'!$A$12:$Z$41"),MATCH("Points (Auto-generate)",INDIRECT("'"&amp;$A17&amp;"'!$A$12:$Z$12"),0),0)="","?",VLOOKUP(U$1,INDIRECT("'"&amp;$A17&amp;"'!$A$12:$Z$41"),MATCH("Points (Auto-generate)",INDIRECT("'"&amp;$A17&amp;"'!$A$12:$Z$12"),0),0)),"ER"))</f>
        <v>?</v>
      </c>
      <c r="V17" s="87" t="str">
        <f aca="true">IF($H17=0,"NA",IF($A17=INDIRECT("'"&amp;$A17&amp;"'!$B$1"),IF(VLOOKUP(V$1,INDIRECT("'"&amp;$A17&amp;"'!$A$12:$Z$41"),MATCH("Points (Auto-generate)",INDIRECT("'"&amp;$A17&amp;"'!$A$12:$Z$12"),0),0)="","?",VLOOKUP(V$1,INDIRECT("'"&amp;$A17&amp;"'!$A$12:$Z$41"),MATCH("Points (Auto-generate)",INDIRECT("'"&amp;$A17&amp;"'!$A$12:$Z$12"),0),0)),"ER"))</f>
        <v>?</v>
      </c>
      <c r="W17" s="87" t="str">
        <f aca="true">IF($H17=0,"NA",IF($A17=INDIRECT("'"&amp;$A17&amp;"'!$B$1"),IF(VLOOKUP(W$1,INDIRECT("'"&amp;$A17&amp;"'!$A$12:$Z$41"),MATCH("Points (Auto-generate)",INDIRECT("'"&amp;$A17&amp;"'!$A$12:$Z$12"),0),0)="","?",VLOOKUP(W$1,INDIRECT("'"&amp;$A17&amp;"'!$A$12:$Z$41"),MATCH("Points (Auto-generate)",INDIRECT("'"&amp;$A17&amp;"'!$A$12:$Z$12"),0),0)),"ER"))</f>
        <v>?</v>
      </c>
      <c r="X17" s="87" t="str">
        <f aca="true">IF($H17=0,"NA",IF($A17=INDIRECT("'"&amp;$A17&amp;"'!$B$1"),IF(VLOOKUP(X$1,INDIRECT("'"&amp;$A17&amp;"'!$A$12:$Z$41"),MATCH("Points (Auto-generate)",INDIRECT("'"&amp;$A17&amp;"'!$A$12:$Z$12"),0),0)="","?",VLOOKUP(X$1,INDIRECT("'"&amp;$A17&amp;"'!$A$12:$Z$41"),MATCH("Points (Auto-generate)",INDIRECT("'"&amp;$A17&amp;"'!$A$12:$Z$12"),0),0)),"ER"))</f>
        <v>?</v>
      </c>
      <c r="Y17" s="87" t="str">
        <f aca="true">IF($H17=0,"NA",IF($A17=INDIRECT("'"&amp;$A17&amp;"'!$B$1"),IF(VLOOKUP(Y$1,INDIRECT("'"&amp;$A17&amp;"'!$A$12:$Z$41"),MATCH("Points (Auto-generate)",INDIRECT("'"&amp;$A17&amp;"'!$A$12:$Z$12"),0),0)="","?",VLOOKUP(Y$1,INDIRECT("'"&amp;$A17&amp;"'!$A$12:$Z$41"),MATCH("Points (Auto-generate)",INDIRECT("'"&amp;$A17&amp;"'!$A$12:$Z$12"),0),0)),"ER"))</f>
        <v>?</v>
      </c>
      <c r="Z17" s="87" t="str">
        <f aca="true">IF($H17=0,"NA",IF($A17=INDIRECT("'"&amp;$A17&amp;"'!$B$1"),IF(VLOOKUP(Z$1,INDIRECT("'"&amp;$A17&amp;"'!$A$12:$Z$41"),MATCH("Points (Auto-generate)",INDIRECT("'"&amp;$A17&amp;"'!$A$12:$Z$12"),0),0)="","?",VLOOKUP(Z$1,INDIRECT("'"&amp;$A17&amp;"'!$A$12:$Z$41"),MATCH("Points (Auto-generate)",INDIRECT("'"&amp;$A17&amp;"'!$A$12:$Z$12"),0),0)),"ER"))</f>
        <v>?</v>
      </c>
      <c r="AA17" s="87" t="str">
        <f aca="true">IF($H17=0,"NA",IF($A17=INDIRECT("'"&amp;$A17&amp;"'!$B$1"),IF(VLOOKUP(AA$1,INDIRECT("'"&amp;$A17&amp;"'!$A$12:$Z$41"),MATCH("Points (Auto-generate)",INDIRECT("'"&amp;$A17&amp;"'!$A$12:$Z$12"),0),0)="","?",VLOOKUP(AA$1,INDIRECT("'"&amp;$A17&amp;"'!$A$12:$Z$41"),MATCH("Points (Auto-generate)",INDIRECT("'"&amp;$A17&amp;"'!$A$12:$Z$12"),0),0)),"ER"))</f>
        <v>?</v>
      </c>
      <c r="AB17" s="87" t="str">
        <f aca="true">IF($H17=0,"NA",IF($A17=INDIRECT("'"&amp;$A17&amp;"'!$B$1"),IF(VLOOKUP(AB$1,INDIRECT("'"&amp;$A17&amp;"'!$A$12:$Z$41"),MATCH("Points (Auto-generate)",INDIRECT("'"&amp;$A17&amp;"'!$A$12:$Z$12"),0),0)="","?",VLOOKUP(AB$1,INDIRECT("'"&amp;$A17&amp;"'!$A$12:$Z$41"),MATCH("Points (Auto-generate)",INDIRECT("'"&amp;$A17&amp;"'!$A$12:$Z$12"),0),0)),"ER"))</f>
        <v>?</v>
      </c>
      <c r="AC17" s="87" t="str">
        <f aca="true">IF($H17=0,"NA",IF($A17=INDIRECT("'"&amp;$A17&amp;"'!$B$1"),IF(VLOOKUP(AC$1,INDIRECT("'"&amp;$A17&amp;"'!$A$12:$Z$41"),MATCH("Points (Auto-generate)",INDIRECT("'"&amp;$A17&amp;"'!$A$12:$Z$12"),0),0)="","?",VLOOKUP(AC$1,INDIRECT("'"&amp;$A17&amp;"'!$A$12:$Z$41"),MATCH("Points (Auto-generate)",INDIRECT("'"&amp;$A17&amp;"'!$A$12:$Z$12"),0),0)),"ER"))</f>
        <v>?</v>
      </c>
      <c r="AD17" s="87" t="str">
        <f aca="true">IF($H17=0,"NA",IF($A17=INDIRECT("'"&amp;$A17&amp;"'!$B$1"),IF(VLOOKUP(AD$1,INDIRECT("'"&amp;$A17&amp;"'!$A$12:$Z$41"),MATCH("Points (Auto-generate)",INDIRECT("'"&amp;$A17&amp;"'!$A$12:$Z$12"),0),0)="","?",VLOOKUP(AD$1,INDIRECT("'"&amp;$A17&amp;"'!$A$12:$Z$41"),MATCH("Points (Auto-generate)",INDIRECT("'"&amp;$A17&amp;"'!$A$12:$Z$12"),0),0)),"ER"))</f>
        <v>?</v>
      </c>
      <c r="AE17" s="87" t="str">
        <f aca="true">IF($H17=0,"NA",IF($A17=INDIRECT("'"&amp;$A17&amp;"'!$B$1"),IF(VLOOKUP(AE$1,INDIRECT("'"&amp;$A17&amp;"'!$A$12:$Z$41"),MATCH("Points (Auto-generate)",INDIRECT("'"&amp;$A17&amp;"'!$A$12:$Z$12"),0),0)="","?",VLOOKUP(AE$1,INDIRECT("'"&amp;$A17&amp;"'!$A$12:$Z$41"),MATCH("Points (Auto-generate)",INDIRECT("'"&amp;$A17&amp;"'!$A$12:$Z$12"),0),0)),"ER"))</f>
        <v>?</v>
      </c>
      <c r="AF17" s="87" t="str">
        <f aca="true">IF($H17=0,"NA",IF($A17=INDIRECT("'"&amp;$A17&amp;"'!$B$1"),IF(VLOOKUP(AF$1,INDIRECT("'"&amp;$A17&amp;"'!$A$12:$Z$41"),MATCH("Points (Auto-generate)",INDIRECT("'"&amp;$A17&amp;"'!$A$12:$Z$12"),0),0)="","?",VLOOKUP(AF$1,INDIRECT("'"&amp;$A17&amp;"'!$A$12:$Z$41"),MATCH("Points (Auto-generate)",INDIRECT("'"&amp;$A17&amp;"'!$A$12:$Z$12"),0),0)),"ER"))</f>
        <v>?</v>
      </c>
      <c r="AG17" s="87" t="str">
        <f aca="true">IF($H17=0,"NA",IF($A17=INDIRECT("'"&amp;$A17&amp;"'!$B$1"),IF(VLOOKUP(AG$1,INDIRECT("'"&amp;$A17&amp;"'!$A$12:$Z$41"),MATCH("Points (Auto-generate)",INDIRECT("'"&amp;$A17&amp;"'!$A$12:$Z$12"),0),0)="","?",VLOOKUP(AG$1,INDIRECT("'"&amp;$A17&amp;"'!$A$12:$Z$41"),MATCH("Points (Auto-generate)",INDIRECT("'"&amp;$A17&amp;"'!$A$12:$Z$12"),0),0)),"ER"))</f>
        <v>?</v>
      </c>
      <c r="AH17" s="87" t="str">
        <f aca="true">IF($H17=0,"NA",IF($A17=INDIRECT("'"&amp;$A17&amp;"'!$B$1"),IF(VLOOKUP(AH$1,INDIRECT("'"&amp;$A17&amp;"'!$A$12:$Z$41"),MATCH("Points (Auto-generate)",INDIRECT("'"&amp;$A17&amp;"'!$A$12:$Z$12"),0),0)="","?",VLOOKUP(AH$1,INDIRECT("'"&amp;$A17&amp;"'!$A$12:$Z$41"),MATCH("Points (Auto-generate)",INDIRECT("'"&amp;$A17&amp;"'!$A$12:$Z$12"),0),0)),"ER"))</f>
        <v>?</v>
      </c>
      <c r="AI17" s="87" t="str">
        <f aca="true">IF($H17=0,"NA",IF($A17=INDIRECT("'"&amp;$A17&amp;"'!$B$1"),IF(VLOOKUP(AI$1,INDIRECT("'"&amp;$A17&amp;"'!$A$12:$Z$41"),MATCH("Points (Auto-generate)",INDIRECT("'"&amp;$A17&amp;"'!$A$12:$Z$12"),0),0)="","?",VLOOKUP(AI$1,INDIRECT("'"&amp;$A17&amp;"'!$A$12:$Z$41"),MATCH("Points (Auto-generate)",INDIRECT("'"&amp;$A17&amp;"'!$A$12:$Z$12"),0),0)),"ER"))</f>
        <v>?</v>
      </c>
      <c r="AJ17" s="87" t="str">
        <f aca="true">IF($H17=0,"NA",IF($A17=INDIRECT("'"&amp;$A17&amp;"'!$B$1"),IF(VLOOKUP(AJ$1,INDIRECT("'"&amp;$A17&amp;"'!$A$12:$Z$41"),MATCH("Points (Auto-generate)",INDIRECT("'"&amp;$A17&amp;"'!$A$12:$Z$12"),0),0)="","?",VLOOKUP(AJ$1,INDIRECT("'"&amp;$A17&amp;"'!$A$12:$Z$41"),MATCH("Points (Auto-generate)",INDIRECT("'"&amp;$A17&amp;"'!$A$12:$Z$12"),0),0)),"ER"))</f>
        <v>?</v>
      </c>
      <c r="AK17" s="87" t="str">
        <f aca="true">IF($H17=0,"NA",IF($A17=INDIRECT("'"&amp;$A17&amp;"'!$B$1"),IF(VLOOKUP(AK$1,INDIRECT("'"&amp;$A17&amp;"'!$A$12:$Z$41"),MATCH("Points (Auto-generate)",INDIRECT("'"&amp;$A17&amp;"'!$A$12:$Z$12"),0),0)="","?",VLOOKUP(AK$1,INDIRECT("'"&amp;$A17&amp;"'!$A$12:$Z$41"),MATCH("Points (Auto-generate)",INDIRECT("'"&amp;$A17&amp;"'!$A$12:$Z$12"),0),0)),"ER"))</f>
        <v>?</v>
      </c>
    </row>
    <row r="18" customFormat="false" ht="25.5" hidden="false" customHeight="true" outlineLevel="0" collapsed="false">
      <c r="A18" s="83" t="s">
        <v>132</v>
      </c>
      <c r="B18" s="84" t="str">
        <f aca="false">IF(ISBLANK($A18),"NO_CODE",VLOOKUP($A18,'UPD Questions_290926 '!$E$1:$N$300,MATCH(B$1,'UPD Questions_290926 '!$E$1:$N$1,0),0)&amp;"")</f>
        <v>Planning </v>
      </c>
      <c r="C18" s="85" t="str">
        <f aca="false">IF(ISBLANK($A18),"NO_CODE",VLOOKUP($A18,'UPD Questions_290926 '!$E$1:$N$300,MATCH(C$1,'UPD Questions_290926 '!$E$1:$N$1,0),0)&amp;"")</f>
        <v>Legal and institutional planning architecture</v>
      </c>
      <c r="D18" s="84" t="str">
        <f aca="false">IF(ISBLANK($A18),"NO_CODE",VLOOKUP($A18,'UPD Questions_290926 '!$E$1:$N$300,MATCH(D$1,'UPD Questions_290926 '!$E$1:$N$1,0),0)&amp;"")</f>
        <v>Metropolitan and district planning institutions</v>
      </c>
      <c r="E18" s="84" t="str">
        <f aca="false">IF(ISBLANK($A18),"NO_CODE",VLOOKUP($A18,'UPD Questions_290926 '!$E$1:$N$300,MATCH(E$1,'UPD Questions_290926 '!$E$1:$N$1,0),0)&amp;"")</f>
        <v>MQ</v>
      </c>
      <c r="F18" s="84" t="str">
        <f aca="false">IF(ISBLANK($A18),"NO_CODE",VLOOKUP($A18,'UPD Questions_290926 '!$E$1:$N$300,MATCH(F$1,'UPD Questions_290926 '!$E$1:$N$1,0),0)&amp;"")</f>
        <v>Does the city (million-plus) have a Metropolitan Authority?</v>
      </c>
      <c r="G18" s="84" t="str">
        <f aca="false">IF(ISBLANK($A18),"NO_CODE",VLOOKUP($A18,'UPD Questions_290926 '!$E$1:$N$300,MATCH(G$1,'UPD Questions_290926 '!$E$1:$N$1,0),0)&amp;"")</f>
        <v>Law or Policy </v>
      </c>
      <c r="H18" s="86" t="n">
        <f aca="false">IF(ISBLANK($A18),"NO_CODE",VLOOKUP($A18,'UPD Questions_290926 '!$E$1:$N$300,MATCH(H$1,'UPD Questions_290926 '!$E$1:$N$1,0),0))</f>
        <v>10</v>
      </c>
      <c r="I18" s="87" t="str">
        <f aca="true">IF($H18=0,"NA",IF($A18=INDIRECT("'"&amp;$A18&amp;"'!$B$1"),IF(VLOOKUP(I$1,INDIRECT("'"&amp;$A18&amp;"'!$A$12:$Z$41"),MATCH("Points (Auto-generate)",INDIRECT("'"&amp;$A18&amp;"'!$A$12:$Z$12"),0),0)="","?",VLOOKUP(I$1,INDIRECT("'"&amp;$A18&amp;"'!$A$12:$Z$41"),MATCH("Points (Auto-generate)",INDIRECT("'"&amp;$A18&amp;"'!$A$12:$Z$12"),0),0)),"ER"))</f>
        <v>?</v>
      </c>
      <c r="J18" s="87" t="str">
        <f aca="true">IF($H18=0,"NA",IF($A18=INDIRECT("'"&amp;$A18&amp;"'!$B$1"),IF(VLOOKUP(J$1,INDIRECT("'"&amp;$A18&amp;"'!$A$12:$Z$41"),MATCH("Points (Auto-generate)",INDIRECT("'"&amp;$A18&amp;"'!$A$12:$Z$12"),0),0)="","?",VLOOKUP(J$1,INDIRECT("'"&amp;$A18&amp;"'!$A$12:$Z$41"),MATCH("Points (Auto-generate)",INDIRECT("'"&amp;$A18&amp;"'!$A$12:$Z$12"),0),0)),"ER"))</f>
        <v>?</v>
      </c>
      <c r="K18" s="87" t="str">
        <f aca="true">IF($H18=0,"NA",IF($A18=INDIRECT("'"&amp;$A18&amp;"'!$B$1"),IF(VLOOKUP(K$1,INDIRECT("'"&amp;$A18&amp;"'!$A$12:$Z$41"),MATCH("Points (Auto-generate)",INDIRECT("'"&amp;$A18&amp;"'!$A$12:$Z$12"),0),0)="","?",VLOOKUP(K$1,INDIRECT("'"&amp;$A18&amp;"'!$A$12:$Z$41"),MATCH("Points (Auto-generate)",INDIRECT("'"&amp;$A18&amp;"'!$A$12:$Z$12"),0),0)),"ER"))</f>
        <v>?</v>
      </c>
      <c r="L18" s="87" t="str">
        <f aca="true">IF($H18=0,"NA",IF($A18=INDIRECT("'"&amp;$A18&amp;"'!$B$1"),IF(VLOOKUP(L$1,INDIRECT("'"&amp;$A18&amp;"'!$A$12:$Z$41"),MATCH("Points (Auto-generate)",INDIRECT("'"&amp;$A18&amp;"'!$A$12:$Z$12"),0),0)="","?",VLOOKUP(L$1,INDIRECT("'"&amp;$A18&amp;"'!$A$12:$Z$41"),MATCH("Points (Auto-generate)",INDIRECT("'"&amp;$A18&amp;"'!$A$12:$Z$12"),0),0)),"ER"))</f>
        <v>?</v>
      </c>
      <c r="M18" s="87" t="str">
        <f aca="true">IF($H18=0,"NA",IF($A18=INDIRECT("'"&amp;$A18&amp;"'!$B$1"),IF(VLOOKUP(M$1,INDIRECT("'"&amp;$A18&amp;"'!$A$12:$Z$41"),MATCH("Points (Auto-generate)",INDIRECT("'"&amp;$A18&amp;"'!$A$12:$Z$12"),0),0)="","?",VLOOKUP(M$1,INDIRECT("'"&amp;$A18&amp;"'!$A$12:$Z$41"),MATCH("Points (Auto-generate)",INDIRECT("'"&amp;$A18&amp;"'!$A$12:$Z$12"),0),0)),"ER"))</f>
        <v>?</v>
      </c>
      <c r="N18" s="87" t="str">
        <f aca="true">IF($H18=0,"NA",IF($A18=INDIRECT("'"&amp;$A18&amp;"'!$B$1"),IF(VLOOKUP(N$1,INDIRECT("'"&amp;$A18&amp;"'!$A$12:$Z$41"),MATCH("Points (Auto-generate)",INDIRECT("'"&amp;$A18&amp;"'!$A$12:$Z$12"),0),0)="","?",VLOOKUP(N$1,INDIRECT("'"&amp;$A18&amp;"'!$A$12:$Z$41"),MATCH("Points (Auto-generate)",INDIRECT("'"&amp;$A18&amp;"'!$A$12:$Z$12"),0),0)),"ER"))</f>
        <v>?</v>
      </c>
      <c r="O18" s="87" t="str">
        <f aca="true">IF($H18=0,"NA",IF($A18=INDIRECT("'"&amp;$A18&amp;"'!$B$1"),IF(VLOOKUP(O$1,INDIRECT("'"&amp;$A18&amp;"'!$A$12:$Z$41"),MATCH("Points (Auto-generate)",INDIRECT("'"&amp;$A18&amp;"'!$A$12:$Z$12"),0),0)="","?",VLOOKUP(O$1,INDIRECT("'"&amp;$A18&amp;"'!$A$12:$Z$41"),MATCH("Points (Auto-generate)",INDIRECT("'"&amp;$A18&amp;"'!$A$12:$Z$12"),0),0)),"ER"))</f>
        <v>?</v>
      </c>
      <c r="P18" s="87" t="str">
        <f aca="true">IF($H18=0,"NA",IF($A18=INDIRECT("'"&amp;$A18&amp;"'!$B$1"),IF(VLOOKUP(P$1,INDIRECT("'"&amp;$A18&amp;"'!$A$12:$Z$41"),MATCH("Points (Auto-generate)",INDIRECT("'"&amp;$A18&amp;"'!$A$12:$Z$12"),0),0)="","?",VLOOKUP(P$1,INDIRECT("'"&amp;$A18&amp;"'!$A$12:$Z$41"),MATCH("Points (Auto-generate)",INDIRECT("'"&amp;$A18&amp;"'!$A$12:$Z$12"),0),0)),"ER"))</f>
        <v>?</v>
      </c>
      <c r="Q18" s="87" t="str">
        <f aca="true">IF($H18=0,"NA",IF($A18=INDIRECT("'"&amp;$A18&amp;"'!$B$1"),IF(VLOOKUP(Q$1,INDIRECT("'"&amp;$A18&amp;"'!$A$12:$Z$41"),MATCH("Points (Auto-generate)",INDIRECT("'"&amp;$A18&amp;"'!$A$12:$Z$12"),0),0)="","?",VLOOKUP(Q$1,INDIRECT("'"&amp;$A18&amp;"'!$A$12:$Z$41"),MATCH("Points (Auto-generate)",INDIRECT("'"&amp;$A18&amp;"'!$A$12:$Z$12"),0),0)),"ER"))</f>
        <v>?</v>
      </c>
      <c r="R18" s="87" t="str">
        <f aca="true">IF($H18=0,"NA",IF($A18=INDIRECT("'"&amp;$A18&amp;"'!$B$1"),IF(VLOOKUP(R$1,INDIRECT("'"&amp;$A18&amp;"'!$A$12:$Z$41"),MATCH("Points (Auto-generate)",INDIRECT("'"&amp;$A18&amp;"'!$A$12:$Z$12"),0),0)="","?",VLOOKUP(R$1,INDIRECT("'"&amp;$A18&amp;"'!$A$12:$Z$41"),MATCH("Points (Auto-generate)",INDIRECT("'"&amp;$A18&amp;"'!$A$12:$Z$12"),0),0)),"ER"))</f>
        <v>?</v>
      </c>
      <c r="S18" s="87" t="str">
        <f aca="true">IF($H18=0,"NA",IF($A18=INDIRECT("'"&amp;$A18&amp;"'!$B$1"),IF(VLOOKUP(S$1,INDIRECT("'"&amp;$A18&amp;"'!$A$12:$Z$41"),MATCH("Points (Auto-generate)",INDIRECT("'"&amp;$A18&amp;"'!$A$12:$Z$12"),0),0)="","?",VLOOKUP(S$1,INDIRECT("'"&amp;$A18&amp;"'!$A$12:$Z$41"),MATCH("Points (Auto-generate)",INDIRECT("'"&amp;$A18&amp;"'!$A$12:$Z$12"),0),0)),"ER"))</f>
        <v>?</v>
      </c>
      <c r="T18" s="87" t="str">
        <f aca="true">IF($H18=0,"NA",IF($A18=INDIRECT("'"&amp;$A18&amp;"'!$B$1"),IF(VLOOKUP(T$1,INDIRECT("'"&amp;$A18&amp;"'!$A$12:$Z$41"),MATCH("Points (Auto-generate)",INDIRECT("'"&amp;$A18&amp;"'!$A$12:$Z$12"),0),0)="","?",VLOOKUP(T$1,INDIRECT("'"&amp;$A18&amp;"'!$A$12:$Z$41"),MATCH("Points (Auto-generate)",INDIRECT("'"&amp;$A18&amp;"'!$A$12:$Z$12"),0),0)),"ER"))</f>
        <v>?</v>
      </c>
      <c r="U18" s="87" t="str">
        <f aca="true">IF($H18=0,"NA",IF($A18=INDIRECT("'"&amp;$A18&amp;"'!$B$1"),IF(VLOOKUP(U$1,INDIRECT("'"&amp;$A18&amp;"'!$A$12:$Z$41"),MATCH("Points (Auto-generate)",INDIRECT("'"&amp;$A18&amp;"'!$A$12:$Z$12"),0),0)="","?",VLOOKUP(U$1,INDIRECT("'"&amp;$A18&amp;"'!$A$12:$Z$41"),MATCH("Points (Auto-generate)",INDIRECT("'"&amp;$A18&amp;"'!$A$12:$Z$12"),0),0)),"ER"))</f>
        <v>?</v>
      </c>
      <c r="V18" s="87" t="str">
        <f aca="true">IF($H18=0,"NA",IF($A18=INDIRECT("'"&amp;$A18&amp;"'!$B$1"),IF(VLOOKUP(V$1,INDIRECT("'"&amp;$A18&amp;"'!$A$12:$Z$41"),MATCH("Points (Auto-generate)",INDIRECT("'"&amp;$A18&amp;"'!$A$12:$Z$12"),0),0)="","?",VLOOKUP(V$1,INDIRECT("'"&amp;$A18&amp;"'!$A$12:$Z$41"),MATCH("Points (Auto-generate)",INDIRECT("'"&amp;$A18&amp;"'!$A$12:$Z$12"),0),0)),"ER"))</f>
        <v>?</v>
      </c>
      <c r="W18" s="87" t="str">
        <f aca="true">IF($H18=0,"NA",IF($A18=INDIRECT("'"&amp;$A18&amp;"'!$B$1"),IF(VLOOKUP(W$1,INDIRECT("'"&amp;$A18&amp;"'!$A$12:$Z$41"),MATCH("Points (Auto-generate)",INDIRECT("'"&amp;$A18&amp;"'!$A$12:$Z$12"),0),0)="","?",VLOOKUP(W$1,INDIRECT("'"&amp;$A18&amp;"'!$A$12:$Z$41"),MATCH("Points (Auto-generate)",INDIRECT("'"&amp;$A18&amp;"'!$A$12:$Z$12"),0),0)),"ER"))</f>
        <v>?</v>
      </c>
      <c r="X18" s="87" t="str">
        <f aca="true">IF($H18=0,"NA",IF($A18=INDIRECT("'"&amp;$A18&amp;"'!$B$1"),IF(VLOOKUP(X$1,INDIRECT("'"&amp;$A18&amp;"'!$A$12:$Z$41"),MATCH("Points (Auto-generate)",INDIRECT("'"&amp;$A18&amp;"'!$A$12:$Z$12"),0),0)="","?",VLOOKUP(X$1,INDIRECT("'"&amp;$A18&amp;"'!$A$12:$Z$41"),MATCH("Points (Auto-generate)",INDIRECT("'"&amp;$A18&amp;"'!$A$12:$Z$12"),0),0)),"ER"))</f>
        <v>?</v>
      </c>
      <c r="Y18" s="87" t="str">
        <f aca="true">IF($H18=0,"NA",IF($A18=INDIRECT("'"&amp;$A18&amp;"'!$B$1"),IF(VLOOKUP(Y$1,INDIRECT("'"&amp;$A18&amp;"'!$A$12:$Z$41"),MATCH("Points (Auto-generate)",INDIRECT("'"&amp;$A18&amp;"'!$A$12:$Z$12"),0),0)="","?",VLOOKUP(Y$1,INDIRECT("'"&amp;$A18&amp;"'!$A$12:$Z$41"),MATCH("Points (Auto-generate)",INDIRECT("'"&amp;$A18&amp;"'!$A$12:$Z$12"),0),0)),"ER"))</f>
        <v>?</v>
      </c>
      <c r="Z18" s="87" t="str">
        <f aca="true">IF($H18=0,"NA",IF($A18=INDIRECT("'"&amp;$A18&amp;"'!$B$1"),IF(VLOOKUP(Z$1,INDIRECT("'"&amp;$A18&amp;"'!$A$12:$Z$41"),MATCH("Points (Auto-generate)",INDIRECT("'"&amp;$A18&amp;"'!$A$12:$Z$12"),0),0)="","?",VLOOKUP(Z$1,INDIRECT("'"&amp;$A18&amp;"'!$A$12:$Z$41"),MATCH("Points (Auto-generate)",INDIRECT("'"&amp;$A18&amp;"'!$A$12:$Z$12"),0),0)),"ER"))</f>
        <v>?</v>
      </c>
      <c r="AA18" s="87" t="str">
        <f aca="true">IF($H18=0,"NA",IF($A18=INDIRECT("'"&amp;$A18&amp;"'!$B$1"),IF(VLOOKUP(AA$1,INDIRECT("'"&amp;$A18&amp;"'!$A$12:$Z$41"),MATCH("Points (Auto-generate)",INDIRECT("'"&amp;$A18&amp;"'!$A$12:$Z$12"),0),0)="","?",VLOOKUP(AA$1,INDIRECT("'"&amp;$A18&amp;"'!$A$12:$Z$41"),MATCH("Points (Auto-generate)",INDIRECT("'"&amp;$A18&amp;"'!$A$12:$Z$12"),0),0)),"ER"))</f>
        <v>?</v>
      </c>
      <c r="AB18" s="87" t="str">
        <f aca="true">IF($H18=0,"NA",IF($A18=INDIRECT("'"&amp;$A18&amp;"'!$B$1"),IF(VLOOKUP(AB$1,INDIRECT("'"&amp;$A18&amp;"'!$A$12:$Z$41"),MATCH("Points (Auto-generate)",INDIRECT("'"&amp;$A18&amp;"'!$A$12:$Z$12"),0),0)="","?",VLOOKUP(AB$1,INDIRECT("'"&amp;$A18&amp;"'!$A$12:$Z$41"),MATCH("Points (Auto-generate)",INDIRECT("'"&amp;$A18&amp;"'!$A$12:$Z$12"),0),0)),"ER"))</f>
        <v>?</v>
      </c>
      <c r="AC18" s="87" t="str">
        <f aca="true">IF($H18=0,"NA",IF($A18=INDIRECT("'"&amp;$A18&amp;"'!$B$1"),IF(VLOOKUP(AC$1,INDIRECT("'"&amp;$A18&amp;"'!$A$12:$Z$41"),MATCH("Points (Auto-generate)",INDIRECT("'"&amp;$A18&amp;"'!$A$12:$Z$12"),0),0)="","?",VLOOKUP(AC$1,INDIRECT("'"&amp;$A18&amp;"'!$A$12:$Z$41"),MATCH("Points (Auto-generate)",INDIRECT("'"&amp;$A18&amp;"'!$A$12:$Z$12"),0),0)),"ER"))</f>
        <v>?</v>
      </c>
      <c r="AD18" s="87" t="str">
        <f aca="true">IF($H18=0,"NA",IF($A18=INDIRECT("'"&amp;$A18&amp;"'!$B$1"),IF(VLOOKUP(AD$1,INDIRECT("'"&amp;$A18&amp;"'!$A$12:$Z$41"),MATCH("Points (Auto-generate)",INDIRECT("'"&amp;$A18&amp;"'!$A$12:$Z$12"),0),0)="","?",VLOOKUP(AD$1,INDIRECT("'"&amp;$A18&amp;"'!$A$12:$Z$41"),MATCH("Points (Auto-generate)",INDIRECT("'"&amp;$A18&amp;"'!$A$12:$Z$12"),0),0)),"ER"))</f>
        <v>?</v>
      </c>
      <c r="AE18" s="87" t="str">
        <f aca="true">IF($H18=0,"NA",IF($A18=INDIRECT("'"&amp;$A18&amp;"'!$B$1"),IF(VLOOKUP(AE$1,INDIRECT("'"&amp;$A18&amp;"'!$A$12:$Z$41"),MATCH("Points (Auto-generate)",INDIRECT("'"&amp;$A18&amp;"'!$A$12:$Z$12"),0),0)="","?",VLOOKUP(AE$1,INDIRECT("'"&amp;$A18&amp;"'!$A$12:$Z$41"),MATCH("Points (Auto-generate)",INDIRECT("'"&amp;$A18&amp;"'!$A$12:$Z$12"),0),0)),"ER"))</f>
        <v>?</v>
      </c>
      <c r="AF18" s="87" t="str">
        <f aca="true">IF($H18=0,"NA",IF($A18=INDIRECT("'"&amp;$A18&amp;"'!$B$1"),IF(VLOOKUP(AF$1,INDIRECT("'"&amp;$A18&amp;"'!$A$12:$Z$41"),MATCH("Points (Auto-generate)",INDIRECT("'"&amp;$A18&amp;"'!$A$12:$Z$12"),0),0)="","?",VLOOKUP(AF$1,INDIRECT("'"&amp;$A18&amp;"'!$A$12:$Z$41"),MATCH("Points (Auto-generate)",INDIRECT("'"&amp;$A18&amp;"'!$A$12:$Z$12"),0),0)),"ER"))</f>
        <v>?</v>
      </c>
      <c r="AG18" s="87" t="str">
        <f aca="true">IF($H18=0,"NA",IF($A18=INDIRECT("'"&amp;$A18&amp;"'!$B$1"),IF(VLOOKUP(AG$1,INDIRECT("'"&amp;$A18&amp;"'!$A$12:$Z$41"),MATCH("Points (Auto-generate)",INDIRECT("'"&amp;$A18&amp;"'!$A$12:$Z$12"),0),0)="","?",VLOOKUP(AG$1,INDIRECT("'"&amp;$A18&amp;"'!$A$12:$Z$41"),MATCH("Points (Auto-generate)",INDIRECT("'"&amp;$A18&amp;"'!$A$12:$Z$12"),0),0)),"ER"))</f>
        <v>?</v>
      </c>
      <c r="AH18" s="87" t="str">
        <f aca="true">IF($H18=0,"NA",IF($A18=INDIRECT("'"&amp;$A18&amp;"'!$B$1"),IF(VLOOKUP(AH$1,INDIRECT("'"&amp;$A18&amp;"'!$A$12:$Z$41"),MATCH("Points (Auto-generate)",INDIRECT("'"&amp;$A18&amp;"'!$A$12:$Z$12"),0),0)="","?",VLOOKUP(AH$1,INDIRECT("'"&amp;$A18&amp;"'!$A$12:$Z$41"),MATCH("Points (Auto-generate)",INDIRECT("'"&amp;$A18&amp;"'!$A$12:$Z$12"),0),0)),"ER"))</f>
        <v>?</v>
      </c>
      <c r="AI18" s="87" t="str">
        <f aca="true">IF($H18=0,"NA",IF($A18=INDIRECT("'"&amp;$A18&amp;"'!$B$1"),IF(VLOOKUP(AI$1,INDIRECT("'"&amp;$A18&amp;"'!$A$12:$Z$41"),MATCH("Points (Auto-generate)",INDIRECT("'"&amp;$A18&amp;"'!$A$12:$Z$12"),0),0)="","?",VLOOKUP(AI$1,INDIRECT("'"&amp;$A18&amp;"'!$A$12:$Z$41"),MATCH("Points (Auto-generate)",INDIRECT("'"&amp;$A18&amp;"'!$A$12:$Z$12"),0),0)),"ER"))</f>
        <v>?</v>
      </c>
      <c r="AJ18" s="87" t="str">
        <f aca="true">IF($H18=0,"NA",IF($A18=INDIRECT("'"&amp;$A18&amp;"'!$B$1"),IF(VLOOKUP(AJ$1,INDIRECT("'"&amp;$A18&amp;"'!$A$12:$Z$41"),MATCH("Points (Auto-generate)",INDIRECT("'"&amp;$A18&amp;"'!$A$12:$Z$12"),0),0)="","?",VLOOKUP(AJ$1,INDIRECT("'"&amp;$A18&amp;"'!$A$12:$Z$41"),MATCH("Points (Auto-generate)",INDIRECT("'"&amp;$A18&amp;"'!$A$12:$Z$12"),0),0)),"ER"))</f>
        <v>?</v>
      </c>
      <c r="AK18" s="87" t="str">
        <f aca="true">IF($H18=0,"NA",IF($A18=INDIRECT("'"&amp;$A18&amp;"'!$B$1"),IF(VLOOKUP(AK$1,INDIRECT("'"&amp;$A18&amp;"'!$A$12:$Z$41"),MATCH("Points (Auto-generate)",INDIRECT("'"&amp;$A18&amp;"'!$A$12:$Z$12"),0),0)="","?",VLOOKUP(AK$1,INDIRECT("'"&amp;$A18&amp;"'!$A$12:$Z$41"),MATCH("Points (Auto-generate)",INDIRECT("'"&amp;$A18&amp;"'!$A$12:$Z$12"),0),0)),"ER"))</f>
        <v>?</v>
      </c>
    </row>
    <row r="19" customFormat="false" ht="14.25" hidden="false" customHeight="true" outlineLevel="0" collapsed="false">
      <c r="A19" s="83" t="s">
        <v>140</v>
      </c>
      <c r="B19" s="84" t="str">
        <f aca="false">IF(ISBLANK($A19),"NO_CODE",VLOOKUP($A19,'UPD Questions_290926 '!$E$1:$N$300,MATCH(B$1,'UPD Questions_290926 '!$E$1:$N$1,0),0)&amp;"")</f>
        <v>Planning </v>
      </c>
      <c r="C19" s="84" t="str">
        <f aca="false">IF(ISBLANK($A19),"NO_CODE",VLOOKUP($A19,'UPD Questions_290926 '!$E$1:$N$300,MATCH(C$1,'UPD Questions_290926 '!$E$1:$N$1,0),0)&amp;"")</f>
        <v>Municipal/City Plan preparation, participation and review</v>
      </c>
      <c r="D19" s="84" t="str">
        <f aca="false">IF(ISBLANK($A19),"NO_CODE",VLOOKUP($A19,'UPD Questions_290926 '!$E$1:$N$300,MATCH(D$1,'UPD Questions_290926 '!$E$1:$N$1,0),0)&amp;"")</f>
        <v>Inter-agency participation</v>
      </c>
      <c r="E19" s="84" t="str">
        <f aca="false">IF(ISBLANK($A19),"NO_CODE",VLOOKUP($A19,'UPD Questions_290926 '!$E$1:$N$300,MATCH(E$1,'UPD Questions_290926 '!$E$1:$N$1,0),0)&amp;"")</f>
        <v>MQ</v>
      </c>
      <c r="F19" s="84" t="str">
        <f aca="false">IF(ISBLANK($A19),"NO_CODE",VLOOKUP($A19,'UPD Questions_290926 '!$E$1:$N$300,MATCH(F$1,'UPD Questions_290926 '!$E$1:$N$1,0),0)&amp;"")</f>
        <v>Does the law mandate participation of all parastatals/ agencies /ULGs in creation of Spatial plans (metro/municipal/ward)?</v>
      </c>
      <c r="G19" s="84" t="str">
        <f aca="false">IF(ISBLANK($A19),"NO_CODE",VLOOKUP($A19,'UPD Questions_290926 '!$E$1:$N$300,MATCH(G$1,'UPD Questions_290926 '!$E$1:$N$1,0),0)&amp;"")</f>
        <v>Law or Policy</v>
      </c>
      <c r="H19" s="86" t="n">
        <f aca="false">IF(ISBLANK($A19),"NO_CODE",VLOOKUP($A19,'UPD Questions_290926 '!$E$1:$N$300,MATCH(H$1,'UPD Questions_290926 '!$E$1:$N$1,0),0))</f>
        <v>10</v>
      </c>
      <c r="I19" s="87" t="str">
        <f aca="true">IF($H19=0,"NA",IF($A19=INDIRECT("'"&amp;$A19&amp;"'!$B$1"),IF(VLOOKUP(I$1,INDIRECT("'"&amp;$A19&amp;"'!$A$12:$Z$41"),MATCH("Points (Auto-generate)",INDIRECT("'"&amp;$A19&amp;"'!$A$12:$Z$12"),0),0)="","?",VLOOKUP(I$1,INDIRECT("'"&amp;$A19&amp;"'!$A$12:$Z$41"),MATCH("Points (Auto-generate)",INDIRECT("'"&amp;$A19&amp;"'!$A$12:$Z$12"),0),0)),"ER"))</f>
        <v>?</v>
      </c>
      <c r="J19" s="87" t="str">
        <f aca="true">IF($H19=0,"NA",IF($A19=INDIRECT("'"&amp;$A19&amp;"'!$B$1"),IF(VLOOKUP(J$1,INDIRECT("'"&amp;$A19&amp;"'!$A$12:$Z$41"),MATCH("Points (Auto-generate)",INDIRECT("'"&amp;$A19&amp;"'!$A$12:$Z$12"),0),0)="","?",VLOOKUP(J$1,INDIRECT("'"&amp;$A19&amp;"'!$A$12:$Z$41"),MATCH("Points (Auto-generate)",INDIRECT("'"&amp;$A19&amp;"'!$A$12:$Z$12"),0),0)),"ER"))</f>
        <v>?</v>
      </c>
      <c r="K19" s="87" t="str">
        <f aca="true">IF($H19=0,"NA",IF($A19=INDIRECT("'"&amp;$A19&amp;"'!$B$1"),IF(VLOOKUP(K$1,INDIRECT("'"&amp;$A19&amp;"'!$A$12:$Z$41"),MATCH("Points (Auto-generate)",INDIRECT("'"&amp;$A19&amp;"'!$A$12:$Z$12"),0),0)="","?",VLOOKUP(K$1,INDIRECT("'"&amp;$A19&amp;"'!$A$12:$Z$41"),MATCH("Points (Auto-generate)",INDIRECT("'"&amp;$A19&amp;"'!$A$12:$Z$12"),0),0)),"ER"))</f>
        <v>?</v>
      </c>
      <c r="L19" s="87" t="str">
        <f aca="true">IF($H19=0,"NA",IF($A19=INDIRECT("'"&amp;$A19&amp;"'!$B$1"),IF(VLOOKUP(L$1,INDIRECT("'"&amp;$A19&amp;"'!$A$12:$Z$41"),MATCH("Points (Auto-generate)",INDIRECT("'"&amp;$A19&amp;"'!$A$12:$Z$12"),0),0)="","?",VLOOKUP(L$1,INDIRECT("'"&amp;$A19&amp;"'!$A$12:$Z$41"),MATCH("Points (Auto-generate)",INDIRECT("'"&amp;$A19&amp;"'!$A$12:$Z$12"),0),0)),"ER"))</f>
        <v>?</v>
      </c>
      <c r="M19" s="87" t="str">
        <f aca="true">IF($H19=0,"NA",IF($A19=INDIRECT("'"&amp;$A19&amp;"'!$B$1"),IF(VLOOKUP(M$1,INDIRECT("'"&amp;$A19&amp;"'!$A$12:$Z$41"),MATCH("Points (Auto-generate)",INDIRECT("'"&amp;$A19&amp;"'!$A$12:$Z$12"),0),0)="","?",VLOOKUP(M$1,INDIRECT("'"&amp;$A19&amp;"'!$A$12:$Z$41"),MATCH("Points (Auto-generate)",INDIRECT("'"&amp;$A19&amp;"'!$A$12:$Z$12"),0),0)),"ER"))</f>
        <v>?</v>
      </c>
      <c r="N19" s="87" t="str">
        <f aca="true">IF($H19=0,"NA",IF($A19=INDIRECT("'"&amp;$A19&amp;"'!$B$1"),IF(VLOOKUP(N$1,INDIRECT("'"&amp;$A19&amp;"'!$A$12:$Z$41"),MATCH("Points (Auto-generate)",INDIRECT("'"&amp;$A19&amp;"'!$A$12:$Z$12"),0),0)="","?",VLOOKUP(N$1,INDIRECT("'"&amp;$A19&amp;"'!$A$12:$Z$41"),MATCH("Points (Auto-generate)",INDIRECT("'"&amp;$A19&amp;"'!$A$12:$Z$12"),0),0)),"ER"))</f>
        <v>?</v>
      </c>
      <c r="O19" s="87" t="str">
        <f aca="true">IF($H19=0,"NA",IF($A19=INDIRECT("'"&amp;$A19&amp;"'!$B$1"),IF(VLOOKUP(O$1,INDIRECT("'"&amp;$A19&amp;"'!$A$12:$Z$41"),MATCH("Points (Auto-generate)",INDIRECT("'"&amp;$A19&amp;"'!$A$12:$Z$12"),0),0)="","?",VLOOKUP(O$1,INDIRECT("'"&amp;$A19&amp;"'!$A$12:$Z$41"),MATCH("Points (Auto-generate)",INDIRECT("'"&amp;$A19&amp;"'!$A$12:$Z$12"),0),0)),"ER"))</f>
        <v>?</v>
      </c>
      <c r="P19" s="87" t="str">
        <f aca="true">IF($H19=0,"NA",IF($A19=INDIRECT("'"&amp;$A19&amp;"'!$B$1"),IF(VLOOKUP(P$1,INDIRECT("'"&amp;$A19&amp;"'!$A$12:$Z$41"),MATCH("Points (Auto-generate)",INDIRECT("'"&amp;$A19&amp;"'!$A$12:$Z$12"),0),0)="","?",VLOOKUP(P$1,INDIRECT("'"&amp;$A19&amp;"'!$A$12:$Z$41"),MATCH("Points (Auto-generate)",INDIRECT("'"&amp;$A19&amp;"'!$A$12:$Z$12"),0),0)),"ER"))</f>
        <v>?</v>
      </c>
      <c r="Q19" s="87" t="str">
        <f aca="true">IF($H19=0,"NA",IF($A19=INDIRECT("'"&amp;$A19&amp;"'!$B$1"),IF(VLOOKUP(Q$1,INDIRECT("'"&amp;$A19&amp;"'!$A$12:$Z$41"),MATCH("Points (Auto-generate)",INDIRECT("'"&amp;$A19&amp;"'!$A$12:$Z$12"),0),0)="","?",VLOOKUP(Q$1,INDIRECT("'"&amp;$A19&amp;"'!$A$12:$Z$41"),MATCH("Points (Auto-generate)",INDIRECT("'"&amp;$A19&amp;"'!$A$12:$Z$12"),0),0)),"ER"))</f>
        <v>?</v>
      </c>
      <c r="R19" s="87" t="str">
        <f aca="true">IF($H19=0,"NA",IF($A19=INDIRECT("'"&amp;$A19&amp;"'!$B$1"),IF(VLOOKUP(R$1,INDIRECT("'"&amp;$A19&amp;"'!$A$12:$Z$41"),MATCH("Points (Auto-generate)",INDIRECT("'"&amp;$A19&amp;"'!$A$12:$Z$12"),0),0)="","?",VLOOKUP(R$1,INDIRECT("'"&amp;$A19&amp;"'!$A$12:$Z$41"),MATCH("Points (Auto-generate)",INDIRECT("'"&amp;$A19&amp;"'!$A$12:$Z$12"),0),0)),"ER"))</f>
        <v>?</v>
      </c>
      <c r="S19" s="87" t="str">
        <f aca="true">IF($H19=0,"NA",IF($A19=INDIRECT("'"&amp;$A19&amp;"'!$B$1"),IF(VLOOKUP(S$1,INDIRECT("'"&amp;$A19&amp;"'!$A$12:$Z$41"),MATCH("Points (Auto-generate)",INDIRECT("'"&amp;$A19&amp;"'!$A$12:$Z$12"),0),0)="","?",VLOOKUP(S$1,INDIRECT("'"&amp;$A19&amp;"'!$A$12:$Z$41"),MATCH("Points (Auto-generate)",INDIRECT("'"&amp;$A19&amp;"'!$A$12:$Z$12"),0),0)),"ER"))</f>
        <v>?</v>
      </c>
      <c r="T19" s="87" t="str">
        <f aca="true">IF($H19=0,"NA",IF($A19=INDIRECT("'"&amp;$A19&amp;"'!$B$1"),IF(VLOOKUP(T$1,INDIRECT("'"&amp;$A19&amp;"'!$A$12:$Z$41"),MATCH("Points (Auto-generate)",INDIRECT("'"&amp;$A19&amp;"'!$A$12:$Z$12"),0),0)="","?",VLOOKUP(T$1,INDIRECT("'"&amp;$A19&amp;"'!$A$12:$Z$41"),MATCH("Points (Auto-generate)",INDIRECT("'"&amp;$A19&amp;"'!$A$12:$Z$12"),0),0)),"ER"))</f>
        <v>?</v>
      </c>
      <c r="U19" s="87" t="str">
        <f aca="true">IF($H19=0,"NA",IF($A19=INDIRECT("'"&amp;$A19&amp;"'!$B$1"),IF(VLOOKUP(U$1,INDIRECT("'"&amp;$A19&amp;"'!$A$12:$Z$41"),MATCH("Points (Auto-generate)",INDIRECT("'"&amp;$A19&amp;"'!$A$12:$Z$12"),0),0)="","?",VLOOKUP(U$1,INDIRECT("'"&amp;$A19&amp;"'!$A$12:$Z$41"),MATCH("Points (Auto-generate)",INDIRECT("'"&amp;$A19&amp;"'!$A$12:$Z$12"),0),0)),"ER"))</f>
        <v>?</v>
      </c>
      <c r="V19" s="87" t="str">
        <f aca="true">IF($H19=0,"NA",IF($A19=INDIRECT("'"&amp;$A19&amp;"'!$B$1"),IF(VLOOKUP(V$1,INDIRECT("'"&amp;$A19&amp;"'!$A$12:$Z$41"),MATCH("Points (Auto-generate)",INDIRECT("'"&amp;$A19&amp;"'!$A$12:$Z$12"),0),0)="","?",VLOOKUP(V$1,INDIRECT("'"&amp;$A19&amp;"'!$A$12:$Z$41"),MATCH("Points (Auto-generate)",INDIRECT("'"&amp;$A19&amp;"'!$A$12:$Z$12"),0),0)),"ER"))</f>
        <v>?</v>
      </c>
      <c r="W19" s="87" t="str">
        <f aca="true">IF($H19=0,"NA",IF($A19=INDIRECT("'"&amp;$A19&amp;"'!$B$1"),IF(VLOOKUP(W$1,INDIRECT("'"&amp;$A19&amp;"'!$A$12:$Z$41"),MATCH("Points (Auto-generate)",INDIRECT("'"&amp;$A19&amp;"'!$A$12:$Z$12"),0),0)="","?",VLOOKUP(W$1,INDIRECT("'"&amp;$A19&amp;"'!$A$12:$Z$41"),MATCH("Points (Auto-generate)",INDIRECT("'"&amp;$A19&amp;"'!$A$12:$Z$12"),0),0)),"ER"))</f>
        <v>?</v>
      </c>
      <c r="X19" s="87" t="str">
        <f aca="true">IF($H19=0,"NA",IF($A19=INDIRECT("'"&amp;$A19&amp;"'!$B$1"),IF(VLOOKUP(X$1,INDIRECT("'"&amp;$A19&amp;"'!$A$12:$Z$41"),MATCH("Points (Auto-generate)",INDIRECT("'"&amp;$A19&amp;"'!$A$12:$Z$12"),0),0)="","?",VLOOKUP(X$1,INDIRECT("'"&amp;$A19&amp;"'!$A$12:$Z$41"),MATCH("Points (Auto-generate)",INDIRECT("'"&amp;$A19&amp;"'!$A$12:$Z$12"),0),0)),"ER"))</f>
        <v>?</v>
      </c>
      <c r="Y19" s="87" t="str">
        <f aca="true">IF($H19=0,"NA",IF($A19=INDIRECT("'"&amp;$A19&amp;"'!$B$1"),IF(VLOOKUP(Y$1,INDIRECT("'"&amp;$A19&amp;"'!$A$12:$Z$41"),MATCH("Points (Auto-generate)",INDIRECT("'"&amp;$A19&amp;"'!$A$12:$Z$12"),0),0)="","?",VLOOKUP(Y$1,INDIRECT("'"&amp;$A19&amp;"'!$A$12:$Z$41"),MATCH("Points (Auto-generate)",INDIRECT("'"&amp;$A19&amp;"'!$A$12:$Z$12"),0),0)),"ER"))</f>
        <v>?</v>
      </c>
      <c r="Z19" s="87" t="str">
        <f aca="true">IF($H19=0,"NA",IF($A19=INDIRECT("'"&amp;$A19&amp;"'!$B$1"),IF(VLOOKUP(Z$1,INDIRECT("'"&amp;$A19&amp;"'!$A$12:$Z$41"),MATCH("Points (Auto-generate)",INDIRECT("'"&amp;$A19&amp;"'!$A$12:$Z$12"),0),0)="","?",VLOOKUP(Z$1,INDIRECT("'"&amp;$A19&amp;"'!$A$12:$Z$41"),MATCH("Points (Auto-generate)",INDIRECT("'"&amp;$A19&amp;"'!$A$12:$Z$12"),0),0)),"ER"))</f>
        <v>?</v>
      </c>
      <c r="AA19" s="87" t="str">
        <f aca="true">IF($H19=0,"NA",IF($A19=INDIRECT("'"&amp;$A19&amp;"'!$B$1"),IF(VLOOKUP(AA$1,INDIRECT("'"&amp;$A19&amp;"'!$A$12:$Z$41"),MATCH("Points (Auto-generate)",INDIRECT("'"&amp;$A19&amp;"'!$A$12:$Z$12"),0),0)="","?",VLOOKUP(AA$1,INDIRECT("'"&amp;$A19&amp;"'!$A$12:$Z$41"),MATCH("Points (Auto-generate)",INDIRECT("'"&amp;$A19&amp;"'!$A$12:$Z$12"),0),0)),"ER"))</f>
        <v>?</v>
      </c>
      <c r="AB19" s="87" t="str">
        <f aca="true">IF($H19=0,"NA",IF($A19=INDIRECT("'"&amp;$A19&amp;"'!$B$1"),IF(VLOOKUP(AB$1,INDIRECT("'"&amp;$A19&amp;"'!$A$12:$Z$41"),MATCH("Points (Auto-generate)",INDIRECT("'"&amp;$A19&amp;"'!$A$12:$Z$12"),0),0)="","?",VLOOKUP(AB$1,INDIRECT("'"&amp;$A19&amp;"'!$A$12:$Z$41"),MATCH("Points (Auto-generate)",INDIRECT("'"&amp;$A19&amp;"'!$A$12:$Z$12"),0),0)),"ER"))</f>
        <v>?</v>
      </c>
      <c r="AC19" s="87" t="str">
        <f aca="true">IF($H19=0,"NA",IF($A19=INDIRECT("'"&amp;$A19&amp;"'!$B$1"),IF(VLOOKUP(AC$1,INDIRECT("'"&amp;$A19&amp;"'!$A$12:$Z$41"),MATCH("Points (Auto-generate)",INDIRECT("'"&amp;$A19&amp;"'!$A$12:$Z$12"),0),0)="","?",VLOOKUP(AC$1,INDIRECT("'"&amp;$A19&amp;"'!$A$12:$Z$41"),MATCH("Points (Auto-generate)",INDIRECT("'"&amp;$A19&amp;"'!$A$12:$Z$12"),0),0)),"ER"))</f>
        <v>?</v>
      </c>
      <c r="AD19" s="87" t="str">
        <f aca="true">IF($H19=0,"NA",IF($A19=INDIRECT("'"&amp;$A19&amp;"'!$B$1"),IF(VLOOKUP(AD$1,INDIRECT("'"&amp;$A19&amp;"'!$A$12:$Z$41"),MATCH("Points (Auto-generate)",INDIRECT("'"&amp;$A19&amp;"'!$A$12:$Z$12"),0),0)="","?",VLOOKUP(AD$1,INDIRECT("'"&amp;$A19&amp;"'!$A$12:$Z$41"),MATCH("Points (Auto-generate)",INDIRECT("'"&amp;$A19&amp;"'!$A$12:$Z$12"),0),0)),"ER"))</f>
        <v>?</v>
      </c>
      <c r="AE19" s="87" t="str">
        <f aca="true">IF($H19=0,"NA",IF($A19=INDIRECT("'"&amp;$A19&amp;"'!$B$1"),IF(VLOOKUP(AE$1,INDIRECT("'"&amp;$A19&amp;"'!$A$12:$Z$41"),MATCH("Points (Auto-generate)",INDIRECT("'"&amp;$A19&amp;"'!$A$12:$Z$12"),0),0)="","?",VLOOKUP(AE$1,INDIRECT("'"&amp;$A19&amp;"'!$A$12:$Z$41"),MATCH("Points (Auto-generate)",INDIRECT("'"&amp;$A19&amp;"'!$A$12:$Z$12"),0),0)),"ER"))</f>
        <v>?</v>
      </c>
      <c r="AF19" s="87" t="str">
        <f aca="true">IF($H19=0,"NA",IF($A19=INDIRECT("'"&amp;$A19&amp;"'!$B$1"),IF(VLOOKUP(AF$1,INDIRECT("'"&amp;$A19&amp;"'!$A$12:$Z$41"),MATCH("Points (Auto-generate)",INDIRECT("'"&amp;$A19&amp;"'!$A$12:$Z$12"),0),0)="","?",VLOOKUP(AF$1,INDIRECT("'"&amp;$A19&amp;"'!$A$12:$Z$41"),MATCH("Points (Auto-generate)",INDIRECT("'"&amp;$A19&amp;"'!$A$12:$Z$12"),0),0)),"ER"))</f>
        <v>?</v>
      </c>
      <c r="AG19" s="87" t="str">
        <f aca="true">IF($H19=0,"NA",IF($A19=INDIRECT("'"&amp;$A19&amp;"'!$B$1"),IF(VLOOKUP(AG$1,INDIRECT("'"&amp;$A19&amp;"'!$A$12:$Z$41"),MATCH("Points (Auto-generate)",INDIRECT("'"&amp;$A19&amp;"'!$A$12:$Z$12"),0),0)="","?",VLOOKUP(AG$1,INDIRECT("'"&amp;$A19&amp;"'!$A$12:$Z$41"),MATCH("Points (Auto-generate)",INDIRECT("'"&amp;$A19&amp;"'!$A$12:$Z$12"),0),0)),"ER"))</f>
        <v>?</v>
      </c>
      <c r="AH19" s="87" t="str">
        <f aca="true">IF($H19=0,"NA",IF($A19=INDIRECT("'"&amp;$A19&amp;"'!$B$1"),IF(VLOOKUP(AH$1,INDIRECT("'"&amp;$A19&amp;"'!$A$12:$Z$41"),MATCH("Points (Auto-generate)",INDIRECT("'"&amp;$A19&amp;"'!$A$12:$Z$12"),0),0)="","?",VLOOKUP(AH$1,INDIRECT("'"&amp;$A19&amp;"'!$A$12:$Z$41"),MATCH("Points (Auto-generate)",INDIRECT("'"&amp;$A19&amp;"'!$A$12:$Z$12"),0),0)),"ER"))</f>
        <v>?</v>
      </c>
      <c r="AI19" s="87" t="str">
        <f aca="true">IF($H19=0,"NA",IF($A19=INDIRECT("'"&amp;$A19&amp;"'!$B$1"),IF(VLOOKUP(AI$1,INDIRECT("'"&amp;$A19&amp;"'!$A$12:$Z$41"),MATCH("Points (Auto-generate)",INDIRECT("'"&amp;$A19&amp;"'!$A$12:$Z$12"),0),0)="","?",VLOOKUP(AI$1,INDIRECT("'"&amp;$A19&amp;"'!$A$12:$Z$41"),MATCH("Points (Auto-generate)",INDIRECT("'"&amp;$A19&amp;"'!$A$12:$Z$12"),0),0)),"ER"))</f>
        <v>?</v>
      </c>
      <c r="AJ19" s="87" t="str">
        <f aca="true">IF($H19=0,"NA",IF($A19=INDIRECT("'"&amp;$A19&amp;"'!$B$1"),IF(VLOOKUP(AJ$1,INDIRECT("'"&amp;$A19&amp;"'!$A$12:$Z$41"),MATCH("Points (Auto-generate)",INDIRECT("'"&amp;$A19&amp;"'!$A$12:$Z$12"),0),0)="","?",VLOOKUP(AJ$1,INDIRECT("'"&amp;$A19&amp;"'!$A$12:$Z$41"),MATCH("Points (Auto-generate)",INDIRECT("'"&amp;$A19&amp;"'!$A$12:$Z$12"),0),0)),"ER"))</f>
        <v>?</v>
      </c>
      <c r="AK19" s="87" t="str">
        <f aca="true">IF($H19=0,"NA",IF($A19=INDIRECT("'"&amp;$A19&amp;"'!$B$1"),IF(VLOOKUP(AK$1,INDIRECT("'"&amp;$A19&amp;"'!$A$12:$Z$41"),MATCH("Points (Auto-generate)",INDIRECT("'"&amp;$A19&amp;"'!$A$12:$Z$12"),0),0)="","?",VLOOKUP(AK$1,INDIRECT("'"&amp;$A19&amp;"'!$A$12:$Z$41"),MATCH("Points (Auto-generate)",INDIRECT("'"&amp;$A19&amp;"'!$A$12:$Z$12"),0),0)),"ER"))</f>
        <v>?</v>
      </c>
    </row>
    <row r="20" customFormat="false" ht="14.25" hidden="false" customHeight="true" outlineLevel="0" collapsed="false">
      <c r="A20" s="83" t="s">
        <v>148</v>
      </c>
      <c r="B20" s="84" t="str">
        <f aca="false">IF(ISBLANK($A20),"NO_CODE",VLOOKUP($A20,'UPD Questions_290926 '!$E$1:$N$300,MATCH(B$1,'UPD Questions_290926 '!$E$1:$N$1,0),0)&amp;"")</f>
        <v>Planning </v>
      </c>
      <c r="C20" s="84" t="str">
        <f aca="false">IF(ISBLANK($A20),"NO_CODE",VLOOKUP($A20,'UPD Questions_290926 '!$E$1:$N$300,MATCH(C$1,'UPD Questions_290926 '!$E$1:$N$1,0),0)&amp;"")</f>
        <v>Municipal/City Plan preparation, participation and review</v>
      </c>
      <c r="D20" s="84" t="str">
        <f aca="false">IF(ISBLANK($A20),"NO_CODE",VLOOKUP($A20,'UPD Questions_290926 '!$E$1:$N$300,MATCH(D$1,'UPD Questions_290926 '!$E$1:$N$1,0),0)&amp;"")</f>
        <v>Public participation and scrutiny</v>
      </c>
      <c r="E20" s="84" t="str">
        <f aca="false">IF(ISBLANK($A20),"NO_CODE",VLOOKUP($A20,'UPD Questions_290926 '!$E$1:$N$300,MATCH(E$1,'UPD Questions_290926 '!$E$1:$N$1,0),0)&amp;"")</f>
        <v>MQ</v>
      </c>
      <c r="F20" s="84" t="str">
        <f aca="false">IF(ISBLANK($A20),"NO_CODE",VLOOKUP($A20,'UPD Questions_290926 '!$E$1:$N$300,MATCH(F$1,'UPD Questions_290926 '!$E$1:$N$1,0),0)&amp;"")</f>
        <v>Does the law mandate public participation in preparation of the municipal plan through Area Sabhas / Ward Sabhas and other means?</v>
      </c>
      <c r="G20" s="84" t="str">
        <f aca="false">IF(ISBLANK($A20),"NO_CODE",VLOOKUP($A20,'UPD Questions_290926 '!$E$1:$N$300,MATCH(G$1,'UPD Questions_290926 '!$E$1:$N$1,0),0)&amp;"")</f>
        <v>Law or Policy</v>
      </c>
      <c r="H20" s="86" t="n">
        <f aca="false">IF(ISBLANK($A20),"NO_CODE",VLOOKUP($A20,'UPD Questions_290926 '!$E$1:$N$300,MATCH(H$1,'UPD Questions_290926 '!$E$1:$N$1,0),0))</f>
        <v>10</v>
      </c>
      <c r="I20" s="87" t="str">
        <f aca="true">IF($H20=0,"NA",IF($A20=INDIRECT("'"&amp;$A20&amp;"'!$B$1"),IF(VLOOKUP(I$1,INDIRECT("'"&amp;$A20&amp;"'!$A$12:$Z$41"),MATCH("Points (Auto-generate)",INDIRECT("'"&amp;$A20&amp;"'!$A$12:$Z$12"),0),0)="","?",VLOOKUP(I$1,INDIRECT("'"&amp;$A20&amp;"'!$A$12:$Z$41"),MATCH("Points (Auto-generate)",INDIRECT("'"&amp;$A20&amp;"'!$A$12:$Z$12"),0),0)),"ER"))</f>
        <v>?</v>
      </c>
      <c r="J20" s="87" t="str">
        <f aca="true">IF($H20=0,"NA",IF($A20=INDIRECT("'"&amp;$A20&amp;"'!$B$1"),IF(VLOOKUP(J$1,INDIRECT("'"&amp;$A20&amp;"'!$A$12:$Z$41"),MATCH("Points (Auto-generate)",INDIRECT("'"&amp;$A20&amp;"'!$A$12:$Z$12"),0),0)="","?",VLOOKUP(J$1,INDIRECT("'"&amp;$A20&amp;"'!$A$12:$Z$41"),MATCH("Points (Auto-generate)",INDIRECT("'"&amp;$A20&amp;"'!$A$12:$Z$12"),0),0)),"ER"))</f>
        <v>?</v>
      </c>
      <c r="K20" s="87" t="str">
        <f aca="true">IF($H20=0,"NA",IF($A20=INDIRECT("'"&amp;$A20&amp;"'!$B$1"),IF(VLOOKUP(K$1,INDIRECT("'"&amp;$A20&amp;"'!$A$12:$Z$41"),MATCH("Points (Auto-generate)",INDIRECT("'"&amp;$A20&amp;"'!$A$12:$Z$12"),0),0)="","?",VLOOKUP(K$1,INDIRECT("'"&amp;$A20&amp;"'!$A$12:$Z$41"),MATCH("Points (Auto-generate)",INDIRECT("'"&amp;$A20&amp;"'!$A$12:$Z$12"),0),0)),"ER"))</f>
        <v>?</v>
      </c>
      <c r="L20" s="87" t="str">
        <f aca="true">IF($H20=0,"NA",IF($A20=INDIRECT("'"&amp;$A20&amp;"'!$B$1"),IF(VLOOKUP(L$1,INDIRECT("'"&amp;$A20&amp;"'!$A$12:$Z$41"),MATCH("Points (Auto-generate)",INDIRECT("'"&amp;$A20&amp;"'!$A$12:$Z$12"),0),0)="","?",VLOOKUP(L$1,INDIRECT("'"&amp;$A20&amp;"'!$A$12:$Z$41"),MATCH("Points (Auto-generate)",INDIRECT("'"&amp;$A20&amp;"'!$A$12:$Z$12"),0),0)),"ER"))</f>
        <v>?</v>
      </c>
      <c r="M20" s="87" t="str">
        <f aca="true">IF($H20=0,"NA",IF($A20=INDIRECT("'"&amp;$A20&amp;"'!$B$1"),IF(VLOOKUP(M$1,INDIRECT("'"&amp;$A20&amp;"'!$A$12:$Z$41"),MATCH("Points (Auto-generate)",INDIRECT("'"&amp;$A20&amp;"'!$A$12:$Z$12"),0),0)="","?",VLOOKUP(M$1,INDIRECT("'"&amp;$A20&amp;"'!$A$12:$Z$41"),MATCH("Points (Auto-generate)",INDIRECT("'"&amp;$A20&amp;"'!$A$12:$Z$12"),0),0)),"ER"))</f>
        <v>?</v>
      </c>
      <c r="N20" s="87" t="str">
        <f aca="true">IF($H20=0,"NA",IF($A20=INDIRECT("'"&amp;$A20&amp;"'!$B$1"),IF(VLOOKUP(N$1,INDIRECT("'"&amp;$A20&amp;"'!$A$12:$Z$41"),MATCH("Points (Auto-generate)",INDIRECT("'"&amp;$A20&amp;"'!$A$12:$Z$12"),0),0)="","?",VLOOKUP(N$1,INDIRECT("'"&amp;$A20&amp;"'!$A$12:$Z$41"),MATCH("Points (Auto-generate)",INDIRECT("'"&amp;$A20&amp;"'!$A$12:$Z$12"),0),0)),"ER"))</f>
        <v>?</v>
      </c>
      <c r="O20" s="87" t="str">
        <f aca="true">IF($H20=0,"NA",IF($A20=INDIRECT("'"&amp;$A20&amp;"'!$B$1"),IF(VLOOKUP(O$1,INDIRECT("'"&amp;$A20&amp;"'!$A$12:$Z$41"),MATCH("Points (Auto-generate)",INDIRECT("'"&amp;$A20&amp;"'!$A$12:$Z$12"),0),0)="","?",VLOOKUP(O$1,INDIRECT("'"&amp;$A20&amp;"'!$A$12:$Z$41"),MATCH("Points (Auto-generate)",INDIRECT("'"&amp;$A20&amp;"'!$A$12:$Z$12"),0),0)),"ER"))</f>
        <v>?</v>
      </c>
      <c r="P20" s="87" t="str">
        <f aca="true">IF($H20=0,"NA",IF($A20=INDIRECT("'"&amp;$A20&amp;"'!$B$1"),IF(VLOOKUP(P$1,INDIRECT("'"&amp;$A20&amp;"'!$A$12:$Z$41"),MATCH("Points (Auto-generate)",INDIRECT("'"&amp;$A20&amp;"'!$A$12:$Z$12"),0),0)="","?",VLOOKUP(P$1,INDIRECT("'"&amp;$A20&amp;"'!$A$12:$Z$41"),MATCH("Points (Auto-generate)",INDIRECT("'"&amp;$A20&amp;"'!$A$12:$Z$12"),0),0)),"ER"))</f>
        <v>?</v>
      </c>
      <c r="Q20" s="87" t="str">
        <f aca="true">IF($H20=0,"NA",IF($A20=INDIRECT("'"&amp;$A20&amp;"'!$B$1"),IF(VLOOKUP(Q$1,INDIRECT("'"&amp;$A20&amp;"'!$A$12:$Z$41"),MATCH("Points (Auto-generate)",INDIRECT("'"&amp;$A20&amp;"'!$A$12:$Z$12"),0),0)="","?",VLOOKUP(Q$1,INDIRECT("'"&amp;$A20&amp;"'!$A$12:$Z$41"),MATCH("Points (Auto-generate)",INDIRECT("'"&amp;$A20&amp;"'!$A$12:$Z$12"),0),0)),"ER"))</f>
        <v>?</v>
      </c>
      <c r="R20" s="87" t="str">
        <f aca="true">IF($H20=0,"NA",IF($A20=INDIRECT("'"&amp;$A20&amp;"'!$B$1"),IF(VLOOKUP(R$1,INDIRECT("'"&amp;$A20&amp;"'!$A$12:$Z$41"),MATCH("Points (Auto-generate)",INDIRECT("'"&amp;$A20&amp;"'!$A$12:$Z$12"),0),0)="","?",VLOOKUP(R$1,INDIRECT("'"&amp;$A20&amp;"'!$A$12:$Z$41"),MATCH("Points (Auto-generate)",INDIRECT("'"&amp;$A20&amp;"'!$A$12:$Z$12"),0),0)),"ER"))</f>
        <v>?</v>
      </c>
      <c r="S20" s="87" t="str">
        <f aca="true">IF($H20=0,"NA",IF($A20=INDIRECT("'"&amp;$A20&amp;"'!$B$1"),IF(VLOOKUP(S$1,INDIRECT("'"&amp;$A20&amp;"'!$A$12:$Z$41"),MATCH("Points (Auto-generate)",INDIRECT("'"&amp;$A20&amp;"'!$A$12:$Z$12"),0),0)="","?",VLOOKUP(S$1,INDIRECT("'"&amp;$A20&amp;"'!$A$12:$Z$41"),MATCH("Points (Auto-generate)",INDIRECT("'"&amp;$A20&amp;"'!$A$12:$Z$12"),0),0)),"ER"))</f>
        <v>?</v>
      </c>
      <c r="T20" s="87" t="str">
        <f aca="true">IF($H20=0,"NA",IF($A20=INDIRECT("'"&amp;$A20&amp;"'!$B$1"),IF(VLOOKUP(T$1,INDIRECT("'"&amp;$A20&amp;"'!$A$12:$Z$41"),MATCH("Points (Auto-generate)",INDIRECT("'"&amp;$A20&amp;"'!$A$12:$Z$12"),0),0)="","?",VLOOKUP(T$1,INDIRECT("'"&amp;$A20&amp;"'!$A$12:$Z$41"),MATCH("Points (Auto-generate)",INDIRECT("'"&amp;$A20&amp;"'!$A$12:$Z$12"),0),0)),"ER"))</f>
        <v>?</v>
      </c>
      <c r="U20" s="87" t="str">
        <f aca="true">IF($H20=0,"NA",IF($A20=INDIRECT("'"&amp;$A20&amp;"'!$B$1"),IF(VLOOKUP(U$1,INDIRECT("'"&amp;$A20&amp;"'!$A$12:$Z$41"),MATCH("Points (Auto-generate)",INDIRECT("'"&amp;$A20&amp;"'!$A$12:$Z$12"),0),0)="","?",VLOOKUP(U$1,INDIRECT("'"&amp;$A20&amp;"'!$A$12:$Z$41"),MATCH("Points (Auto-generate)",INDIRECT("'"&amp;$A20&amp;"'!$A$12:$Z$12"),0),0)),"ER"))</f>
        <v>?</v>
      </c>
      <c r="V20" s="87" t="str">
        <f aca="true">IF($H20=0,"NA",IF($A20=INDIRECT("'"&amp;$A20&amp;"'!$B$1"),IF(VLOOKUP(V$1,INDIRECT("'"&amp;$A20&amp;"'!$A$12:$Z$41"),MATCH("Points (Auto-generate)",INDIRECT("'"&amp;$A20&amp;"'!$A$12:$Z$12"),0),0)="","?",VLOOKUP(V$1,INDIRECT("'"&amp;$A20&amp;"'!$A$12:$Z$41"),MATCH("Points (Auto-generate)",INDIRECT("'"&amp;$A20&amp;"'!$A$12:$Z$12"),0),0)),"ER"))</f>
        <v>?</v>
      </c>
      <c r="W20" s="87" t="str">
        <f aca="true">IF($H20=0,"NA",IF($A20=INDIRECT("'"&amp;$A20&amp;"'!$B$1"),IF(VLOOKUP(W$1,INDIRECT("'"&amp;$A20&amp;"'!$A$12:$Z$41"),MATCH("Points (Auto-generate)",INDIRECT("'"&amp;$A20&amp;"'!$A$12:$Z$12"),0),0)="","?",VLOOKUP(W$1,INDIRECT("'"&amp;$A20&amp;"'!$A$12:$Z$41"),MATCH("Points (Auto-generate)",INDIRECT("'"&amp;$A20&amp;"'!$A$12:$Z$12"),0),0)),"ER"))</f>
        <v>?</v>
      </c>
      <c r="X20" s="87" t="str">
        <f aca="true">IF($H20=0,"NA",IF($A20=INDIRECT("'"&amp;$A20&amp;"'!$B$1"),IF(VLOOKUP(X$1,INDIRECT("'"&amp;$A20&amp;"'!$A$12:$Z$41"),MATCH("Points (Auto-generate)",INDIRECT("'"&amp;$A20&amp;"'!$A$12:$Z$12"),0),0)="","?",VLOOKUP(X$1,INDIRECT("'"&amp;$A20&amp;"'!$A$12:$Z$41"),MATCH("Points (Auto-generate)",INDIRECT("'"&amp;$A20&amp;"'!$A$12:$Z$12"),0),0)),"ER"))</f>
        <v>?</v>
      </c>
      <c r="Y20" s="87" t="str">
        <f aca="true">IF($H20=0,"NA",IF($A20=INDIRECT("'"&amp;$A20&amp;"'!$B$1"),IF(VLOOKUP(Y$1,INDIRECT("'"&amp;$A20&amp;"'!$A$12:$Z$41"),MATCH("Points (Auto-generate)",INDIRECT("'"&amp;$A20&amp;"'!$A$12:$Z$12"),0),0)="","?",VLOOKUP(Y$1,INDIRECT("'"&amp;$A20&amp;"'!$A$12:$Z$41"),MATCH("Points (Auto-generate)",INDIRECT("'"&amp;$A20&amp;"'!$A$12:$Z$12"),0),0)),"ER"))</f>
        <v>?</v>
      </c>
      <c r="Z20" s="87" t="str">
        <f aca="true">IF($H20=0,"NA",IF($A20=INDIRECT("'"&amp;$A20&amp;"'!$B$1"),IF(VLOOKUP(Z$1,INDIRECT("'"&amp;$A20&amp;"'!$A$12:$Z$41"),MATCH("Points (Auto-generate)",INDIRECT("'"&amp;$A20&amp;"'!$A$12:$Z$12"),0),0)="","?",VLOOKUP(Z$1,INDIRECT("'"&amp;$A20&amp;"'!$A$12:$Z$41"),MATCH("Points (Auto-generate)",INDIRECT("'"&amp;$A20&amp;"'!$A$12:$Z$12"),0),0)),"ER"))</f>
        <v>?</v>
      </c>
      <c r="AA20" s="87" t="str">
        <f aca="true">IF($H20=0,"NA",IF($A20=INDIRECT("'"&amp;$A20&amp;"'!$B$1"),IF(VLOOKUP(AA$1,INDIRECT("'"&amp;$A20&amp;"'!$A$12:$Z$41"),MATCH("Points (Auto-generate)",INDIRECT("'"&amp;$A20&amp;"'!$A$12:$Z$12"),0),0)="","?",VLOOKUP(AA$1,INDIRECT("'"&amp;$A20&amp;"'!$A$12:$Z$41"),MATCH("Points (Auto-generate)",INDIRECT("'"&amp;$A20&amp;"'!$A$12:$Z$12"),0),0)),"ER"))</f>
        <v>?</v>
      </c>
      <c r="AB20" s="87" t="str">
        <f aca="true">IF($H20=0,"NA",IF($A20=INDIRECT("'"&amp;$A20&amp;"'!$B$1"),IF(VLOOKUP(AB$1,INDIRECT("'"&amp;$A20&amp;"'!$A$12:$Z$41"),MATCH("Points (Auto-generate)",INDIRECT("'"&amp;$A20&amp;"'!$A$12:$Z$12"),0),0)="","?",VLOOKUP(AB$1,INDIRECT("'"&amp;$A20&amp;"'!$A$12:$Z$41"),MATCH("Points (Auto-generate)",INDIRECT("'"&amp;$A20&amp;"'!$A$12:$Z$12"),0),0)),"ER"))</f>
        <v>?</v>
      </c>
      <c r="AC20" s="87" t="str">
        <f aca="true">IF($H20=0,"NA",IF($A20=INDIRECT("'"&amp;$A20&amp;"'!$B$1"),IF(VLOOKUP(AC$1,INDIRECT("'"&amp;$A20&amp;"'!$A$12:$Z$41"),MATCH("Points (Auto-generate)",INDIRECT("'"&amp;$A20&amp;"'!$A$12:$Z$12"),0),0)="","?",VLOOKUP(AC$1,INDIRECT("'"&amp;$A20&amp;"'!$A$12:$Z$41"),MATCH("Points (Auto-generate)",INDIRECT("'"&amp;$A20&amp;"'!$A$12:$Z$12"),0),0)),"ER"))</f>
        <v>?</v>
      </c>
      <c r="AD20" s="87" t="str">
        <f aca="true">IF($H20=0,"NA",IF($A20=INDIRECT("'"&amp;$A20&amp;"'!$B$1"),IF(VLOOKUP(AD$1,INDIRECT("'"&amp;$A20&amp;"'!$A$12:$Z$41"),MATCH("Points (Auto-generate)",INDIRECT("'"&amp;$A20&amp;"'!$A$12:$Z$12"),0),0)="","?",VLOOKUP(AD$1,INDIRECT("'"&amp;$A20&amp;"'!$A$12:$Z$41"),MATCH("Points (Auto-generate)",INDIRECT("'"&amp;$A20&amp;"'!$A$12:$Z$12"),0),0)),"ER"))</f>
        <v>?</v>
      </c>
      <c r="AE20" s="87" t="str">
        <f aca="true">IF($H20=0,"NA",IF($A20=INDIRECT("'"&amp;$A20&amp;"'!$B$1"),IF(VLOOKUP(AE$1,INDIRECT("'"&amp;$A20&amp;"'!$A$12:$Z$41"),MATCH("Points (Auto-generate)",INDIRECT("'"&amp;$A20&amp;"'!$A$12:$Z$12"),0),0)="","?",VLOOKUP(AE$1,INDIRECT("'"&amp;$A20&amp;"'!$A$12:$Z$41"),MATCH("Points (Auto-generate)",INDIRECT("'"&amp;$A20&amp;"'!$A$12:$Z$12"),0),0)),"ER"))</f>
        <v>?</v>
      </c>
      <c r="AF20" s="87" t="str">
        <f aca="true">IF($H20=0,"NA",IF($A20=INDIRECT("'"&amp;$A20&amp;"'!$B$1"),IF(VLOOKUP(AF$1,INDIRECT("'"&amp;$A20&amp;"'!$A$12:$Z$41"),MATCH("Points (Auto-generate)",INDIRECT("'"&amp;$A20&amp;"'!$A$12:$Z$12"),0),0)="","?",VLOOKUP(AF$1,INDIRECT("'"&amp;$A20&amp;"'!$A$12:$Z$41"),MATCH("Points (Auto-generate)",INDIRECT("'"&amp;$A20&amp;"'!$A$12:$Z$12"),0),0)),"ER"))</f>
        <v>?</v>
      </c>
      <c r="AG20" s="87" t="str">
        <f aca="true">IF($H20=0,"NA",IF($A20=INDIRECT("'"&amp;$A20&amp;"'!$B$1"),IF(VLOOKUP(AG$1,INDIRECT("'"&amp;$A20&amp;"'!$A$12:$Z$41"),MATCH("Points (Auto-generate)",INDIRECT("'"&amp;$A20&amp;"'!$A$12:$Z$12"),0),0)="","?",VLOOKUP(AG$1,INDIRECT("'"&amp;$A20&amp;"'!$A$12:$Z$41"),MATCH("Points (Auto-generate)",INDIRECT("'"&amp;$A20&amp;"'!$A$12:$Z$12"),0),0)),"ER"))</f>
        <v>?</v>
      </c>
      <c r="AH20" s="87" t="str">
        <f aca="true">IF($H20=0,"NA",IF($A20=INDIRECT("'"&amp;$A20&amp;"'!$B$1"),IF(VLOOKUP(AH$1,INDIRECT("'"&amp;$A20&amp;"'!$A$12:$Z$41"),MATCH("Points (Auto-generate)",INDIRECT("'"&amp;$A20&amp;"'!$A$12:$Z$12"),0),0)="","?",VLOOKUP(AH$1,INDIRECT("'"&amp;$A20&amp;"'!$A$12:$Z$41"),MATCH("Points (Auto-generate)",INDIRECT("'"&amp;$A20&amp;"'!$A$12:$Z$12"),0),0)),"ER"))</f>
        <v>?</v>
      </c>
      <c r="AI20" s="87" t="str">
        <f aca="true">IF($H20=0,"NA",IF($A20=INDIRECT("'"&amp;$A20&amp;"'!$B$1"),IF(VLOOKUP(AI$1,INDIRECT("'"&amp;$A20&amp;"'!$A$12:$Z$41"),MATCH("Points (Auto-generate)",INDIRECT("'"&amp;$A20&amp;"'!$A$12:$Z$12"),0),0)="","?",VLOOKUP(AI$1,INDIRECT("'"&amp;$A20&amp;"'!$A$12:$Z$41"),MATCH("Points (Auto-generate)",INDIRECT("'"&amp;$A20&amp;"'!$A$12:$Z$12"),0),0)),"ER"))</f>
        <v>?</v>
      </c>
      <c r="AJ20" s="87" t="str">
        <f aca="true">IF($H20=0,"NA",IF($A20=INDIRECT("'"&amp;$A20&amp;"'!$B$1"),IF(VLOOKUP(AJ$1,INDIRECT("'"&amp;$A20&amp;"'!$A$12:$Z$41"),MATCH("Points (Auto-generate)",INDIRECT("'"&amp;$A20&amp;"'!$A$12:$Z$12"),0),0)="","?",VLOOKUP(AJ$1,INDIRECT("'"&amp;$A20&amp;"'!$A$12:$Z$41"),MATCH("Points (Auto-generate)",INDIRECT("'"&amp;$A20&amp;"'!$A$12:$Z$12"),0),0)),"ER"))</f>
        <v>?</v>
      </c>
      <c r="AK20" s="87" t="str">
        <f aca="true">IF($H20=0,"NA",IF($A20=INDIRECT("'"&amp;$A20&amp;"'!$B$1"),IF(VLOOKUP(AK$1,INDIRECT("'"&amp;$A20&amp;"'!$A$12:$Z$41"),MATCH("Points (Auto-generate)",INDIRECT("'"&amp;$A20&amp;"'!$A$12:$Z$12"),0),0)="","?",VLOOKUP(AK$1,INDIRECT("'"&amp;$A20&amp;"'!$A$12:$Z$41"),MATCH("Points (Auto-generate)",INDIRECT("'"&amp;$A20&amp;"'!$A$12:$Z$12"),0),0)),"ER"))</f>
        <v>?</v>
      </c>
    </row>
    <row r="21" customFormat="false" ht="14.25" hidden="false" customHeight="true" outlineLevel="0" collapsed="false">
      <c r="A21" s="83" t="s">
        <v>700</v>
      </c>
      <c r="B21" s="84" t="str">
        <f aca="false">IF(ISBLANK($A21),"NO_CODE",VLOOKUP($A21,'UPD Questions_290926 '!$E$1:$N$300,MATCH(B$1,'UPD Questions_290926 '!$E$1:$N$1,0),0)&amp;"")</f>
        <v>Planning </v>
      </c>
      <c r="C21" s="84" t="str">
        <f aca="false">IF(ISBLANK($A21),"NO_CODE",VLOOKUP($A21,'UPD Questions_290926 '!$E$1:$N$300,MATCH(C$1,'UPD Questions_290926 '!$E$1:$N$1,0),0)&amp;"")</f>
        <v>Municipal/City Plan preparation, participation and review</v>
      </c>
      <c r="D21" s="84" t="str">
        <f aca="false">IF(ISBLANK($A21),"NO_CODE",VLOOKUP($A21,'UPD Questions_290926 '!$E$1:$N$300,MATCH(D$1,'UPD Questions_290926 '!$E$1:$N$1,0),0)&amp;"")</f>
        <v>Public participation and scrutiny</v>
      </c>
      <c r="E21" s="84" t="str">
        <f aca="false">IF(ISBLANK($A21),"NO_CODE",VLOOKUP($A21,'UPD Questions_290926 '!$E$1:$N$300,MATCH(E$1,'UPD Questions_290926 '!$E$1:$N$1,0),0)&amp;"")</f>
        <v>MQ</v>
      </c>
      <c r="F21" s="84" t="str">
        <f aca="false">IF(ISBLANK($A21),"NO_CODE",VLOOKUP($A21,'UPD Questions_290926 '!$E$1:$N$300,MATCH(F$1,'UPD Questions_290926 '!$E$1:$N$1,0),0)&amp;"")</f>
        <v>Is there public scrutiny for (including objections and responses) municipal/city plan?</v>
      </c>
      <c r="G21" s="84" t="str">
        <f aca="false">IF(ISBLANK($A21),"NO_CODE",VLOOKUP($A21,'UPD Questions_290926 '!$E$1:$N$300,MATCH(G$1,'UPD Questions_290926 '!$E$1:$N$1,0),0)&amp;"")</f>
        <v>Law/Policy &amp; Implementation</v>
      </c>
      <c r="H21" s="86" t="n">
        <f aca="false">IF(ISBLANK($A21),"NO_CODE",VLOOKUP($A21,'UPD Questions_290926 '!$E$1:$N$300,MATCH(H$1,'UPD Questions_290926 '!$E$1:$N$1,0),0))</f>
        <v>10</v>
      </c>
      <c r="I21" s="87" t="str">
        <f aca="false">IF(OR(I22="ER",I23="ER"),"ER",IF(OR(I22="?",I23="?"),"?",IF(AND(I22="NA",I23="NA"),"NA",SUM(I22,I23)/((I22&lt;&gt;"NA")*$H$22+(I23&lt;&gt;"NA")*$H$23)*$H21)))</f>
        <v>?</v>
      </c>
      <c r="J21" s="87" t="str">
        <f aca="false">IF(OR(J22="ER",J23="ER"),"ER",IF(OR(J22="?",J23="?"),"?",IF(AND(J22="NA",J23="NA"),"NA",SUM(J22,J23)/((J22&lt;&gt;"NA")*$H$22+(J23&lt;&gt;"NA")*$H$23)*$H21)))</f>
        <v>?</v>
      </c>
      <c r="K21" s="87" t="str">
        <f aca="false">IF(OR(K22="ER",K23="ER"),"ER",IF(OR(K22="?",K23="?"),"?",IF(AND(K22="NA",K23="NA"),"NA",SUM(K22,K23)/((K22&lt;&gt;"NA")*$H$22+(K23&lt;&gt;"NA")*$H$23)*$H21)))</f>
        <v>?</v>
      </c>
      <c r="L21" s="87" t="str">
        <f aca="false">IF(OR(L22="ER",L23="ER"),"ER",IF(OR(L22="?",L23="?"),"?",IF(AND(L22="NA",L23="NA"),"NA",SUM(L22,L23)/((L22&lt;&gt;"NA")*$H$22+(L23&lt;&gt;"NA")*$H$23)*$H21)))</f>
        <v>?</v>
      </c>
      <c r="M21" s="87" t="str">
        <f aca="false">IF(OR(M22="ER",M23="ER"),"ER",IF(OR(M22="?",M23="?"),"?",IF(AND(M22="NA",M23="NA"),"NA",SUM(M22,M23)/((M22&lt;&gt;"NA")*$H$22+(M23&lt;&gt;"NA")*$H$23)*$H21)))</f>
        <v>?</v>
      </c>
      <c r="N21" s="87" t="str">
        <f aca="false">IF(OR(N22="ER",N23="ER"),"ER",IF(OR(N22="?",N23="?"),"?",IF(AND(N22="NA",N23="NA"),"NA",SUM(N22,N23)/((N22&lt;&gt;"NA")*$H$22+(N23&lt;&gt;"NA")*$H$23)*$H21)))</f>
        <v>?</v>
      </c>
      <c r="O21" s="87" t="str">
        <f aca="false">IF(OR(O22="ER",O23="ER"),"ER",IF(OR(O22="?",O23="?"),"?",IF(AND(O22="NA",O23="NA"),"NA",SUM(O22,O23)/((O22&lt;&gt;"NA")*$H$22+(O23&lt;&gt;"NA")*$H$23)*$H21)))</f>
        <v>?</v>
      </c>
      <c r="P21" s="87" t="str">
        <f aca="false">IF(OR(P22="ER",P23="ER"),"ER",IF(OR(P22="?",P23="?"),"?",IF(AND(P22="NA",P23="NA"),"NA",SUM(P22,P23)/((P22&lt;&gt;"NA")*$H$22+(P23&lt;&gt;"NA")*$H$23)*$H21)))</f>
        <v>?</v>
      </c>
      <c r="Q21" s="87" t="str">
        <f aca="false">IF(OR(Q22="ER",Q23="ER"),"ER",IF(OR(Q22="?",Q23="?"),"?",IF(AND(Q22="NA",Q23="NA"),"NA",SUM(Q22,Q23)/((Q22&lt;&gt;"NA")*$H$22+(Q23&lt;&gt;"NA")*$H$23)*$H21)))</f>
        <v>?</v>
      </c>
      <c r="R21" s="87" t="str">
        <f aca="false">IF(OR(R22="ER",R23="ER"),"ER",IF(OR(R22="?",R23="?"),"?",IF(AND(R22="NA",R23="NA"),"NA",SUM(R22,R23)/((R22&lt;&gt;"NA")*$H$22+(R23&lt;&gt;"NA")*$H$23)*$H21)))</f>
        <v>?</v>
      </c>
      <c r="S21" s="87" t="str">
        <f aca="false">IF(OR(S22="ER",S23="ER"),"ER",IF(OR(S22="?",S23="?"),"?",IF(AND(S22="NA",S23="NA"),"NA",SUM(S22,S23)/((S22&lt;&gt;"NA")*$H$22+(S23&lt;&gt;"NA")*$H$23)*$H21)))</f>
        <v>?</v>
      </c>
      <c r="T21" s="87" t="str">
        <f aca="false">IF(OR(T22="ER",T23="ER"),"ER",IF(OR(T22="?",T23="?"),"?",IF(AND(T22="NA",T23="NA"),"NA",SUM(T22,T23)/((T22&lt;&gt;"NA")*$H$22+(T23&lt;&gt;"NA")*$H$23)*$H21)))</f>
        <v>?</v>
      </c>
      <c r="U21" s="87" t="str">
        <f aca="false">IF(OR(U22="ER",U23="ER"),"ER",IF(OR(U22="?",U23="?"),"?",IF(AND(U22="NA",U23="NA"),"NA",SUM(U22,U23)/((U22&lt;&gt;"NA")*$H$22+(U23&lt;&gt;"NA")*$H$23)*$H21)))</f>
        <v>?</v>
      </c>
      <c r="V21" s="87" t="str">
        <f aca="false">IF(OR(V22="ER",V23="ER"),"ER",IF(OR(V22="?",V23="?"),"?",IF(AND(V22="NA",V23="NA"),"NA",SUM(V22,V23)/((V22&lt;&gt;"NA")*$H$22+(V23&lt;&gt;"NA")*$H$23)*$H21)))</f>
        <v>?</v>
      </c>
      <c r="W21" s="87" t="str">
        <f aca="false">IF(OR(W22="ER",W23="ER"),"ER",IF(OR(W22="?",W23="?"),"?",IF(AND(W22="NA",W23="NA"),"NA",SUM(W22,W23)/((W22&lt;&gt;"NA")*$H$22+(W23&lt;&gt;"NA")*$H$23)*$H21)))</f>
        <v>?</v>
      </c>
      <c r="X21" s="87" t="str">
        <f aca="false">IF(OR(X22="ER",X23="ER"),"ER",IF(OR(X22="?",X23="?"),"?",IF(AND(X22="NA",X23="NA"),"NA",SUM(X22,X23)/((X22&lt;&gt;"NA")*$H$22+(X23&lt;&gt;"NA")*$H$23)*$H21)))</f>
        <v>?</v>
      </c>
      <c r="Y21" s="87" t="str">
        <f aca="false">IF(OR(Y22="ER",Y23="ER"),"ER",IF(OR(Y22="?",Y23="?"),"?",IF(AND(Y22="NA",Y23="NA"),"NA",SUM(Y22,Y23)/((Y22&lt;&gt;"NA")*$H$22+(Y23&lt;&gt;"NA")*$H$23)*$H21)))</f>
        <v>?</v>
      </c>
      <c r="Z21" s="87" t="str">
        <f aca="false">IF(OR(Z22="ER",Z23="ER"),"ER",IF(OR(Z22="?",Z23="?"),"?",IF(AND(Z22="NA",Z23="NA"),"NA",SUM(Z22,Z23)/((Z22&lt;&gt;"NA")*$H$22+(Z23&lt;&gt;"NA")*$H$23)*$H21)))</f>
        <v>?</v>
      </c>
      <c r="AA21" s="87" t="str">
        <f aca="false">IF(OR(AA22="ER",AA23="ER"),"ER",IF(OR(AA22="?",AA23="?"),"?",IF(AND(AA22="NA",AA23="NA"),"NA",SUM(AA22,AA23)/((AA22&lt;&gt;"NA")*$H$22+(AA23&lt;&gt;"NA")*$H$23)*$H21)))</f>
        <v>?</v>
      </c>
      <c r="AB21" s="87" t="str">
        <f aca="false">IF(OR(AB22="ER",AB23="ER"),"ER",IF(OR(AB22="?",AB23="?"),"?",IF(AND(AB22="NA",AB23="NA"),"NA",SUM(AB22,AB23)/((AB22&lt;&gt;"NA")*$H$22+(AB23&lt;&gt;"NA")*$H$23)*$H21)))</f>
        <v>?</v>
      </c>
      <c r="AC21" s="87" t="str">
        <f aca="false">IF(OR(AC22="ER",AC23="ER"),"ER",IF(OR(AC22="?",AC23="?"),"?",IF(AND(AC22="NA",AC23="NA"),"NA",SUM(AC22,AC23)/((AC22&lt;&gt;"NA")*$H$22+(AC23&lt;&gt;"NA")*$H$23)*$H21)))</f>
        <v>?</v>
      </c>
      <c r="AD21" s="87" t="str">
        <f aca="false">IF(OR(AD22="ER",AD23="ER"),"ER",IF(OR(AD22="?",AD23="?"),"?",IF(AND(AD22="NA",AD23="NA"),"NA",SUM(AD22,AD23)/((AD22&lt;&gt;"NA")*$H$22+(AD23&lt;&gt;"NA")*$H$23)*$H21)))</f>
        <v>?</v>
      </c>
      <c r="AE21" s="87" t="str">
        <f aca="false">IF(OR(AE22="ER",AE23="ER"),"ER",IF(OR(AE22="?",AE23="?"),"?",IF(AND(AE22="NA",AE23="NA"),"NA",SUM(AE22,AE23)/((AE22&lt;&gt;"NA")*$H$22+(AE23&lt;&gt;"NA")*$H$23)*$H21)))</f>
        <v>?</v>
      </c>
      <c r="AF21" s="87" t="str">
        <f aca="false">IF(OR(AF22="ER",AF23="ER"),"ER",IF(OR(AF22="?",AF23="?"),"?",IF(AND(AF22="NA",AF23="NA"),"NA",SUM(AF22,AF23)/((AF22&lt;&gt;"NA")*$H$22+(AF23&lt;&gt;"NA")*$H$23)*$H21)))</f>
        <v>?</v>
      </c>
      <c r="AG21" s="87" t="str">
        <f aca="false">IF(OR(AG22="ER",AG23="ER"),"ER",IF(OR(AG22="?",AG23="?"),"?",IF(AND(AG22="NA",AG23="NA"),"NA",SUM(AG22,AG23)/((AG22&lt;&gt;"NA")*$H$22+(AG23&lt;&gt;"NA")*$H$23)*$H21)))</f>
        <v>?</v>
      </c>
      <c r="AH21" s="87" t="str">
        <f aca="false">IF(OR(AH22="ER",AH23="ER"),"ER",IF(OR(AH22="?",AH23="?"),"?",IF(AND(AH22="NA",AH23="NA"),"NA",SUM(AH22,AH23)/((AH22&lt;&gt;"NA")*$H$22+(AH23&lt;&gt;"NA")*$H$23)*$H21)))</f>
        <v>?</v>
      </c>
      <c r="AI21" s="87" t="str">
        <f aca="false">IF(OR(AI22="ER",AI23="ER"),"ER",IF(OR(AI22="?",AI23="?"),"?",IF(AND(AI22="NA",AI23="NA"),"NA",SUM(AI22,AI23)/((AI22&lt;&gt;"NA")*$H$22+(AI23&lt;&gt;"NA")*$H$23)*$H21)))</f>
        <v>?</v>
      </c>
      <c r="AJ21" s="87" t="str">
        <f aca="false">IF(OR(AJ22="ER",AJ23="ER"),"ER",IF(OR(AJ22="?",AJ23="?"),"?",IF(AND(AJ22="NA",AJ23="NA"),"NA",SUM(AJ22,AJ23)/((AJ22&lt;&gt;"NA")*$H$22+(AJ23&lt;&gt;"NA")*$H$23)*$H21)))</f>
        <v>?</v>
      </c>
      <c r="AK21" s="87" t="str">
        <f aca="false">IF(OR(AK22="ER",AK23="ER"),"ER",IF(OR(AK22="?",AK23="?"),"?",IF(AND(AK22="NA",AK23="NA"),"NA",SUM(AK22,AK23)/((AK22&lt;&gt;"NA")*$H$22+(AK23&lt;&gt;"NA")*$H$23)*$H21)))</f>
        <v>?</v>
      </c>
    </row>
    <row r="22" customFormat="false" ht="14.25" hidden="false" customHeight="true" outlineLevel="0" collapsed="false">
      <c r="A22" s="83" t="s">
        <v>159</v>
      </c>
      <c r="B22" s="84" t="str">
        <f aca="false">IF(ISBLANK($A22),"NO_CODE",VLOOKUP($A22,'UPD Questions_290926 '!$E$1:$N$300,MATCH(B$1,'UPD Questions_290926 '!$E$1:$N$1,0),0)&amp;"")</f>
        <v>Planning </v>
      </c>
      <c r="C22" s="84" t="str">
        <f aca="false">IF(ISBLANK($A22),"NO_CODE",VLOOKUP($A22,'UPD Questions_290926 '!$E$1:$N$300,MATCH(C$1,'UPD Questions_290926 '!$E$1:$N$1,0),0)&amp;"")</f>
        <v>Municipal/City Plan preparation, participation and review</v>
      </c>
      <c r="D22" s="84" t="str">
        <f aca="false">IF(ISBLANK($A22),"NO_CODE",VLOOKUP($A22,'UPD Questions_290926 '!$E$1:$N$300,MATCH(D$1,'UPD Questions_290926 '!$E$1:$N$1,0),0)&amp;"")</f>
        <v>Public participation and scrutiny</v>
      </c>
      <c r="E22" s="84" t="str">
        <f aca="false">IF(ISBLANK($A22),"NO_CODE",VLOOKUP($A22,'UPD Questions_290926 '!$E$1:$N$300,MATCH(E$1,'UPD Questions_290926 '!$E$1:$N$1,0),0)&amp;"")</f>
        <v>SQ</v>
      </c>
      <c r="F22" s="84" t="str">
        <f aca="false">IF(ISBLANK($A22),"NO_CODE",VLOOKUP($A22,'UPD Questions_290926 '!$E$1:$N$300,MATCH(F$1,'UPD Questions_290926 '!$E$1:$N$1,0),0)&amp;"")</f>
        <v>Does the law mandate public scrutiny for (including objections and responses) municipal/city plan through Area Sabhas / Ward Sabhas and other means?</v>
      </c>
      <c r="G22" s="84" t="str">
        <f aca="false">IF(ISBLANK($A22),"NO_CODE",VLOOKUP($A22,'UPD Questions_290926 '!$E$1:$N$300,MATCH(G$1,'UPD Questions_290926 '!$E$1:$N$1,0),0)&amp;"")</f>
        <v>Law/Policy</v>
      </c>
      <c r="H22" s="86" t="n">
        <f aca="false">IF(ISBLANK($A22),"NO_CODE",VLOOKUP($A22,'UPD Questions_290926 '!$E$1:$N$300,MATCH(H$1,'UPD Questions_290926 '!$E$1:$N$1,0),0))</f>
        <v>5</v>
      </c>
      <c r="I22" s="87" t="str">
        <f aca="true">IF($H22=0,"NA",IF($A22=INDIRECT("'"&amp;$A22&amp;"'!$B$1"),IF(VLOOKUP(I$1,INDIRECT("'"&amp;$A22&amp;"'!$A$12:$Z$41"),MATCH("Points (Auto-generate)",INDIRECT("'"&amp;$A22&amp;"'!$A$12:$Z$12"),0),0)="","?",VLOOKUP(I$1,INDIRECT("'"&amp;$A22&amp;"'!$A$12:$Z$41"),MATCH("Points (Auto-generate)",INDIRECT("'"&amp;$A22&amp;"'!$A$12:$Z$12"),0),0)),"ER"))</f>
        <v>?</v>
      </c>
      <c r="J22" s="87" t="str">
        <f aca="true">IF($H22=0,"NA",IF($A22=INDIRECT("'"&amp;$A22&amp;"'!$B$1"),IF(VLOOKUP(J$1,INDIRECT("'"&amp;$A22&amp;"'!$A$12:$Z$41"),MATCH("Points (Auto-generate)",INDIRECT("'"&amp;$A22&amp;"'!$A$12:$Z$12"),0),0)="","?",VLOOKUP(J$1,INDIRECT("'"&amp;$A22&amp;"'!$A$12:$Z$41"),MATCH("Points (Auto-generate)",INDIRECT("'"&amp;$A22&amp;"'!$A$12:$Z$12"),0),0)),"ER"))</f>
        <v>?</v>
      </c>
      <c r="K22" s="87" t="str">
        <f aca="true">IF($H22=0,"NA",IF($A22=INDIRECT("'"&amp;$A22&amp;"'!$B$1"),IF(VLOOKUP(K$1,INDIRECT("'"&amp;$A22&amp;"'!$A$12:$Z$41"),MATCH("Points (Auto-generate)",INDIRECT("'"&amp;$A22&amp;"'!$A$12:$Z$12"),0),0)="","?",VLOOKUP(K$1,INDIRECT("'"&amp;$A22&amp;"'!$A$12:$Z$41"),MATCH("Points (Auto-generate)",INDIRECT("'"&amp;$A22&amp;"'!$A$12:$Z$12"),0),0)),"ER"))</f>
        <v>?</v>
      </c>
      <c r="L22" s="87" t="str">
        <f aca="true">IF($H22=0,"NA",IF($A22=INDIRECT("'"&amp;$A22&amp;"'!$B$1"),IF(VLOOKUP(L$1,INDIRECT("'"&amp;$A22&amp;"'!$A$12:$Z$41"),MATCH("Points (Auto-generate)",INDIRECT("'"&amp;$A22&amp;"'!$A$12:$Z$12"),0),0)="","?",VLOOKUP(L$1,INDIRECT("'"&amp;$A22&amp;"'!$A$12:$Z$41"),MATCH("Points (Auto-generate)",INDIRECT("'"&amp;$A22&amp;"'!$A$12:$Z$12"),0),0)),"ER"))</f>
        <v>?</v>
      </c>
      <c r="M22" s="87" t="str">
        <f aca="true">IF($H22=0,"NA",IF($A22=INDIRECT("'"&amp;$A22&amp;"'!$B$1"),IF(VLOOKUP(M$1,INDIRECT("'"&amp;$A22&amp;"'!$A$12:$Z$41"),MATCH("Points (Auto-generate)",INDIRECT("'"&amp;$A22&amp;"'!$A$12:$Z$12"),0),0)="","?",VLOOKUP(M$1,INDIRECT("'"&amp;$A22&amp;"'!$A$12:$Z$41"),MATCH("Points (Auto-generate)",INDIRECT("'"&amp;$A22&amp;"'!$A$12:$Z$12"),0),0)),"ER"))</f>
        <v>?</v>
      </c>
      <c r="N22" s="87" t="str">
        <f aca="true">IF($H22=0,"NA",IF($A22=INDIRECT("'"&amp;$A22&amp;"'!$B$1"),IF(VLOOKUP(N$1,INDIRECT("'"&amp;$A22&amp;"'!$A$12:$Z$41"),MATCH("Points (Auto-generate)",INDIRECT("'"&amp;$A22&amp;"'!$A$12:$Z$12"),0),0)="","?",VLOOKUP(N$1,INDIRECT("'"&amp;$A22&amp;"'!$A$12:$Z$41"),MATCH("Points (Auto-generate)",INDIRECT("'"&amp;$A22&amp;"'!$A$12:$Z$12"),0),0)),"ER"))</f>
        <v>?</v>
      </c>
      <c r="O22" s="87" t="str">
        <f aca="true">IF($H22=0,"NA",IF($A22=INDIRECT("'"&amp;$A22&amp;"'!$B$1"),IF(VLOOKUP(O$1,INDIRECT("'"&amp;$A22&amp;"'!$A$12:$Z$41"),MATCH("Points (Auto-generate)",INDIRECT("'"&amp;$A22&amp;"'!$A$12:$Z$12"),0),0)="","?",VLOOKUP(O$1,INDIRECT("'"&amp;$A22&amp;"'!$A$12:$Z$41"),MATCH("Points (Auto-generate)",INDIRECT("'"&amp;$A22&amp;"'!$A$12:$Z$12"),0),0)),"ER"))</f>
        <v>?</v>
      </c>
      <c r="P22" s="87" t="str">
        <f aca="true">IF($H22=0,"NA",IF($A22=INDIRECT("'"&amp;$A22&amp;"'!$B$1"),IF(VLOOKUP(P$1,INDIRECT("'"&amp;$A22&amp;"'!$A$12:$Z$41"),MATCH("Points (Auto-generate)",INDIRECT("'"&amp;$A22&amp;"'!$A$12:$Z$12"),0),0)="","?",VLOOKUP(P$1,INDIRECT("'"&amp;$A22&amp;"'!$A$12:$Z$41"),MATCH("Points (Auto-generate)",INDIRECT("'"&amp;$A22&amp;"'!$A$12:$Z$12"),0),0)),"ER"))</f>
        <v>?</v>
      </c>
      <c r="Q22" s="87" t="str">
        <f aca="true">IF($H22=0,"NA",IF($A22=INDIRECT("'"&amp;$A22&amp;"'!$B$1"),IF(VLOOKUP(Q$1,INDIRECT("'"&amp;$A22&amp;"'!$A$12:$Z$41"),MATCH("Points (Auto-generate)",INDIRECT("'"&amp;$A22&amp;"'!$A$12:$Z$12"),0),0)="","?",VLOOKUP(Q$1,INDIRECT("'"&amp;$A22&amp;"'!$A$12:$Z$41"),MATCH("Points (Auto-generate)",INDIRECT("'"&amp;$A22&amp;"'!$A$12:$Z$12"),0),0)),"ER"))</f>
        <v>?</v>
      </c>
      <c r="R22" s="87" t="str">
        <f aca="true">IF($H22=0,"NA",IF($A22=INDIRECT("'"&amp;$A22&amp;"'!$B$1"),IF(VLOOKUP(R$1,INDIRECT("'"&amp;$A22&amp;"'!$A$12:$Z$41"),MATCH("Points (Auto-generate)",INDIRECT("'"&amp;$A22&amp;"'!$A$12:$Z$12"),0),0)="","?",VLOOKUP(R$1,INDIRECT("'"&amp;$A22&amp;"'!$A$12:$Z$41"),MATCH("Points (Auto-generate)",INDIRECT("'"&amp;$A22&amp;"'!$A$12:$Z$12"),0),0)),"ER"))</f>
        <v>?</v>
      </c>
      <c r="S22" s="87" t="str">
        <f aca="true">IF($H22=0,"NA",IF($A22=INDIRECT("'"&amp;$A22&amp;"'!$B$1"),IF(VLOOKUP(S$1,INDIRECT("'"&amp;$A22&amp;"'!$A$12:$Z$41"),MATCH("Points (Auto-generate)",INDIRECT("'"&amp;$A22&amp;"'!$A$12:$Z$12"),0),0)="","?",VLOOKUP(S$1,INDIRECT("'"&amp;$A22&amp;"'!$A$12:$Z$41"),MATCH("Points (Auto-generate)",INDIRECT("'"&amp;$A22&amp;"'!$A$12:$Z$12"),0),0)),"ER"))</f>
        <v>?</v>
      </c>
      <c r="T22" s="87" t="str">
        <f aca="true">IF($H22=0,"NA",IF($A22=INDIRECT("'"&amp;$A22&amp;"'!$B$1"),IF(VLOOKUP(T$1,INDIRECT("'"&amp;$A22&amp;"'!$A$12:$Z$41"),MATCH("Points (Auto-generate)",INDIRECT("'"&amp;$A22&amp;"'!$A$12:$Z$12"),0),0)="","?",VLOOKUP(T$1,INDIRECT("'"&amp;$A22&amp;"'!$A$12:$Z$41"),MATCH("Points (Auto-generate)",INDIRECT("'"&amp;$A22&amp;"'!$A$12:$Z$12"),0),0)),"ER"))</f>
        <v>?</v>
      </c>
      <c r="U22" s="87" t="str">
        <f aca="true">IF($H22=0,"NA",IF($A22=INDIRECT("'"&amp;$A22&amp;"'!$B$1"),IF(VLOOKUP(U$1,INDIRECT("'"&amp;$A22&amp;"'!$A$12:$Z$41"),MATCH("Points (Auto-generate)",INDIRECT("'"&amp;$A22&amp;"'!$A$12:$Z$12"),0),0)="","?",VLOOKUP(U$1,INDIRECT("'"&amp;$A22&amp;"'!$A$12:$Z$41"),MATCH("Points (Auto-generate)",INDIRECT("'"&amp;$A22&amp;"'!$A$12:$Z$12"),0),0)),"ER"))</f>
        <v>?</v>
      </c>
      <c r="V22" s="87" t="str">
        <f aca="true">IF($H22=0,"NA",IF($A22=INDIRECT("'"&amp;$A22&amp;"'!$B$1"),IF(VLOOKUP(V$1,INDIRECT("'"&amp;$A22&amp;"'!$A$12:$Z$41"),MATCH("Points (Auto-generate)",INDIRECT("'"&amp;$A22&amp;"'!$A$12:$Z$12"),0),0)="","?",VLOOKUP(V$1,INDIRECT("'"&amp;$A22&amp;"'!$A$12:$Z$41"),MATCH("Points (Auto-generate)",INDIRECT("'"&amp;$A22&amp;"'!$A$12:$Z$12"),0),0)),"ER"))</f>
        <v>?</v>
      </c>
      <c r="W22" s="87" t="str">
        <f aca="true">IF($H22=0,"NA",IF($A22=INDIRECT("'"&amp;$A22&amp;"'!$B$1"),IF(VLOOKUP(W$1,INDIRECT("'"&amp;$A22&amp;"'!$A$12:$Z$41"),MATCH("Points (Auto-generate)",INDIRECT("'"&amp;$A22&amp;"'!$A$12:$Z$12"),0),0)="","?",VLOOKUP(W$1,INDIRECT("'"&amp;$A22&amp;"'!$A$12:$Z$41"),MATCH("Points (Auto-generate)",INDIRECT("'"&amp;$A22&amp;"'!$A$12:$Z$12"),0),0)),"ER"))</f>
        <v>?</v>
      </c>
      <c r="X22" s="87" t="str">
        <f aca="true">IF($H22=0,"NA",IF($A22=INDIRECT("'"&amp;$A22&amp;"'!$B$1"),IF(VLOOKUP(X$1,INDIRECT("'"&amp;$A22&amp;"'!$A$12:$Z$41"),MATCH("Points (Auto-generate)",INDIRECT("'"&amp;$A22&amp;"'!$A$12:$Z$12"),0),0)="","?",VLOOKUP(X$1,INDIRECT("'"&amp;$A22&amp;"'!$A$12:$Z$41"),MATCH("Points (Auto-generate)",INDIRECT("'"&amp;$A22&amp;"'!$A$12:$Z$12"),0),0)),"ER"))</f>
        <v>?</v>
      </c>
      <c r="Y22" s="87" t="str">
        <f aca="true">IF($H22=0,"NA",IF($A22=INDIRECT("'"&amp;$A22&amp;"'!$B$1"),IF(VLOOKUP(Y$1,INDIRECT("'"&amp;$A22&amp;"'!$A$12:$Z$41"),MATCH("Points (Auto-generate)",INDIRECT("'"&amp;$A22&amp;"'!$A$12:$Z$12"),0),0)="","?",VLOOKUP(Y$1,INDIRECT("'"&amp;$A22&amp;"'!$A$12:$Z$41"),MATCH("Points (Auto-generate)",INDIRECT("'"&amp;$A22&amp;"'!$A$12:$Z$12"),0),0)),"ER"))</f>
        <v>?</v>
      </c>
      <c r="Z22" s="87" t="str">
        <f aca="true">IF($H22=0,"NA",IF($A22=INDIRECT("'"&amp;$A22&amp;"'!$B$1"),IF(VLOOKUP(Z$1,INDIRECT("'"&amp;$A22&amp;"'!$A$12:$Z$41"),MATCH("Points (Auto-generate)",INDIRECT("'"&amp;$A22&amp;"'!$A$12:$Z$12"),0),0)="","?",VLOOKUP(Z$1,INDIRECT("'"&amp;$A22&amp;"'!$A$12:$Z$41"),MATCH("Points (Auto-generate)",INDIRECT("'"&amp;$A22&amp;"'!$A$12:$Z$12"),0),0)),"ER"))</f>
        <v>?</v>
      </c>
      <c r="AA22" s="87" t="str">
        <f aca="true">IF($H22=0,"NA",IF($A22=INDIRECT("'"&amp;$A22&amp;"'!$B$1"),IF(VLOOKUP(AA$1,INDIRECT("'"&amp;$A22&amp;"'!$A$12:$Z$41"),MATCH("Points (Auto-generate)",INDIRECT("'"&amp;$A22&amp;"'!$A$12:$Z$12"),0),0)="","?",VLOOKUP(AA$1,INDIRECT("'"&amp;$A22&amp;"'!$A$12:$Z$41"),MATCH("Points (Auto-generate)",INDIRECT("'"&amp;$A22&amp;"'!$A$12:$Z$12"),0),0)),"ER"))</f>
        <v>?</v>
      </c>
      <c r="AB22" s="87" t="str">
        <f aca="true">IF($H22=0,"NA",IF($A22=INDIRECT("'"&amp;$A22&amp;"'!$B$1"),IF(VLOOKUP(AB$1,INDIRECT("'"&amp;$A22&amp;"'!$A$12:$Z$41"),MATCH("Points (Auto-generate)",INDIRECT("'"&amp;$A22&amp;"'!$A$12:$Z$12"),0),0)="","?",VLOOKUP(AB$1,INDIRECT("'"&amp;$A22&amp;"'!$A$12:$Z$41"),MATCH("Points (Auto-generate)",INDIRECT("'"&amp;$A22&amp;"'!$A$12:$Z$12"),0),0)),"ER"))</f>
        <v>?</v>
      </c>
      <c r="AC22" s="87" t="str">
        <f aca="true">IF($H22=0,"NA",IF($A22=INDIRECT("'"&amp;$A22&amp;"'!$B$1"),IF(VLOOKUP(AC$1,INDIRECT("'"&amp;$A22&amp;"'!$A$12:$Z$41"),MATCH("Points (Auto-generate)",INDIRECT("'"&amp;$A22&amp;"'!$A$12:$Z$12"),0),0)="","?",VLOOKUP(AC$1,INDIRECT("'"&amp;$A22&amp;"'!$A$12:$Z$41"),MATCH("Points (Auto-generate)",INDIRECT("'"&amp;$A22&amp;"'!$A$12:$Z$12"),0),0)),"ER"))</f>
        <v>?</v>
      </c>
      <c r="AD22" s="87" t="str">
        <f aca="true">IF($H22=0,"NA",IF($A22=INDIRECT("'"&amp;$A22&amp;"'!$B$1"),IF(VLOOKUP(AD$1,INDIRECT("'"&amp;$A22&amp;"'!$A$12:$Z$41"),MATCH("Points (Auto-generate)",INDIRECT("'"&amp;$A22&amp;"'!$A$12:$Z$12"),0),0)="","?",VLOOKUP(AD$1,INDIRECT("'"&amp;$A22&amp;"'!$A$12:$Z$41"),MATCH("Points (Auto-generate)",INDIRECT("'"&amp;$A22&amp;"'!$A$12:$Z$12"),0),0)),"ER"))</f>
        <v>?</v>
      </c>
      <c r="AE22" s="87" t="str">
        <f aca="true">IF($H22=0,"NA",IF($A22=INDIRECT("'"&amp;$A22&amp;"'!$B$1"),IF(VLOOKUP(AE$1,INDIRECT("'"&amp;$A22&amp;"'!$A$12:$Z$41"),MATCH("Points (Auto-generate)",INDIRECT("'"&amp;$A22&amp;"'!$A$12:$Z$12"),0),0)="","?",VLOOKUP(AE$1,INDIRECT("'"&amp;$A22&amp;"'!$A$12:$Z$41"),MATCH("Points (Auto-generate)",INDIRECT("'"&amp;$A22&amp;"'!$A$12:$Z$12"),0),0)),"ER"))</f>
        <v>?</v>
      </c>
      <c r="AF22" s="87" t="str">
        <f aca="true">IF($H22=0,"NA",IF($A22=INDIRECT("'"&amp;$A22&amp;"'!$B$1"),IF(VLOOKUP(AF$1,INDIRECT("'"&amp;$A22&amp;"'!$A$12:$Z$41"),MATCH("Points (Auto-generate)",INDIRECT("'"&amp;$A22&amp;"'!$A$12:$Z$12"),0),0)="","?",VLOOKUP(AF$1,INDIRECT("'"&amp;$A22&amp;"'!$A$12:$Z$41"),MATCH("Points (Auto-generate)",INDIRECT("'"&amp;$A22&amp;"'!$A$12:$Z$12"),0),0)),"ER"))</f>
        <v>?</v>
      </c>
      <c r="AG22" s="87" t="str">
        <f aca="true">IF($H22=0,"NA",IF($A22=INDIRECT("'"&amp;$A22&amp;"'!$B$1"),IF(VLOOKUP(AG$1,INDIRECT("'"&amp;$A22&amp;"'!$A$12:$Z$41"),MATCH("Points (Auto-generate)",INDIRECT("'"&amp;$A22&amp;"'!$A$12:$Z$12"),0),0)="","?",VLOOKUP(AG$1,INDIRECT("'"&amp;$A22&amp;"'!$A$12:$Z$41"),MATCH("Points (Auto-generate)",INDIRECT("'"&amp;$A22&amp;"'!$A$12:$Z$12"),0),0)),"ER"))</f>
        <v>?</v>
      </c>
      <c r="AH22" s="87" t="str">
        <f aca="true">IF($H22=0,"NA",IF($A22=INDIRECT("'"&amp;$A22&amp;"'!$B$1"),IF(VLOOKUP(AH$1,INDIRECT("'"&amp;$A22&amp;"'!$A$12:$Z$41"),MATCH("Points (Auto-generate)",INDIRECT("'"&amp;$A22&amp;"'!$A$12:$Z$12"),0),0)="","?",VLOOKUP(AH$1,INDIRECT("'"&amp;$A22&amp;"'!$A$12:$Z$41"),MATCH("Points (Auto-generate)",INDIRECT("'"&amp;$A22&amp;"'!$A$12:$Z$12"),0),0)),"ER"))</f>
        <v>?</v>
      </c>
      <c r="AI22" s="87" t="str">
        <f aca="true">IF($H22=0,"NA",IF($A22=INDIRECT("'"&amp;$A22&amp;"'!$B$1"),IF(VLOOKUP(AI$1,INDIRECT("'"&amp;$A22&amp;"'!$A$12:$Z$41"),MATCH("Points (Auto-generate)",INDIRECT("'"&amp;$A22&amp;"'!$A$12:$Z$12"),0),0)="","?",VLOOKUP(AI$1,INDIRECT("'"&amp;$A22&amp;"'!$A$12:$Z$41"),MATCH("Points (Auto-generate)",INDIRECT("'"&amp;$A22&amp;"'!$A$12:$Z$12"),0),0)),"ER"))</f>
        <v>?</v>
      </c>
      <c r="AJ22" s="87" t="str">
        <f aca="true">IF($H22=0,"NA",IF($A22=INDIRECT("'"&amp;$A22&amp;"'!$B$1"),IF(VLOOKUP(AJ$1,INDIRECT("'"&amp;$A22&amp;"'!$A$12:$Z$41"),MATCH("Points (Auto-generate)",INDIRECT("'"&amp;$A22&amp;"'!$A$12:$Z$12"),0),0)="","?",VLOOKUP(AJ$1,INDIRECT("'"&amp;$A22&amp;"'!$A$12:$Z$41"),MATCH("Points (Auto-generate)",INDIRECT("'"&amp;$A22&amp;"'!$A$12:$Z$12"),0),0)),"ER"))</f>
        <v>?</v>
      </c>
      <c r="AK22" s="87" t="str">
        <f aca="true">IF($H22=0,"NA",IF($A22=INDIRECT("'"&amp;$A22&amp;"'!$B$1"),IF(VLOOKUP(AK$1,INDIRECT("'"&amp;$A22&amp;"'!$A$12:$Z$41"),MATCH("Points (Auto-generate)",INDIRECT("'"&amp;$A22&amp;"'!$A$12:$Z$12"),0),0)="","?",VLOOKUP(AK$1,INDIRECT("'"&amp;$A22&amp;"'!$A$12:$Z$41"),MATCH("Points (Auto-generate)",INDIRECT("'"&amp;$A22&amp;"'!$A$12:$Z$12"),0),0)),"ER"))</f>
        <v>?</v>
      </c>
    </row>
    <row r="23" customFormat="false" ht="14.25" hidden="false" customHeight="true" outlineLevel="0" collapsed="false">
      <c r="A23" s="83" t="s">
        <v>166</v>
      </c>
      <c r="B23" s="84" t="str">
        <f aca="false">IF(ISBLANK($A23),"NO_CODE",VLOOKUP($A23,'UPD Questions_290926 '!$E$1:$N$300,MATCH(B$1,'UPD Questions_290926 '!$E$1:$N$1,0),0)&amp;"")</f>
        <v>Planning </v>
      </c>
      <c r="C23" s="84" t="str">
        <f aca="false">IF(ISBLANK($A23),"NO_CODE",VLOOKUP($A23,'UPD Questions_290926 '!$E$1:$N$300,MATCH(C$1,'UPD Questions_290926 '!$E$1:$N$1,0),0)&amp;"")</f>
        <v>Municipal/City Plan preparation, participation and review</v>
      </c>
      <c r="D23" s="84" t="str">
        <f aca="false">IF(ISBLANK($A23),"NO_CODE",VLOOKUP($A23,'UPD Questions_290926 '!$E$1:$N$300,MATCH(D$1,'UPD Questions_290926 '!$E$1:$N$1,0),0)&amp;"")</f>
        <v>Public participation and scrutiny</v>
      </c>
      <c r="E23" s="84" t="str">
        <f aca="false">IF(ISBLANK($A23),"NO_CODE",VLOOKUP($A23,'UPD Questions_290926 '!$E$1:$N$300,MATCH(E$1,'UPD Questions_290926 '!$E$1:$N$1,0),0)&amp;"")</f>
        <v>SQ</v>
      </c>
      <c r="F23" s="84" t="str">
        <f aca="false">IF(ISBLANK($A23),"NO_CODE",VLOOKUP($A23,'UPD Questions_290926 '!$E$1:$N$300,MATCH(F$1,'UPD Questions_290926 '!$E$1:$N$1,0),0)&amp;"")</f>
        <v>Was the public scrutiny undertaken for (including objections and responses) municipal/city plan?</v>
      </c>
      <c r="G23" s="84" t="str">
        <f aca="false">IF(ISBLANK($A23),"NO_CODE",VLOOKUP($A23,'UPD Questions_290926 '!$E$1:$N$300,MATCH(G$1,'UPD Questions_290926 '!$E$1:$N$1,0),0)&amp;"")</f>
        <v>Implementation</v>
      </c>
      <c r="H23" s="86" t="n">
        <f aca="false">IF(ISBLANK($A23),"NO_CODE",VLOOKUP($A23,'UPD Questions_290926 '!$E$1:$N$300,MATCH(H$1,'UPD Questions_290926 '!$E$1:$N$1,0),0))</f>
        <v>5</v>
      </c>
      <c r="I23" s="87" t="str">
        <f aca="true">IF($H23=0,"NA",IF($A23=INDIRECT("'"&amp;$A23&amp;"'!$B$1"),IF(VLOOKUP(I$1,INDIRECT("'"&amp;$A23&amp;"'!$A$12:$Z$41"),MATCH("Points (Auto-generate)",INDIRECT("'"&amp;$A23&amp;"'!$A$12:$Z$12"),0),0)="","?",VLOOKUP(I$1,INDIRECT("'"&amp;$A23&amp;"'!$A$12:$Z$41"),MATCH("Points (Auto-generate)",INDIRECT("'"&amp;$A23&amp;"'!$A$12:$Z$12"),0),0)),"ER"))</f>
        <v>?</v>
      </c>
      <c r="J23" s="87" t="str">
        <f aca="true">IF($H23=0,"NA",IF($A23=INDIRECT("'"&amp;$A23&amp;"'!$B$1"),IF(VLOOKUP(J$1,INDIRECT("'"&amp;$A23&amp;"'!$A$12:$Z$41"),MATCH("Points (Auto-generate)",INDIRECT("'"&amp;$A23&amp;"'!$A$12:$Z$12"),0),0)="","?",VLOOKUP(J$1,INDIRECT("'"&amp;$A23&amp;"'!$A$12:$Z$41"),MATCH("Points (Auto-generate)",INDIRECT("'"&amp;$A23&amp;"'!$A$12:$Z$12"),0),0)),"ER"))</f>
        <v>?</v>
      </c>
      <c r="K23" s="87" t="str">
        <f aca="true">IF($H23=0,"NA",IF($A23=INDIRECT("'"&amp;$A23&amp;"'!$B$1"),IF(VLOOKUP(K$1,INDIRECT("'"&amp;$A23&amp;"'!$A$12:$Z$41"),MATCH("Points (Auto-generate)",INDIRECT("'"&amp;$A23&amp;"'!$A$12:$Z$12"),0),0)="","?",VLOOKUP(K$1,INDIRECT("'"&amp;$A23&amp;"'!$A$12:$Z$41"),MATCH("Points (Auto-generate)",INDIRECT("'"&amp;$A23&amp;"'!$A$12:$Z$12"),0),0)),"ER"))</f>
        <v>?</v>
      </c>
      <c r="L23" s="87" t="str">
        <f aca="true">IF($H23=0,"NA",IF($A23=INDIRECT("'"&amp;$A23&amp;"'!$B$1"),IF(VLOOKUP(L$1,INDIRECT("'"&amp;$A23&amp;"'!$A$12:$Z$41"),MATCH("Points (Auto-generate)",INDIRECT("'"&amp;$A23&amp;"'!$A$12:$Z$12"),0),0)="","?",VLOOKUP(L$1,INDIRECT("'"&amp;$A23&amp;"'!$A$12:$Z$41"),MATCH("Points (Auto-generate)",INDIRECT("'"&amp;$A23&amp;"'!$A$12:$Z$12"),0),0)),"ER"))</f>
        <v>?</v>
      </c>
      <c r="M23" s="87" t="str">
        <f aca="true">IF($H23=0,"NA",IF($A23=INDIRECT("'"&amp;$A23&amp;"'!$B$1"),IF(VLOOKUP(M$1,INDIRECT("'"&amp;$A23&amp;"'!$A$12:$Z$41"),MATCH("Points (Auto-generate)",INDIRECT("'"&amp;$A23&amp;"'!$A$12:$Z$12"),0),0)="","?",VLOOKUP(M$1,INDIRECT("'"&amp;$A23&amp;"'!$A$12:$Z$41"),MATCH("Points (Auto-generate)",INDIRECT("'"&amp;$A23&amp;"'!$A$12:$Z$12"),0),0)),"ER"))</f>
        <v>?</v>
      </c>
      <c r="N23" s="87" t="str">
        <f aca="true">IF($H23=0,"NA",IF($A23=INDIRECT("'"&amp;$A23&amp;"'!$B$1"),IF(VLOOKUP(N$1,INDIRECT("'"&amp;$A23&amp;"'!$A$12:$Z$41"),MATCH("Points (Auto-generate)",INDIRECT("'"&amp;$A23&amp;"'!$A$12:$Z$12"),0),0)="","?",VLOOKUP(N$1,INDIRECT("'"&amp;$A23&amp;"'!$A$12:$Z$41"),MATCH("Points (Auto-generate)",INDIRECT("'"&amp;$A23&amp;"'!$A$12:$Z$12"),0),0)),"ER"))</f>
        <v>?</v>
      </c>
      <c r="O23" s="87" t="str">
        <f aca="true">IF($H23=0,"NA",IF($A23=INDIRECT("'"&amp;$A23&amp;"'!$B$1"),IF(VLOOKUP(O$1,INDIRECT("'"&amp;$A23&amp;"'!$A$12:$Z$41"),MATCH("Points (Auto-generate)",INDIRECT("'"&amp;$A23&amp;"'!$A$12:$Z$12"),0),0)="","?",VLOOKUP(O$1,INDIRECT("'"&amp;$A23&amp;"'!$A$12:$Z$41"),MATCH("Points (Auto-generate)",INDIRECT("'"&amp;$A23&amp;"'!$A$12:$Z$12"),0),0)),"ER"))</f>
        <v>?</v>
      </c>
      <c r="P23" s="87" t="str">
        <f aca="true">IF($H23=0,"NA",IF($A23=INDIRECT("'"&amp;$A23&amp;"'!$B$1"),IF(VLOOKUP(P$1,INDIRECT("'"&amp;$A23&amp;"'!$A$12:$Z$41"),MATCH("Points (Auto-generate)",INDIRECT("'"&amp;$A23&amp;"'!$A$12:$Z$12"),0),0)="","?",VLOOKUP(P$1,INDIRECT("'"&amp;$A23&amp;"'!$A$12:$Z$41"),MATCH("Points (Auto-generate)",INDIRECT("'"&amp;$A23&amp;"'!$A$12:$Z$12"),0),0)),"ER"))</f>
        <v>?</v>
      </c>
      <c r="Q23" s="87" t="str">
        <f aca="true">IF($H23=0,"NA",IF($A23=INDIRECT("'"&amp;$A23&amp;"'!$B$1"),IF(VLOOKUP(Q$1,INDIRECT("'"&amp;$A23&amp;"'!$A$12:$Z$41"),MATCH("Points (Auto-generate)",INDIRECT("'"&amp;$A23&amp;"'!$A$12:$Z$12"),0),0)="","?",VLOOKUP(Q$1,INDIRECT("'"&amp;$A23&amp;"'!$A$12:$Z$41"),MATCH("Points (Auto-generate)",INDIRECT("'"&amp;$A23&amp;"'!$A$12:$Z$12"),0),0)),"ER"))</f>
        <v>?</v>
      </c>
      <c r="R23" s="87" t="str">
        <f aca="true">IF($H23=0,"NA",IF($A23=INDIRECT("'"&amp;$A23&amp;"'!$B$1"),IF(VLOOKUP(R$1,INDIRECT("'"&amp;$A23&amp;"'!$A$12:$Z$41"),MATCH("Points (Auto-generate)",INDIRECT("'"&amp;$A23&amp;"'!$A$12:$Z$12"),0),0)="","?",VLOOKUP(R$1,INDIRECT("'"&amp;$A23&amp;"'!$A$12:$Z$41"),MATCH("Points (Auto-generate)",INDIRECT("'"&amp;$A23&amp;"'!$A$12:$Z$12"),0),0)),"ER"))</f>
        <v>?</v>
      </c>
      <c r="S23" s="87" t="str">
        <f aca="true">IF($H23=0,"NA",IF($A23=INDIRECT("'"&amp;$A23&amp;"'!$B$1"),IF(VLOOKUP(S$1,INDIRECT("'"&amp;$A23&amp;"'!$A$12:$Z$41"),MATCH("Points (Auto-generate)",INDIRECT("'"&amp;$A23&amp;"'!$A$12:$Z$12"),0),0)="","?",VLOOKUP(S$1,INDIRECT("'"&amp;$A23&amp;"'!$A$12:$Z$41"),MATCH("Points (Auto-generate)",INDIRECT("'"&amp;$A23&amp;"'!$A$12:$Z$12"),0),0)),"ER"))</f>
        <v>?</v>
      </c>
      <c r="T23" s="87" t="str">
        <f aca="true">IF($H23=0,"NA",IF($A23=INDIRECT("'"&amp;$A23&amp;"'!$B$1"),IF(VLOOKUP(T$1,INDIRECT("'"&amp;$A23&amp;"'!$A$12:$Z$41"),MATCH("Points (Auto-generate)",INDIRECT("'"&amp;$A23&amp;"'!$A$12:$Z$12"),0),0)="","?",VLOOKUP(T$1,INDIRECT("'"&amp;$A23&amp;"'!$A$12:$Z$41"),MATCH("Points (Auto-generate)",INDIRECT("'"&amp;$A23&amp;"'!$A$12:$Z$12"),0),0)),"ER"))</f>
        <v>?</v>
      </c>
      <c r="U23" s="87" t="str">
        <f aca="true">IF($H23=0,"NA",IF($A23=INDIRECT("'"&amp;$A23&amp;"'!$B$1"),IF(VLOOKUP(U$1,INDIRECT("'"&amp;$A23&amp;"'!$A$12:$Z$41"),MATCH("Points (Auto-generate)",INDIRECT("'"&amp;$A23&amp;"'!$A$12:$Z$12"),0),0)="","?",VLOOKUP(U$1,INDIRECT("'"&amp;$A23&amp;"'!$A$12:$Z$41"),MATCH("Points (Auto-generate)",INDIRECT("'"&amp;$A23&amp;"'!$A$12:$Z$12"),0),0)),"ER"))</f>
        <v>?</v>
      </c>
      <c r="V23" s="87" t="str">
        <f aca="true">IF($H23=0,"NA",IF($A23=INDIRECT("'"&amp;$A23&amp;"'!$B$1"),IF(VLOOKUP(V$1,INDIRECT("'"&amp;$A23&amp;"'!$A$12:$Z$41"),MATCH("Points (Auto-generate)",INDIRECT("'"&amp;$A23&amp;"'!$A$12:$Z$12"),0),0)="","?",VLOOKUP(V$1,INDIRECT("'"&amp;$A23&amp;"'!$A$12:$Z$41"),MATCH("Points (Auto-generate)",INDIRECT("'"&amp;$A23&amp;"'!$A$12:$Z$12"),0),0)),"ER"))</f>
        <v>?</v>
      </c>
      <c r="W23" s="87" t="str">
        <f aca="true">IF($H23=0,"NA",IF($A23=INDIRECT("'"&amp;$A23&amp;"'!$B$1"),IF(VLOOKUP(W$1,INDIRECT("'"&amp;$A23&amp;"'!$A$12:$Z$41"),MATCH("Points (Auto-generate)",INDIRECT("'"&amp;$A23&amp;"'!$A$12:$Z$12"),0),0)="","?",VLOOKUP(W$1,INDIRECT("'"&amp;$A23&amp;"'!$A$12:$Z$41"),MATCH("Points (Auto-generate)",INDIRECT("'"&amp;$A23&amp;"'!$A$12:$Z$12"),0),0)),"ER"))</f>
        <v>?</v>
      </c>
      <c r="X23" s="87" t="str">
        <f aca="true">IF($H23=0,"NA",IF($A23=INDIRECT("'"&amp;$A23&amp;"'!$B$1"),IF(VLOOKUP(X$1,INDIRECT("'"&amp;$A23&amp;"'!$A$12:$Z$41"),MATCH("Points (Auto-generate)",INDIRECT("'"&amp;$A23&amp;"'!$A$12:$Z$12"),0),0)="","?",VLOOKUP(X$1,INDIRECT("'"&amp;$A23&amp;"'!$A$12:$Z$41"),MATCH("Points (Auto-generate)",INDIRECT("'"&amp;$A23&amp;"'!$A$12:$Z$12"),0),0)),"ER"))</f>
        <v>?</v>
      </c>
      <c r="Y23" s="87" t="str">
        <f aca="true">IF($H23=0,"NA",IF($A23=INDIRECT("'"&amp;$A23&amp;"'!$B$1"),IF(VLOOKUP(Y$1,INDIRECT("'"&amp;$A23&amp;"'!$A$12:$Z$41"),MATCH("Points (Auto-generate)",INDIRECT("'"&amp;$A23&amp;"'!$A$12:$Z$12"),0),0)="","?",VLOOKUP(Y$1,INDIRECT("'"&amp;$A23&amp;"'!$A$12:$Z$41"),MATCH("Points (Auto-generate)",INDIRECT("'"&amp;$A23&amp;"'!$A$12:$Z$12"),0),0)),"ER"))</f>
        <v>?</v>
      </c>
      <c r="Z23" s="87" t="str">
        <f aca="true">IF($H23=0,"NA",IF($A23=INDIRECT("'"&amp;$A23&amp;"'!$B$1"),IF(VLOOKUP(Z$1,INDIRECT("'"&amp;$A23&amp;"'!$A$12:$Z$41"),MATCH("Points (Auto-generate)",INDIRECT("'"&amp;$A23&amp;"'!$A$12:$Z$12"),0),0)="","?",VLOOKUP(Z$1,INDIRECT("'"&amp;$A23&amp;"'!$A$12:$Z$41"),MATCH("Points (Auto-generate)",INDIRECT("'"&amp;$A23&amp;"'!$A$12:$Z$12"),0),0)),"ER"))</f>
        <v>?</v>
      </c>
      <c r="AA23" s="87" t="str">
        <f aca="true">IF($H23=0,"NA",IF($A23=INDIRECT("'"&amp;$A23&amp;"'!$B$1"),IF(VLOOKUP(AA$1,INDIRECT("'"&amp;$A23&amp;"'!$A$12:$Z$41"),MATCH("Points (Auto-generate)",INDIRECT("'"&amp;$A23&amp;"'!$A$12:$Z$12"),0),0)="","?",VLOOKUP(AA$1,INDIRECT("'"&amp;$A23&amp;"'!$A$12:$Z$41"),MATCH("Points (Auto-generate)",INDIRECT("'"&amp;$A23&amp;"'!$A$12:$Z$12"),0),0)),"ER"))</f>
        <v>?</v>
      </c>
      <c r="AB23" s="87" t="str">
        <f aca="true">IF($H23=0,"NA",IF($A23=INDIRECT("'"&amp;$A23&amp;"'!$B$1"),IF(VLOOKUP(AB$1,INDIRECT("'"&amp;$A23&amp;"'!$A$12:$Z$41"),MATCH("Points (Auto-generate)",INDIRECT("'"&amp;$A23&amp;"'!$A$12:$Z$12"),0),0)="","?",VLOOKUP(AB$1,INDIRECT("'"&amp;$A23&amp;"'!$A$12:$Z$41"),MATCH("Points (Auto-generate)",INDIRECT("'"&amp;$A23&amp;"'!$A$12:$Z$12"),0),0)),"ER"))</f>
        <v>?</v>
      </c>
      <c r="AC23" s="87" t="n">
        <f aca="true">IF($H23=0,"NA",IF($A23=INDIRECT("'"&amp;$A23&amp;"'!$B$1"),IF(VLOOKUP(AC$1,INDIRECT("'"&amp;$A23&amp;"'!$A$12:$Z$41"),MATCH("Points (Auto-generate)",INDIRECT("'"&amp;$A23&amp;"'!$A$12:$Z$12"),0),0)="","?",VLOOKUP(AC$1,INDIRECT("'"&amp;$A23&amp;"'!$A$12:$Z$41"),MATCH("Points (Auto-generate)",INDIRECT("'"&amp;$A23&amp;"'!$A$12:$Z$12"),0),0)),"ER"))</f>
        <v>5</v>
      </c>
      <c r="AD23" s="87" t="str">
        <f aca="true">IF($H23=0,"NA",IF($A23=INDIRECT("'"&amp;$A23&amp;"'!$B$1"),IF(VLOOKUP(AD$1,INDIRECT("'"&amp;$A23&amp;"'!$A$12:$Z$41"),MATCH("Points (Auto-generate)",INDIRECT("'"&amp;$A23&amp;"'!$A$12:$Z$12"),0),0)="","?",VLOOKUP(AD$1,INDIRECT("'"&amp;$A23&amp;"'!$A$12:$Z$41"),MATCH("Points (Auto-generate)",INDIRECT("'"&amp;$A23&amp;"'!$A$12:$Z$12"),0),0)),"ER"))</f>
        <v>?</v>
      </c>
      <c r="AE23" s="87" t="str">
        <f aca="true">IF($H23=0,"NA",IF($A23=INDIRECT("'"&amp;$A23&amp;"'!$B$1"),IF(VLOOKUP(AE$1,INDIRECT("'"&amp;$A23&amp;"'!$A$12:$Z$41"),MATCH("Points (Auto-generate)",INDIRECT("'"&amp;$A23&amp;"'!$A$12:$Z$12"),0),0)="","?",VLOOKUP(AE$1,INDIRECT("'"&amp;$A23&amp;"'!$A$12:$Z$41"),MATCH("Points (Auto-generate)",INDIRECT("'"&amp;$A23&amp;"'!$A$12:$Z$12"),0),0)),"ER"))</f>
        <v>?</v>
      </c>
      <c r="AF23" s="87" t="str">
        <f aca="true">IF($H23=0,"NA",IF($A23=INDIRECT("'"&amp;$A23&amp;"'!$B$1"),IF(VLOOKUP(AF$1,INDIRECT("'"&amp;$A23&amp;"'!$A$12:$Z$41"),MATCH("Points (Auto-generate)",INDIRECT("'"&amp;$A23&amp;"'!$A$12:$Z$12"),0),0)="","?",VLOOKUP(AF$1,INDIRECT("'"&amp;$A23&amp;"'!$A$12:$Z$41"),MATCH("Points (Auto-generate)",INDIRECT("'"&amp;$A23&amp;"'!$A$12:$Z$12"),0),0)),"ER"))</f>
        <v>?</v>
      </c>
      <c r="AG23" s="87" t="str">
        <f aca="true">IF($H23=0,"NA",IF($A23=INDIRECT("'"&amp;$A23&amp;"'!$B$1"),IF(VLOOKUP(AG$1,INDIRECT("'"&amp;$A23&amp;"'!$A$12:$Z$41"),MATCH("Points (Auto-generate)",INDIRECT("'"&amp;$A23&amp;"'!$A$12:$Z$12"),0),0)="","?",VLOOKUP(AG$1,INDIRECT("'"&amp;$A23&amp;"'!$A$12:$Z$41"),MATCH("Points (Auto-generate)",INDIRECT("'"&amp;$A23&amp;"'!$A$12:$Z$12"),0),0)),"ER"))</f>
        <v>?</v>
      </c>
      <c r="AH23" s="87" t="str">
        <f aca="true">IF($H23=0,"NA",IF($A23=INDIRECT("'"&amp;$A23&amp;"'!$B$1"),IF(VLOOKUP(AH$1,INDIRECT("'"&amp;$A23&amp;"'!$A$12:$Z$41"),MATCH("Points (Auto-generate)",INDIRECT("'"&amp;$A23&amp;"'!$A$12:$Z$12"),0),0)="","?",VLOOKUP(AH$1,INDIRECT("'"&amp;$A23&amp;"'!$A$12:$Z$41"),MATCH("Points (Auto-generate)",INDIRECT("'"&amp;$A23&amp;"'!$A$12:$Z$12"),0),0)),"ER"))</f>
        <v>?</v>
      </c>
      <c r="AI23" s="87" t="str">
        <f aca="true">IF($H23=0,"NA",IF($A23=INDIRECT("'"&amp;$A23&amp;"'!$B$1"),IF(VLOOKUP(AI$1,INDIRECT("'"&amp;$A23&amp;"'!$A$12:$Z$41"),MATCH("Points (Auto-generate)",INDIRECT("'"&amp;$A23&amp;"'!$A$12:$Z$12"),0),0)="","?",VLOOKUP(AI$1,INDIRECT("'"&amp;$A23&amp;"'!$A$12:$Z$41"),MATCH("Points (Auto-generate)",INDIRECT("'"&amp;$A23&amp;"'!$A$12:$Z$12"),0),0)),"ER"))</f>
        <v>?</v>
      </c>
      <c r="AJ23" s="87" t="str">
        <f aca="true">IF($H23=0,"NA",IF($A23=INDIRECT("'"&amp;$A23&amp;"'!$B$1"),IF(VLOOKUP(AJ$1,INDIRECT("'"&amp;$A23&amp;"'!$A$12:$Z$41"),MATCH("Points (Auto-generate)",INDIRECT("'"&amp;$A23&amp;"'!$A$12:$Z$12"),0),0)="","?",VLOOKUP(AJ$1,INDIRECT("'"&amp;$A23&amp;"'!$A$12:$Z$41"),MATCH("Points (Auto-generate)",INDIRECT("'"&amp;$A23&amp;"'!$A$12:$Z$12"),0),0)),"ER"))</f>
        <v>?</v>
      </c>
      <c r="AK23" s="87" t="str">
        <f aca="true">IF($H23=0,"NA",IF($A23=INDIRECT("'"&amp;$A23&amp;"'!$B$1"),IF(VLOOKUP(AK$1,INDIRECT("'"&amp;$A23&amp;"'!$A$12:$Z$41"),MATCH("Points (Auto-generate)",INDIRECT("'"&amp;$A23&amp;"'!$A$12:$Z$12"),0),0)="","?",VLOOKUP(AK$1,INDIRECT("'"&amp;$A23&amp;"'!$A$12:$Z$41"),MATCH("Points (Auto-generate)",INDIRECT("'"&amp;$A23&amp;"'!$A$12:$Z$12"),0),0)),"ER"))</f>
        <v>?</v>
      </c>
    </row>
    <row r="24" customFormat="false" ht="14.25" hidden="false" customHeight="true" outlineLevel="0" collapsed="false">
      <c r="A24" s="83" t="s">
        <v>172</v>
      </c>
      <c r="B24" s="84" t="str">
        <f aca="false">IF(ISBLANK($A24),"NO_CODE",VLOOKUP($A24,'UPD Questions_290926 '!$E$1:$N$300,MATCH(B$1,'UPD Questions_290926 '!$E$1:$N$1,0),0)&amp;"")</f>
        <v>Planning </v>
      </c>
      <c r="C24" s="84" t="str">
        <f aca="false">IF(ISBLANK($A24),"NO_CODE",VLOOKUP($A24,'UPD Questions_290926 '!$E$1:$N$300,MATCH(C$1,'UPD Questions_290926 '!$E$1:$N$1,0),0)&amp;"")</f>
        <v>Municipal/City Plan preparation, participation and review</v>
      </c>
      <c r="D24" s="84" t="str">
        <f aca="false">IF(ISBLANK($A24),"NO_CODE",VLOOKUP($A24,'UPD Questions_290926 '!$E$1:$N$300,MATCH(D$1,'UPD Questions_290926 '!$E$1:$N$1,0),0)&amp;"")</f>
        <v>Plan modification and implementation review</v>
      </c>
      <c r="E24" s="84" t="str">
        <f aca="false">IF(ISBLANK($A24),"NO_CODE",VLOOKUP($A24,'UPD Questions_290926 '!$E$1:$N$300,MATCH(E$1,'UPD Questions_290926 '!$E$1:$N$1,0),0)&amp;"")</f>
        <v>MQ</v>
      </c>
      <c r="F24" s="84" t="str">
        <f aca="false">IF(ISBLANK($A24),"NO_CODE",VLOOKUP($A24,'UPD Questions_290926 '!$E$1:$N$300,MATCH(F$1,'UPD Questions_290926 '!$E$1:$N$1,0),0)&amp;"")</f>
        <v>Does the law mandate periodic review and revision of the notified municipal/city plan, including corresponding revisions to the Development Control Regulations (DCRs)?</v>
      </c>
      <c r="G24" s="84" t="str">
        <f aca="false">IF(ISBLANK($A24),"NO_CODE",VLOOKUP($A24,'UPD Questions_290926 '!$E$1:$N$300,MATCH(G$1,'UPD Questions_290926 '!$E$1:$N$1,0),0)&amp;"")</f>
        <v>Law or Policy</v>
      </c>
      <c r="H24" s="86" t="n">
        <f aca="false">IF(ISBLANK($A24),"NO_CODE",VLOOKUP($A24,'UPD Questions_290926 '!$E$1:$N$300,MATCH(H$1,'UPD Questions_290926 '!$E$1:$N$1,0),0))</f>
        <v>10</v>
      </c>
      <c r="I24" s="87" t="str">
        <f aca="true">IF($H24=0,"NA",IF($A24=INDIRECT("'"&amp;$A24&amp;"'!$B$1"),IF(VLOOKUP(I$1,INDIRECT("'"&amp;$A24&amp;"'!$A$12:$Z$41"),MATCH("Points (Auto-generate)",INDIRECT("'"&amp;$A24&amp;"'!$A$12:$Z$12"),0),0)="","?",VLOOKUP(I$1,INDIRECT("'"&amp;$A24&amp;"'!$A$12:$Z$41"),MATCH("Points (Auto-generate)",INDIRECT("'"&amp;$A24&amp;"'!$A$12:$Z$12"),0),0)),"ER"))</f>
        <v>?</v>
      </c>
      <c r="J24" s="87" t="n">
        <f aca="true">IF($H24=0,"NA",IF($A24=INDIRECT("'"&amp;$A24&amp;"'!$B$1"),IF(VLOOKUP(J$1,INDIRECT("'"&amp;$A24&amp;"'!$A$12:$Z$41"),MATCH("Points (Auto-generate)",INDIRECT("'"&amp;$A24&amp;"'!$A$12:$Z$12"),0),0)="","?",VLOOKUP(J$1,INDIRECT("'"&amp;$A24&amp;"'!$A$12:$Z$41"),MATCH("Points (Auto-generate)",INDIRECT("'"&amp;$A24&amp;"'!$A$12:$Z$12"),0),0)),"ER"))</f>
        <v>7.5</v>
      </c>
      <c r="K24" s="87" t="str">
        <f aca="true">IF($H24=0,"NA",IF($A24=INDIRECT("'"&amp;$A24&amp;"'!$B$1"),IF(VLOOKUP(K$1,INDIRECT("'"&amp;$A24&amp;"'!$A$12:$Z$41"),MATCH("Points (Auto-generate)",INDIRECT("'"&amp;$A24&amp;"'!$A$12:$Z$12"),0),0)="","?",VLOOKUP(K$1,INDIRECT("'"&amp;$A24&amp;"'!$A$12:$Z$41"),MATCH("Points (Auto-generate)",INDIRECT("'"&amp;$A24&amp;"'!$A$12:$Z$12"),0),0)),"ER"))</f>
        <v>?</v>
      </c>
      <c r="L24" s="87" t="str">
        <f aca="true">IF($H24=0,"NA",IF($A24=INDIRECT("'"&amp;$A24&amp;"'!$B$1"),IF(VLOOKUP(L$1,INDIRECT("'"&amp;$A24&amp;"'!$A$12:$Z$41"),MATCH("Points (Auto-generate)",INDIRECT("'"&amp;$A24&amp;"'!$A$12:$Z$12"),0),0)="","?",VLOOKUP(L$1,INDIRECT("'"&amp;$A24&amp;"'!$A$12:$Z$41"),MATCH("Points (Auto-generate)",INDIRECT("'"&amp;$A24&amp;"'!$A$12:$Z$12"),0),0)),"ER"))</f>
        <v>?</v>
      </c>
      <c r="M24" s="87" t="str">
        <f aca="true">IF($H24=0,"NA",IF($A24=INDIRECT("'"&amp;$A24&amp;"'!$B$1"),IF(VLOOKUP(M$1,INDIRECT("'"&amp;$A24&amp;"'!$A$12:$Z$41"),MATCH("Points (Auto-generate)",INDIRECT("'"&amp;$A24&amp;"'!$A$12:$Z$12"),0),0)="","?",VLOOKUP(M$1,INDIRECT("'"&amp;$A24&amp;"'!$A$12:$Z$41"),MATCH("Points (Auto-generate)",INDIRECT("'"&amp;$A24&amp;"'!$A$12:$Z$12"),0),0)),"ER"))</f>
        <v>?</v>
      </c>
      <c r="N24" s="87" t="str">
        <f aca="true">IF($H24=0,"NA",IF($A24=INDIRECT("'"&amp;$A24&amp;"'!$B$1"),IF(VLOOKUP(N$1,INDIRECT("'"&amp;$A24&amp;"'!$A$12:$Z$41"),MATCH("Points (Auto-generate)",INDIRECT("'"&amp;$A24&amp;"'!$A$12:$Z$12"),0),0)="","?",VLOOKUP(N$1,INDIRECT("'"&amp;$A24&amp;"'!$A$12:$Z$41"),MATCH("Points (Auto-generate)",INDIRECT("'"&amp;$A24&amp;"'!$A$12:$Z$12"),0),0)),"ER"))</f>
        <v>?</v>
      </c>
      <c r="O24" s="87" t="str">
        <f aca="true">IF($H24=0,"NA",IF($A24=INDIRECT("'"&amp;$A24&amp;"'!$B$1"),IF(VLOOKUP(O$1,INDIRECT("'"&amp;$A24&amp;"'!$A$12:$Z$41"),MATCH("Points (Auto-generate)",INDIRECT("'"&amp;$A24&amp;"'!$A$12:$Z$12"),0),0)="","?",VLOOKUP(O$1,INDIRECT("'"&amp;$A24&amp;"'!$A$12:$Z$41"),MATCH("Points (Auto-generate)",INDIRECT("'"&amp;$A24&amp;"'!$A$12:$Z$12"),0),0)),"ER"))</f>
        <v>?</v>
      </c>
      <c r="P24" s="87" t="str">
        <f aca="true">IF($H24=0,"NA",IF($A24=INDIRECT("'"&amp;$A24&amp;"'!$B$1"),IF(VLOOKUP(P$1,INDIRECT("'"&amp;$A24&amp;"'!$A$12:$Z$41"),MATCH("Points (Auto-generate)",INDIRECT("'"&amp;$A24&amp;"'!$A$12:$Z$12"),0),0)="","?",VLOOKUP(P$1,INDIRECT("'"&amp;$A24&amp;"'!$A$12:$Z$41"),MATCH("Points (Auto-generate)",INDIRECT("'"&amp;$A24&amp;"'!$A$12:$Z$12"),0),0)),"ER"))</f>
        <v>?</v>
      </c>
      <c r="Q24" s="87" t="str">
        <f aca="true">IF($H24=0,"NA",IF($A24=INDIRECT("'"&amp;$A24&amp;"'!$B$1"),IF(VLOOKUP(Q$1,INDIRECT("'"&amp;$A24&amp;"'!$A$12:$Z$41"),MATCH("Points (Auto-generate)",INDIRECT("'"&amp;$A24&amp;"'!$A$12:$Z$12"),0),0)="","?",VLOOKUP(Q$1,INDIRECT("'"&amp;$A24&amp;"'!$A$12:$Z$41"),MATCH("Points (Auto-generate)",INDIRECT("'"&amp;$A24&amp;"'!$A$12:$Z$12"),0),0)),"ER"))</f>
        <v>?</v>
      </c>
      <c r="R24" s="87" t="str">
        <f aca="true">IF($H24=0,"NA",IF($A24=INDIRECT("'"&amp;$A24&amp;"'!$B$1"),IF(VLOOKUP(R$1,INDIRECT("'"&amp;$A24&amp;"'!$A$12:$Z$41"),MATCH("Points (Auto-generate)",INDIRECT("'"&amp;$A24&amp;"'!$A$12:$Z$12"),0),0)="","?",VLOOKUP(R$1,INDIRECT("'"&amp;$A24&amp;"'!$A$12:$Z$41"),MATCH("Points (Auto-generate)",INDIRECT("'"&amp;$A24&amp;"'!$A$12:$Z$12"),0),0)),"ER"))</f>
        <v>?</v>
      </c>
      <c r="S24" s="87" t="str">
        <f aca="true">IF($H24=0,"NA",IF($A24=INDIRECT("'"&amp;$A24&amp;"'!$B$1"),IF(VLOOKUP(S$1,INDIRECT("'"&amp;$A24&amp;"'!$A$12:$Z$41"),MATCH("Points (Auto-generate)",INDIRECT("'"&amp;$A24&amp;"'!$A$12:$Z$12"),0),0)="","?",VLOOKUP(S$1,INDIRECT("'"&amp;$A24&amp;"'!$A$12:$Z$41"),MATCH("Points (Auto-generate)",INDIRECT("'"&amp;$A24&amp;"'!$A$12:$Z$12"),0),0)),"ER"))</f>
        <v>?</v>
      </c>
      <c r="T24" s="87" t="str">
        <f aca="true">IF($H24=0,"NA",IF($A24=INDIRECT("'"&amp;$A24&amp;"'!$B$1"),IF(VLOOKUP(T$1,INDIRECT("'"&amp;$A24&amp;"'!$A$12:$Z$41"),MATCH("Points (Auto-generate)",INDIRECT("'"&amp;$A24&amp;"'!$A$12:$Z$12"),0),0)="","?",VLOOKUP(T$1,INDIRECT("'"&amp;$A24&amp;"'!$A$12:$Z$41"),MATCH("Points (Auto-generate)",INDIRECT("'"&amp;$A24&amp;"'!$A$12:$Z$12"),0),0)),"ER"))</f>
        <v>?</v>
      </c>
      <c r="U24" s="87" t="str">
        <f aca="true">IF($H24=0,"NA",IF($A24=INDIRECT("'"&amp;$A24&amp;"'!$B$1"),IF(VLOOKUP(U$1,INDIRECT("'"&amp;$A24&amp;"'!$A$12:$Z$41"),MATCH("Points (Auto-generate)",INDIRECT("'"&amp;$A24&amp;"'!$A$12:$Z$12"),0),0)="","?",VLOOKUP(U$1,INDIRECT("'"&amp;$A24&amp;"'!$A$12:$Z$41"),MATCH("Points (Auto-generate)",INDIRECT("'"&amp;$A24&amp;"'!$A$12:$Z$12"),0),0)),"ER"))</f>
        <v>?</v>
      </c>
      <c r="V24" s="87" t="str">
        <f aca="true">IF($H24=0,"NA",IF($A24=INDIRECT("'"&amp;$A24&amp;"'!$B$1"),IF(VLOOKUP(V$1,INDIRECT("'"&amp;$A24&amp;"'!$A$12:$Z$41"),MATCH("Points (Auto-generate)",INDIRECT("'"&amp;$A24&amp;"'!$A$12:$Z$12"),0),0)="","?",VLOOKUP(V$1,INDIRECT("'"&amp;$A24&amp;"'!$A$12:$Z$41"),MATCH("Points (Auto-generate)",INDIRECT("'"&amp;$A24&amp;"'!$A$12:$Z$12"),0),0)),"ER"))</f>
        <v>?</v>
      </c>
      <c r="W24" s="87" t="str">
        <f aca="true">IF($H24=0,"NA",IF($A24=INDIRECT("'"&amp;$A24&amp;"'!$B$1"),IF(VLOOKUP(W$1,INDIRECT("'"&amp;$A24&amp;"'!$A$12:$Z$41"),MATCH("Points (Auto-generate)",INDIRECT("'"&amp;$A24&amp;"'!$A$12:$Z$12"),0),0)="","?",VLOOKUP(W$1,INDIRECT("'"&amp;$A24&amp;"'!$A$12:$Z$41"),MATCH("Points (Auto-generate)",INDIRECT("'"&amp;$A24&amp;"'!$A$12:$Z$12"),0),0)),"ER"))</f>
        <v>?</v>
      </c>
      <c r="X24" s="87" t="str">
        <f aca="true">IF($H24=0,"NA",IF($A24=INDIRECT("'"&amp;$A24&amp;"'!$B$1"),IF(VLOOKUP(X$1,INDIRECT("'"&amp;$A24&amp;"'!$A$12:$Z$41"),MATCH("Points (Auto-generate)",INDIRECT("'"&amp;$A24&amp;"'!$A$12:$Z$12"),0),0)="","?",VLOOKUP(X$1,INDIRECT("'"&amp;$A24&amp;"'!$A$12:$Z$41"),MATCH("Points (Auto-generate)",INDIRECT("'"&amp;$A24&amp;"'!$A$12:$Z$12"),0),0)),"ER"))</f>
        <v>?</v>
      </c>
      <c r="Y24" s="87" t="str">
        <f aca="true">IF($H24=0,"NA",IF($A24=INDIRECT("'"&amp;$A24&amp;"'!$B$1"),IF(VLOOKUP(Y$1,INDIRECT("'"&amp;$A24&amp;"'!$A$12:$Z$41"),MATCH("Points (Auto-generate)",INDIRECT("'"&amp;$A24&amp;"'!$A$12:$Z$12"),0),0)="","?",VLOOKUP(Y$1,INDIRECT("'"&amp;$A24&amp;"'!$A$12:$Z$41"),MATCH("Points (Auto-generate)",INDIRECT("'"&amp;$A24&amp;"'!$A$12:$Z$12"),0),0)),"ER"))</f>
        <v>?</v>
      </c>
      <c r="Z24" s="87" t="str">
        <f aca="true">IF($H24=0,"NA",IF($A24=INDIRECT("'"&amp;$A24&amp;"'!$B$1"),IF(VLOOKUP(Z$1,INDIRECT("'"&amp;$A24&amp;"'!$A$12:$Z$41"),MATCH("Points (Auto-generate)",INDIRECT("'"&amp;$A24&amp;"'!$A$12:$Z$12"),0),0)="","?",VLOOKUP(Z$1,INDIRECT("'"&amp;$A24&amp;"'!$A$12:$Z$41"),MATCH("Points (Auto-generate)",INDIRECT("'"&amp;$A24&amp;"'!$A$12:$Z$12"),0),0)),"ER"))</f>
        <v>?</v>
      </c>
      <c r="AA24" s="87" t="str">
        <f aca="true">IF($H24=0,"NA",IF($A24=INDIRECT("'"&amp;$A24&amp;"'!$B$1"),IF(VLOOKUP(AA$1,INDIRECT("'"&amp;$A24&amp;"'!$A$12:$Z$41"),MATCH("Points (Auto-generate)",INDIRECT("'"&amp;$A24&amp;"'!$A$12:$Z$12"),0),0)="","?",VLOOKUP(AA$1,INDIRECT("'"&amp;$A24&amp;"'!$A$12:$Z$41"),MATCH("Points (Auto-generate)",INDIRECT("'"&amp;$A24&amp;"'!$A$12:$Z$12"),0),0)),"ER"))</f>
        <v>?</v>
      </c>
      <c r="AB24" s="87" t="str">
        <f aca="true">IF($H24=0,"NA",IF($A24=INDIRECT("'"&amp;$A24&amp;"'!$B$1"),IF(VLOOKUP(AB$1,INDIRECT("'"&amp;$A24&amp;"'!$A$12:$Z$41"),MATCH("Points (Auto-generate)",INDIRECT("'"&amp;$A24&amp;"'!$A$12:$Z$12"),0),0)="","?",VLOOKUP(AB$1,INDIRECT("'"&amp;$A24&amp;"'!$A$12:$Z$41"),MATCH("Points (Auto-generate)",INDIRECT("'"&amp;$A24&amp;"'!$A$12:$Z$12"),0),0)),"ER"))</f>
        <v>?</v>
      </c>
      <c r="AC24" s="87" t="str">
        <f aca="true">IF($H24=0,"NA",IF($A24=INDIRECT("'"&amp;$A24&amp;"'!$B$1"),IF(VLOOKUP(AC$1,INDIRECT("'"&amp;$A24&amp;"'!$A$12:$Z$41"),MATCH("Points (Auto-generate)",INDIRECT("'"&amp;$A24&amp;"'!$A$12:$Z$12"),0),0)="","?",VLOOKUP(AC$1,INDIRECT("'"&amp;$A24&amp;"'!$A$12:$Z$41"),MATCH("Points (Auto-generate)",INDIRECT("'"&amp;$A24&amp;"'!$A$12:$Z$12"),0),0)),"ER"))</f>
        <v>?</v>
      </c>
      <c r="AD24" s="87" t="str">
        <f aca="true">IF($H24=0,"NA",IF($A24=INDIRECT("'"&amp;$A24&amp;"'!$B$1"),IF(VLOOKUP(AD$1,INDIRECT("'"&amp;$A24&amp;"'!$A$12:$Z$41"),MATCH("Points (Auto-generate)",INDIRECT("'"&amp;$A24&amp;"'!$A$12:$Z$12"),0),0)="","?",VLOOKUP(AD$1,INDIRECT("'"&amp;$A24&amp;"'!$A$12:$Z$41"),MATCH("Points (Auto-generate)",INDIRECT("'"&amp;$A24&amp;"'!$A$12:$Z$12"),0),0)),"ER"))</f>
        <v>?</v>
      </c>
      <c r="AE24" s="87" t="str">
        <f aca="true">IF($H24=0,"NA",IF($A24=INDIRECT("'"&amp;$A24&amp;"'!$B$1"),IF(VLOOKUP(AE$1,INDIRECT("'"&amp;$A24&amp;"'!$A$12:$Z$41"),MATCH("Points (Auto-generate)",INDIRECT("'"&amp;$A24&amp;"'!$A$12:$Z$12"),0),0)="","?",VLOOKUP(AE$1,INDIRECT("'"&amp;$A24&amp;"'!$A$12:$Z$41"),MATCH("Points (Auto-generate)",INDIRECT("'"&amp;$A24&amp;"'!$A$12:$Z$12"),0),0)),"ER"))</f>
        <v>?</v>
      </c>
      <c r="AF24" s="87" t="str">
        <f aca="true">IF($H24=0,"NA",IF($A24=INDIRECT("'"&amp;$A24&amp;"'!$B$1"),IF(VLOOKUP(AF$1,INDIRECT("'"&amp;$A24&amp;"'!$A$12:$Z$41"),MATCH("Points (Auto-generate)",INDIRECT("'"&amp;$A24&amp;"'!$A$12:$Z$12"),0),0)="","?",VLOOKUP(AF$1,INDIRECT("'"&amp;$A24&amp;"'!$A$12:$Z$41"),MATCH("Points (Auto-generate)",INDIRECT("'"&amp;$A24&amp;"'!$A$12:$Z$12"),0),0)),"ER"))</f>
        <v>?</v>
      </c>
      <c r="AG24" s="87" t="str">
        <f aca="true">IF($H24=0,"NA",IF($A24=INDIRECT("'"&amp;$A24&amp;"'!$B$1"),IF(VLOOKUP(AG$1,INDIRECT("'"&amp;$A24&amp;"'!$A$12:$Z$41"),MATCH("Points (Auto-generate)",INDIRECT("'"&amp;$A24&amp;"'!$A$12:$Z$12"),0),0)="","?",VLOOKUP(AG$1,INDIRECT("'"&amp;$A24&amp;"'!$A$12:$Z$41"),MATCH("Points (Auto-generate)",INDIRECT("'"&amp;$A24&amp;"'!$A$12:$Z$12"),0),0)),"ER"))</f>
        <v>?</v>
      </c>
      <c r="AH24" s="87" t="str">
        <f aca="true">IF($H24=0,"NA",IF($A24=INDIRECT("'"&amp;$A24&amp;"'!$B$1"),IF(VLOOKUP(AH$1,INDIRECT("'"&amp;$A24&amp;"'!$A$12:$Z$41"),MATCH("Points (Auto-generate)",INDIRECT("'"&amp;$A24&amp;"'!$A$12:$Z$12"),0),0)="","?",VLOOKUP(AH$1,INDIRECT("'"&amp;$A24&amp;"'!$A$12:$Z$41"),MATCH("Points (Auto-generate)",INDIRECT("'"&amp;$A24&amp;"'!$A$12:$Z$12"),0),0)),"ER"))</f>
        <v>?</v>
      </c>
      <c r="AI24" s="87" t="str">
        <f aca="true">IF($H24=0,"NA",IF($A24=INDIRECT("'"&amp;$A24&amp;"'!$B$1"),IF(VLOOKUP(AI$1,INDIRECT("'"&amp;$A24&amp;"'!$A$12:$Z$41"),MATCH("Points (Auto-generate)",INDIRECT("'"&amp;$A24&amp;"'!$A$12:$Z$12"),0),0)="","?",VLOOKUP(AI$1,INDIRECT("'"&amp;$A24&amp;"'!$A$12:$Z$41"),MATCH("Points (Auto-generate)",INDIRECT("'"&amp;$A24&amp;"'!$A$12:$Z$12"),0),0)),"ER"))</f>
        <v>?</v>
      </c>
      <c r="AJ24" s="87" t="str">
        <f aca="true">IF($H24=0,"NA",IF($A24=INDIRECT("'"&amp;$A24&amp;"'!$B$1"),IF(VLOOKUP(AJ$1,INDIRECT("'"&amp;$A24&amp;"'!$A$12:$Z$41"),MATCH("Points (Auto-generate)",INDIRECT("'"&amp;$A24&amp;"'!$A$12:$Z$12"),0),0)="","?",VLOOKUP(AJ$1,INDIRECT("'"&amp;$A24&amp;"'!$A$12:$Z$41"),MATCH("Points (Auto-generate)",INDIRECT("'"&amp;$A24&amp;"'!$A$12:$Z$12"),0),0)),"ER"))</f>
        <v>?</v>
      </c>
      <c r="AK24" s="87" t="str">
        <f aca="true">IF($H24=0,"NA",IF($A24=INDIRECT("'"&amp;$A24&amp;"'!$B$1"),IF(VLOOKUP(AK$1,INDIRECT("'"&amp;$A24&amp;"'!$A$12:$Z$41"),MATCH("Points (Auto-generate)",INDIRECT("'"&amp;$A24&amp;"'!$A$12:$Z$12"),0),0)="","?",VLOOKUP(AK$1,INDIRECT("'"&amp;$A24&amp;"'!$A$12:$Z$41"),MATCH("Points (Auto-generate)",INDIRECT("'"&amp;$A24&amp;"'!$A$12:$Z$12"),0),0)),"ER"))</f>
        <v>?</v>
      </c>
    </row>
    <row r="25" customFormat="false" ht="14.25" hidden="false" customHeight="true" outlineLevel="0" collapsed="false">
      <c r="A25" s="83" t="s">
        <v>714</v>
      </c>
      <c r="B25" s="84" t="str">
        <f aca="false">IF(ISBLANK($A25),"NO_CODE",VLOOKUP($A25,'UPD Questions_290926 '!$E$1:$N$300,MATCH(B$1,'UPD Questions_290926 '!$E$1:$N$1,0),0)&amp;"")</f>
        <v>Planning </v>
      </c>
      <c r="C25" s="84" t="str">
        <f aca="false">IF(ISBLANK($A25),"NO_CODE",VLOOKUP($A25,'UPD Questions_290926 '!$E$1:$N$300,MATCH(C$1,'UPD Questions_290926 '!$E$1:$N$1,0),0)&amp;"")</f>
        <v>Municipal/City Plan objectives and contents</v>
      </c>
      <c r="D25" s="84" t="str">
        <f aca="false">IF(ISBLANK($A25),"NO_CODE",VLOOKUP($A25,'UPD Questions_290926 '!$E$1:$N$300,MATCH(D$1,'UPD Questions_290926 '!$E$1:$N$1,0),0)&amp;"")</f>
        <v>Statutory requirements for plan content</v>
      </c>
      <c r="E25" s="84" t="str">
        <f aca="false">IF(ISBLANK($A25),"NO_CODE",VLOOKUP($A25,'UPD Questions_290926 '!$E$1:$N$300,MATCH(E$1,'UPD Questions_290926 '!$E$1:$N$1,0),0)&amp;"")</f>
        <v>MQ</v>
      </c>
      <c r="F25" s="84" t="str">
        <f aca="false">IF(ISBLANK($A25),"NO_CODE",VLOOKUP($A25,'UPD Questions_290926 '!$E$1:$N$300,MATCH(F$1,'UPD Questions_290926 '!$E$1:$N$1,0),0)&amp;"")</f>
        <v>Does the T&amp;CP Act mandate the planning for:  </v>
      </c>
      <c r="G25" s="84" t="str">
        <f aca="false">IF(ISBLANK($A25),"NO_CODE",VLOOKUP($A25,'UPD Questions_290926 '!$E$1:$N$300,MATCH(G$1,'UPD Questions_290926 '!$E$1:$N$1,0),0)&amp;"")</f>
        <v>NA- question already covered in ASICS 2017</v>
      </c>
      <c r="H25" s="86" t="n">
        <f aca="false">IF(ISBLANK($A25),"NO_CODE",VLOOKUP($A25,'UPD Questions_290926 '!$E$1:$N$300,MATCH(H$1,'UPD Questions_290926 '!$E$1:$N$1,0),0))</f>
        <v>10</v>
      </c>
      <c r="I25" s="87" t="str">
        <f aca="false">IF(OR(I26="ER",I27="ER",I28="ER",I29="ER",I30="ER",I31="ER"),"ER",IF(OR(I26="?",I27="?",I28="?",I29="?",I30="?",I31="?"),"?",IF(AND(I26="NA",I27="NA",I28="NA",I29="NA",I30="NA",I31="NA"),"NA",SUM(I26,I27,I28,I29,I30,I31)/((I26&lt;&gt;"NA")*$H$26+(I27&lt;&gt;"NA")*$H$27+(I28&lt;&gt;"NA")*$H$28+(I29&lt;&gt;"NA")*$H$29+(I30&lt;&gt;"NA")*$H$30+(I31&lt;&gt;"NA")*$H$31)*$H25)))</f>
        <v>?</v>
      </c>
      <c r="J25" s="87" t="str">
        <f aca="false">IF(OR(J26="ER",J27="ER",J28="ER",J29="ER",J30="ER",J31="ER"),"ER",IF(OR(J26="?",J27="?",J28="?",J29="?",J30="?",J31="?"),"?",IF(AND(J26="NA",J27="NA",J28="NA",J29="NA",J30="NA",J31="NA"),"NA",SUM(J26,J27,J28,J29,J30,J31)/((J26&lt;&gt;"NA")*$H$26+(J27&lt;&gt;"NA")*$H$27+(J28&lt;&gt;"NA")*$H$28+(J29&lt;&gt;"NA")*$H$29+(J30&lt;&gt;"NA")*$H$30+(J31&lt;&gt;"NA")*$H$31)*$H25)))</f>
        <v>?</v>
      </c>
      <c r="K25" s="87" t="str">
        <f aca="false">IF(OR(K26="ER",K27="ER",K28="ER",K29="ER",K30="ER",K31="ER"),"ER",IF(OR(K26="?",K27="?",K28="?",K29="?",K30="?",K31="?"),"?",IF(AND(K26="NA",K27="NA",K28="NA",K29="NA",K30="NA",K31="NA"),"NA",SUM(K26,K27,K28,K29,K30,K31)/((K26&lt;&gt;"NA")*$H$26+(K27&lt;&gt;"NA")*$H$27+(K28&lt;&gt;"NA")*$H$28+(K29&lt;&gt;"NA")*$H$29+(K30&lt;&gt;"NA")*$H$30+(K31&lt;&gt;"NA")*$H$31)*$H25)))</f>
        <v>?</v>
      </c>
      <c r="L25" s="87" t="str">
        <f aca="false">IF(OR(L26="ER",L27="ER",L28="ER",L29="ER",L30="ER",L31="ER"),"ER",IF(OR(L26="?",L27="?",L28="?",L29="?",L30="?",L31="?"),"?",IF(AND(L26="NA",L27="NA",L28="NA",L29="NA",L30="NA",L31="NA"),"NA",SUM(L26,L27,L28,L29,L30,L31)/((L26&lt;&gt;"NA")*$H$26+(L27&lt;&gt;"NA")*$H$27+(L28&lt;&gt;"NA")*$H$28+(L29&lt;&gt;"NA")*$H$29+(L30&lt;&gt;"NA")*$H$30+(L31&lt;&gt;"NA")*$H$31)*$H25)))</f>
        <v>?</v>
      </c>
      <c r="M25" s="87" t="str">
        <f aca="false">IF(OR(M26="ER",M27="ER",M28="ER",M29="ER",M30="ER",M31="ER"),"ER",IF(OR(M26="?",M27="?",M28="?",M29="?",M30="?",M31="?"),"?",IF(AND(M26="NA",M27="NA",M28="NA",M29="NA",M30="NA",M31="NA"),"NA",SUM(M26,M27,M28,M29,M30,M31)/((M26&lt;&gt;"NA")*$H$26+(M27&lt;&gt;"NA")*$H$27+(M28&lt;&gt;"NA")*$H$28+(M29&lt;&gt;"NA")*$H$29+(M30&lt;&gt;"NA")*$H$30+(M31&lt;&gt;"NA")*$H$31)*$H25)))</f>
        <v>?</v>
      </c>
      <c r="N25" s="87" t="str">
        <f aca="false">IF(OR(N26="ER",N27="ER",N28="ER",N29="ER",N30="ER",N31="ER"),"ER",IF(OR(N26="?",N27="?",N28="?",N29="?",N30="?",N31="?"),"?",IF(AND(N26="NA",N27="NA",N28="NA",N29="NA",N30="NA",N31="NA"),"NA",SUM(N26,N27,N28,N29,N30,N31)/((N26&lt;&gt;"NA")*$H$26+(N27&lt;&gt;"NA")*$H$27+(N28&lt;&gt;"NA")*$H$28+(N29&lt;&gt;"NA")*$H$29+(N30&lt;&gt;"NA")*$H$30+(N31&lt;&gt;"NA")*$H$31)*$H25)))</f>
        <v>?</v>
      </c>
      <c r="O25" s="87" t="str">
        <f aca="false">IF(OR(O26="ER",O27="ER",O28="ER",O29="ER",O30="ER",O31="ER"),"ER",IF(OR(O26="?",O27="?",O28="?",O29="?",O30="?",O31="?"),"?",IF(AND(O26="NA",O27="NA",O28="NA",O29="NA",O30="NA",O31="NA"),"NA",SUM(O26,O27,O28,O29,O30,O31)/((O26&lt;&gt;"NA")*$H$26+(O27&lt;&gt;"NA")*$H$27+(O28&lt;&gt;"NA")*$H$28+(O29&lt;&gt;"NA")*$H$29+(O30&lt;&gt;"NA")*$H$30+(O31&lt;&gt;"NA")*$H$31)*$H25)))</f>
        <v>?</v>
      </c>
      <c r="P25" s="87" t="str">
        <f aca="false">IF(OR(P26="ER",P27="ER",P28="ER",P29="ER",P30="ER",P31="ER"),"ER",IF(OR(P26="?",P27="?",P28="?",P29="?",P30="?",P31="?"),"?",IF(AND(P26="NA",P27="NA",P28="NA",P29="NA",P30="NA",P31="NA"),"NA",SUM(P26,P27,P28,P29,P30,P31)/((P26&lt;&gt;"NA")*$H$26+(P27&lt;&gt;"NA")*$H$27+(P28&lt;&gt;"NA")*$H$28+(P29&lt;&gt;"NA")*$H$29+(P30&lt;&gt;"NA")*$H$30+(P31&lt;&gt;"NA")*$H$31)*$H25)))</f>
        <v>?</v>
      </c>
      <c r="Q25" s="87" t="str">
        <f aca="false">IF(OR(Q26="ER",Q27="ER",Q28="ER",Q29="ER",Q30="ER",Q31="ER"),"ER",IF(OR(Q26="?",Q27="?",Q28="?",Q29="?",Q30="?",Q31="?"),"?",IF(AND(Q26="NA",Q27="NA",Q28="NA",Q29="NA",Q30="NA",Q31="NA"),"NA",SUM(Q26,Q27,Q28,Q29,Q30,Q31)/((Q26&lt;&gt;"NA")*$H$26+(Q27&lt;&gt;"NA")*$H$27+(Q28&lt;&gt;"NA")*$H$28+(Q29&lt;&gt;"NA")*$H$29+(Q30&lt;&gt;"NA")*$H$30+(Q31&lt;&gt;"NA")*$H$31)*$H25)))</f>
        <v>?</v>
      </c>
      <c r="R25" s="87" t="str">
        <f aca="false">IF(OR(R26="ER",R27="ER",R28="ER",R29="ER",R30="ER",R31="ER"),"ER",IF(OR(R26="?",R27="?",R28="?",R29="?",R30="?",R31="?"),"?",IF(AND(R26="NA",R27="NA",R28="NA",R29="NA",R30="NA",R31="NA"),"NA",SUM(R26,R27,R28,R29,R30,R31)/((R26&lt;&gt;"NA")*$H$26+(R27&lt;&gt;"NA")*$H$27+(R28&lt;&gt;"NA")*$H$28+(R29&lt;&gt;"NA")*$H$29+(R30&lt;&gt;"NA")*$H$30+(R31&lt;&gt;"NA")*$H$31)*$H25)))</f>
        <v>?</v>
      </c>
      <c r="S25" s="87" t="str">
        <f aca="false">IF(OR(S26="ER",S27="ER",S28="ER",S29="ER",S30="ER",S31="ER"),"ER",IF(OR(S26="?",S27="?",S28="?",S29="?",S30="?",S31="?"),"?",IF(AND(S26="NA",S27="NA",S28="NA",S29="NA",S30="NA",S31="NA"),"NA",SUM(S26,S27,S28,S29,S30,S31)/((S26&lt;&gt;"NA")*$H$26+(S27&lt;&gt;"NA")*$H$27+(S28&lt;&gt;"NA")*$H$28+(S29&lt;&gt;"NA")*$H$29+(S30&lt;&gt;"NA")*$H$30+(S31&lt;&gt;"NA")*$H$31)*$H25)))</f>
        <v>?</v>
      </c>
      <c r="T25" s="87" t="str">
        <f aca="false">IF(OR(T26="ER",T27="ER",T28="ER",T29="ER",T30="ER",T31="ER"),"ER",IF(OR(T26="?",T27="?",T28="?",T29="?",T30="?",T31="?"),"?",IF(AND(T26="NA",T27="NA",T28="NA",T29="NA",T30="NA",T31="NA"),"NA",SUM(T26,T27,T28,T29,T30,T31)/((T26&lt;&gt;"NA")*$H$26+(T27&lt;&gt;"NA")*$H$27+(T28&lt;&gt;"NA")*$H$28+(T29&lt;&gt;"NA")*$H$29+(T30&lt;&gt;"NA")*$H$30+(T31&lt;&gt;"NA")*$H$31)*$H25)))</f>
        <v>?</v>
      </c>
      <c r="U25" s="87" t="str">
        <f aca="false">IF(OR(U26="ER",U27="ER",U28="ER",U29="ER",U30="ER",U31="ER"),"ER",IF(OR(U26="?",U27="?",U28="?",U29="?",U30="?",U31="?"),"?",IF(AND(U26="NA",U27="NA",U28="NA",U29="NA",U30="NA",U31="NA"),"NA",SUM(U26,U27,U28,U29,U30,U31)/((U26&lt;&gt;"NA")*$H$26+(U27&lt;&gt;"NA")*$H$27+(U28&lt;&gt;"NA")*$H$28+(U29&lt;&gt;"NA")*$H$29+(U30&lt;&gt;"NA")*$H$30+(U31&lt;&gt;"NA")*$H$31)*$H25)))</f>
        <v>?</v>
      </c>
      <c r="V25" s="87" t="str">
        <f aca="false">IF(OR(V26="ER",V27="ER",V28="ER",V29="ER",V30="ER",V31="ER"),"ER",IF(OR(V26="?",V27="?",V28="?",V29="?",V30="?",V31="?"),"?",IF(AND(V26="NA",V27="NA",V28="NA",V29="NA",V30="NA",V31="NA"),"NA",SUM(V26,V27,V28,V29,V30,V31)/((V26&lt;&gt;"NA")*$H$26+(V27&lt;&gt;"NA")*$H$27+(V28&lt;&gt;"NA")*$H$28+(V29&lt;&gt;"NA")*$H$29+(V30&lt;&gt;"NA")*$H$30+(V31&lt;&gt;"NA")*$H$31)*$H25)))</f>
        <v>?</v>
      </c>
      <c r="W25" s="87" t="str">
        <f aca="false">IF(OR(W26="ER",W27="ER",W28="ER",W29="ER",W30="ER",W31="ER"),"ER",IF(OR(W26="?",W27="?",W28="?",W29="?",W30="?",W31="?"),"?",IF(AND(W26="NA",W27="NA",W28="NA",W29="NA",W30="NA",W31="NA"),"NA",SUM(W26,W27,W28,W29,W30,W31)/((W26&lt;&gt;"NA")*$H$26+(W27&lt;&gt;"NA")*$H$27+(W28&lt;&gt;"NA")*$H$28+(W29&lt;&gt;"NA")*$H$29+(W30&lt;&gt;"NA")*$H$30+(W31&lt;&gt;"NA")*$H$31)*$H25)))</f>
        <v>?</v>
      </c>
      <c r="X25" s="87" t="str">
        <f aca="false">IF(OR(X26="ER",X27="ER",X28="ER",X29="ER",X30="ER",X31="ER"),"ER",IF(OR(X26="?",X27="?",X28="?",X29="?",X30="?",X31="?"),"?",IF(AND(X26="NA",X27="NA",X28="NA",X29="NA",X30="NA",X31="NA"),"NA",SUM(X26,X27,X28,X29,X30,X31)/((X26&lt;&gt;"NA")*$H$26+(X27&lt;&gt;"NA")*$H$27+(X28&lt;&gt;"NA")*$H$28+(X29&lt;&gt;"NA")*$H$29+(X30&lt;&gt;"NA")*$H$30+(X31&lt;&gt;"NA")*$H$31)*$H25)))</f>
        <v>?</v>
      </c>
      <c r="Y25" s="87" t="str">
        <f aca="false">IF(OR(Y26="ER",Y27="ER",Y28="ER",Y29="ER",Y30="ER",Y31="ER"),"ER",IF(OR(Y26="?",Y27="?",Y28="?",Y29="?",Y30="?",Y31="?"),"?",IF(AND(Y26="NA",Y27="NA",Y28="NA",Y29="NA",Y30="NA",Y31="NA"),"NA",SUM(Y26,Y27,Y28,Y29,Y30,Y31)/((Y26&lt;&gt;"NA")*$H$26+(Y27&lt;&gt;"NA")*$H$27+(Y28&lt;&gt;"NA")*$H$28+(Y29&lt;&gt;"NA")*$H$29+(Y30&lt;&gt;"NA")*$H$30+(Y31&lt;&gt;"NA")*$H$31)*$H25)))</f>
        <v>?</v>
      </c>
      <c r="Z25" s="87" t="str">
        <f aca="false">IF(OR(Z26="ER",Z27="ER",Z28="ER",Z29="ER",Z30="ER",Z31="ER"),"ER",IF(OR(Z26="?",Z27="?",Z28="?",Z29="?",Z30="?",Z31="?"),"?",IF(AND(Z26="NA",Z27="NA",Z28="NA",Z29="NA",Z30="NA",Z31="NA"),"NA",SUM(Z26,Z27,Z28,Z29,Z30,Z31)/((Z26&lt;&gt;"NA")*$H$26+(Z27&lt;&gt;"NA")*$H$27+(Z28&lt;&gt;"NA")*$H$28+(Z29&lt;&gt;"NA")*$H$29+(Z30&lt;&gt;"NA")*$H$30+(Z31&lt;&gt;"NA")*$H$31)*$H25)))</f>
        <v>?</v>
      </c>
      <c r="AA25" s="87" t="str">
        <f aca="false">IF(OR(AA26="ER",AA27="ER",AA28="ER",AA29="ER",AA30="ER",AA31="ER"),"ER",IF(OR(AA26="?",AA27="?",AA28="?",AA29="?",AA30="?",AA31="?"),"?",IF(AND(AA26="NA",AA27="NA",AA28="NA",AA29="NA",AA30="NA",AA31="NA"),"NA",SUM(AA26,AA27,AA28,AA29,AA30,AA31)/((AA26&lt;&gt;"NA")*$H$26+(AA27&lt;&gt;"NA")*$H$27+(AA28&lt;&gt;"NA")*$H$28+(AA29&lt;&gt;"NA")*$H$29+(AA30&lt;&gt;"NA")*$H$30+(AA31&lt;&gt;"NA")*$H$31)*$H25)))</f>
        <v>?</v>
      </c>
      <c r="AB25" s="87" t="str">
        <f aca="false">IF(OR(AB26="ER",AB27="ER",AB28="ER",AB29="ER",AB30="ER",AB31="ER"),"ER",IF(OR(AB26="?",AB27="?",AB28="?",AB29="?",AB30="?",AB31="?"),"?",IF(AND(AB26="NA",AB27="NA",AB28="NA",AB29="NA",AB30="NA",AB31="NA"),"NA",SUM(AB26,AB27,AB28,AB29,AB30,AB31)/((AB26&lt;&gt;"NA")*$H$26+(AB27&lt;&gt;"NA")*$H$27+(AB28&lt;&gt;"NA")*$H$28+(AB29&lt;&gt;"NA")*$H$29+(AB30&lt;&gt;"NA")*$H$30+(AB31&lt;&gt;"NA")*$H$31)*$H25)))</f>
        <v>?</v>
      </c>
      <c r="AC25" s="87" t="str">
        <f aca="false">IF(OR(AC26="ER",AC27="ER",AC28="ER",AC29="ER",AC30="ER",AC31="ER"),"ER",IF(OR(AC26="?",AC27="?",AC28="?",AC29="?",AC30="?",AC31="?"),"?",IF(AND(AC26="NA",AC27="NA",AC28="NA",AC29="NA",AC30="NA",AC31="NA"),"NA",SUM(AC26,AC27,AC28,AC29,AC30,AC31)/((AC26&lt;&gt;"NA")*$H$26+(AC27&lt;&gt;"NA")*$H$27+(AC28&lt;&gt;"NA")*$H$28+(AC29&lt;&gt;"NA")*$H$29+(AC30&lt;&gt;"NA")*$H$30+(AC31&lt;&gt;"NA")*$H$31)*$H25)))</f>
        <v>?</v>
      </c>
      <c r="AD25" s="87" t="str">
        <f aca="false">IF(OR(AD26="ER",AD27="ER",AD28="ER",AD29="ER",AD30="ER",AD31="ER"),"ER",IF(OR(AD26="?",AD27="?",AD28="?",AD29="?",AD30="?",AD31="?"),"?",IF(AND(AD26="NA",AD27="NA",AD28="NA",AD29="NA",AD30="NA",AD31="NA"),"NA",SUM(AD26,AD27,AD28,AD29,AD30,AD31)/((AD26&lt;&gt;"NA")*$H$26+(AD27&lt;&gt;"NA")*$H$27+(AD28&lt;&gt;"NA")*$H$28+(AD29&lt;&gt;"NA")*$H$29+(AD30&lt;&gt;"NA")*$H$30+(AD31&lt;&gt;"NA")*$H$31)*$H25)))</f>
        <v>?</v>
      </c>
      <c r="AE25" s="87" t="str">
        <f aca="false">IF(OR(AE26="ER",AE27="ER",AE28="ER",AE29="ER",AE30="ER",AE31="ER"),"ER",IF(OR(AE26="?",AE27="?",AE28="?",AE29="?",AE30="?",AE31="?"),"?",IF(AND(AE26="NA",AE27="NA",AE28="NA",AE29="NA",AE30="NA",AE31="NA"),"NA",SUM(AE26,AE27,AE28,AE29,AE30,AE31)/((AE26&lt;&gt;"NA")*$H$26+(AE27&lt;&gt;"NA")*$H$27+(AE28&lt;&gt;"NA")*$H$28+(AE29&lt;&gt;"NA")*$H$29+(AE30&lt;&gt;"NA")*$H$30+(AE31&lt;&gt;"NA")*$H$31)*$H25)))</f>
        <v>?</v>
      </c>
      <c r="AF25" s="87" t="str">
        <f aca="false">IF(OR(AF26="ER",AF27="ER",AF28="ER",AF29="ER",AF30="ER",AF31="ER"),"ER",IF(OR(AF26="?",AF27="?",AF28="?",AF29="?",AF30="?",AF31="?"),"?",IF(AND(AF26="NA",AF27="NA",AF28="NA",AF29="NA",AF30="NA",AF31="NA"),"NA",SUM(AF26,AF27,AF28,AF29,AF30,AF31)/((AF26&lt;&gt;"NA")*$H$26+(AF27&lt;&gt;"NA")*$H$27+(AF28&lt;&gt;"NA")*$H$28+(AF29&lt;&gt;"NA")*$H$29+(AF30&lt;&gt;"NA")*$H$30+(AF31&lt;&gt;"NA")*$H$31)*$H25)))</f>
        <v>?</v>
      </c>
      <c r="AG25" s="87" t="str">
        <f aca="false">IF(OR(AG26="ER",AG27="ER",AG28="ER",AG29="ER",AG30="ER",AG31="ER"),"ER",IF(OR(AG26="?",AG27="?",AG28="?",AG29="?",AG30="?",AG31="?"),"?",IF(AND(AG26="NA",AG27="NA",AG28="NA",AG29="NA",AG30="NA",AG31="NA"),"NA",SUM(AG26,AG27,AG28,AG29,AG30,AG31)/((AG26&lt;&gt;"NA")*$H$26+(AG27&lt;&gt;"NA")*$H$27+(AG28&lt;&gt;"NA")*$H$28+(AG29&lt;&gt;"NA")*$H$29+(AG30&lt;&gt;"NA")*$H$30+(AG31&lt;&gt;"NA")*$H$31)*$H25)))</f>
        <v>?</v>
      </c>
      <c r="AH25" s="87" t="str">
        <f aca="false">IF(OR(AH26="ER",AH27="ER",AH28="ER",AH29="ER",AH30="ER",AH31="ER"),"ER",IF(OR(AH26="?",AH27="?",AH28="?",AH29="?",AH30="?",AH31="?"),"?",IF(AND(AH26="NA",AH27="NA",AH28="NA",AH29="NA",AH30="NA",AH31="NA"),"NA",SUM(AH26,AH27,AH28,AH29,AH30,AH31)/((AH26&lt;&gt;"NA")*$H$26+(AH27&lt;&gt;"NA")*$H$27+(AH28&lt;&gt;"NA")*$H$28+(AH29&lt;&gt;"NA")*$H$29+(AH30&lt;&gt;"NA")*$H$30+(AH31&lt;&gt;"NA")*$H$31)*$H25)))</f>
        <v>?</v>
      </c>
      <c r="AI25" s="87" t="str">
        <f aca="false">IF(OR(AI26="ER",AI27="ER",AI28="ER",AI29="ER",AI30="ER",AI31="ER"),"ER",IF(OR(AI26="?",AI27="?",AI28="?",AI29="?",AI30="?",AI31="?"),"?",IF(AND(AI26="NA",AI27="NA",AI28="NA",AI29="NA",AI30="NA",AI31="NA"),"NA",SUM(AI26,AI27,AI28,AI29,AI30,AI31)/((AI26&lt;&gt;"NA")*$H$26+(AI27&lt;&gt;"NA")*$H$27+(AI28&lt;&gt;"NA")*$H$28+(AI29&lt;&gt;"NA")*$H$29+(AI30&lt;&gt;"NA")*$H$30+(AI31&lt;&gt;"NA")*$H$31)*$H25)))</f>
        <v>?</v>
      </c>
      <c r="AJ25" s="87" t="str">
        <f aca="false">IF(OR(AJ26="ER",AJ27="ER",AJ28="ER",AJ29="ER",AJ30="ER",AJ31="ER"),"ER",IF(OR(AJ26="?",AJ27="?",AJ28="?",AJ29="?",AJ30="?",AJ31="?"),"?",IF(AND(AJ26="NA",AJ27="NA",AJ28="NA",AJ29="NA",AJ30="NA",AJ31="NA"),"NA",SUM(AJ26,AJ27,AJ28,AJ29,AJ30,AJ31)/((AJ26&lt;&gt;"NA")*$H$26+(AJ27&lt;&gt;"NA")*$H$27+(AJ28&lt;&gt;"NA")*$H$28+(AJ29&lt;&gt;"NA")*$H$29+(AJ30&lt;&gt;"NA")*$H$30+(AJ31&lt;&gt;"NA")*$H$31)*$H25)))</f>
        <v>?</v>
      </c>
      <c r="AK25" s="87" t="str">
        <f aca="false">IF(OR(AK26="ER",AK27="ER",AK28="ER",AK29="ER",AK30="ER",AK31="ER"),"ER",IF(OR(AK26="?",AK27="?",AK28="?",AK29="?",AK30="?",AK31="?"),"?",IF(AND(AK26="NA",AK27="NA",AK28="NA",AK29="NA",AK30="NA",AK31="NA"),"NA",SUM(AK26,AK27,AK28,AK29,AK30,AK31)/((AK26&lt;&gt;"NA")*$H$26+(AK27&lt;&gt;"NA")*$H$27+(AK28&lt;&gt;"NA")*$H$28+(AK29&lt;&gt;"NA")*$H$29+(AK30&lt;&gt;"NA")*$H$30+(AK31&lt;&gt;"NA")*$H$31)*$H25)))</f>
        <v>?</v>
      </c>
    </row>
    <row r="26" customFormat="false" ht="14.25" hidden="false" customHeight="true" outlineLevel="0" collapsed="false">
      <c r="A26" s="83" t="s">
        <v>181</v>
      </c>
      <c r="B26" s="84" t="str">
        <f aca="false">IF(ISBLANK($A26),"NO_CODE",VLOOKUP($A26,'UPD Questions_290926 '!$E$1:$N$300,MATCH(B$1,'UPD Questions_290926 '!$E$1:$N$1,0),0)&amp;"")</f>
        <v>Planning </v>
      </c>
      <c r="C26" s="84" t="str">
        <f aca="false">IF(ISBLANK($A26),"NO_CODE",VLOOKUP($A26,'UPD Questions_290926 '!$E$1:$N$300,MATCH(C$1,'UPD Questions_290926 '!$E$1:$N$1,0),0)&amp;"")</f>
        <v>Municipal/City Plan objectives and contents</v>
      </c>
      <c r="D26" s="84" t="str">
        <f aca="false">IF(ISBLANK($A26),"NO_CODE",VLOOKUP($A26,'UPD Questions_290926 '!$E$1:$N$300,MATCH(D$1,'UPD Questions_290926 '!$E$1:$N$1,0),0)&amp;"")</f>
        <v>Statutory requirements for plan content</v>
      </c>
      <c r="E26" s="84" t="str">
        <f aca="false">IF(ISBLANK($A26),"NO_CODE",VLOOKUP($A26,'UPD Questions_290926 '!$E$1:$N$300,MATCH(E$1,'UPD Questions_290926 '!$E$1:$N$1,0),0)&amp;"")</f>
        <v>SQ</v>
      </c>
      <c r="F26" s="84" t="str">
        <f aca="false">IF(ISBLANK($A26),"NO_CODE",VLOOKUP($A26,'UPD Questions_290926 '!$E$1:$N$300,MATCH(F$1,'UPD Questions_290926 '!$E$1:$N$1,0),0)&amp;"")</f>
        <v>a) Water Supply/ Sewerage, Sanitation and Solid Waste Management </v>
      </c>
      <c r="G26" s="84" t="str">
        <f aca="false">IF(ISBLANK($A26),"NO_CODE",VLOOKUP($A26,'UPD Questions_290926 '!$E$1:$N$300,MATCH(G$1,'UPD Questions_290926 '!$E$1:$N$1,0),0)&amp;"")</f>
        <v>Law/Policy</v>
      </c>
      <c r="H26" s="86" t="n">
        <f aca="false">IF(ISBLANK($A26),"NO_CODE",VLOOKUP($A26,'UPD Questions_290926 '!$E$1:$N$300,MATCH(H$1,'UPD Questions_290926 '!$E$1:$N$1,0),0))</f>
        <v>1.67</v>
      </c>
      <c r="I26" s="87" t="str">
        <f aca="true">IF($H26=0,"NA",IF($A26=INDIRECT("'"&amp;$A26&amp;"'!$B$1"),IF(VLOOKUP(I$1,INDIRECT("'"&amp;$A26&amp;"'!$A$12:$Z$41"),MATCH("Points (Auto-generate)",INDIRECT("'"&amp;$A26&amp;"'!$A$12:$Z$12"),0),0)="","?",VLOOKUP(I$1,INDIRECT("'"&amp;$A26&amp;"'!$A$12:$Z$41"),MATCH("Points (Auto-generate)",INDIRECT("'"&amp;$A26&amp;"'!$A$12:$Z$12"),0),0)),"ER"))</f>
        <v>?</v>
      </c>
      <c r="J26" s="87" t="str">
        <f aca="true">IF($H26=0,"NA",IF($A26=INDIRECT("'"&amp;$A26&amp;"'!$B$1"),IF(VLOOKUP(J$1,INDIRECT("'"&amp;$A26&amp;"'!$A$12:$Z$41"),MATCH("Points (Auto-generate)",INDIRECT("'"&amp;$A26&amp;"'!$A$12:$Z$12"),0),0)="","?",VLOOKUP(J$1,INDIRECT("'"&amp;$A26&amp;"'!$A$12:$Z$41"),MATCH("Points (Auto-generate)",INDIRECT("'"&amp;$A26&amp;"'!$A$12:$Z$12"),0),0)),"ER"))</f>
        <v>?</v>
      </c>
      <c r="K26" s="87" t="str">
        <f aca="true">IF($H26=0,"NA",IF($A26=INDIRECT("'"&amp;$A26&amp;"'!$B$1"),IF(VLOOKUP(K$1,INDIRECT("'"&amp;$A26&amp;"'!$A$12:$Z$41"),MATCH("Points (Auto-generate)",INDIRECT("'"&amp;$A26&amp;"'!$A$12:$Z$12"),0),0)="","?",VLOOKUP(K$1,INDIRECT("'"&amp;$A26&amp;"'!$A$12:$Z$41"),MATCH("Points (Auto-generate)",INDIRECT("'"&amp;$A26&amp;"'!$A$12:$Z$12"),0),0)),"ER"))</f>
        <v>?</v>
      </c>
      <c r="L26" s="87" t="str">
        <f aca="true">IF($H26=0,"NA",IF($A26=INDIRECT("'"&amp;$A26&amp;"'!$B$1"),IF(VLOOKUP(L$1,INDIRECT("'"&amp;$A26&amp;"'!$A$12:$Z$41"),MATCH("Points (Auto-generate)",INDIRECT("'"&amp;$A26&amp;"'!$A$12:$Z$12"),0),0)="","?",VLOOKUP(L$1,INDIRECT("'"&amp;$A26&amp;"'!$A$12:$Z$41"),MATCH("Points (Auto-generate)",INDIRECT("'"&amp;$A26&amp;"'!$A$12:$Z$12"),0),0)),"ER"))</f>
        <v>?</v>
      </c>
      <c r="M26" s="87" t="str">
        <f aca="true">IF($H26=0,"NA",IF($A26=INDIRECT("'"&amp;$A26&amp;"'!$B$1"),IF(VLOOKUP(M$1,INDIRECT("'"&amp;$A26&amp;"'!$A$12:$Z$41"),MATCH("Points (Auto-generate)",INDIRECT("'"&amp;$A26&amp;"'!$A$12:$Z$12"),0),0)="","?",VLOOKUP(M$1,INDIRECT("'"&amp;$A26&amp;"'!$A$12:$Z$41"),MATCH("Points (Auto-generate)",INDIRECT("'"&amp;$A26&amp;"'!$A$12:$Z$12"),0),0)),"ER"))</f>
        <v>?</v>
      </c>
      <c r="N26" s="87" t="str">
        <f aca="true">IF($H26=0,"NA",IF($A26=INDIRECT("'"&amp;$A26&amp;"'!$B$1"),IF(VLOOKUP(N$1,INDIRECT("'"&amp;$A26&amp;"'!$A$12:$Z$41"),MATCH("Points (Auto-generate)",INDIRECT("'"&amp;$A26&amp;"'!$A$12:$Z$12"),0),0)="","?",VLOOKUP(N$1,INDIRECT("'"&amp;$A26&amp;"'!$A$12:$Z$41"),MATCH("Points (Auto-generate)",INDIRECT("'"&amp;$A26&amp;"'!$A$12:$Z$12"),0),0)),"ER"))</f>
        <v>?</v>
      </c>
      <c r="O26" s="87" t="str">
        <f aca="true">IF($H26=0,"NA",IF($A26=INDIRECT("'"&amp;$A26&amp;"'!$B$1"),IF(VLOOKUP(O$1,INDIRECT("'"&amp;$A26&amp;"'!$A$12:$Z$41"),MATCH("Points (Auto-generate)",INDIRECT("'"&amp;$A26&amp;"'!$A$12:$Z$12"),0),0)="","?",VLOOKUP(O$1,INDIRECT("'"&amp;$A26&amp;"'!$A$12:$Z$41"),MATCH("Points (Auto-generate)",INDIRECT("'"&amp;$A26&amp;"'!$A$12:$Z$12"),0),0)),"ER"))</f>
        <v>?</v>
      </c>
      <c r="P26" s="87" t="str">
        <f aca="true">IF($H26=0,"NA",IF($A26=INDIRECT("'"&amp;$A26&amp;"'!$B$1"),IF(VLOOKUP(P$1,INDIRECT("'"&amp;$A26&amp;"'!$A$12:$Z$41"),MATCH("Points (Auto-generate)",INDIRECT("'"&amp;$A26&amp;"'!$A$12:$Z$12"),0),0)="","?",VLOOKUP(P$1,INDIRECT("'"&amp;$A26&amp;"'!$A$12:$Z$41"),MATCH("Points (Auto-generate)",INDIRECT("'"&amp;$A26&amp;"'!$A$12:$Z$12"),0),0)),"ER"))</f>
        <v>?</v>
      </c>
      <c r="Q26" s="87" t="str">
        <f aca="true">IF($H26=0,"NA",IF($A26=INDIRECT("'"&amp;$A26&amp;"'!$B$1"),IF(VLOOKUP(Q$1,INDIRECT("'"&amp;$A26&amp;"'!$A$12:$Z$41"),MATCH("Points (Auto-generate)",INDIRECT("'"&amp;$A26&amp;"'!$A$12:$Z$12"),0),0)="","?",VLOOKUP(Q$1,INDIRECT("'"&amp;$A26&amp;"'!$A$12:$Z$41"),MATCH("Points (Auto-generate)",INDIRECT("'"&amp;$A26&amp;"'!$A$12:$Z$12"),0),0)),"ER"))</f>
        <v>?</v>
      </c>
      <c r="R26" s="87" t="str">
        <f aca="true">IF($H26=0,"NA",IF($A26=INDIRECT("'"&amp;$A26&amp;"'!$B$1"),IF(VLOOKUP(R$1,INDIRECT("'"&amp;$A26&amp;"'!$A$12:$Z$41"),MATCH("Points (Auto-generate)",INDIRECT("'"&amp;$A26&amp;"'!$A$12:$Z$12"),0),0)="","?",VLOOKUP(R$1,INDIRECT("'"&amp;$A26&amp;"'!$A$12:$Z$41"),MATCH("Points (Auto-generate)",INDIRECT("'"&amp;$A26&amp;"'!$A$12:$Z$12"),0),0)),"ER"))</f>
        <v>?</v>
      </c>
      <c r="S26" s="87" t="str">
        <f aca="true">IF($H26=0,"NA",IF($A26=INDIRECT("'"&amp;$A26&amp;"'!$B$1"),IF(VLOOKUP(S$1,INDIRECT("'"&amp;$A26&amp;"'!$A$12:$Z$41"),MATCH("Points (Auto-generate)",INDIRECT("'"&amp;$A26&amp;"'!$A$12:$Z$12"),0),0)="","?",VLOOKUP(S$1,INDIRECT("'"&amp;$A26&amp;"'!$A$12:$Z$41"),MATCH("Points (Auto-generate)",INDIRECT("'"&amp;$A26&amp;"'!$A$12:$Z$12"),0),0)),"ER"))</f>
        <v>?</v>
      </c>
      <c r="T26" s="87" t="str">
        <f aca="true">IF($H26=0,"NA",IF($A26=INDIRECT("'"&amp;$A26&amp;"'!$B$1"),IF(VLOOKUP(T$1,INDIRECT("'"&amp;$A26&amp;"'!$A$12:$Z$41"),MATCH("Points (Auto-generate)",INDIRECT("'"&amp;$A26&amp;"'!$A$12:$Z$12"),0),0)="","?",VLOOKUP(T$1,INDIRECT("'"&amp;$A26&amp;"'!$A$12:$Z$41"),MATCH("Points (Auto-generate)",INDIRECT("'"&amp;$A26&amp;"'!$A$12:$Z$12"),0),0)),"ER"))</f>
        <v>?</v>
      </c>
      <c r="U26" s="87" t="str">
        <f aca="true">IF($H26=0,"NA",IF($A26=INDIRECT("'"&amp;$A26&amp;"'!$B$1"),IF(VLOOKUP(U$1,INDIRECT("'"&amp;$A26&amp;"'!$A$12:$Z$41"),MATCH("Points (Auto-generate)",INDIRECT("'"&amp;$A26&amp;"'!$A$12:$Z$12"),0),0)="","?",VLOOKUP(U$1,INDIRECT("'"&amp;$A26&amp;"'!$A$12:$Z$41"),MATCH("Points (Auto-generate)",INDIRECT("'"&amp;$A26&amp;"'!$A$12:$Z$12"),0),0)),"ER"))</f>
        <v>?</v>
      </c>
      <c r="V26" s="87" t="str">
        <f aca="true">IF($H26=0,"NA",IF($A26=INDIRECT("'"&amp;$A26&amp;"'!$B$1"),IF(VLOOKUP(V$1,INDIRECT("'"&amp;$A26&amp;"'!$A$12:$Z$41"),MATCH("Points (Auto-generate)",INDIRECT("'"&amp;$A26&amp;"'!$A$12:$Z$12"),0),0)="","?",VLOOKUP(V$1,INDIRECT("'"&amp;$A26&amp;"'!$A$12:$Z$41"),MATCH("Points (Auto-generate)",INDIRECT("'"&amp;$A26&amp;"'!$A$12:$Z$12"),0),0)),"ER"))</f>
        <v>?</v>
      </c>
      <c r="W26" s="87" t="str">
        <f aca="true">IF($H26=0,"NA",IF($A26=INDIRECT("'"&amp;$A26&amp;"'!$B$1"),IF(VLOOKUP(W$1,INDIRECT("'"&amp;$A26&amp;"'!$A$12:$Z$41"),MATCH("Points (Auto-generate)",INDIRECT("'"&amp;$A26&amp;"'!$A$12:$Z$12"),0),0)="","?",VLOOKUP(W$1,INDIRECT("'"&amp;$A26&amp;"'!$A$12:$Z$41"),MATCH("Points (Auto-generate)",INDIRECT("'"&amp;$A26&amp;"'!$A$12:$Z$12"),0),0)),"ER"))</f>
        <v>?</v>
      </c>
      <c r="X26" s="87" t="str">
        <f aca="true">IF($H26=0,"NA",IF($A26=INDIRECT("'"&amp;$A26&amp;"'!$B$1"),IF(VLOOKUP(X$1,INDIRECT("'"&amp;$A26&amp;"'!$A$12:$Z$41"),MATCH("Points (Auto-generate)",INDIRECT("'"&amp;$A26&amp;"'!$A$12:$Z$12"),0),0)="","?",VLOOKUP(X$1,INDIRECT("'"&amp;$A26&amp;"'!$A$12:$Z$41"),MATCH("Points (Auto-generate)",INDIRECT("'"&amp;$A26&amp;"'!$A$12:$Z$12"),0),0)),"ER"))</f>
        <v>?</v>
      </c>
      <c r="Y26" s="87" t="str">
        <f aca="true">IF($H26=0,"NA",IF($A26=INDIRECT("'"&amp;$A26&amp;"'!$B$1"),IF(VLOOKUP(Y$1,INDIRECT("'"&amp;$A26&amp;"'!$A$12:$Z$41"),MATCH("Points (Auto-generate)",INDIRECT("'"&amp;$A26&amp;"'!$A$12:$Z$12"),0),0)="","?",VLOOKUP(Y$1,INDIRECT("'"&amp;$A26&amp;"'!$A$12:$Z$41"),MATCH("Points (Auto-generate)",INDIRECT("'"&amp;$A26&amp;"'!$A$12:$Z$12"),0),0)),"ER"))</f>
        <v>?</v>
      </c>
      <c r="Z26" s="87" t="str">
        <f aca="true">IF($H26=0,"NA",IF($A26=INDIRECT("'"&amp;$A26&amp;"'!$B$1"),IF(VLOOKUP(Z$1,INDIRECT("'"&amp;$A26&amp;"'!$A$12:$Z$41"),MATCH("Points (Auto-generate)",INDIRECT("'"&amp;$A26&amp;"'!$A$12:$Z$12"),0),0)="","?",VLOOKUP(Z$1,INDIRECT("'"&amp;$A26&amp;"'!$A$12:$Z$41"),MATCH("Points (Auto-generate)",INDIRECT("'"&amp;$A26&amp;"'!$A$12:$Z$12"),0),0)),"ER"))</f>
        <v>?</v>
      </c>
      <c r="AA26" s="87" t="str">
        <f aca="true">IF($H26=0,"NA",IF($A26=INDIRECT("'"&amp;$A26&amp;"'!$B$1"),IF(VLOOKUP(AA$1,INDIRECT("'"&amp;$A26&amp;"'!$A$12:$Z$41"),MATCH("Points (Auto-generate)",INDIRECT("'"&amp;$A26&amp;"'!$A$12:$Z$12"),0),0)="","?",VLOOKUP(AA$1,INDIRECT("'"&amp;$A26&amp;"'!$A$12:$Z$41"),MATCH("Points (Auto-generate)",INDIRECT("'"&amp;$A26&amp;"'!$A$12:$Z$12"),0),0)),"ER"))</f>
        <v>?</v>
      </c>
      <c r="AB26" s="87" t="str">
        <f aca="true">IF($H26=0,"NA",IF($A26=INDIRECT("'"&amp;$A26&amp;"'!$B$1"),IF(VLOOKUP(AB$1,INDIRECT("'"&amp;$A26&amp;"'!$A$12:$Z$41"),MATCH("Points (Auto-generate)",INDIRECT("'"&amp;$A26&amp;"'!$A$12:$Z$12"),0),0)="","?",VLOOKUP(AB$1,INDIRECT("'"&amp;$A26&amp;"'!$A$12:$Z$41"),MATCH("Points (Auto-generate)",INDIRECT("'"&amp;$A26&amp;"'!$A$12:$Z$12"),0),0)),"ER"))</f>
        <v>?</v>
      </c>
      <c r="AC26" s="87" t="str">
        <f aca="true">IF($H26=0,"NA",IF($A26=INDIRECT("'"&amp;$A26&amp;"'!$B$1"),IF(VLOOKUP(AC$1,INDIRECT("'"&amp;$A26&amp;"'!$A$12:$Z$41"),MATCH("Points (Auto-generate)",INDIRECT("'"&amp;$A26&amp;"'!$A$12:$Z$12"),0),0)="","?",VLOOKUP(AC$1,INDIRECT("'"&amp;$A26&amp;"'!$A$12:$Z$41"),MATCH("Points (Auto-generate)",INDIRECT("'"&amp;$A26&amp;"'!$A$12:$Z$12"),0),0)),"ER"))</f>
        <v>?</v>
      </c>
      <c r="AD26" s="87" t="str">
        <f aca="true">IF($H26=0,"NA",IF($A26=INDIRECT("'"&amp;$A26&amp;"'!$B$1"),IF(VLOOKUP(AD$1,INDIRECT("'"&amp;$A26&amp;"'!$A$12:$Z$41"),MATCH("Points (Auto-generate)",INDIRECT("'"&amp;$A26&amp;"'!$A$12:$Z$12"),0),0)="","?",VLOOKUP(AD$1,INDIRECT("'"&amp;$A26&amp;"'!$A$12:$Z$41"),MATCH("Points (Auto-generate)",INDIRECT("'"&amp;$A26&amp;"'!$A$12:$Z$12"),0),0)),"ER"))</f>
        <v>?</v>
      </c>
      <c r="AE26" s="87" t="str">
        <f aca="true">IF($H26=0,"NA",IF($A26=INDIRECT("'"&amp;$A26&amp;"'!$B$1"),IF(VLOOKUP(AE$1,INDIRECT("'"&amp;$A26&amp;"'!$A$12:$Z$41"),MATCH("Points (Auto-generate)",INDIRECT("'"&amp;$A26&amp;"'!$A$12:$Z$12"),0),0)="","?",VLOOKUP(AE$1,INDIRECT("'"&amp;$A26&amp;"'!$A$12:$Z$41"),MATCH("Points (Auto-generate)",INDIRECT("'"&amp;$A26&amp;"'!$A$12:$Z$12"),0),0)),"ER"))</f>
        <v>?</v>
      </c>
      <c r="AF26" s="87" t="str">
        <f aca="true">IF($H26=0,"NA",IF($A26=INDIRECT("'"&amp;$A26&amp;"'!$B$1"),IF(VLOOKUP(AF$1,INDIRECT("'"&amp;$A26&amp;"'!$A$12:$Z$41"),MATCH("Points (Auto-generate)",INDIRECT("'"&amp;$A26&amp;"'!$A$12:$Z$12"),0),0)="","?",VLOOKUP(AF$1,INDIRECT("'"&amp;$A26&amp;"'!$A$12:$Z$41"),MATCH("Points (Auto-generate)",INDIRECT("'"&amp;$A26&amp;"'!$A$12:$Z$12"),0),0)),"ER"))</f>
        <v>?</v>
      </c>
      <c r="AG26" s="87" t="str">
        <f aca="true">IF($H26=0,"NA",IF($A26=INDIRECT("'"&amp;$A26&amp;"'!$B$1"),IF(VLOOKUP(AG$1,INDIRECT("'"&amp;$A26&amp;"'!$A$12:$Z$41"),MATCH("Points (Auto-generate)",INDIRECT("'"&amp;$A26&amp;"'!$A$12:$Z$12"),0),0)="","?",VLOOKUP(AG$1,INDIRECT("'"&amp;$A26&amp;"'!$A$12:$Z$41"),MATCH("Points (Auto-generate)",INDIRECT("'"&amp;$A26&amp;"'!$A$12:$Z$12"),0),0)),"ER"))</f>
        <v>?</v>
      </c>
      <c r="AH26" s="87" t="str">
        <f aca="true">IF($H26=0,"NA",IF($A26=INDIRECT("'"&amp;$A26&amp;"'!$B$1"),IF(VLOOKUP(AH$1,INDIRECT("'"&amp;$A26&amp;"'!$A$12:$Z$41"),MATCH("Points (Auto-generate)",INDIRECT("'"&amp;$A26&amp;"'!$A$12:$Z$12"),0),0)="","?",VLOOKUP(AH$1,INDIRECT("'"&amp;$A26&amp;"'!$A$12:$Z$41"),MATCH("Points (Auto-generate)",INDIRECT("'"&amp;$A26&amp;"'!$A$12:$Z$12"),0),0)),"ER"))</f>
        <v>?</v>
      </c>
      <c r="AI26" s="87" t="str">
        <f aca="true">IF($H26=0,"NA",IF($A26=INDIRECT("'"&amp;$A26&amp;"'!$B$1"),IF(VLOOKUP(AI$1,INDIRECT("'"&amp;$A26&amp;"'!$A$12:$Z$41"),MATCH("Points (Auto-generate)",INDIRECT("'"&amp;$A26&amp;"'!$A$12:$Z$12"),0),0)="","?",VLOOKUP(AI$1,INDIRECT("'"&amp;$A26&amp;"'!$A$12:$Z$41"),MATCH("Points (Auto-generate)",INDIRECT("'"&amp;$A26&amp;"'!$A$12:$Z$12"),0),0)),"ER"))</f>
        <v>?</v>
      </c>
      <c r="AJ26" s="87" t="str">
        <f aca="true">IF($H26=0,"NA",IF($A26=INDIRECT("'"&amp;$A26&amp;"'!$B$1"),IF(VLOOKUP(AJ$1,INDIRECT("'"&amp;$A26&amp;"'!$A$12:$Z$41"),MATCH("Points (Auto-generate)",INDIRECT("'"&amp;$A26&amp;"'!$A$12:$Z$12"),0),0)="","?",VLOOKUP(AJ$1,INDIRECT("'"&amp;$A26&amp;"'!$A$12:$Z$41"),MATCH("Points (Auto-generate)",INDIRECT("'"&amp;$A26&amp;"'!$A$12:$Z$12"),0),0)),"ER"))</f>
        <v>?</v>
      </c>
      <c r="AK26" s="87" t="str">
        <f aca="true">IF($H26=0,"NA",IF($A26=INDIRECT("'"&amp;$A26&amp;"'!$B$1"),IF(VLOOKUP(AK$1,INDIRECT("'"&amp;$A26&amp;"'!$A$12:$Z$41"),MATCH("Points (Auto-generate)",INDIRECT("'"&amp;$A26&amp;"'!$A$12:$Z$12"),0),0)="","?",VLOOKUP(AK$1,INDIRECT("'"&amp;$A26&amp;"'!$A$12:$Z$41"),MATCH("Points (Auto-generate)",INDIRECT("'"&amp;$A26&amp;"'!$A$12:$Z$12"),0),0)),"ER"))</f>
        <v>?</v>
      </c>
    </row>
    <row r="27" customFormat="false" ht="14.25" hidden="false" customHeight="true" outlineLevel="0" collapsed="false">
      <c r="A27" s="83" t="s">
        <v>191</v>
      </c>
      <c r="B27" s="84" t="str">
        <f aca="false">IF(ISBLANK($A27),"NO_CODE",VLOOKUP($A27,'UPD Questions_290926 '!$E$1:$N$300,MATCH(B$1,'UPD Questions_290926 '!$E$1:$N$1,0),0)&amp;"")</f>
        <v>Planning </v>
      </c>
      <c r="C27" s="84" t="str">
        <f aca="false">IF(ISBLANK($A27),"NO_CODE",VLOOKUP($A27,'UPD Questions_290926 '!$E$1:$N$300,MATCH(C$1,'UPD Questions_290926 '!$E$1:$N$1,0),0)&amp;"")</f>
        <v>Municipal/City Plan objectives and contents</v>
      </c>
      <c r="D27" s="84" t="str">
        <f aca="false">IF(ISBLANK($A27),"NO_CODE",VLOOKUP($A27,'UPD Questions_290926 '!$E$1:$N$300,MATCH(D$1,'UPD Questions_290926 '!$E$1:$N$1,0),0)&amp;"")</f>
        <v>Statutory requirements for plan content</v>
      </c>
      <c r="E27" s="84" t="str">
        <f aca="false">IF(ISBLANK($A27),"NO_CODE",VLOOKUP($A27,'UPD Questions_290926 '!$E$1:$N$300,MATCH(E$1,'UPD Questions_290926 '!$E$1:$N$1,0),0)&amp;"")</f>
        <v>SQ</v>
      </c>
      <c r="F27" s="84" t="str">
        <f aca="false">IF(ISBLANK($A27),"NO_CODE",VLOOKUP($A27,'UPD Questions_290926 '!$E$1:$N$300,MATCH(F$1,'UPD Questions_290926 '!$E$1:$N$1,0),0)&amp;"")</f>
        <v>b) Disaster Resilience</v>
      </c>
      <c r="G27" s="84" t="str">
        <f aca="false">IF(ISBLANK($A27),"NO_CODE",VLOOKUP($A27,'UPD Questions_290926 '!$E$1:$N$300,MATCH(G$1,'UPD Questions_290926 '!$E$1:$N$1,0),0)&amp;"")</f>
        <v>Law/Policy</v>
      </c>
      <c r="H27" s="86" t="n">
        <f aca="false">IF(ISBLANK($A27),"NO_CODE",VLOOKUP($A27,'UPD Questions_290926 '!$E$1:$N$300,MATCH(H$1,'UPD Questions_290926 '!$E$1:$N$1,0),0))</f>
        <v>1.67</v>
      </c>
      <c r="I27" s="87" t="str">
        <f aca="true">IF($H27=0,"NA",IF($A27=INDIRECT("'"&amp;$A27&amp;"'!$B$1"),IF(VLOOKUP(I$1,INDIRECT("'"&amp;$A27&amp;"'!$A$12:$Z$41"),MATCH("Points (Auto-generate)",INDIRECT("'"&amp;$A27&amp;"'!$A$12:$Z$12"),0),0)="","?",VLOOKUP(I$1,INDIRECT("'"&amp;$A27&amp;"'!$A$12:$Z$41"),MATCH("Points (Auto-generate)",INDIRECT("'"&amp;$A27&amp;"'!$A$12:$Z$12"),0),0)),"ER"))</f>
        <v>?</v>
      </c>
      <c r="J27" s="87" t="str">
        <f aca="true">IF($H27=0,"NA",IF($A27=INDIRECT("'"&amp;$A27&amp;"'!$B$1"),IF(VLOOKUP(J$1,INDIRECT("'"&amp;$A27&amp;"'!$A$12:$Z$41"),MATCH("Points (Auto-generate)",INDIRECT("'"&amp;$A27&amp;"'!$A$12:$Z$12"),0),0)="","?",VLOOKUP(J$1,INDIRECT("'"&amp;$A27&amp;"'!$A$12:$Z$41"),MATCH("Points (Auto-generate)",INDIRECT("'"&amp;$A27&amp;"'!$A$12:$Z$12"),0),0)),"ER"))</f>
        <v>?</v>
      </c>
      <c r="K27" s="87" t="str">
        <f aca="true">IF($H27=0,"NA",IF($A27=INDIRECT("'"&amp;$A27&amp;"'!$B$1"),IF(VLOOKUP(K$1,INDIRECT("'"&amp;$A27&amp;"'!$A$12:$Z$41"),MATCH("Points (Auto-generate)",INDIRECT("'"&amp;$A27&amp;"'!$A$12:$Z$12"),0),0)="","?",VLOOKUP(K$1,INDIRECT("'"&amp;$A27&amp;"'!$A$12:$Z$41"),MATCH("Points (Auto-generate)",INDIRECT("'"&amp;$A27&amp;"'!$A$12:$Z$12"),0),0)),"ER"))</f>
        <v>?</v>
      </c>
      <c r="L27" s="87" t="str">
        <f aca="true">IF($H27=0,"NA",IF($A27=INDIRECT("'"&amp;$A27&amp;"'!$B$1"),IF(VLOOKUP(L$1,INDIRECT("'"&amp;$A27&amp;"'!$A$12:$Z$41"),MATCH("Points (Auto-generate)",INDIRECT("'"&amp;$A27&amp;"'!$A$12:$Z$12"),0),0)="","?",VLOOKUP(L$1,INDIRECT("'"&amp;$A27&amp;"'!$A$12:$Z$41"),MATCH("Points (Auto-generate)",INDIRECT("'"&amp;$A27&amp;"'!$A$12:$Z$12"),0),0)),"ER"))</f>
        <v>?</v>
      </c>
      <c r="M27" s="87" t="str">
        <f aca="true">IF($H27=0,"NA",IF($A27=INDIRECT("'"&amp;$A27&amp;"'!$B$1"),IF(VLOOKUP(M$1,INDIRECT("'"&amp;$A27&amp;"'!$A$12:$Z$41"),MATCH("Points (Auto-generate)",INDIRECT("'"&amp;$A27&amp;"'!$A$12:$Z$12"),0),0)="","?",VLOOKUP(M$1,INDIRECT("'"&amp;$A27&amp;"'!$A$12:$Z$41"),MATCH("Points (Auto-generate)",INDIRECT("'"&amp;$A27&amp;"'!$A$12:$Z$12"),0),0)),"ER"))</f>
        <v>?</v>
      </c>
      <c r="N27" s="87" t="str">
        <f aca="true">IF($H27=0,"NA",IF($A27=INDIRECT("'"&amp;$A27&amp;"'!$B$1"),IF(VLOOKUP(N$1,INDIRECT("'"&amp;$A27&amp;"'!$A$12:$Z$41"),MATCH("Points (Auto-generate)",INDIRECT("'"&amp;$A27&amp;"'!$A$12:$Z$12"),0),0)="","?",VLOOKUP(N$1,INDIRECT("'"&amp;$A27&amp;"'!$A$12:$Z$41"),MATCH("Points (Auto-generate)",INDIRECT("'"&amp;$A27&amp;"'!$A$12:$Z$12"),0),0)),"ER"))</f>
        <v>?</v>
      </c>
      <c r="O27" s="87" t="str">
        <f aca="true">IF($H27=0,"NA",IF($A27=INDIRECT("'"&amp;$A27&amp;"'!$B$1"),IF(VLOOKUP(O$1,INDIRECT("'"&amp;$A27&amp;"'!$A$12:$Z$41"),MATCH("Points (Auto-generate)",INDIRECT("'"&amp;$A27&amp;"'!$A$12:$Z$12"),0),0)="","?",VLOOKUP(O$1,INDIRECT("'"&amp;$A27&amp;"'!$A$12:$Z$41"),MATCH("Points (Auto-generate)",INDIRECT("'"&amp;$A27&amp;"'!$A$12:$Z$12"),0),0)),"ER"))</f>
        <v>?</v>
      </c>
      <c r="P27" s="87" t="str">
        <f aca="true">IF($H27=0,"NA",IF($A27=INDIRECT("'"&amp;$A27&amp;"'!$B$1"),IF(VLOOKUP(P$1,INDIRECT("'"&amp;$A27&amp;"'!$A$12:$Z$41"),MATCH("Points (Auto-generate)",INDIRECT("'"&amp;$A27&amp;"'!$A$12:$Z$12"),0),0)="","?",VLOOKUP(P$1,INDIRECT("'"&amp;$A27&amp;"'!$A$12:$Z$41"),MATCH("Points (Auto-generate)",INDIRECT("'"&amp;$A27&amp;"'!$A$12:$Z$12"),0),0)),"ER"))</f>
        <v>?</v>
      </c>
      <c r="Q27" s="87" t="str">
        <f aca="true">IF($H27=0,"NA",IF($A27=INDIRECT("'"&amp;$A27&amp;"'!$B$1"),IF(VLOOKUP(Q$1,INDIRECT("'"&amp;$A27&amp;"'!$A$12:$Z$41"),MATCH("Points (Auto-generate)",INDIRECT("'"&amp;$A27&amp;"'!$A$12:$Z$12"),0),0)="","?",VLOOKUP(Q$1,INDIRECT("'"&amp;$A27&amp;"'!$A$12:$Z$41"),MATCH("Points (Auto-generate)",INDIRECT("'"&amp;$A27&amp;"'!$A$12:$Z$12"),0),0)),"ER"))</f>
        <v>?</v>
      </c>
      <c r="R27" s="87" t="str">
        <f aca="true">IF($H27=0,"NA",IF($A27=INDIRECT("'"&amp;$A27&amp;"'!$B$1"),IF(VLOOKUP(R$1,INDIRECT("'"&amp;$A27&amp;"'!$A$12:$Z$41"),MATCH("Points (Auto-generate)",INDIRECT("'"&amp;$A27&amp;"'!$A$12:$Z$12"),0),0)="","?",VLOOKUP(R$1,INDIRECT("'"&amp;$A27&amp;"'!$A$12:$Z$41"),MATCH("Points (Auto-generate)",INDIRECT("'"&amp;$A27&amp;"'!$A$12:$Z$12"),0),0)),"ER"))</f>
        <v>?</v>
      </c>
      <c r="S27" s="87" t="str">
        <f aca="true">IF($H27=0,"NA",IF($A27=INDIRECT("'"&amp;$A27&amp;"'!$B$1"),IF(VLOOKUP(S$1,INDIRECT("'"&amp;$A27&amp;"'!$A$12:$Z$41"),MATCH("Points (Auto-generate)",INDIRECT("'"&amp;$A27&amp;"'!$A$12:$Z$12"),0),0)="","?",VLOOKUP(S$1,INDIRECT("'"&amp;$A27&amp;"'!$A$12:$Z$41"),MATCH("Points (Auto-generate)",INDIRECT("'"&amp;$A27&amp;"'!$A$12:$Z$12"),0),0)),"ER"))</f>
        <v>?</v>
      </c>
      <c r="T27" s="87" t="str">
        <f aca="true">IF($H27=0,"NA",IF($A27=INDIRECT("'"&amp;$A27&amp;"'!$B$1"),IF(VLOOKUP(T$1,INDIRECT("'"&amp;$A27&amp;"'!$A$12:$Z$41"),MATCH("Points (Auto-generate)",INDIRECT("'"&amp;$A27&amp;"'!$A$12:$Z$12"),0),0)="","?",VLOOKUP(T$1,INDIRECT("'"&amp;$A27&amp;"'!$A$12:$Z$41"),MATCH("Points (Auto-generate)",INDIRECT("'"&amp;$A27&amp;"'!$A$12:$Z$12"),0),0)),"ER"))</f>
        <v>?</v>
      </c>
      <c r="U27" s="87" t="str">
        <f aca="true">IF($H27=0,"NA",IF($A27=INDIRECT("'"&amp;$A27&amp;"'!$B$1"),IF(VLOOKUP(U$1,INDIRECT("'"&amp;$A27&amp;"'!$A$12:$Z$41"),MATCH("Points (Auto-generate)",INDIRECT("'"&amp;$A27&amp;"'!$A$12:$Z$12"),0),0)="","?",VLOOKUP(U$1,INDIRECT("'"&amp;$A27&amp;"'!$A$12:$Z$41"),MATCH("Points (Auto-generate)",INDIRECT("'"&amp;$A27&amp;"'!$A$12:$Z$12"),0),0)),"ER"))</f>
        <v>?</v>
      </c>
      <c r="V27" s="87" t="str">
        <f aca="true">IF($H27=0,"NA",IF($A27=INDIRECT("'"&amp;$A27&amp;"'!$B$1"),IF(VLOOKUP(V$1,INDIRECT("'"&amp;$A27&amp;"'!$A$12:$Z$41"),MATCH("Points (Auto-generate)",INDIRECT("'"&amp;$A27&amp;"'!$A$12:$Z$12"),0),0)="","?",VLOOKUP(V$1,INDIRECT("'"&amp;$A27&amp;"'!$A$12:$Z$41"),MATCH("Points (Auto-generate)",INDIRECT("'"&amp;$A27&amp;"'!$A$12:$Z$12"),0),0)),"ER"))</f>
        <v>?</v>
      </c>
      <c r="W27" s="87" t="str">
        <f aca="true">IF($H27=0,"NA",IF($A27=INDIRECT("'"&amp;$A27&amp;"'!$B$1"),IF(VLOOKUP(W$1,INDIRECT("'"&amp;$A27&amp;"'!$A$12:$Z$41"),MATCH("Points (Auto-generate)",INDIRECT("'"&amp;$A27&amp;"'!$A$12:$Z$12"),0),0)="","?",VLOOKUP(W$1,INDIRECT("'"&amp;$A27&amp;"'!$A$12:$Z$41"),MATCH("Points (Auto-generate)",INDIRECT("'"&amp;$A27&amp;"'!$A$12:$Z$12"),0),0)),"ER"))</f>
        <v>?</v>
      </c>
      <c r="X27" s="87" t="str">
        <f aca="true">IF($H27=0,"NA",IF($A27=INDIRECT("'"&amp;$A27&amp;"'!$B$1"),IF(VLOOKUP(X$1,INDIRECT("'"&amp;$A27&amp;"'!$A$12:$Z$41"),MATCH("Points (Auto-generate)",INDIRECT("'"&amp;$A27&amp;"'!$A$12:$Z$12"),0),0)="","?",VLOOKUP(X$1,INDIRECT("'"&amp;$A27&amp;"'!$A$12:$Z$41"),MATCH("Points (Auto-generate)",INDIRECT("'"&amp;$A27&amp;"'!$A$12:$Z$12"),0),0)),"ER"))</f>
        <v>?</v>
      </c>
      <c r="Y27" s="87" t="str">
        <f aca="true">IF($H27=0,"NA",IF($A27=INDIRECT("'"&amp;$A27&amp;"'!$B$1"),IF(VLOOKUP(Y$1,INDIRECT("'"&amp;$A27&amp;"'!$A$12:$Z$41"),MATCH("Points (Auto-generate)",INDIRECT("'"&amp;$A27&amp;"'!$A$12:$Z$12"),0),0)="","?",VLOOKUP(Y$1,INDIRECT("'"&amp;$A27&amp;"'!$A$12:$Z$41"),MATCH("Points (Auto-generate)",INDIRECT("'"&amp;$A27&amp;"'!$A$12:$Z$12"),0),0)),"ER"))</f>
        <v>?</v>
      </c>
      <c r="Z27" s="87" t="str">
        <f aca="true">IF($H27=0,"NA",IF($A27=INDIRECT("'"&amp;$A27&amp;"'!$B$1"),IF(VLOOKUP(Z$1,INDIRECT("'"&amp;$A27&amp;"'!$A$12:$Z$41"),MATCH("Points (Auto-generate)",INDIRECT("'"&amp;$A27&amp;"'!$A$12:$Z$12"),0),0)="","?",VLOOKUP(Z$1,INDIRECT("'"&amp;$A27&amp;"'!$A$12:$Z$41"),MATCH("Points (Auto-generate)",INDIRECT("'"&amp;$A27&amp;"'!$A$12:$Z$12"),0),0)),"ER"))</f>
        <v>?</v>
      </c>
      <c r="AA27" s="87" t="str">
        <f aca="true">IF($H27=0,"NA",IF($A27=INDIRECT("'"&amp;$A27&amp;"'!$B$1"),IF(VLOOKUP(AA$1,INDIRECT("'"&amp;$A27&amp;"'!$A$12:$Z$41"),MATCH("Points (Auto-generate)",INDIRECT("'"&amp;$A27&amp;"'!$A$12:$Z$12"),0),0)="","?",VLOOKUP(AA$1,INDIRECT("'"&amp;$A27&amp;"'!$A$12:$Z$41"),MATCH("Points (Auto-generate)",INDIRECT("'"&amp;$A27&amp;"'!$A$12:$Z$12"),0),0)),"ER"))</f>
        <v>?</v>
      </c>
      <c r="AB27" s="87" t="str">
        <f aca="true">IF($H27=0,"NA",IF($A27=INDIRECT("'"&amp;$A27&amp;"'!$B$1"),IF(VLOOKUP(AB$1,INDIRECT("'"&amp;$A27&amp;"'!$A$12:$Z$41"),MATCH("Points (Auto-generate)",INDIRECT("'"&amp;$A27&amp;"'!$A$12:$Z$12"),0),0)="","?",VLOOKUP(AB$1,INDIRECT("'"&amp;$A27&amp;"'!$A$12:$Z$41"),MATCH("Points (Auto-generate)",INDIRECT("'"&amp;$A27&amp;"'!$A$12:$Z$12"),0),0)),"ER"))</f>
        <v>?</v>
      </c>
      <c r="AC27" s="87" t="str">
        <f aca="true">IF($H27=0,"NA",IF($A27=INDIRECT("'"&amp;$A27&amp;"'!$B$1"),IF(VLOOKUP(AC$1,INDIRECT("'"&amp;$A27&amp;"'!$A$12:$Z$41"),MATCH("Points (Auto-generate)",INDIRECT("'"&amp;$A27&amp;"'!$A$12:$Z$12"),0),0)="","?",VLOOKUP(AC$1,INDIRECT("'"&amp;$A27&amp;"'!$A$12:$Z$41"),MATCH("Points (Auto-generate)",INDIRECT("'"&amp;$A27&amp;"'!$A$12:$Z$12"),0),0)),"ER"))</f>
        <v>?</v>
      </c>
      <c r="AD27" s="87" t="str">
        <f aca="true">IF($H27=0,"NA",IF($A27=INDIRECT("'"&amp;$A27&amp;"'!$B$1"),IF(VLOOKUP(AD$1,INDIRECT("'"&amp;$A27&amp;"'!$A$12:$Z$41"),MATCH("Points (Auto-generate)",INDIRECT("'"&amp;$A27&amp;"'!$A$12:$Z$12"),0),0)="","?",VLOOKUP(AD$1,INDIRECT("'"&amp;$A27&amp;"'!$A$12:$Z$41"),MATCH("Points (Auto-generate)",INDIRECT("'"&amp;$A27&amp;"'!$A$12:$Z$12"),0),0)),"ER"))</f>
        <v>?</v>
      </c>
      <c r="AE27" s="87" t="str">
        <f aca="true">IF($H27=0,"NA",IF($A27=INDIRECT("'"&amp;$A27&amp;"'!$B$1"),IF(VLOOKUP(AE$1,INDIRECT("'"&amp;$A27&amp;"'!$A$12:$Z$41"),MATCH("Points (Auto-generate)",INDIRECT("'"&amp;$A27&amp;"'!$A$12:$Z$12"),0),0)="","?",VLOOKUP(AE$1,INDIRECT("'"&amp;$A27&amp;"'!$A$12:$Z$41"),MATCH("Points (Auto-generate)",INDIRECT("'"&amp;$A27&amp;"'!$A$12:$Z$12"),0),0)),"ER"))</f>
        <v>?</v>
      </c>
      <c r="AF27" s="87" t="str">
        <f aca="true">IF($H27=0,"NA",IF($A27=INDIRECT("'"&amp;$A27&amp;"'!$B$1"),IF(VLOOKUP(AF$1,INDIRECT("'"&amp;$A27&amp;"'!$A$12:$Z$41"),MATCH("Points (Auto-generate)",INDIRECT("'"&amp;$A27&amp;"'!$A$12:$Z$12"),0),0)="","?",VLOOKUP(AF$1,INDIRECT("'"&amp;$A27&amp;"'!$A$12:$Z$41"),MATCH("Points (Auto-generate)",INDIRECT("'"&amp;$A27&amp;"'!$A$12:$Z$12"),0),0)),"ER"))</f>
        <v>?</v>
      </c>
      <c r="AG27" s="87" t="str">
        <f aca="true">IF($H27=0,"NA",IF($A27=INDIRECT("'"&amp;$A27&amp;"'!$B$1"),IF(VLOOKUP(AG$1,INDIRECT("'"&amp;$A27&amp;"'!$A$12:$Z$41"),MATCH("Points (Auto-generate)",INDIRECT("'"&amp;$A27&amp;"'!$A$12:$Z$12"),0),0)="","?",VLOOKUP(AG$1,INDIRECT("'"&amp;$A27&amp;"'!$A$12:$Z$41"),MATCH("Points (Auto-generate)",INDIRECT("'"&amp;$A27&amp;"'!$A$12:$Z$12"),0),0)),"ER"))</f>
        <v>?</v>
      </c>
      <c r="AH27" s="87" t="str">
        <f aca="true">IF($H27=0,"NA",IF($A27=INDIRECT("'"&amp;$A27&amp;"'!$B$1"),IF(VLOOKUP(AH$1,INDIRECT("'"&amp;$A27&amp;"'!$A$12:$Z$41"),MATCH("Points (Auto-generate)",INDIRECT("'"&amp;$A27&amp;"'!$A$12:$Z$12"),0),0)="","?",VLOOKUP(AH$1,INDIRECT("'"&amp;$A27&amp;"'!$A$12:$Z$41"),MATCH("Points (Auto-generate)",INDIRECT("'"&amp;$A27&amp;"'!$A$12:$Z$12"),0),0)),"ER"))</f>
        <v>?</v>
      </c>
      <c r="AI27" s="87" t="str">
        <f aca="true">IF($H27=0,"NA",IF($A27=INDIRECT("'"&amp;$A27&amp;"'!$B$1"),IF(VLOOKUP(AI$1,INDIRECT("'"&amp;$A27&amp;"'!$A$12:$Z$41"),MATCH("Points (Auto-generate)",INDIRECT("'"&amp;$A27&amp;"'!$A$12:$Z$12"),0),0)="","?",VLOOKUP(AI$1,INDIRECT("'"&amp;$A27&amp;"'!$A$12:$Z$41"),MATCH("Points (Auto-generate)",INDIRECT("'"&amp;$A27&amp;"'!$A$12:$Z$12"),0),0)),"ER"))</f>
        <v>?</v>
      </c>
      <c r="AJ27" s="87" t="str">
        <f aca="true">IF($H27=0,"NA",IF($A27=INDIRECT("'"&amp;$A27&amp;"'!$B$1"),IF(VLOOKUP(AJ$1,INDIRECT("'"&amp;$A27&amp;"'!$A$12:$Z$41"),MATCH("Points (Auto-generate)",INDIRECT("'"&amp;$A27&amp;"'!$A$12:$Z$12"),0),0)="","?",VLOOKUP(AJ$1,INDIRECT("'"&amp;$A27&amp;"'!$A$12:$Z$41"),MATCH("Points (Auto-generate)",INDIRECT("'"&amp;$A27&amp;"'!$A$12:$Z$12"),0),0)),"ER"))</f>
        <v>?</v>
      </c>
      <c r="AK27" s="87" t="str">
        <f aca="true">IF($H27=0,"NA",IF($A27=INDIRECT("'"&amp;$A27&amp;"'!$B$1"),IF(VLOOKUP(AK$1,INDIRECT("'"&amp;$A27&amp;"'!$A$12:$Z$41"),MATCH("Points (Auto-generate)",INDIRECT("'"&amp;$A27&amp;"'!$A$12:$Z$12"),0),0)="","?",VLOOKUP(AK$1,INDIRECT("'"&amp;$A27&amp;"'!$A$12:$Z$41"),MATCH("Points (Auto-generate)",INDIRECT("'"&amp;$A27&amp;"'!$A$12:$Z$12"),0),0)),"ER"))</f>
        <v>?</v>
      </c>
    </row>
    <row r="28" customFormat="false" ht="14.25" hidden="false" customHeight="true" outlineLevel="0" collapsed="false">
      <c r="A28" s="83" t="s">
        <v>197</v>
      </c>
      <c r="B28" s="84" t="str">
        <f aca="false">IF(ISBLANK($A28),"NO_CODE",VLOOKUP($A28,'UPD Questions_290926 '!$E$1:$N$300,MATCH(B$1,'UPD Questions_290926 '!$E$1:$N$1,0),0)&amp;"")</f>
        <v>Planning </v>
      </c>
      <c r="C28" s="84" t="str">
        <f aca="false">IF(ISBLANK($A28),"NO_CODE",VLOOKUP($A28,'UPD Questions_290926 '!$E$1:$N$300,MATCH(C$1,'UPD Questions_290926 '!$E$1:$N$1,0),0)&amp;"")</f>
        <v>Municipal/City Plan objectives and contents</v>
      </c>
      <c r="D28" s="84" t="str">
        <f aca="false">IF(ISBLANK($A28),"NO_CODE",VLOOKUP($A28,'UPD Questions_290926 '!$E$1:$N$300,MATCH(D$1,'UPD Questions_290926 '!$E$1:$N$1,0),0)&amp;"")</f>
        <v>Statutory requirements for plan content</v>
      </c>
      <c r="E28" s="84" t="str">
        <f aca="false">IF(ISBLANK($A28),"NO_CODE",VLOOKUP($A28,'UPD Questions_290926 '!$E$1:$N$300,MATCH(E$1,'UPD Questions_290926 '!$E$1:$N$1,0),0)&amp;"")</f>
        <v>SQ</v>
      </c>
      <c r="F28" s="84" t="str">
        <f aca="false">IF(ISBLANK($A28),"NO_CODE",VLOOKUP($A28,'UPD Questions_290926 '!$E$1:$N$300,MATCH(F$1,'UPD Questions_290926 '!$E$1:$N$1,0),0)&amp;"")</f>
        <v>c) Comprehensive mobility</v>
      </c>
      <c r="G28" s="84" t="str">
        <f aca="false">IF(ISBLANK($A28),"NO_CODE",VLOOKUP($A28,'UPD Questions_290926 '!$E$1:$N$300,MATCH(G$1,'UPD Questions_290926 '!$E$1:$N$1,0),0)&amp;"")</f>
        <v>Law/Policy</v>
      </c>
      <c r="H28" s="86" t="n">
        <f aca="false">IF(ISBLANK($A28),"NO_CODE",VLOOKUP($A28,'UPD Questions_290926 '!$E$1:$N$300,MATCH(H$1,'UPD Questions_290926 '!$E$1:$N$1,0),0))</f>
        <v>1.67</v>
      </c>
      <c r="I28" s="87" t="str">
        <f aca="true">IF($H28=0,"NA",IF($A28=INDIRECT("'"&amp;$A28&amp;"'!$B$1"),IF(VLOOKUP(I$1,INDIRECT("'"&amp;$A28&amp;"'!$A$12:$Z$41"),MATCH("Points (Auto-generate)",INDIRECT("'"&amp;$A28&amp;"'!$A$12:$Z$12"),0),0)="","?",VLOOKUP(I$1,INDIRECT("'"&amp;$A28&amp;"'!$A$12:$Z$41"),MATCH("Points (Auto-generate)",INDIRECT("'"&amp;$A28&amp;"'!$A$12:$Z$12"),0),0)),"ER"))</f>
        <v>?</v>
      </c>
      <c r="J28" s="87" t="n">
        <f aca="true">IF($H28=0,"NA",IF($A28=INDIRECT("'"&amp;$A28&amp;"'!$B$1"),IF(VLOOKUP(J$1,INDIRECT("'"&amp;$A28&amp;"'!$A$12:$Z$41"),MATCH("Points (Auto-generate)",INDIRECT("'"&amp;$A28&amp;"'!$A$12:$Z$12"),0),0)="","?",VLOOKUP(J$1,INDIRECT("'"&amp;$A28&amp;"'!$A$12:$Z$41"),MATCH("Points (Auto-generate)",INDIRECT("'"&amp;$A28&amp;"'!$A$12:$Z$12"),0),0)),"ER"))</f>
        <v>1.67</v>
      </c>
      <c r="K28" s="87" t="str">
        <f aca="true">IF($H28=0,"NA",IF($A28=INDIRECT("'"&amp;$A28&amp;"'!$B$1"),IF(VLOOKUP(K$1,INDIRECT("'"&amp;$A28&amp;"'!$A$12:$Z$41"),MATCH("Points (Auto-generate)",INDIRECT("'"&amp;$A28&amp;"'!$A$12:$Z$12"),0),0)="","?",VLOOKUP(K$1,INDIRECT("'"&amp;$A28&amp;"'!$A$12:$Z$41"),MATCH("Points (Auto-generate)",INDIRECT("'"&amp;$A28&amp;"'!$A$12:$Z$12"),0),0)),"ER"))</f>
        <v>?</v>
      </c>
      <c r="L28" s="87" t="str">
        <f aca="true">IF($H28=0,"NA",IF($A28=INDIRECT("'"&amp;$A28&amp;"'!$B$1"),IF(VLOOKUP(L$1,INDIRECT("'"&amp;$A28&amp;"'!$A$12:$Z$41"),MATCH("Points (Auto-generate)",INDIRECT("'"&amp;$A28&amp;"'!$A$12:$Z$12"),0),0)="","?",VLOOKUP(L$1,INDIRECT("'"&amp;$A28&amp;"'!$A$12:$Z$41"),MATCH("Points (Auto-generate)",INDIRECT("'"&amp;$A28&amp;"'!$A$12:$Z$12"),0),0)),"ER"))</f>
        <v>?</v>
      </c>
      <c r="M28" s="87" t="str">
        <f aca="true">IF($H28=0,"NA",IF($A28=INDIRECT("'"&amp;$A28&amp;"'!$B$1"),IF(VLOOKUP(M$1,INDIRECT("'"&amp;$A28&amp;"'!$A$12:$Z$41"),MATCH("Points (Auto-generate)",INDIRECT("'"&amp;$A28&amp;"'!$A$12:$Z$12"),0),0)="","?",VLOOKUP(M$1,INDIRECT("'"&amp;$A28&amp;"'!$A$12:$Z$41"),MATCH("Points (Auto-generate)",INDIRECT("'"&amp;$A28&amp;"'!$A$12:$Z$12"),0),0)),"ER"))</f>
        <v>?</v>
      </c>
      <c r="N28" s="87" t="str">
        <f aca="true">IF($H28=0,"NA",IF($A28=INDIRECT("'"&amp;$A28&amp;"'!$B$1"),IF(VLOOKUP(N$1,INDIRECT("'"&amp;$A28&amp;"'!$A$12:$Z$41"),MATCH("Points (Auto-generate)",INDIRECT("'"&amp;$A28&amp;"'!$A$12:$Z$12"),0),0)="","?",VLOOKUP(N$1,INDIRECT("'"&amp;$A28&amp;"'!$A$12:$Z$41"),MATCH("Points (Auto-generate)",INDIRECT("'"&amp;$A28&amp;"'!$A$12:$Z$12"),0),0)),"ER"))</f>
        <v>?</v>
      </c>
      <c r="O28" s="87" t="str">
        <f aca="true">IF($H28=0,"NA",IF($A28=INDIRECT("'"&amp;$A28&amp;"'!$B$1"),IF(VLOOKUP(O$1,INDIRECT("'"&amp;$A28&amp;"'!$A$12:$Z$41"),MATCH("Points (Auto-generate)",INDIRECT("'"&amp;$A28&amp;"'!$A$12:$Z$12"),0),0)="","?",VLOOKUP(O$1,INDIRECT("'"&amp;$A28&amp;"'!$A$12:$Z$41"),MATCH("Points (Auto-generate)",INDIRECT("'"&amp;$A28&amp;"'!$A$12:$Z$12"),0),0)),"ER"))</f>
        <v>?</v>
      </c>
      <c r="P28" s="87" t="str">
        <f aca="true">IF($H28=0,"NA",IF($A28=INDIRECT("'"&amp;$A28&amp;"'!$B$1"),IF(VLOOKUP(P$1,INDIRECT("'"&amp;$A28&amp;"'!$A$12:$Z$41"),MATCH("Points (Auto-generate)",INDIRECT("'"&amp;$A28&amp;"'!$A$12:$Z$12"),0),0)="","?",VLOOKUP(P$1,INDIRECT("'"&amp;$A28&amp;"'!$A$12:$Z$41"),MATCH("Points (Auto-generate)",INDIRECT("'"&amp;$A28&amp;"'!$A$12:$Z$12"),0),0)),"ER"))</f>
        <v>?</v>
      </c>
      <c r="Q28" s="87" t="str">
        <f aca="true">IF($H28=0,"NA",IF($A28=INDIRECT("'"&amp;$A28&amp;"'!$B$1"),IF(VLOOKUP(Q$1,INDIRECT("'"&amp;$A28&amp;"'!$A$12:$Z$41"),MATCH("Points (Auto-generate)",INDIRECT("'"&amp;$A28&amp;"'!$A$12:$Z$12"),0),0)="","?",VLOOKUP(Q$1,INDIRECT("'"&amp;$A28&amp;"'!$A$12:$Z$41"),MATCH("Points (Auto-generate)",INDIRECT("'"&amp;$A28&amp;"'!$A$12:$Z$12"),0),0)),"ER"))</f>
        <v>?</v>
      </c>
      <c r="R28" s="87" t="str">
        <f aca="true">IF($H28=0,"NA",IF($A28=INDIRECT("'"&amp;$A28&amp;"'!$B$1"),IF(VLOOKUP(R$1,INDIRECT("'"&amp;$A28&amp;"'!$A$12:$Z$41"),MATCH("Points (Auto-generate)",INDIRECT("'"&amp;$A28&amp;"'!$A$12:$Z$12"),0),0)="","?",VLOOKUP(R$1,INDIRECT("'"&amp;$A28&amp;"'!$A$12:$Z$41"),MATCH("Points (Auto-generate)",INDIRECT("'"&amp;$A28&amp;"'!$A$12:$Z$12"),0),0)),"ER"))</f>
        <v>?</v>
      </c>
      <c r="S28" s="87" t="str">
        <f aca="true">IF($H28=0,"NA",IF($A28=INDIRECT("'"&amp;$A28&amp;"'!$B$1"),IF(VLOOKUP(S$1,INDIRECT("'"&amp;$A28&amp;"'!$A$12:$Z$41"),MATCH("Points (Auto-generate)",INDIRECT("'"&amp;$A28&amp;"'!$A$12:$Z$12"),0),0)="","?",VLOOKUP(S$1,INDIRECT("'"&amp;$A28&amp;"'!$A$12:$Z$41"),MATCH("Points (Auto-generate)",INDIRECT("'"&amp;$A28&amp;"'!$A$12:$Z$12"),0),0)),"ER"))</f>
        <v>?</v>
      </c>
      <c r="T28" s="87" t="str">
        <f aca="true">IF($H28=0,"NA",IF($A28=INDIRECT("'"&amp;$A28&amp;"'!$B$1"),IF(VLOOKUP(T$1,INDIRECT("'"&amp;$A28&amp;"'!$A$12:$Z$41"),MATCH("Points (Auto-generate)",INDIRECT("'"&amp;$A28&amp;"'!$A$12:$Z$12"),0),0)="","?",VLOOKUP(T$1,INDIRECT("'"&amp;$A28&amp;"'!$A$12:$Z$41"),MATCH("Points (Auto-generate)",INDIRECT("'"&amp;$A28&amp;"'!$A$12:$Z$12"),0),0)),"ER"))</f>
        <v>?</v>
      </c>
      <c r="U28" s="87" t="str">
        <f aca="true">IF($H28=0,"NA",IF($A28=INDIRECT("'"&amp;$A28&amp;"'!$B$1"),IF(VLOOKUP(U$1,INDIRECT("'"&amp;$A28&amp;"'!$A$12:$Z$41"),MATCH("Points (Auto-generate)",INDIRECT("'"&amp;$A28&amp;"'!$A$12:$Z$12"),0),0)="","?",VLOOKUP(U$1,INDIRECT("'"&amp;$A28&amp;"'!$A$12:$Z$41"),MATCH("Points (Auto-generate)",INDIRECT("'"&amp;$A28&amp;"'!$A$12:$Z$12"),0),0)),"ER"))</f>
        <v>?</v>
      </c>
      <c r="V28" s="87" t="str">
        <f aca="true">IF($H28=0,"NA",IF($A28=INDIRECT("'"&amp;$A28&amp;"'!$B$1"),IF(VLOOKUP(V$1,INDIRECT("'"&amp;$A28&amp;"'!$A$12:$Z$41"),MATCH("Points (Auto-generate)",INDIRECT("'"&amp;$A28&amp;"'!$A$12:$Z$12"),0),0)="","?",VLOOKUP(V$1,INDIRECT("'"&amp;$A28&amp;"'!$A$12:$Z$41"),MATCH("Points (Auto-generate)",INDIRECT("'"&amp;$A28&amp;"'!$A$12:$Z$12"),0),0)),"ER"))</f>
        <v>?</v>
      </c>
      <c r="W28" s="87" t="str">
        <f aca="true">IF($H28=0,"NA",IF($A28=INDIRECT("'"&amp;$A28&amp;"'!$B$1"),IF(VLOOKUP(W$1,INDIRECT("'"&amp;$A28&amp;"'!$A$12:$Z$41"),MATCH("Points (Auto-generate)",INDIRECT("'"&amp;$A28&amp;"'!$A$12:$Z$12"),0),0)="","?",VLOOKUP(W$1,INDIRECT("'"&amp;$A28&amp;"'!$A$12:$Z$41"),MATCH("Points (Auto-generate)",INDIRECT("'"&amp;$A28&amp;"'!$A$12:$Z$12"),0),0)),"ER"))</f>
        <v>?</v>
      </c>
      <c r="X28" s="87" t="str">
        <f aca="true">IF($H28=0,"NA",IF($A28=INDIRECT("'"&amp;$A28&amp;"'!$B$1"),IF(VLOOKUP(X$1,INDIRECT("'"&amp;$A28&amp;"'!$A$12:$Z$41"),MATCH("Points (Auto-generate)",INDIRECT("'"&amp;$A28&amp;"'!$A$12:$Z$12"),0),0)="","?",VLOOKUP(X$1,INDIRECT("'"&amp;$A28&amp;"'!$A$12:$Z$41"),MATCH("Points (Auto-generate)",INDIRECT("'"&amp;$A28&amp;"'!$A$12:$Z$12"),0),0)),"ER"))</f>
        <v>?</v>
      </c>
      <c r="Y28" s="87" t="str">
        <f aca="true">IF($H28=0,"NA",IF($A28=INDIRECT("'"&amp;$A28&amp;"'!$B$1"),IF(VLOOKUP(Y$1,INDIRECT("'"&amp;$A28&amp;"'!$A$12:$Z$41"),MATCH("Points (Auto-generate)",INDIRECT("'"&amp;$A28&amp;"'!$A$12:$Z$12"),0),0)="","?",VLOOKUP(Y$1,INDIRECT("'"&amp;$A28&amp;"'!$A$12:$Z$41"),MATCH("Points (Auto-generate)",INDIRECT("'"&amp;$A28&amp;"'!$A$12:$Z$12"),0),0)),"ER"))</f>
        <v>?</v>
      </c>
      <c r="Z28" s="87" t="str">
        <f aca="true">IF($H28=0,"NA",IF($A28=INDIRECT("'"&amp;$A28&amp;"'!$B$1"),IF(VLOOKUP(Z$1,INDIRECT("'"&amp;$A28&amp;"'!$A$12:$Z$41"),MATCH("Points (Auto-generate)",INDIRECT("'"&amp;$A28&amp;"'!$A$12:$Z$12"),0),0)="","?",VLOOKUP(Z$1,INDIRECT("'"&amp;$A28&amp;"'!$A$12:$Z$41"),MATCH("Points (Auto-generate)",INDIRECT("'"&amp;$A28&amp;"'!$A$12:$Z$12"),0),0)),"ER"))</f>
        <v>?</v>
      </c>
      <c r="AA28" s="87" t="str">
        <f aca="true">IF($H28=0,"NA",IF($A28=INDIRECT("'"&amp;$A28&amp;"'!$B$1"),IF(VLOOKUP(AA$1,INDIRECT("'"&amp;$A28&amp;"'!$A$12:$Z$41"),MATCH("Points (Auto-generate)",INDIRECT("'"&amp;$A28&amp;"'!$A$12:$Z$12"),0),0)="","?",VLOOKUP(AA$1,INDIRECT("'"&amp;$A28&amp;"'!$A$12:$Z$41"),MATCH("Points (Auto-generate)",INDIRECT("'"&amp;$A28&amp;"'!$A$12:$Z$12"),0),0)),"ER"))</f>
        <v>?</v>
      </c>
      <c r="AB28" s="87" t="str">
        <f aca="true">IF($H28=0,"NA",IF($A28=INDIRECT("'"&amp;$A28&amp;"'!$B$1"),IF(VLOOKUP(AB$1,INDIRECT("'"&amp;$A28&amp;"'!$A$12:$Z$41"),MATCH("Points (Auto-generate)",INDIRECT("'"&amp;$A28&amp;"'!$A$12:$Z$12"),0),0)="","?",VLOOKUP(AB$1,INDIRECT("'"&amp;$A28&amp;"'!$A$12:$Z$41"),MATCH("Points (Auto-generate)",INDIRECT("'"&amp;$A28&amp;"'!$A$12:$Z$12"),0),0)),"ER"))</f>
        <v>?</v>
      </c>
      <c r="AC28" s="87" t="str">
        <f aca="true">IF($H28=0,"NA",IF($A28=INDIRECT("'"&amp;$A28&amp;"'!$B$1"),IF(VLOOKUP(AC$1,INDIRECT("'"&amp;$A28&amp;"'!$A$12:$Z$41"),MATCH("Points (Auto-generate)",INDIRECT("'"&amp;$A28&amp;"'!$A$12:$Z$12"),0),0)="","?",VLOOKUP(AC$1,INDIRECT("'"&amp;$A28&amp;"'!$A$12:$Z$41"),MATCH("Points (Auto-generate)",INDIRECT("'"&amp;$A28&amp;"'!$A$12:$Z$12"),0),0)),"ER"))</f>
        <v>?</v>
      </c>
      <c r="AD28" s="87" t="str">
        <f aca="true">IF($H28=0,"NA",IF($A28=INDIRECT("'"&amp;$A28&amp;"'!$B$1"),IF(VLOOKUP(AD$1,INDIRECT("'"&amp;$A28&amp;"'!$A$12:$Z$41"),MATCH("Points (Auto-generate)",INDIRECT("'"&amp;$A28&amp;"'!$A$12:$Z$12"),0),0)="","?",VLOOKUP(AD$1,INDIRECT("'"&amp;$A28&amp;"'!$A$12:$Z$41"),MATCH("Points (Auto-generate)",INDIRECT("'"&amp;$A28&amp;"'!$A$12:$Z$12"),0),0)),"ER"))</f>
        <v>?</v>
      </c>
      <c r="AE28" s="87" t="str">
        <f aca="true">IF($H28=0,"NA",IF($A28=INDIRECT("'"&amp;$A28&amp;"'!$B$1"),IF(VLOOKUP(AE$1,INDIRECT("'"&amp;$A28&amp;"'!$A$12:$Z$41"),MATCH("Points (Auto-generate)",INDIRECT("'"&amp;$A28&amp;"'!$A$12:$Z$12"),0),0)="","?",VLOOKUP(AE$1,INDIRECT("'"&amp;$A28&amp;"'!$A$12:$Z$41"),MATCH("Points (Auto-generate)",INDIRECT("'"&amp;$A28&amp;"'!$A$12:$Z$12"),0),0)),"ER"))</f>
        <v>?</v>
      </c>
      <c r="AF28" s="87" t="str">
        <f aca="true">IF($H28=0,"NA",IF($A28=INDIRECT("'"&amp;$A28&amp;"'!$B$1"),IF(VLOOKUP(AF$1,INDIRECT("'"&amp;$A28&amp;"'!$A$12:$Z$41"),MATCH("Points (Auto-generate)",INDIRECT("'"&amp;$A28&amp;"'!$A$12:$Z$12"),0),0)="","?",VLOOKUP(AF$1,INDIRECT("'"&amp;$A28&amp;"'!$A$12:$Z$41"),MATCH("Points (Auto-generate)",INDIRECT("'"&amp;$A28&amp;"'!$A$12:$Z$12"),0),0)),"ER"))</f>
        <v>?</v>
      </c>
      <c r="AG28" s="87" t="str">
        <f aca="true">IF($H28=0,"NA",IF($A28=INDIRECT("'"&amp;$A28&amp;"'!$B$1"),IF(VLOOKUP(AG$1,INDIRECT("'"&amp;$A28&amp;"'!$A$12:$Z$41"),MATCH("Points (Auto-generate)",INDIRECT("'"&amp;$A28&amp;"'!$A$12:$Z$12"),0),0)="","?",VLOOKUP(AG$1,INDIRECT("'"&amp;$A28&amp;"'!$A$12:$Z$41"),MATCH("Points (Auto-generate)",INDIRECT("'"&amp;$A28&amp;"'!$A$12:$Z$12"),0),0)),"ER"))</f>
        <v>?</v>
      </c>
      <c r="AH28" s="87" t="str">
        <f aca="true">IF($H28=0,"NA",IF($A28=INDIRECT("'"&amp;$A28&amp;"'!$B$1"),IF(VLOOKUP(AH$1,INDIRECT("'"&amp;$A28&amp;"'!$A$12:$Z$41"),MATCH("Points (Auto-generate)",INDIRECT("'"&amp;$A28&amp;"'!$A$12:$Z$12"),0),0)="","?",VLOOKUP(AH$1,INDIRECT("'"&amp;$A28&amp;"'!$A$12:$Z$41"),MATCH("Points (Auto-generate)",INDIRECT("'"&amp;$A28&amp;"'!$A$12:$Z$12"),0),0)),"ER"))</f>
        <v>?</v>
      </c>
      <c r="AI28" s="87" t="str">
        <f aca="true">IF($H28=0,"NA",IF($A28=INDIRECT("'"&amp;$A28&amp;"'!$B$1"),IF(VLOOKUP(AI$1,INDIRECT("'"&amp;$A28&amp;"'!$A$12:$Z$41"),MATCH("Points (Auto-generate)",INDIRECT("'"&amp;$A28&amp;"'!$A$12:$Z$12"),0),0)="","?",VLOOKUP(AI$1,INDIRECT("'"&amp;$A28&amp;"'!$A$12:$Z$41"),MATCH("Points (Auto-generate)",INDIRECT("'"&amp;$A28&amp;"'!$A$12:$Z$12"),0),0)),"ER"))</f>
        <v>?</v>
      </c>
      <c r="AJ28" s="87" t="str">
        <f aca="true">IF($H28=0,"NA",IF($A28=INDIRECT("'"&amp;$A28&amp;"'!$B$1"),IF(VLOOKUP(AJ$1,INDIRECT("'"&amp;$A28&amp;"'!$A$12:$Z$41"),MATCH("Points (Auto-generate)",INDIRECT("'"&amp;$A28&amp;"'!$A$12:$Z$12"),0),0)="","?",VLOOKUP(AJ$1,INDIRECT("'"&amp;$A28&amp;"'!$A$12:$Z$41"),MATCH("Points (Auto-generate)",INDIRECT("'"&amp;$A28&amp;"'!$A$12:$Z$12"),0),0)),"ER"))</f>
        <v>?</v>
      </c>
      <c r="AK28" s="87" t="str">
        <f aca="true">IF($H28=0,"NA",IF($A28=INDIRECT("'"&amp;$A28&amp;"'!$B$1"),IF(VLOOKUP(AK$1,INDIRECT("'"&amp;$A28&amp;"'!$A$12:$Z$41"),MATCH("Points (Auto-generate)",INDIRECT("'"&amp;$A28&amp;"'!$A$12:$Z$12"),0),0)="","?",VLOOKUP(AK$1,INDIRECT("'"&amp;$A28&amp;"'!$A$12:$Z$41"),MATCH("Points (Auto-generate)",INDIRECT("'"&amp;$A28&amp;"'!$A$12:$Z$12"),0),0)),"ER"))</f>
        <v>?</v>
      </c>
    </row>
    <row r="29" customFormat="false" ht="14.25" hidden="false" customHeight="true" outlineLevel="0" collapsed="false">
      <c r="A29" s="83" t="s">
        <v>206</v>
      </c>
      <c r="B29" s="84" t="str">
        <f aca="false">IF(ISBLANK($A29),"NO_CODE",VLOOKUP($A29,'UPD Questions_290926 '!$E$1:$N$300,MATCH(B$1,'UPD Questions_290926 '!$E$1:$N$1,0),0)&amp;"")</f>
        <v>Planning </v>
      </c>
      <c r="C29" s="84" t="str">
        <f aca="false">IF(ISBLANK($A29),"NO_CODE",VLOOKUP($A29,'UPD Questions_290926 '!$E$1:$N$300,MATCH(C$1,'UPD Questions_290926 '!$E$1:$N$1,0),0)&amp;"")</f>
        <v>Municipal/City Plan objectives and contents</v>
      </c>
      <c r="D29" s="84" t="str">
        <f aca="false">IF(ISBLANK($A29),"NO_CODE",VLOOKUP($A29,'UPD Questions_290926 '!$E$1:$N$300,MATCH(D$1,'UPD Questions_290926 '!$E$1:$N$1,0),0)&amp;"")</f>
        <v>Statutory requirements for plan content</v>
      </c>
      <c r="E29" s="84" t="str">
        <f aca="false">IF(ISBLANK($A29),"NO_CODE",VLOOKUP($A29,'UPD Questions_290926 '!$E$1:$N$300,MATCH(E$1,'UPD Questions_290926 '!$E$1:$N$1,0),0)&amp;"")</f>
        <v>SQ</v>
      </c>
      <c r="F29" s="84" t="str">
        <f aca="false">IF(ISBLANK($A29),"NO_CODE",VLOOKUP($A29,'UPD Questions_290926 '!$E$1:$N$300,MATCH(F$1,'UPD Questions_290926 '!$E$1:$N$1,0),0)&amp;"")</f>
        <v>d) Sustainability/Climate/Environmental conservation</v>
      </c>
      <c r="G29" s="84" t="str">
        <f aca="false">IF(ISBLANK($A29),"NO_CODE",VLOOKUP($A29,'UPD Questions_290926 '!$E$1:$N$300,MATCH(G$1,'UPD Questions_290926 '!$E$1:$N$1,0),0)&amp;"")</f>
        <v>Law/Policy</v>
      </c>
      <c r="H29" s="86" t="n">
        <f aca="false">IF(ISBLANK($A29),"NO_CODE",VLOOKUP($A29,'UPD Questions_290926 '!$E$1:$N$300,MATCH(H$1,'UPD Questions_290926 '!$E$1:$N$1,0),0))</f>
        <v>1.67</v>
      </c>
      <c r="I29" s="87" t="str">
        <f aca="true">IF($H29=0,"NA",IF($A29=INDIRECT("'"&amp;$A29&amp;"'!$B$1"),IF(VLOOKUP(I$1,INDIRECT("'"&amp;$A29&amp;"'!$A$12:$Z$41"),MATCH("Points (Auto-generate)",INDIRECT("'"&amp;$A29&amp;"'!$A$12:$Z$12"),0),0)="","?",VLOOKUP(I$1,INDIRECT("'"&amp;$A29&amp;"'!$A$12:$Z$41"),MATCH("Points (Auto-generate)",INDIRECT("'"&amp;$A29&amp;"'!$A$12:$Z$12"),0),0)),"ER"))</f>
        <v>?</v>
      </c>
      <c r="J29" s="87" t="n">
        <f aca="true">IF($H29=0,"NA",IF($A29=INDIRECT("'"&amp;$A29&amp;"'!$B$1"),IF(VLOOKUP(J$1,INDIRECT("'"&amp;$A29&amp;"'!$A$12:$Z$41"),MATCH("Points (Auto-generate)",INDIRECT("'"&amp;$A29&amp;"'!$A$12:$Z$12"),0),0)="","?",VLOOKUP(J$1,INDIRECT("'"&amp;$A29&amp;"'!$A$12:$Z$41"),MATCH("Points (Auto-generate)",INDIRECT("'"&amp;$A29&amp;"'!$A$12:$Z$12"),0),0)),"ER"))</f>
        <v>1.67</v>
      </c>
      <c r="K29" s="87" t="str">
        <f aca="true">IF($H29=0,"NA",IF($A29=INDIRECT("'"&amp;$A29&amp;"'!$B$1"),IF(VLOOKUP(K$1,INDIRECT("'"&amp;$A29&amp;"'!$A$12:$Z$41"),MATCH("Points (Auto-generate)",INDIRECT("'"&amp;$A29&amp;"'!$A$12:$Z$12"),0),0)="","?",VLOOKUP(K$1,INDIRECT("'"&amp;$A29&amp;"'!$A$12:$Z$41"),MATCH("Points (Auto-generate)",INDIRECT("'"&amp;$A29&amp;"'!$A$12:$Z$12"),0),0)),"ER"))</f>
        <v>?</v>
      </c>
      <c r="L29" s="87" t="str">
        <f aca="true">IF($H29=0,"NA",IF($A29=INDIRECT("'"&amp;$A29&amp;"'!$B$1"),IF(VLOOKUP(L$1,INDIRECT("'"&amp;$A29&amp;"'!$A$12:$Z$41"),MATCH("Points (Auto-generate)",INDIRECT("'"&amp;$A29&amp;"'!$A$12:$Z$12"),0),0)="","?",VLOOKUP(L$1,INDIRECT("'"&amp;$A29&amp;"'!$A$12:$Z$41"),MATCH("Points (Auto-generate)",INDIRECT("'"&amp;$A29&amp;"'!$A$12:$Z$12"),0),0)),"ER"))</f>
        <v>?</v>
      </c>
      <c r="M29" s="87" t="str">
        <f aca="true">IF($H29=0,"NA",IF($A29=INDIRECT("'"&amp;$A29&amp;"'!$B$1"),IF(VLOOKUP(M$1,INDIRECT("'"&amp;$A29&amp;"'!$A$12:$Z$41"),MATCH("Points (Auto-generate)",INDIRECT("'"&amp;$A29&amp;"'!$A$12:$Z$12"),0),0)="","?",VLOOKUP(M$1,INDIRECT("'"&amp;$A29&amp;"'!$A$12:$Z$41"),MATCH("Points (Auto-generate)",INDIRECT("'"&amp;$A29&amp;"'!$A$12:$Z$12"),0),0)),"ER"))</f>
        <v>?</v>
      </c>
      <c r="N29" s="87" t="str">
        <f aca="true">IF($H29=0,"NA",IF($A29=INDIRECT("'"&amp;$A29&amp;"'!$B$1"),IF(VLOOKUP(N$1,INDIRECT("'"&amp;$A29&amp;"'!$A$12:$Z$41"),MATCH("Points (Auto-generate)",INDIRECT("'"&amp;$A29&amp;"'!$A$12:$Z$12"),0),0)="","?",VLOOKUP(N$1,INDIRECT("'"&amp;$A29&amp;"'!$A$12:$Z$41"),MATCH("Points (Auto-generate)",INDIRECT("'"&amp;$A29&amp;"'!$A$12:$Z$12"),0),0)),"ER"))</f>
        <v>?</v>
      </c>
      <c r="O29" s="87" t="str">
        <f aca="true">IF($H29=0,"NA",IF($A29=INDIRECT("'"&amp;$A29&amp;"'!$B$1"),IF(VLOOKUP(O$1,INDIRECT("'"&amp;$A29&amp;"'!$A$12:$Z$41"),MATCH("Points (Auto-generate)",INDIRECT("'"&amp;$A29&amp;"'!$A$12:$Z$12"),0),0)="","?",VLOOKUP(O$1,INDIRECT("'"&amp;$A29&amp;"'!$A$12:$Z$41"),MATCH("Points (Auto-generate)",INDIRECT("'"&amp;$A29&amp;"'!$A$12:$Z$12"),0),0)),"ER"))</f>
        <v>?</v>
      </c>
      <c r="P29" s="87" t="str">
        <f aca="true">IF($H29=0,"NA",IF($A29=INDIRECT("'"&amp;$A29&amp;"'!$B$1"),IF(VLOOKUP(P$1,INDIRECT("'"&amp;$A29&amp;"'!$A$12:$Z$41"),MATCH("Points (Auto-generate)",INDIRECT("'"&amp;$A29&amp;"'!$A$12:$Z$12"),0),0)="","?",VLOOKUP(P$1,INDIRECT("'"&amp;$A29&amp;"'!$A$12:$Z$41"),MATCH("Points (Auto-generate)",INDIRECT("'"&amp;$A29&amp;"'!$A$12:$Z$12"),0),0)),"ER"))</f>
        <v>?</v>
      </c>
      <c r="Q29" s="87" t="str">
        <f aca="true">IF($H29=0,"NA",IF($A29=INDIRECT("'"&amp;$A29&amp;"'!$B$1"),IF(VLOOKUP(Q$1,INDIRECT("'"&amp;$A29&amp;"'!$A$12:$Z$41"),MATCH("Points (Auto-generate)",INDIRECT("'"&amp;$A29&amp;"'!$A$12:$Z$12"),0),0)="","?",VLOOKUP(Q$1,INDIRECT("'"&amp;$A29&amp;"'!$A$12:$Z$41"),MATCH("Points (Auto-generate)",INDIRECT("'"&amp;$A29&amp;"'!$A$12:$Z$12"),0),0)),"ER"))</f>
        <v>?</v>
      </c>
      <c r="R29" s="87" t="str">
        <f aca="true">IF($H29=0,"NA",IF($A29=INDIRECT("'"&amp;$A29&amp;"'!$B$1"),IF(VLOOKUP(R$1,INDIRECT("'"&amp;$A29&amp;"'!$A$12:$Z$41"),MATCH("Points (Auto-generate)",INDIRECT("'"&amp;$A29&amp;"'!$A$12:$Z$12"),0),0)="","?",VLOOKUP(R$1,INDIRECT("'"&amp;$A29&amp;"'!$A$12:$Z$41"),MATCH("Points (Auto-generate)",INDIRECT("'"&amp;$A29&amp;"'!$A$12:$Z$12"),0),0)),"ER"))</f>
        <v>?</v>
      </c>
      <c r="S29" s="87" t="str">
        <f aca="true">IF($H29=0,"NA",IF($A29=INDIRECT("'"&amp;$A29&amp;"'!$B$1"),IF(VLOOKUP(S$1,INDIRECT("'"&amp;$A29&amp;"'!$A$12:$Z$41"),MATCH("Points (Auto-generate)",INDIRECT("'"&amp;$A29&amp;"'!$A$12:$Z$12"),0),0)="","?",VLOOKUP(S$1,INDIRECT("'"&amp;$A29&amp;"'!$A$12:$Z$41"),MATCH("Points (Auto-generate)",INDIRECT("'"&amp;$A29&amp;"'!$A$12:$Z$12"),0),0)),"ER"))</f>
        <v>?</v>
      </c>
      <c r="T29" s="87" t="str">
        <f aca="true">IF($H29=0,"NA",IF($A29=INDIRECT("'"&amp;$A29&amp;"'!$B$1"),IF(VLOOKUP(T$1,INDIRECT("'"&amp;$A29&amp;"'!$A$12:$Z$41"),MATCH("Points (Auto-generate)",INDIRECT("'"&amp;$A29&amp;"'!$A$12:$Z$12"),0),0)="","?",VLOOKUP(T$1,INDIRECT("'"&amp;$A29&amp;"'!$A$12:$Z$41"),MATCH("Points (Auto-generate)",INDIRECT("'"&amp;$A29&amp;"'!$A$12:$Z$12"),0),0)),"ER"))</f>
        <v>?</v>
      </c>
      <c r="U29" s="87" t="str">
        <f aca="true">IF($H29=0,"NA",IF($A29=INDIRECT("'"&amp;$A29&amp;"'!$B$1"),IF(VLOOKUP(U$1,INDIRECT("'"&amp;$A29&amp;"'!$A$12:$Z$41"),MATCH("Points (Auto-generate)",INDIRECT("'"&amp;$A29&amp;"'!$A$12:$Z$12"),0),0)="","?",VLOOKUP(U$1,INDIRECT("'"&amp;$A29&amp;"'!$A$12:$Z$41"),MATCH("Points (Auto-generate)",INDIRECT("'"&amp;$A29&amp;"'!$A$12:$Z$12"),0),0)),"ER"))</f>
        <v>?</v>
      </c>
      <c r="V29" s="87" t="str">
        <f aca="true">IF($H29=0,"NA",IF($A29=INDIRECT("'"&amp;$A29&amp;"'!$B$1"),IF(VLOOKUP(V$1,INDIRECT("'"&amp;$A29&amp;"'!$A$12:$Z$41"),MATCH("Points (Auto-generate)",INDIRECT("'"&amp;$A29&amp;"'!$A$12:$Z$12"),0),0)="","?",VLOOKUP(V$1,INDIRECT("'"&amp;$A29&amp;"'!$A$12:$Z$41"),MATCH("Points (Auto-generate)",INDIRECT("'"&amp;$A29&amp;"'!$A$12:$Z$12"),0),0)),"ER"))</f>
        <v>?</v>
      </c>
      <c r="W29" s="87" t="str">
        <f aca="true">IF($H29=0,"NA",IF($A29=INDIRECT("'"&amp;$A29&amp;"'!$B$1"),IF(VLOOKUP(W$1,INDIRECT("'"&amp;$A29&amp;"'!$A$12:$Z$41"),MATCH("Points (Auto-generate)",INDIRECT("'"&amp;$A29&amp;"'!$A$12:$Z$12"),0),0)="","?",VLOOKUP(W$1,INDIRECT("'"&amp;$A29&amp;"'!$A$12:$Z$41"),MATCH("Points (Auto-generate)",INDIRECT("'"&amp;$A29&amp;"'!$A$12:$Z$12"),0),0)),"ER"))</f>
        <v>?</v>
      </c>
      <c r="X29" s="87" t="str">
        <f aca="true">IF($H29=0,"NA",IF($A29=INDIRECT("'"&amp;$A29&amp;"'!$B$1"),IF(VLOOKUP(X$1,INDIRECT("'"&amp;$A29&amp;"'!$A$12:$Z$41"),MATCH("Points (Auto-generate)",INDIRECT("'"&amp;$A29&amp;"'!$A$12:$Z$12"),0),0)="","?",VLOOKUP(X$1,INDIRECT("'"&amp;$A29&amp;"'!$A$12:$Z$41"),MATCH("Points (Auto-generate)",INDIRECT("'"&amp;$A29&amp;"'!$A$12:$Z$12"),0),0)),"ER"))</f>
        <v>?</v>
      </c>
      <c r="Y29" s="87" t="str">
        <f aca="true">IF($H29=0,"NA",IF($A29=INDIRECT("'"&amp;$A29&amp;"'!$B$1"),IF(VLOOKUP(Y$1,INDIRECT("'"&amp;$A29&amp;"'!$A$12:$Z$41"),MATCH("Points (Auto-generate)",INDIRECT("'"&amp;$A29&amp;"'!$A$12:$Z$12"),0),0)="","?",VLOOKUP(Y$1,INDIRECT("'"&amp;$A29&amp;"'!$A$12:$Z$41"),MATCH("Points (Auto-generate)",INDIRECT("'"&amp;$A29&amp;"'!$A$12:$Z$12"),0),0)),"ER"))</f>
        <v>?</v>
      </c>
      <c r="Z29" s="87" t="str">
        <f aca="true">IF($H29=0,"NA",IF($A29=INDIRECT("'"&amp;$A29&amp;"'!$B$1"),IF(VLOOKUP(Z$1,INDIRECT("'"&amp;$A29&amp;"'!$A$12:$Z$41"),MATCH("Points (Auto-generate)",INDIRECT("'"&amp;$A29&amp;"'!$A$12:$Z$12"),0),0)="","?",VLOOKUP(Z$1,INDIRECT("'"&amp;$A29&amp;"'!$A$12:$Z$41"),MATCH("Points (Auto-generate)",INDIRECT("'"&amp;$A29&amp;"'!$A$12:$Z$12"),0),0)),"ER"))</f>
        <v>?</v>
      </c>
      <c r="AA29" s="87" t="str">
        <f aca="true">IF($H29=0,"NA",IF($A29=INDIRECT("'"&amp;$A29&amp;"'!$B$1"),IF(VLOOKUP(AA$1,INDIRECT("'"&amp;$A29&amp;"'!$A$12:$Z$41"),MATCH("Points (Auto-generate)",INDIRECT("'"&amp;$A29&amp;"'!$A$12:$Z$12"),0),0)="","?",VLOOKUP(AA$1,INDIRECT("'"&amp;$A29&amp;"'!$A$12:$Z$41"),MATCH("Points (Auto-generate)",INDIRECT("'"&amp;$A29&amp;"'!$A$12:$Z$12"),0),0)),"ER"))</f>
        <v>?</v>
      </c>
      <c r="AB29" s="87" t="str">
        <f aca="true">IF($H29=0,"NA",IF($A29=INDIRECT("'"&amp;$A29&amp;"'!$B$1"),IF(VLOOKUP(AB$1,INDIRECT("'"&amp;$A29&amp;"'!$A$12:$Z$41"),MATCH("Points (Auto-generate)",INDIRECT("'"&amp;$A29&amp;"'!$A$12:$Z$12"),0),0)="","?",VLOOKUP(AB$1,INDIRECT("'"&amp;$A29&amp;"'!$A$12:$Z$41"),MATCH("Points (Auto-generate)",INDIRECT("'"&amp;$A29&amp;"'!$A$12:$Z$12"),0),0)),"ER"))</f>
        <v>?</v>
      </c>
      <c r="AC29" s="87" t="str">
        <f aca="true">IF($H29=0,"NA",IF($A29=INDIRECT("'"&amp;$A29&amp;"'!$B$1"),IF(VLOOKUP(AC$1,INDIRECT("'"&amp;$A29&amp;"'!$A$12:$Z$41"),MATCH("Points (Auto-generate)",INDIRECT("'"&amp;$A29&amp;"'!$A$12:$Z$12"),0),0)="","?",VLOOKUP(AC$1,INDIRECT("'"&amp;$A29&amp;"'!$A$12:$Z$41"),MATCH("Points (Auto-generate)",INDIRECT("'"&amp;$A29&amp;"'!$A$12:$Z$12"),0),0)),"ER"))</f>
        <v>?</v>
      </c>
      <c r="AD29" s="87" t="str">
        <f aca="true">IF($H29=0,"NA",IF($A29=INDIRECT("'"&amp;$A29&amp;"'!$B$1"),IF(VLOOKUP(AD$1,INDIRECT("'"&amp;$A29&amp;"'!$A$12:$Z$41"),MATCH("Points (Auto-generate)",INDIRECT("'"&amp;$A29&amp;"'!$A$12:$Z$12"),0),0)="","?",VLOOKUP(AD$1,INDIRECT("'"&amp;$A29&amp;"'!$A$12:$Z$41"),MATCH("Points (Auto-generate)",INDIRECT("'"&amp;$A29&amp;"'!$A$12:$Z$12"),0),0)),"ER"))</f>
        <v>?</v>
      </c>
      <c r="AE29" s="87" t="str">
        <f aca="true">IF($H29=0,"NA",IF($A29=INDIRECT("'"&amp;$A29&amp;"'!$B$1"),IF(VLOOKUP(AE$1,INDIRECT("'"&amp;$A29&amp;"'!$A$12:$Z$41"),MATCH("Points (Auto-generate)",INDIRECT("'"&amp;$A29&amp;"'!$A$12:$Z$12"),0),0)="","?",VLOOKUP(AE$1,INDIRECT("'"&amp;$A29&amp;"'!$A$12:$Z$41"),MATCH("Points (Auto-generate)",INDIRECT("'"&amp;$A29&amp;"'!$A$12:$Z$12"),0),0)),"ER"))</f>
        <v>?</v>
      </c>
      <c r="AF29" s="87" t="str">
        <f aca="true">IF($H29=0,"NA",IF($A29=INDIRECT("'"&amp;$A29&amp;"'!$B$1"),IF(VLOOKUP(AF$1,INDIRECT("'"&amp;$A29&amp;"'!$A$12:$Z$41"),MATCH("Points (Auto-generate)",INDIRECT("'"&amp;$A29&amp;"'!$A$12:$Z$12"),0),0)="","?",VLOOKUP(AF$1,INDIRECT("'"&amp;$A29&amp;"'!$A$12:$Z$41"),MATCH("Points (Auto-generate)",INDIRECT("'"&amp;$A29&amp;"'!$A$12:$Z$12"),0),0)),"ER"))</f>
        <v>?</v>
      </c>
      <c r="AG29" s="87" t="str">
        <f aca="true">IF($H29=0,"NA",IF($A29=INDIRECT("'"&amp;$A29&amp;"'!$B$1"),IF(VLOOKUP(AG$1,INDIRECT("'"&amp;$A29&amp;"'!$A$12:$Z$41"),MATCH("Points (Auto-generate)",INDIRECT("'"&amp;$A29&amp;"'!$A$12:$Z$12"),0),0)="","?",VLOOKUP(AG$1,INDIRECT("'"&amp;$A29&amp;"'!$A$12:$Z$41"),MATCH("Points (Auto-generate)",INDIRECT("'"&amp;$A29&amp;"'!$A$12:$Z$12"),0),0)),"ER"))</f>
        <v>?</v>
      </c>
      <c r="AH29" s="87" t="str">
        <f aca="true">IF($H29=0,"NA",IF($A29=INDIRECT("'"&amp;$A29&amp;"'!$B$1"),IF(VLOOKUP(AH$1,INDIRECT("'"&amp;$A29&amp;"'!$A$12:$Z$41"),MATCH("Points (Auto-generate)",INDIRECT("'"&amp;$A29&amp;"'!$A$12:$Z$12"),0),0)="","?",VLOOKUP(AH$1,INDIRECT("'"&amp;$A29&amp;"'!$A$12:$Z$41"),MATCH("Points (Auto-generate)",INDIRECT("'"&amp;$A29&amp;"'!$A$12:$Z$12"),0),0)),"ER"))</f>
        <v>?</v>
      </c>
      <c r="AI29" s="87" t="str">
        <f aca="true">IF($H29=0,"NA",IF($A29=INDIRECT("'"&amp;$A29&amp;"'!$B$1"),IF(VLOOKUP(AI$1,INDIRECT("'"&amp;$A29&amp;"'!$A$12:$Z$41"),MATCH("Points (Auto-generate)",INDIRECT("'"&amp;$A29&amp;"'!$A$12:$Z$12"),0),0)="","?",VLOOKUP(AI$1,INDIRECT("'"&amp;$A29&amp;"'!$A$12:$Z$41"),MATCH("Points (Auto-generate)",INDIRECT("'"&amp;$A29&amp;"'!$A$12:$Z$12"),0),0)),"ER"))</f>
        <v>?</v>
      </c>
      <c r="AJ29" s="87" t="str">
        <f aca="true">IF($H29=0,"NA",IF($A29=INDIRECT("'"&amp;$A29&amp;"'!$B$1"),IF(VLOOKUP(AJ$1,INDIRECT("'"&amp;$A29&amp;"'!$A$12:$Z$41"),MATCH("Points (Auto-generate)",INDIRECT("'"&amp;$A29&amp;"'!$A$12:$Z$12"),0),0)="","?",VLOOKUP(AJ$1,INDIRECT("'"&amp;$A29&amp;"'!$A$12:$Z$41"),MATCH("Points (Auto-generate)",INDIRECT("'"&amp;$A29&amp;"'!$A$12:$Z$12"),0),0)),"ER"))</f>
        <v>?</v>
      </c>
      <c r="AK29" s="87" t="str">
        <f aca="true">IF($H29=0,"NA",IF($A29=INDIRECT("'"&amp;$A29&amp;"'!$B$1"),IF(VLOOKUP(AK$1,INDIRECT("'"&amp;$A29&amp;"'!$A$12:$Z$41"),MATCH("Points (Auto-generate)",INDIRECT("'"&amp;$A29&amp;"'!$A$12:$Z$12"),0),0)="","?",VLOOKUP(AK$1,INDIRECT("'"&amp;$A29&amp;"'!$A$12:$Z$41"),MATCH("Points (Auto-generate)",INDIRECT("'"&amp;$A29&amp;"'!$A$12:$Z$12"),0),0)),"ER"))</f>
        <v>?</v>
      </c>
    </row>
    <row r="30" customFormat="false" ht="14.25" hidden="false" customHeight="true" outlineLevel="0" collapsed="false">
      <c r="A30" s="83" t="s">
        <v>213</v>
      </c>
      <c r="B30" s="84" t="str">
        <f aca="false">IF(ISBLANK($A30),"NO_CODE",VLOOKUP($A30,'UPD Questions_290926 '!$E$1:$N$300,MATCH(B$1,'UPD Questions_290926 '!$E$1:$N$1,0),0)&amp;"")</f>
        <v>Planning </v>
      </c>
      <c r="C30" s="84" t="str">
        <f aca="false">IF(ISBLANK($A30),"NO_CODE",VLOOKUP($A30,'UPD Questions_290926 '!$E$1:$N$300,MATCH(C$1,'UPD Questions_290926 '!$E$1:$N$1,0),0)&amp;"")</f>
        <v>Municipal/City Plan objectives and contents</v>
      </c>
      <c r="D30" s="84" t="str">
        <f aca="false">IF(ISBLANK($A30),"NO_CODE",VLOOKUP($A30,'UPD Questions_290926 '!$E$1:$N$300,MATCH(D$1,'UPD Questions_290926 '!$E$1:$N$1,0),0)&amp;"")</f>
        <v>Statutory requirements for plan content</v>
      </c>
      <c r="E30" s="84" t="str">
        <f aca="false">IF(ISBLANK($A30),"NO_CODE",VLOOKUP($A30,'UPD Questions_290926 '!$E$1:$N$300,MATCH(E$1,'UPD Questions_290926 '!$E$1:$N$1,0),0)&amp;"")</f>
        <v>SQ</v>
      </c>
      <c r="F30" s="84" t="str">
        <f aca="false">IF(ISBLANK($A30),"NO_CODE",VLOOKUP($A30,'UPD Questions_290926 '!$E$1:$N$300,MATCH(F$1,'UPD Questions_290926 '!$E$1:$N$1,0),0)&amp;"")</f>
        <v>e) Heritage conservation</v>
      </c>
      <c r="G30" s="84" t="str">
        <f aca="false">IF(ISBLANK($A30),"NO_CODE",VLOOKUP($A30,'UPD Questions_290926 '!$E$1:$N$300,MATCH(G$1,'UPD Questions_290926 '!$E$1:$N$1,0),0)&amp;"")</f>
        <v>Law/Policy</v>
      </c>
      <c r="H30" s="86" t="n">
        <f aca="false">IF(ISBLANK($A30),"NO_CODE",VLOOKUP($A30,'UPD Questions_290926 '!$E$1:$N$300,MATCH(H$1,'UPD Questions_290926 '!$E$1:$N$1,0),0))</f>
        <v>1.67</v>
      </c>
      <c r="I30" s="87" t="str">
        <f aca="true">IF($H30=0,"NA",IF($A30=INDIRECT("'"&amp;$A30&amp;"'!$B$1"),IF(VLOOKUP(I$1,INDIRECT("'"&amp;$A30&amp;"'!$A$12:$Z$41"),MATCH("Points (Auto-generate)",INDIRECT("'"&amp;$A30&amp;"'!$A$12:$Z$12"),0),0)="","?",VLOOKUP(I$1,INDIRECT("'"&amp;$A30&amp;"'!$A$12:$Z$41"),MATCH("Points (Auto-generate)",INDIRECT("'"&amp;$A30&amp;"'!$A$12:$Z$12"),0),0)),"ER"))</f>
        <v>?</v>
      </c>
      <c r="J30" s="87" t="n">
        <f aca="true">IF($H30=0,"NA",IF($A30=INDIRECT("'"&amp;$A30&amp;"'!$B$1"),IF(VLOOKUP(J$1,INDIRECT("'"&amp;$A30&amp;"'!$A$12:$Z$41"),MATCH("Points (Auto-generate)",INDIRECT("'"&amp;$A30&amp;"'!$A$12:$Z$12"),0),0)="","?",VLOOKUP(J$1,INDIRECT("'"&amp;$A30&amp;"'!$A$12:$Z$41"),MATCH("Points (Auto-generate)",INDIRECT("'"&amp;$A30&amp;"'!$A$12:$Z$12"),0),0)),"ER"))</f>
        <v>1.67</v>
      </c>
      <c r="K30" s="87" t="str">
        <f aca="true">IF($H30=0,"NA",IF($A30=INDIRECT("'"&amp;$A30&amp;"'!$B$1"),IF(VLOOKUP(K$1,INDIRECT("'"&amp;$A30&amp;"'!$A$12:$Z$41"),MATCH("Points (Auto-generate)",INDIRECT("'"&amp;$A30&amp;"'!$A$12:$Z$12"),0),0)="","?",VLOOKUP(K$1,INDIRECT("'"&amp;$A30&amp;"'!$A$12:$Z$41"),MATCH("Points (Auto-generate)",INDIRECT("'"&amp;$A30&amp;"'!$A$12:$Z$12"),0),0)),"ER"))</f>
        <v>?</v>
      </c>
      <c r="L30" s="87" t="str">
        <f aca="true">IF($H30=0,"NA",IF($A30=INDIRECT("'"&amp;$A30&amp;"'!$B$1"),IF(VLOOKUP(L$1,INDIRECT("'"&amp;$A30&amp;"'!$A$12:$Z$41"),MATCH("Points (Auto-generate)",INDIRECT("'"&amp;$A30&amp;"'!$A$12:$Z$12"),0),0)="","?",VLOOKUP(L$1,INDIRECT("'"&amp;$A30&amp;"'!$A$12:$Z$41"),MATCH("Points (Auto-generate)",INDIRECT("'"&amp;$A30&amp;"'!$A$12:$Z$12"),0),0)),"ER"))</f>
        <v>?</v>
      </c>
      <c r="M30" s="87" t="str">
        <f aca="true">IF($H30=0,"NA",IF($A30=INDIRECT("'"&amp;$A30&amp;"'!$B$1"),IF(VLOOKUP(M$1,INDIRECT("'"&amp;$A30&amp;"'!$A$12:$Z$41"),MATCH("Points (Auto-generate)",INDIRECT("'"&amp;$A30&amp;"'!$A$12:$Z$12"),0),0)="","?",VLOOKUP(M$1,INDIRECT("'"&amp;$A30&amp;"'!$A$12:$Z$41"),MATCH("Points (Auto-generate)",INDIRECT("'"&amp;$A30&amp;"'!$A$12:$Z$12"),0),0)),"ER"))</f>
        <v>?</v>
      </c>
      <c r="N30" s="87" t="str">
        <f aca="true">IF($H30=0,"NA",IF($A30=INDIRECT("'"&amp;$A30&amp;"'!$B$1"),IF(VLOOKUP(N$1,INDIRECT("'"&amp;$A30&amp;"'!$A$12:$Z$41"),MATCH("Points (Auto-generate)",INDIRECT("'"&amp;$A30&amp;"'!$A$12:$Z$12"),0),0)="","?",VLOOKUP(N$1,INDIRECT("'"&amp;$A30&amp;"'!$A$12:$Z$41"),MATCH("Points (Auto-generate)",INDIRECT("'"&amp;$A30&amp;"'!$A$12:$Z$12"),0),0)),"ER"))</f>
        <v>?</v>
      </c>
      <c r="O30" s="87" t="str">
        <f aca="true">IF($H30=0,"NA",IF($A30=INDIRECT("'"&amp;$A30&amp;"'!$B$1"),IF(VLOOKUP(O$1,INDIRECT("'"&amp;$A30&amp;"'!$A$12:$Z$41"),MATCH("Points (Auto-generate)",INDIRECT("'"&amp;$A30&amp;"'!$A$12:$Z$12"),0),0)="","?",VLOOKUP(O$1,INDIRECT("'"&amp;$A30&amp;"'!$A$12:$Z$41"),MATCH("Points (Auto-generate)",INDIRECT("'"&amp;$A30&amp;"'!$A$12:$Z$12"),0),0)),"ER"))</f>
        <v>?</v>
      </c>
      <c r="P30" s="87" t="str">
        <f aca="true">IF($H30=0,"NA",IF($A30=INDIRECT("'"&amp;$A30&amp;"'!$B$1"),IF(VLOOKUP(P$1,INDIRECT("'"&amp;$A30&amp;"'!$A$12:$Z$41"),MATCH("Points (Auto-generate)",INDIRECT("'"&amp;$A30&amp;"'!$A$12:$Z$12"),0),0)="","?",VLOOKUP(P$1,INDIRECT("'"&amp;$A30&amp;"'!$A$12:$Z$41"),MATCH("Points (Auto-generate)",INDIRECT("'"&amp;$A30&amp;"'!$A$12:$Z$12"),0),0)),"ER"))</f>
        <v>?</v>
      </c>
      <c r="Q30" s="87" t="str">
        <f aca="true">IF($H30=0,"NA",IF($A30=INDIRECT("'"&amp;$A30&amp;"'!$B$1"),IF(VLOOKUP(Q$1,INDIRECT("'"&amp;$A30&amp;"'!$A$12:$Z$41"),MATCH("Points (Auto-generate)",INDIRECT("'"&amp;$A30&amp;"'!$A$12:$Z$12"),0),0)="","?",VLOOKUP(Q$1,INDIRECT("'"&amp;$A30&amp;"'!$A$12:$Z$41"),MATCH("Points (Auto-generate)",INDIRECT("'"&amp;$A30&amp;"'!$A$12:$Z$12"),0),0)),"ER"))</f>
        <v>?</v>
      </c>
      <c r="R30" s="87" t="str">
        <f aca="true">IF($H30=0,"NA",IF($A30=INDIRECT("'"&amp;$A30&amp;"'!$B$1"),IF(VLOOKUP(R$1,INDIRECT("'"&amp;$A30&amp;"'!$A$12:$Z$41"),MATCH("Points (Auto-generate)",INDIRECT("'"&amp;$A30&amp;"'!$A$12:$Z$12"),0),0)="","?",VLOOKUP(R$1,INDIRECT("'"&amp;$A30&amp;"'!$A$12:$Z$41"),MATCH("Points (Auto-generate)",INDIRECT("'"&amp;$A30&amp;"'!$A$12:$Z$12"),0),0)),"ER"))</f>
        <v>?</v>
      </c>
      <c r="S30" s="87" t="str">
        <f aca="true">IF($H30=0,"NA",IF($A30=INDIRECT("'"&amp;$A30&amp;"'!$B$1"),IF(VLOOKUP(S$1,INDIRECT("'"&amp;$A30&amp;"'!$A$12:$Z$41"),MATCH("Points (Auto-generate)",INDIRECT("'"&amp;$A30&amp;"'!$A$12:$Z$12"),0),0)="","?",VLOOKUP(S$1,INDIRECT("'"&amp;$A30&amp;"'!$A$12:$Z$41"),MATCH("Points (Auto-generate)",INDIRECT("'"&amp;$A30&amp;"'!$A$12:$Z$12"),0),0)),"ER"))</f>
        <v>?</v>
      </c>
      <c r="T30" s="87" t="str">
        <f aca="true">IF($H30=0,"NA",IF($A30=INDIRECT("'"&amp;$A30&amp;"'!$B$1"),IF(VLOOKUP(T$1,INDIRECT("'"&amp;$A30&amp;"'!$A$12:$Z$41"),MATCH("Points (Auto-generate)",INDIRECT("'"&amp;$A30&amp;"'!$A$12:$Z$12"),0),0)="","?",VLOOKUP(T$1,INDIRECT("'"&amp;$A30&amp;"'!$A$12:$Z$41"),MATCH("Points (Auto-generate)",INDIRECT("'"&amp;$A30&amp;"'!$A$12:$Z$12"),0),0)),"ER"))</f>
        <v>?</v>
      </c>
      <c r="U30" s="87" t="str">
        <f aca="true">IF($H30=0,"NA",IF($A30=INDIRECT("'"&amp;$A30&amp;"'!$B$1"),IF(VLOOKUP(U$1,INDIRECT("'"&amp;$A30&amp;"'!$A$12:$Z$41"),MATCH("Points (Auto-generate)",INDIRECT("'"&amp;$A30&amp;"'!$A$12:$Z$12"),0),0)="","?",VLOOKUP(U$1,INDIRECT("'"&amp;$A30&amp;"'!$A$12:$Z$41"),MATCH("Points (Auto-generate)",INDIRECT("'"&amp;$A30&amp;"'!$A$12:$Z$12"),0),0)),"ER"))</f>
        <v>?</v>
      </c>
      <c r="V30" s="87" t="str">
        <f aca="true">IF($H30=0,"NA",IF($A30=INDIRECT("'"&amp;$A30&amp;"'!$B$1"),IF(VLOOKUP(V$1,INDIRECT("'"&amp;$A30&amp;"'!$A$12:$Z$41"),MATCH("Points (Auto-generate)",INDIRECT("'"&amp;$A30&amp;"'!$A$12:$Z$12"),0),0)="","?",VLOOKUP(V$1,INDIRECT("'"&amp;$A30&amp;"'!$A$12:$Z$41"),MATCH("Points (Auto-generate)",INDIRECT("'"&amp;$A30&amp;"'!$A$12:$Z$12"),0),0)),"ER"))</f>
        <v>?</v>
      </c>
      <c r="W30" s="87" t="str">
        <f aca="true">IF($H30=0,"NA",IF($A30=INDIRECT("'"&amp;$A30&amp;"'!$B$1"),IF(VLOOKUP(W$1,INDIRECT("'"&amp;$A30&amp;"'!$A$12:$Z$41"),MATCH("Points (Auto-generate)",INDIRECT("'"&amp;$A30&amp;"'!$A$12:$Z$12"),0),0)="","?",VLOOKUP(W$1,INDIRECT("'"&amp;$A30&amp;"'!$A$12:$Z$41"),MATCH("Points (Auto-generate)",INDIRECT("'"&amp;$A30&amp;"'!$A$12:$Z$12"),0),0)),"ER"))</f>
        <v>?</v>
      </c>
      <c r="X30" s="87" t="str">
        <f aca="true">IF($H30=0,"NA",IF($A30=INDIRECT("'"&amp;$A30&amp;"'!$B$1"),IF(VLOOKUP(X$1,INDIRECT("'"&amp;$A30&amp;"'!$A$12:$Z$41"),MATCH("Points (Auto-generate)",INDIRECT("'"&amp;$A30&amp;"'!$A$12:$Z$12"),0),0)="","?",VLOOKUP(X$1,INDIRECT("'"&amp;$A30&amp;"'!$A$12:$Z$41"),MATCH("Points (Auto-generate)",INDIRECT("'"&amp;$A30&amp;"'!$A$12:$Z$12"),0),0)),"ER"))</f>
        <v>?</v>
      </c>
      <c r="Y30" s="87" t="str">
        <f aca="true">IF($H30=0,"NA",IF($A30=INDIRECT("'"&amp;$A30&amp;"'!$B$1"),IF(VLOOKUP(Y$1,INDIRECT("'"&amp;$A30&amp;"'!$A$12:$Z$41"),MATCH("Points (Auto-generate)",INDIRECT("'"&amp;$A30&amp;"'!$A$12:$Z$12"),0),0)="","?",VLOOKUP(Y$1,INDIRECT("'"&amp;$A30&amp;"'!$A$12:$Z$41"),MATCH("Points (Auto-generate)",INDIRECT("'"&amp;$A30&amp;"'!$A$12:$Z$12"),0),0)),"ER"))</f>
        <v>?</v>
      </c>
      <c r="Z30" s="87" t="str">
        <f aca="true">IF($H30=0,"NA",IF($A30=INDIRECT("'"&amp;$A30&amp;"'!$B$1"),IF(VLOOKUP(Z$1,INDIRECT("'"&amp;$A30&amp;"'!$A$12:$Z$41"),MATCH("Points (Auto-generate)",INDIRECT("'"&amp;$A30&amp;"'!$A$12:$Z$12"),0),0)="","?",VLOOKUP(Z$1,INDIRECT("'"&amp;$A30&amp;"'!$A$12:$Z$41"),MATCH("Points (Auto-generate)",INDIRECT("'"&amp;$A30&amp;"'!$A$12:$Z$12"),0),0)),"ER"))</f>
        <v>?</v>
      </c>
      <c r="AA30" s="87" t="str">
        <f aca="true">IF($H30=0,"NA",IF($A30=INDIRECT("'"&amp;$A30&amp;"'!$B$1"),IF(VLOOKUP(AA$1,INDIRECT("'"&amp;$A30&amp;"'!$A$12:$Z$41"),MATCH("Points (Auto-generate)",INDIRECT("'"&amp;$A30&amp;"'!$A$12:$Z$12"),0),0)="","?",VLOOKUP(AA$1,INDIRECT("'"&amp;$A30&amp;"'!$A$12:$Z$41"),MATCH("Points (Auto-generate)",INDIRECT("'"&amp;$A30&amp;"'!$A$12:$Z$12"),0),0)),"ER"))</f>
        <v>?</v>
      </c>
      <c r="AB30" s="87" t="str">
        <f aca="true">IF($H30=0,"NA",IF($A30=INDIRECT("'"&amp;$A30&amp;"'!$B$1"),IF(VLOOKUP(AB$1,INDIRECT("'"&amp;$A30&amp;"'!$A$12:$Z$41"),MATCH("Points (Auto-generate)",INDIRECT("'"&amp;$A30&amp;"'!$A$12:$Z$12"),0),0)="","?",VLOOKUP(AB$1,INDIRECT("'"&amp;$A30&amp;"'!$A$12:$Z$41"),MATCH("Points (Auto-generate)",INDIRECT("'"&amp;$A30&amp;"'!$A$12:$Z$12"),0),0)),"ER"))</f>
        <v>?</v>
      </c>
      <c r="AC30" s="87" t="str">
        <f aca="true">IF($H30=0,"NA",IF($A30=INDIRECT("'"&amp;$A30&amp;"'!$B$1"),IF(VLOOKUP(AC$1,INDIRECT("'"&amp;$A30&amp;"'!$A$12:$Z$41"),MATCH("Points (Auto-generate)",INDIRECT("'"&amp;$A30&amp;"'!$A$12:$Z$12"),0),0)="","?",VLOOKUP(AC$1,INDIRECT("'"&amp;$A30&amp;"'!$A$12:$Z$41"),MATCH("Points (Auto-generate)",INDIRECT("'"&amp;$A30&amp;"'!$A$12:$Z$12"),0),0)),"ER"))</f>
        <v>?</v>
      </c>
      <c r="AD30" s="87" t="str">
        <f aca="true">IF($H30=0,"NA",IF($A30=INDIRECT("'"&amp;$A30&amp;"'!$B$1"),IF(VLOOKUP(AD$1,INDIRECT("'"&amp;$A30&amp;"'!$A$12:$Z$41"),MATCH("Points (Auto-generate)",INDIRECT("'"&amp;$A30&amp;"'!$A$12:$Z$12"),0),0)="","?",VLOOKUP(AD$1,INDIRECT("'"&amp;$A30&amp;"'!$A$12:$Z$41"),MATCH("Points (Auto-generate)",INDIRECT("'"&amp;$A30&amp;"'!$A$12:$Z$12"),0),0)),"ER"))</f>
        <v>?</v>
      </c>
      <c r="AE30" s="87" t="str">
        <f aca="true">IF($H30=0,"NA",IF($A30=INDIRECT("'"&amp;$A30&amp;"'!$B$1"),IF(VLOOKUP(AE$1,INDIRECT("'"&amp;$A30&amp;"'!$A$12:$Z$41"),MATCH("Points (Auto-generate)",INDIRECT("'"&amp;$A30&amp;"'!$A$12:$Z$12"),0),0)="","?",VLOOKUP(AE$1,INDIRECT("'"&amp;$A30&amp;"'!$A$12:$Z$41"),MATCH("Points (Auto-generate)",INDIRECT("'"&amp;$A30&amp;"'!$A$12:$Z$12"),0),0)),"ER"))</f>
        <v>?</v>
      </c>
      <c r="AF30" s="87" t="str">
        <f aca="true">IF($H30=0,"NA",IF($A30=INDIRECT("'"&amp;$A30&amp;"'!$B$1"),IF(VLOOKUP(AF$1,INDIRECT("'"&amp;$A30&amp;"'!$A$12:$Z$41"),MATCH("Points (Auto-generate)",INDIRECT("'"&amp;$A30&amp;"'!$A$12:$Z$12"),0),0)="","?",VLOOKUP(AF$1,INDIRECT("'"&amp;$A30&amp;"'!$A$12:$Z$41"),MATCH("Points (Auto-generate)",INDIRECT("'"&amp;$A30&amp;"'!$A$12:$Z$12"),0),0)),"ER"))</f>
        <v>?</v>
      </c>
      <c r="AG30" s="87" t="str">
        <f aca="true">IF($H30=0,"NA",IF($A30=INDIRECT("'"&amp;$A30&amp;"'!$B$1"),IF(VLOOKUP(AG$1,INDIRECT("'"&amp;$A30&amp;"'!$A$12:$Z$41"),MATCH("Points (Auto-generate)",INDIRECT("'"&amp;$A30&amp;"'!$A$12:$Z$12"),0),0)="","?",VLOOKUP(AG$1,INDIRECT("'"&amp;$A30&amp;"'!$A$12:$Z$41"),MATCH("Points (Auto-generate)",INDIRECT("'"&amp;$A30&amp;"'!$A$12:$Z$12"),0),0)),"ER"))</f>
        <v>?</v>
      </c>
      <c r="AH30" s="87" t="str">
        <f aca="true">IF($H30=0,"NA",IF($A30=INDIRECT("'"&amp;$A30&amp;"'!$B$1"),IF(VLOOKUP(AH$1,INDIRECT("'"&amp;$A30&amp;"'!$A$12:$Z$41"),MATCH("Points (Auto-generate)",INDIRECT("'"&amp;$A30&amp;"'!$A$12:$Z$12"),0),0)="","?",VLOOKUP(AH$1,INDIRECT("'"&amp;$A30&amp;"'!$A$12:$Z$41"),MATCH("Points (Auto-generate)",INDIRECT("'"&amp;$A30&amp;"'!$A$12:$Z$12"),0),0)),"ER"))</f>
        <v>?</v>
      </c>
      <c r="AI30" s="87" t="str">
        <f aca="true">IF($H30=0,"NA",IF($A30=INDIRECT("'"&amp;$A30&amp;"'!$B$1"),IF(VLOOKUP(AI$1,INDIRECT("'"&amp;$A30&amp;"'!$A$12:$Z$41"),MATCH("Points (Auto-generate)",INDIRECT("'"&amp;$A30&amp;"'!$A$12:$Z$12"),0),0)="","?",VLOOKUP(AI$1,INDIRECT("'"&amp;$A30&amp;"'!$A$12:$Z$41"),MATCH("Points (Auto-generate)",INDIRECT("'"&amp;$A30&amp;"'!$A$12:$Z$12"),0),0)),"ER"))</f>
        <v>?</v>
      </c>
      <c r="AJ30" s="87" t="str">
        <f aca="true">IF($H30=0,"NA",IF($A30=INDIRECT("'"&amp;$A30&amp;"'!$B$1"),IF(VLOOKUP(AJ$1,INDIRECT("'"&amp;$A30&amp;"'!$A$12:$Z$41"),MATCH("Points (Auto-generate)",INDIRECT("'"&amp;$A30&amp;"'!$A$12:$Z$12"),0),0)="","?",VLOOKUP(AJ$1,INDIRECT("'"&amp;$A30&amp;"'!$A$12:$Z$41"),MATCH("Points (Auto-generate)",INDIRECT("'"&amp;$A30&amp;"'!$A$12:$Z$12"),0),0)),"ER"))</f>
        <v>?</v>
      </c>
      <c r="AK30" s="87" t="str">
        <f aca="true">IF($H30=0,"NA",IF($A30=INDIRECT("'"&amp;$A30&amp;"'!$B$1"),IF(VLOOKUP(AK$1,INDIRECT("'"&amp;$A30&amp;"'!$A$12:$Z$41"),MATCH("Points (Auto-generate)",INDIRECT("'"&amp;$A30&amp;"'!$A$12:$Z$12"),0),0)="","?",VLOOKUP(AK$1,INDIRECT("'"&amp;$A30&amp;"'!$A$12:$Z$41"),MATCH("Points (Auto-generate)",INDIRECT("'"&amp;$A30&amp;"'!$A$12:$Z$12"),0),0)),"ER"))</f>
        <v>?</v>
      </c>
    </row>
    <row r="31" customFormat="false" ht="14.25" hidden="false" customHeight="true" outlineLevel="0" collapsed="false">
      <c r="A31" s="83" t="s">
        <v>219</v>
      </c>
      <c r="B31" s="84" t="str">
        <f aca="false">IF(ISBLANK($A31),"NO_CODE",VLOOKUP($A31,'UPD Questions_290926 '!$E$1:$N$300,MATCH(B$1,'UPD Questions_290926 '!$E$1:$N$1,0),0)&amp;"")</f>
        <v>Planning </v>
      </c>
      <c r="C31" s="84" t="str">
        <f aca="false">IF(ISBLANK($A31),"NO_CODE",VLOOKUP($A31,'UPD Questions_290926 '!$E$1:$N$300,MATCH(C$1,'UPD Questions_290926 '!$E$1:$N$1,0),0)&amp;"")</f>
        <v>Municipal/City Plan objectives and contents</v>
      </c>
      <c r="D31" s="84" t="str">
        <f aca="false">IF(ISBLANK($A31),"NO_CODE",VLOOKUP($A31,'UPD Questions_290926 '!$E$1:$N$300,MATCH(D$1,'UPD Questions_290926 '!$E$1:$N$1,0),0)&amp;"")</f>
        <v>Statutory requirements for plan content</v>
      </c>
      <c r="E31" s="84" t="str">
        <f aca="false">IF(ISBLANK($A31),"NO_CODE",VLOOKUP($A31,'UPD Questions_290926 '!$E$1:$N$300,MATCH(E$1,'UPD Questions_290926 '!$E$1:$N$1,0),0)&amp;"")</f>
        <v>SQ</v>
      </c>
      <c r="F31" s="84" t="str">
        <f aca="false">IF(ISBLANK($A31),"NO_CODE",VLOOKUP($A31,'UPD Questions_290926 '!$E$1:$N$300,MATCH(F$1,'UPD Questions_290926 '!$E$1:$N$1,0),0)&amp;"")</f>
        <v>f) Social Development        </v>
      </c>
      <c r="G31" s="84" t="str">
        <f aca="false">IF(ISBLANK($A31),"NO_CODE",VLOOKUP($A31,'UPD Questions_290926 '!$E$1:$N$300,MATCH(G$1,'UPD Questions_290926 '!$E$1:$N$1,0),0)&amp;"")</f>
        <v>Law/Policy</v>
      </c>
      <c r="H31" s="86" t="n">
        <f aca="false">IF(ISBLANK($A31),"NO_CODE",VLOOKUP($A31,'UPD Questions_290926 '!$E$1:$N$300,MATCH(H$1,'UPD Questions_290926 '!$E$1:$N$1,0),0))</f>
        <v>1.67</v>
      </c>
      <c r="I31" s="87" t="str">
        <f aca="true">IF($H31=0,"NA",IF($A31=INDIRECT("'"&amp;$A31&amp;"'!$B$1"),IF(VLOOKUP(I$1,INDIRECT("'"&amp;$A31&amp;"'!$A$12:$Z$41"),MATCH("Points (Auto-generate)",INDIRECT("'"&amp;$A31&amp;"'!$A$12:$Z$12"),0),0)="","?",VLOOKUP(I$1,INDIRECT("'"&amp;$A31&amp;"'!$A$12:$Z$41"),MATCH("Points (Auto-generate)",INDIRECT("'"&amp;$A31&amp;"'!$A$12:$Z$12"),0),0)),"ER"))</f>
        <v>?</v>
      </c>
      <c r="J31" s="87" t="str">
        <f aca="true">IF($H31=0,"NA",IF($A31=INDIRECT("'"&amp;$A31&amp;"'!$B$1"),IF(VLOOKUP(J$1,INDIRECT("'"&amp;$A31&amp;"'!$A$12:$Z$41"),MATCH("Points (Auto-generate)",INDIRECT("'"&amp;$A31&amp;"'!$A$12:$Z$12"),0),0)="","?",VLOOKUP(J$1,INDIRECT("'"&amp;$A31&amp;"'!$A$12:$Z$41"),MATCH("Points (Auto-generate)",INDIRECT("'"&amp;$A31&amp;"'!$A$12:$Z$12"),0),0)),"ER"))</f>
        <v>?</v>
      </c>
      <c r="K31" s="87" t="str">
        <f aca="true">IF($H31=0,"NA",IF($A31=INDIRECT("'"&amp;$A31&amp;"'!$B$1"),IF(VLOOKUP(K$1,INDIRECT("'"&amp;$A31&amp;"'!$A$12:$Z$41"),MATCH("Points (Auto-generate)",INDIRECT("'"&amp;$A31&amp;"'!$A$12:$Z$12"),0),0)="","?",VLOOKUP(K$1,INDIRECT("'"&amp;$A31&amp;"'!$A$12:$Z$41"),MATCH("Points (Auto-generate)",INDIRECT("'"&amp;$A31&amp;"'!$A$12:$Z$12"),0),0)),"ER"))</f>
        <v>?</v>
      </c>
      <c r="L31" s="87" t="str">
        <f aca="true">IF($H31=0,"NA",IF($A31=INDIRECT("'"&amp;$A31&amp;"'!$B$1"),IF(VLOOKUP(L$1,INDIRECT("'"&amp;$A31&amp;"'!$A$12:$Z$41"),MATCH("Points (Auto-generate)",INDIRECT("'"&amp;$A31&amp;"'!$A$12:$Z$12"),0),0)="","?",VLOOKUP(L$1,INDIRECT("'"&amp;$A31&amp;"'!$A$12:$Z$41"),MATCH("Points (Auto-generate)",INDIRECT("'"&amp;$A31&amp;"'!$A$12:$Z$12"),0),0)),"ER"))</f>
        <v>?</v>
      </c>
      <c r="M31" s="87" t="str">
        <f aca="true">IF($H31=0,"NA",IF($A31=INDIRECT("'"&amp;$A31&amp;"'!$B$1"),IF(VLOOKUP(M$1,INDIRECT("'"&amp;$A31&amp;"'!$A$12:$Z$41"),MATCH("Points (Auto-generate)",INDIRECT("'"&amp;$A31&amp;"'!$A$12:$Z$12"),0),0)="","?",VLOOKUP(M$1,INDIRECT("'"&amp;$A31&amp;"'!$A$12:$Z$41"),MATCH("Points (Auto-generate)",INDIRECT("'"&amp;$A31&amp;"'!$A$12:$Z$12"),0),0)),"ER"))</f>
        <v>?</v>
      </c>
      <c r="N31" s="87" t="str">
        <f aca="true">IF($H31=0,"NA",IF($A31=INDIRECT("'"&amp;$A31&amp;"'!$B$1"),IF(VLOOKUP(N$1,INDIRECT("'"&amp;$A31&amp;"'!$A$12:$Z$41"),MATCH("Points (Auto-generate)",INDIRECT("'"&amp;$A31&amp;"'!$A$12:$Z$12"),0),0)="","?",VLOOKUP(N$1,INDIRECT("'"&amp;$A31&amp;"'!$A$12:$Z$41"),MATCH("Points (Auto-generate)",INDIRECT("'"&amp;$A31&amp;"'!$A$12:$Z$12"),0),0)),"ER"))</f>
        <v>?</v>
      </c>
      <c r="O31" s="87" t="str">
        <f aca="true">IF($H31=0,"NA",IF($A31=INDIRECT("'"&amp;$A31&amp;"'!$B$1"),IF(VLOOKUP(O$1,INDIRECT("'"&amp;$A31&amp;"'!$A$12:$Z$41"),MATCH("Points (Auto-generate)",INDIRECT("'"&amp;$A31&amp;"'!$A$12:$Z$12"),0),0)="","?",VLOOKUP(O$1,INDIRECT("'"&amp;$A31&amp;"'!$A$12:$Z$41"),MATCH("Points (Auto-generate)",INDIRECT("'"&amp;$A31&amp;"'!$A$12:$Z$12"),0),0)),"ER"))</f>
        <v>?</v>
      </c>
      <c r="P31" s="87" t="str">
        <f aca="true">IF($H31=0,"NA",IF($A31=INDIRECT("'"&amp;$A31&amp;"'!$B$1"),IF(VLOOKUP(P$1,INDIRECT("'"&amp;$A31&amp;"'!$A$12:$Z$41"),MATCH("Points (Auto-generate)",INDIRECT("'"&amp;$A31&amp;"'!$A$12:$Z$12"),0),0)="","?",VLOOKUP(P$1,INDIRECT("'"&amp;$A31&amp;"'!$A$12:$Z$41"),MATCH("Points (Auto-generate)",INDIRECT("'"&amp;$A31&amp;"'!$A$12:$Z$12"),0),0)),"ER"))</f>
        <v>?</v>
      </c>
      <c r="Q31" s="87" t="str">
        <f aca="true">IF($H31=0,"NA",IF($A31=INDIRECT("'"&amp;$A31&amp;"'!$B$1"),IF(VLOOKUP(Q$1,INDIRECT("'"&amp;$A31&amp;"'!$A$12:$Z$41"),MATCH("Points (Auto-generate)",INDIRECT("'"&amp;$A31&amp;"'!$A$12:$Z$12"),0),0)="","?",VLOOKUP(Q$1,INDIRECT("'"&amp;$A31&amp;"'!$A$12:$Z$41"),MATCH("Points (Auto-generate)",INDIRECT("'"&amp;$A31&amp;"'!$A$12:$Z$12"),0),0)),"ER"))</f>
        <v>?</v>
      </c>
      <c r="R31" s="87" t="str">
        <f aca="true">IF($H31=0,"NA",IF($A31=INDIRECT("'"&amp;$A31&amp;"'!$B$1"),IF(VLOOKUP(R$1,INDIRECT("'"&amp;$A31&amp;"'!$A$12:$Z$41"),MATCH("Points (Auto-generate)",INDIRECT("'"&amp;$A31&amp;"'!$A$12:$Z$12"),0),0)="","?",VLOOKUP(R$1,INDIRECT("'"&amp;$A31&amp;"'!$A$12:$Z$41"),MATCH("Points (Auto-generate)",INDIRECT("'"&amp;$A31&amp;"'!$A$12:$Z$12"),0),0)),"ER"))</f>
        <v>?</v>
      </c>
      <c r="S31" s="87" t="str">
        <f aca="true">IF($H31=0,"NA",IF($A31=INDIRECT("'"&amp;$A31&amp;"'!$B$1"),IF(VLOOKUP(S$1,INDIRECT("'"&amp;$A31&amp;"'!$A$12:$Z$41"),MATCH("Points (Auto-generate)",INDIRECT("'"&amp;$A31&amp;"'!$A$12:$Z$12"),0),0)="","?",VLOOKUP(S$1,INDIRECT("'"&amp;$A31&amp;"'!$A$12:$Z$41"),MATCH("Points (Auto-generate)",INDIRECT("'"&amp;$A31&amp;"'!$A$12:$Z$12"),0),0)),"ER"))</f>
        <v>?</v>
      </c>
      <c r="T31" s="87" t="str">
        <f aca="true">IF($H31=0,"NA",IF($A31=INDIRECT("'"&amp;$A31&amp;"'!$B$1"),IF(VLOOKUP(T$1,INDIRECT("'"&amp;$A31&amp;"'!$A$12:$Z$41"),MATCH("Points (Auto-generate)",INDIRECT("'"&amp;$A31&amp;"'!$A$12:$Z$12"),0),0)="","?",VLOOKUP(T$1,INDIRECT("'"&amp;$A31&amp;"'!$A$12:$Z$41"),MATCH("Points (Auto-generate)",INDIRECT("'"&amp;$A31&amp;"'!$A$12:$Z$12"),0),0)),"ER"))</f>
        <v>?</v>
      </c>
      <c r="U31" s="87" t="str">
        <f aca="true">IF($H31=0,"NA",IF($A31=INDIRECT("'"&amp;$A31&amp;"'!$B$1"),IF(VLOOKUP(U$1,INDIRECT("'"&amp;$A31&amp;"'!$A$12:$Z$41"),MATCH("Points (Auto-generate)",INDIRECT("'"&amp;$A31&amp;"'!$A$12:$Z$12"),0),0)="","?",VLOOKUP(U$1,INDIRECT("'"&amp;$A31&amp;"'!$A$12:$Z$41"),MATCH("Points (Auto-generate)",INDIRECT("'"&amp;$A31&amp;"'!$A$12:$Z$12"),0),0)),"ER"))</f>
        <v>?</v>
      </c>
      <c r="V31" s="87" t="str">
        <f aca="true">IF($H31=0,"NA",IF($A31=INDIRECT("'"&amp;$A31&amp;"'!$B$1"),IF(VLOOKUP(V$1,INDIRECT("'"&amp;$A31&amp;"'!$A$12:$Z$41"),MATCH("Points (Auto-generate)",INDIRECT("'"&amp;$A31&amp;"'!$A$12:$Z$12"),0),0)="","?",VLOOKUP(V$1,INDIRECT("'"&amp;$A31&amp;"'!$A$12:$Z$41"),MATCH("Points (Auto-generate)",INDIRECT("'"&amp;$A31&amp;"'!$A$12:$Z$12"),0),0)),"ER"))</f>
        <v>?</v>
      </c>
      <c r="W31" s="87" t="str">
        <f aca="true">IF($H31=0,"NA",IF($A31=INDIRECT("'"&amp;$A31&amp;"'!$B$1"),IF(VLOOKUP(W$1,INDIRECT("'"&amp;$A31&amp;"'!$A$12:$Z$41"),MATCH("Points (Auto-generate)",INDIRECT("'"&amp;$A31&amp;"'!$A$12:$Z$12"),0),0)="","?",VLOOKUP(W$1,INDIRECT("'"&amp;$A31&amp;"'!$A$12:$Z$41"),MATCH("Points (Auto-generate)",INDIRECT("'"&amp;$A31&amp;"'!$A$12:$Z$12"),0),0)),"ER"))</f>
        <v>?</v>
      </c>
      <c r="X31" s="87" t="str">
        <f aca="true">IF($H31=0,"NA",IF($A31=INDIRECT("'"&amp;$A31&amp;"'!$B$1"),IF(VLOOKUP(X$1,INDIRECT("'"&amp;$A31&amp;"'!$A$12:$Z$41"),MATCH("Points (Auto-generate)",INDIRECT("'"&amp;$A31&amp;"'!$A$12:$Z$12"),0),0)="","?",VLOOKUP(X$1,INDIRECT("'"&amp;$A31&amp;"'!$A$12:$Z$41"),MATCH("Points (Auto-generate)",INDIRECT("'"&amp;$A31&amp;"'!$A$12:$Z$12"),0),0)),"ER"))</f>
        <v>?</v>
      </c>
      <c r="Y31" s="87" t="str">
        <f aca="true">IF($H31=0,"NA",IF($A31=INDIRECT("'"&amp;$A31&amp;"'!$B$1"),IF(VLOOKUP(Y$1,INDIRECT("'"&amp;$A31&amp;"'!$A$12:$Z$41"),MATCH("Points (Auto-generate)",INDIRECT("'"&amp;$A31&amp;"'!$A$12:$Z$12"),0),0)="","?",VLOOKUP(Y$1,INDIRECT("'"&amp;$A31&amp;"'!$A$12:$Z$41"),MATCH("Points (Auto-generate)",INDIRECT("'"&amp;$A31&amp;"'!$A$12:$Z$12"),0),0)),"ER"))</f>
        <v>?</v>
      </c>
      <c r="Z31" s="87" t="str">
        <f aca="true">IF($H31=0,"NA",IF($A31=INDIRECT("'"&amp;$A31&amp;"'!$B$1"),IF(VLOOKUP(Z$1,INDIRECT("'"&amp;$A31&amp;"'!$A$12:$Z$41"),MATCH("Points (Auto-generate)",INDIRECT("'"&amp;$A31&amp;"'!$A$12:$Z$12"),0),0)="","?",VLOOKUP(Z$1,INDIRECT("'"&amp;$A31&amp;"'!$A$12:$Z$41"),MATCH("Points (Auto-generate)",INDIRECT("'"&amp;$A31&amp;"'!$A$12:$Z$12"),0),0)),"ER"))</f>
        <v>?</v>
      </c>
      <c r="AA31" s="87" t="str">
        <f aca="true">IF($H31=0,"NA",IF($A31=INDIRECT("'"&amp;$A31&amp;"'!$B$1"),IF(VLOOKUP(AA$1,INDIRECT("'"&amp;$A31&amp;"'!$A$12:$Z$41"),MATCH("Points (Auto-generate)",INDIRECT("'"&amp;$A31&amp;"'!$A$12:$Z$12"),0),0)="","?",VLOOKUP(AA$1,INDIRECT("'"&amp;$A31&amp;"'!$A$12:$Z$41"),MATCH("Points (Auto-generate)",INDIRECT("'"&amp;$A31&amp;"'!$A$12:$Z$12"),0),0)),"ER"))</f>
        <v>?</v>
      </c>
      <c r="AB31" s="87" t="str">
        <f aca="true">IF($H31=0,"NA",IF($A31=INDIRECT("'"&amp;$A31&amp;"'!$B$1"),IF(VLOOKUP(AB$1,INDIRECT("'"&amp;$A31&amp;"'!$A$12:$Z$41"),MATCH("Points (Auto-generate)",INDIRECT("'"&amp;$A31&amp;"'!$A$12:$Z$12"),0),0)="","?",VLOOKUP(AB$1,INDIRECT("'"&amp;$A31&amp;"'!$A$12:$Z$41"),MATCH("Points (Auto-generate)",INDIRECT("'"&amp;$A31&amp;"'!$A$12:$Z$12"),0),0)),"ER"))</f>
        <v>?</v>
      </c>
      <c r="AC31" s="87" t="str">
        <f aca="true">IF($H31=0,"NA",IF($A31=INDIRECT("'"&amp;$A31&amp;"'!$B$1"),IF(VLOOKUP(AC$1,INDIRECT("'"&amp;$A31&amp;"'!$A$12:$Z$41"),MATCH("Points (Auto-generate)",INDIRECT("'"&amp;$A31&amp;"'!$A$12:$Z$12"),0),0)="","?",VLOOKUP(AC$1,INDIRECT("'"&amp;$A31&amp;"'!$A$12:$Z$41"),MATCH("Points (Auto-generate)",INDIRECT("'"&amp;$A31&amp;"'!$A$12:$Z$12"),0),0)),"ER"))</f>
        <v>?</v>
      </c>
      <c r="AD31" s="87" t="str">
        <f aca="true">IF($H31=0,"NA",IF($A31=INDIRECT("'"&amp;$A31&amp;"'!$B$1"),IF(VLOOKUP(AD$1,INDIRECT("'"&amp;$A31&amp;"'!$A$12:$Z$41"),MATCH("Points (Auto-generate)",INDIRECT("'"&amp;$A31&amp;"'!$A$12:$Z$12"),0),0)="","?",VLOOKUP(AD$1,INDIRECT("'"&amp;$A31&amp;"'!$A$12:$Z$41"),MATCH("Points (Auto-generate)",INDIRECT("'"&amp;$A31&amp;"'!$A$12:$Z$12"),0),0)),"ER"))</f>
        <v>?</v>
      </c>
      <c r="AE31" s="87" t="str">
        <f aca="true">IF($H31=0,"NA",IF($A31=INDIRECT("'"&amp;$A31&amp;"'!$B$1"),IF(VLOOKUP(AE$1,INDIRECT("'"&amp;$A31&amp;"'!$A$12:$Z$41"),MATCH("Points (Auto-generate)",INDIRECT("'"&amp;$A31&amp;"'!$A$12:$Z$12"),0),0)="","?",VLOOKUP(AE$1,INDIRECT("'"&amp;$A31&amp;"'!$A$12:$Z$41"),MATCH("Points (Auto-generate)",INDIRECT("'"&amp;$A31&amp;"'!$A$12:$Z$12"),0),0)),"ER"))</f>
        <v>?</v>
      </c>
      <c r="AF31" s="87" t="str">
        <f aca="true">IF($H31=0,"NA",IF($A31=INDIRECT("'"&amp;$A31&amp;"'!$B$1"),IF(VLOOKUP(AF$1,INDIRECT("'"&amp;$A31&amp;"'!$A$12:$Z$41"),MATCH("Points (Auto-generate)",INDIRECT("'"&amp;$A31&amp;"'!$A$12:$Z$12"),0),0)="","?",VLOOKUP(AF$1,INDIRECT("'"&amp;$A31&amp;"'!$A$12:$Z$41"),MATCH("Points (Auto-generate)",INDIRECT("'"&amp;$A31&amp;"'!$A$12:$Z$12"),0),0)),"ER"))</f>
        <v>?</v>
      </c>
      <c r="AG31" s="87" t="str">
        <f aca="true">IF($H31=0,"NA",IF($A31=INDIRECT("'"&amp;$A31&amp;"'!$B$1"),IF(VLOOKUP(AG$1,INDIRECT("'"&amp;$A31&amp;"'!$A$12:$Z$41"),MATCH("Points (Auto-generate)",INDIRECT("'"&amp;$A31&amp;"'!$A$12:$Z$12"),0),0)="","?",VLOOKUP(AG$1,INDIRECT("'"&amp;$A31&amp;"'!$A$12:$Z$41"),MATCH("Points (Auto-generate)",INDIRECT("'"&amp;$A31&amp;"'!$A$12:$Z$12"),0),0)),"ER"))</f>
        <v>?</v>
      </c>
      <c r="AH31" s="87" t="str">
        <f aca="true">IF($H31=0,"NA",IF($A31=INDIRECT("'"&amp;$A31&amp;"'!$B$1"),IF(VLOOKUP(AH$1,INDIRECT("'"&amp;$A31&amp;"'!$A$12:$Z$41"),MATCH("Points (Auto-generate)",INDIRECT("'"&amp;$A31&amp;"'!$A$12:$Z$12"),0),0)="","?",VLOOKUP(AH$1,INDIRECT("'"&amp;$A31&amp;"'!$A$12:$Z$41"),MATCH("Points (Auto-generate)",INDIRECT("'"&amp;$A31&amp;"'!$A$12:$Z$12"),0),0)),"ER"))</f>
        <v>?</v>
      </c>
      <c r="AI31" s="87" t="str">
        <f aca="true">IF($H31=0,"NA",IF($A31=INDIRECT("'"&amp;$A31&amp;"'!$B$1"),IF(VLOOKUP(AI$1,INDIRECT("'"&amp;$A31&amp;"'!$A$12:$Z$41"),MATCH("Points (Auto-generate)",INDIRECT("'"&amp;$A31&amp;"'!$A$12:$Z$12"),0),0)="","?",VLOOKUP(AI$1,INDIRECT("'"&amp;$A31&amp;"'!$A$12:$Z$41"),MATCH("Points (Auto-generate)",INDIRECT("'"&amp;$A31&amp;"'!$A$12:$Z$12"),0),0)),"ER"))</f>
        <v>?</v>
      </c>
      <c r="AJ31" s="87" t="str">
        <f aca="true">IF($H31=0,"NA",IF($A31=INDIRECT("'"&amp;$A31&amp;"'!$B$1"),IF(VLOOKUP(AJ$1,INDIRECT("'"&amp;$A31&amp;"'!$A$12:$Z$41"),MATCH("Points (Auto-generate)",INDIRECT("'"&amp;$A31&amp;"'!$A$12:$Z$12"),0),0)="","?",VLOOKUP(AJ$1,INDIRECT("'"&amp;$A31&amp;"'!$A$12:$Z$41"),MATCH("Points (Auto-generate)",INDIRECT("'"&amp;$A31&amp;"'!$A$12:$Z$12"),0),0)),"ER"))</f>
        <v>?</v>
      </c>
      <c r="AK31" s="87" t="str">
        <f aca="true">IF($H31=0,"NA",IF($A31=INDIRECT("'"&amp;$A31&amp;"'!$B$1"),IF(VLOOKUP(AK$1,INDIRECT("'"&amp;$A31&amp;"'!$A$12:$Z$41"),MATCH("Points (Auto-generate)",INDIRECT("'"&amp;$A31&amp;"'!$A$12:$Z$12"),0),0)="","?",VLOOKUP(AK$1,INDIRECT("'"&amp;$A31&amp;"'!$A$12:$Z$41"),MATCH("Points (Auto-generate)",INDIRECT("'"&amp;$A31&amp;"'!$A$12:$Z$12"),0),0)),"ER"))</f>
        <v>?</v>
      </c>
    </row>
    <row r="32" customFormat="false" ht="14.25" hidden="false" customHeight="true" outlineLevel="0" collapsed="false">
      <c r="A32" s="83" t="s">
        <v>739</v>
      </c>
      <c r="B32" s="84" t="str">
        <f aca="false">IF(ISBLANK($A32),"NO_CODE",VLOOKUP($A32,'UPD Questions_290926 '!$E$1:$N$300,MATCH(B$1,'UPD Questions_290926 '!$E$1:$N$1,0),0)&amp;"")</f>
        <v>Implementation</v>
      </c>
      <c r="C32" s="84" t="str">
        <f aca="false">IF(ISBLANK($A32),"NO_CODE",VLOOKUP($A32,'UPD Questions_290926 '!$E$1:$N$300,MATCH(C$1,'UPD Questions_290926 '!$E$1:$N$1,0),0)&amp;"")</f>
        <v>Municipal/City Plan status, hierarchy and coordination</v>
      </c>
      <c r="D32" s="84" t="str">
        <f aca="false">IF(ISBLANK($A32),"NO_CODE",VLOOKUP($A32,'UPD Questions_290926 '!$E$1:$N$300,MATCH(D$1,'UPD Questions_290926 '!$E$1:$N$1,0),0)&amp;"")</f>
        <v>Existence of Municipal/City Plans at each level</v>
      </c>
      <c r="E32" s="84" t="str">
        <f aca="false">IF(ISBLANK($A32),"NO_CODE",VLOOKUP($A32,'UPD Questions_290926 '!$E$1:$N$300,MATCH(E$1,'UPD Questions_290926 '!$E$1:$N$1,0),0)&amp;"")</f>
        <v>MQ</v>
      </c>
      <c r="F32" s="84" t="str">
        <f aca="false">IF(ISBLANK($A32),"NO_CODE",VLOOKUP($A32,'UPD Questions_290926 '!$E$1:$N$300,MATCH(F$1,'UPD Questions_290926 '!$E$1:$N$1,0),0)&amp;"")</f>
        <v>Are the spatial plans at the Metropolitan/Regional, Municipal and Ward(s) /Local level notified?</v>
      </c>
      <c r="G32" s="84" t="str">
        <f aca="false">IF(ISBLANK($A32),"NO_CODE",VLOOKUP($A32,'UPD Questions_290926 '!$E$1:$N$300,MATCH(G$1,'UPD Questions_290926 '!$E$1:$N$1,0),0)&amp;"")</f>
        <v>Implementation</v>
      </c>
      <c r="H32" s="86" t="n">
        <f aca="false">IF(ISBLANK($A32),"NO_CODE",VLOOKUP($A32,'UPD Questions_290926 '!$E$1:$N$300,MATCH(H$1,'UPD Questions_290926 '!$E$1:$N$1,0),0))</f>
        <v>10</v>
      </c>
      <c r="I32" s="87" t="str">
        <f aca="false">IF(OR(I33="ER",I34="ER",I35="ER"),"ER",IF(OR(I33="?",I34="?",I35="?"),"?",IF(AND(I33="NA",I34="NA",I35="NA"),"NA",SUM(I33,I34,I35)/((I33&lt;&gt;"NA")*$H$33+(I34&lt;&gt;"NA")*$H$34+(I35&lt;&gt;"NA")*$H$35)*$H32)))</f>
        <v>?</v>
      </c>
      <c r="J32" s="87" t="str">
        <f aca="false">IF(OR(J33="ER",J34="ER",J35="ER"),"ER",IF(OR(J33="?",J34="?",J35="?"),"?",IF(AND(J33="NA",J34="NA",J35="NA"),"NA",SUM(J33,J34,J35)/((J33&lt;&gt;"NA")*$H$33+(J34&lt;&gt;"NA")*$H$34+(J35&lt;&gt;"NA")*$H$35)*$H32)))</f>
        <v>?</v>
      </c>
      <c r="K32" s="87" t="str">
        <f aca="false">IF(OR(K33="ER",K34="ER",K35="ER"),"ER",IF(OR(K33="?",K34="?",K35="?"),"?",IF(AND(K33="NA",K34="NA",K35="NA"),"NA",SUM(K33,K34,K35)/((K33&lt;&gt;"NA")*$H$33+(K34&lt;&gt;"NA")*$H$34+(K35&lt;&gt;"NA")*$H$35)*$H32)))</f>
        <v>?</v>
      </c>
      <c r="L32" s="87" t="str">
        <f aca="false">IF(OR(L33="ER",L34="ER",L35="ER"),"ER",IF(OR(L33="?",L34="?",L35="?"),"?",IF(AND(L33="NA",L34="NA",L35="NA"),"NA",SUM(L33,L34,L35)/((L33&lt;&gt;"NA")*$H$33+(L34&lt;&gt;"NA")*$H$34+(L35&lt;&gt;"NA")*$H$35)*$H32)))</f>
        <v>?</v>
      </c>
      <c r="M32" s="87" t="str">
        <f aca="false">IF(OR(M33="ER",M34="ER",M35="ER"),"ER",IF(OR(M33="?",M34="?",M35="?"),"?",IF(AND(M33="NA",M34="NA",M35="NA"),"NA",SUM(M33,M34,M35)/((M33&lt;&gt;"NA")*$H$33+(M34&lt;&gt;"NA")*$H$34+(M35&lt;&gt;"NA")*$H$35)*$H32)))</f>
        <v>?</v>
      </c>
      <c r="N32" s="87" t="str">
        <f aca="false">IF(OR(N33="ER",N34="ER",N35="ER"),"ER",IF(OR(N33="?",N34="?",N35="?"),"?",IF(AND(N33="NA",N34="NA",N35="NA"),"NA",SUM(N33,N34,N35)/((N33&lt;&gt;"NA")*$H$33+(N34&lt;&gt;"NA")*$H$34+(N35&lt;&gt;"NA")*$H$35)*$H32)))</f>
        <v>?</v>
      </c>
      <c r="O32" s="87" t="str">
        <f aca="false">IF(OR(O33="ER",O34="ER",O35="ER"),"ER",IF(OR(O33="?",O34="?",O35="?"),"?",IF(AND(O33="NA",O34="NA",O35="NA"),"NA",SUM(O33,O34,O35)/((O33&lt;&gt;"NA")*$H$33+(O34&lt;&gt;"NA")*$H$34+(O35&lt;&gt;"NA")*$H$35)*$H32)))</f>
        <v>?</v>
      </c>
      <c r="P32" s="87" t="str">
        <f aca="false">IF(OR(P33="ER",P34="ER",P35="ER"),"ER",IF(OR(P33="?",P34="?",P35="?"),"?",IF(AND(P33="NA",P34="NA",P35="NA"),"NA",SUM(P33,P34,P35)/((P33&lt;&gt;"NA")*$H$33+(P34&lt;&gt;"NA")*$H$34+(P35&lt;&gt;"NA")*$H$35)*$H32)))</f>
        <v>?</v>
      </c>
      <c r="Q32" s="87" t="str">
        <f aca="false">IF(OR(Q33="ER",Q34="ER",Q35="ER"),"ER",IF(OR(Q33="?",Q34="?",Q35="?"),"?",IF(AND(Q33="NA",Q34="NA",Q35="NA"),"NA",SUM(Q33,Q34,Q35)/((Q33&lt;&gt;"NA")*$H$33+(Q34&lt;&gt;"NA")*$H$34+(Q35&lt;&gt;"NA")*$H$35)*$H32)))</f>
        <v>?</v>
      </c>
      <c r="R32" s="87" t="str">
        <f aca="false">IF(OR(R33="ER",R34="ER",R35="ER"),"ER",IF(OR(R33="?",R34="?",R35="?"),"?",IF(AND(R33="NA",R34="NA",R35="NA"),"NA",SUM(R33,R34,R35)/((R33&lt;&gt;"NA")*$H$33+(R34&lt;&gt;"NA")*$H$34+(R35&lt;&gt;"NA")*$H$35)*$H32)))</f>
        <v>?</v>
      </c>
      <c r="S32" s="87" t="str">
        <f aca="false">IF(OR(S33="ER",S34="ER",S35="ER"),"ER",IF(OR(S33="?",S34="?",S35="?"),"?",IF(AND(S33="NA",S34="NA",S35="NA"),"NA",SUM(S33,S34,S35)/((S33&lt;&gt;"NA")*$H$33+(S34&lt;&gt;"NA")*$H$34+(S35&lt;&gt;"NA")*$H$35)*$H32)))</f>
        <v>?</v>
      </c>
      <c r="T32" s="87" t="str">
        <f aca="false">IF(OR(T33="ER",T34="ER",T35="ER"),"ER",IF(OR(T33="?",T34="?",T35="?"),"?",IF(AND(T33="NA",T34="NA",T35="NA"),"NA",SUM(T33,T34,T35)/((T33&lt;&gt;"NA")*$H$33+(T34&lt;&gt;"NA")*$H$34+(T35&lt;&gt;"NA")*$H$35)*$H32)))</f>
        <v>?</v>
      </c>
      <c r="U32" s="87" t="str">
        <f aca="false">IF(OR(U33="ER",U34="ER",U35="ER"),"ER",IF(OR(U33="?",U34="?",U35="?"),"?",IF(AND(U33="NA",U34="NA",U35="NA"),"NA",SUM(U33,U34,U35)/((U33&lt;&gt;"NA")*$H$33+(U34&lt;&gt;"NA")*$H$34+(U35&lt;&gt;"NA")*$H$35)*$H32)))</f>
        <v>?</v>
      </c>
      <c r="V32" s="87" t="str">
        <f aca="false">IF(OR(V33="ER",V34="ER",V35="ER"),"ER",IF(OR(V33="?",V34="?",V35="?"),"?",IF(AND(V33="NA",V34="NA",V35="NA"),"NA",SUM(V33,V34,V35)/((V33&lt;&gt;"NA")*$H$33+(V34&lt;&gt;"NA")*$H$34+(V35&lt;&gt;"NA")*$H$35)*$H32)))</f>
        <v>?</v>
      </c>
      <c r="W32" s="87" t="str">
        <f aca="false">IF(OR(W33="ER",W34="ER",W35="ER"),"ER",IF(OR(W33="?",W34="?",W35="?"),"?",IF(AND(W33="NA",W34="NA",W35="NA"),"NA",SUM(W33,W34,W35)/((W33&lt;&gt;"NA")*$H$33+(W34&lt;&gt;"NA")*$H$34+(W35&lt;&gt;"NA")*$H$35)*$H32)))</f>
        <v>?</v>
      </c>
      <c r="X32" s="87" t="str">
        <f aca="false">IF(OR(X33="ER",X34="ER",X35="ER"),"ER",IF(OR(X33="?",X34="?",X35="?"),"?",IF(AND(X33="NA",X34="NA",X35="NA"),"NA",SUM(X33,X34,X35)/((X33&lt;&gt;"NA")*$H$33+(X34&lt;&gt;"NA")*$H$34+(X35&lt;&gt;"NA")*$H$35)*$H32)))</f>
        <v>?</v>
      </c>
      <c r="Y32" s="87" t="str">
        <f aca="false">IF(OR(Y33="ER",Y34="ER",Y35="ER"),"ER",IF(OR(Y33="?",Y34="?",Y35="?"),"?",IF(AND(Y33="NA",Y34="NA",Y35="NA"),"NA",SUM(Y33,Y34,Y35)/((Y33&lt;&gt;"NA")*$H$33+(Y34&lt;&gt;"NA")*$H$34+(Y35&lt;&gt;"NA")*$H$35)*$H32)))</f>
        <v>?</v>
      </c>
      <c r="Z32" s="87" t="str">
        <f aca="false">IF(OR(Z33="ER",Z34="ER",Z35="ER"),"ER",IF(OR(Z33="?",Z34="?",Z35="?"),"?",IF(AND(Z33="NA",Z34="NA",Z35="NA"),"NA",SUM(Z33,Z34,Z35)/((Z33&lt;&gt;"NA")*$H$33+(Z34&lt;&gt;"NA")*$H$34+(Z35&lt;&gt;"NA")*$H$35)*$H32)))</f>
        <v>?</v>
      </c>
      <c r="AA32" s="87" t="str">
        <f aca="false">IF(OR(AA33="ER",AA34="ER",AA35="ER"),"ER",IF(OR(AA33="?",AA34="?",AA35="?"),"?",IF(AND(AA33="NA",AA34="NA",AA35="NA"),"NA",SUM(AA33,AA34,AA35)/((AA33&lt;&gt;"NA")*$H$33+(AA34&lt;&gt;"NA")*$H$34+(AA35&lt;&gt;"NA")*$H$35)*$H32)))</f>
        <v>?</v>
      </c>
      <c r="AB32" s="87" t="str">
        <f aca="false">IF(OR(AB33="ER",AB34="ER",AB35="ER"),"ER",IF(OR(AB33="?",AB34="?",AB35="?"),"?",IF(AND(AB33="NA",AB34="NA",AB35="NA"),"NA",SUM(AB33,AB34,AB35)/((AB33&lt;&gt;"NA")*$H$33+(AB34&lt;&gt;"NA")*$H$34+(AB35&lt;&gt;"NA")*$H$35)*$H32)))</f>
        <v>?</v>
      </c>
      <c r="AC32" s="87" t="str">
        <f aca="false">IF(OR(AC33="ER",AC34="ER",AC35="ER"),"ER",IF(OR(AC33="?",AC34="?",AC35="?"),"?",IF(AND(AC33="NA",AC34="NA",AC35="NA"),"NA",SUM(AC33,AC34,AC35)/((AC33&lt;&gt;"NA")*$H$33+(AC34&lt;&gt;"NA")*$H$34+(AC35&lt;&gt;"NA")*$H$35)*$H32)))</f>
        <v>?</v>
      </c>
      <c r="AD32" s="87" t="str">
        <f aca="false">IF(OR(AD33="ER",AD34="ER",AD35="ER"),"ER",IF(OR(AD33="?",AD34="?",AD35="?"),"?",IF(AND(AD33="NA",AD34="NA",AD35="NA"),"NA",SUM(AD33,AD34,AD35)/((AD33&lt;&gt;"NA")*$H$33+(AD34&lt;&gt;"NA")*$H$34+(AD35&lt;&gt;"NA")*$H$35)*$H32)))</f>
        <v>?</v>
      </c>
      <c r="AE32" s="87" t="str">
        <f aca="false">IF(OR(AE33="ER",AE34="ER",AE35="ER"),"ER",IF(OR(AE33="?",AE34="?",AE35="?"),"?",IF(AND(AE33="NA",AE34="NA",AE35="NA"),"NA",SUM(AE33,AE34,AE35)/((AE33&lt;&gt;"NA")*$H$33+(AE34&lt;&gt;"NA")*$H$34+(AE35&lt;&gt;"NA")*$H$35)*$H32)))</f>
        <v>?</v>
      </c>
      <c r="AF32" s="87" t="str">
        <f aca="false">IF(OR(AF33="ER",AF34="ER",AF35="ER"),"ER",IF(OR(AF33="?",AF34="?",AF35="?"),"?",IF(AND(AF33="NA",AF34="NA",AF35="NA"),"NA",SUM(AF33,AF34,AF35)/((AF33&lt;&gt;"NA")*$H$33+(AF34&lt;&gt;"NA")*$H$34+(AF35&lt;&gt;"NA")*$H$35)*$H32)))</f>
        <v>?</v>
      </c>
      <c r="AG32" s="87" t="str">
        <f aca="false">IF(OR(AG33="ER",AG34="ER",AG35="ER"),"ER",IF(OR(AG33="?",AG34="?",AG35="?"),"?",IF(AND(AG33="NA",AG34="NA",AG35="NA"),"NA",SUM(AG33,AG34,AG35)/((AG33&lt;&gt;"NA")*$H$33+(AG34&lt;&gt;"NA")*$H$34+(AG35&lt;&gt;"NA")*$H$35)*$H32)))</f>
        <v>?</v>
      </c>
      <c r="AH32" s="87" t="str">
        <f aca="false">IF(OR(AH33="ER",AH34="ER",AH35="ER"),"ER",IF(OR(AH33="?",AH34="?",AH35="?"),"?",IF(AND(AH33="NA",AH34="NA",AH35="NA"),"NA",SUM(AH33,AH34,AH35)/((AH33&lt;&gt;"NA")*$H$33+(AH34&lt;&gt;"NA")*$H$34+(AH35&lt;&gt;"NA")*$H$35)*$H32)))</f>
        <v>?</v>
      </c>
      <c r="AI32" s="87" t="str">
        <f aca="false">IF(OR(AI33="ER",AI34="ER",AI35="ER"),"ER",IF(OR(AI33="?",AI34="?",AI35="?"),"?",IF(AND(AI33="NA",AI34="NA",AI35="NA"),"NA",SUM(AI33,AI34,AI35)/((AI33&lt;&gt;"NA")*$H$33+(AI34&lt;&gt;"NA")*$H$34+(AI35&lt;&gt;"NA")*$H$35)*$H32)))</f>
        <v>?</v>
      </c>
      <c r="AJ32" s="87" t="str">
        <f aca="false">IF(OR(AJ33="ER",AJ34="ER",AJ35="ER"),"ER",IF(OR(AJ33="?",AJ34="?",AJ35="?"),"?",IF(AND(AJ33="NA",AJ34="NA",AJ35="NA"),"NA",SUM(AJ33,AJ34,AJ35)/((AJ33&lt;&gt;"NA")*$H$33+(AJ34&lt;&gt;"NA")*$H$34+(AJ35&lt;&gt;"NA")*$H$35)*$H32)))</f>
        <v>?</v>
      </c>
      <c r="AK32" s="87" t="str">
        <f aca="false">IF(OR(AK33="ER",AK34="ER",AK35="ER"),"ER",IF(OR(AK33="?",AK34="?",AK35="?"),"?",IF(AND(AK33="NA",AK34="NA",AK35="NA"),"NA",SUM(AK33,AK34,AK35)/((AK33&lt;&gt;"NA")*$H$33+(AK34&lt;&gt;"NA")*$H$34+(AK35&lt;&gt;"NA")*$H$35)*$H32)))</f>
        <v>?</v>
      </c>
    </row>
    <row r="33" customFormat="false" ht="14.25" hidden="false" customHeight="true" outlineLevel="0" collapsed="false">
      <c r="A33" s="83" t="s">
        <v>227</v>
      </c>
      <c r="B33" s="84" t="str">
        <f aca="false">IF(ISBLANK($A33),"NO_CODE",VLOOKUP($A33,'UPD Questions_290926 '!$E$1:$N$300,MATCH(B$1,'UPD Questions_290926 '!$E$1:$N$1,0),0)&amp;"")</f>
        <v>Implementation</v>
      </c>
      <c r="C33" s="84" t="str">
        <f aca="false">IF(ISBLANK($A33),"NO_CODE",VLOOKUP($A33,'UPD Questions_290926 '!$E$1:$N$300,MATCH(C$1,'UPD Questions_290926 '!$E$1:$N$1,0),0)&amp;"")</f>
        <v>Municipal/City Plan status, hierarchy and coordination</v>
      </c>
      <c r="D33" s="84" t="str">
        <f aca="false">IF(ISBLANK($A33),"NO_CODE",VLOOKUP($A33,'UPD Questions_290926 '!$E$1:$N$300,MATCH(D$1,'UPD Questions_290926 '!$E$1:$N$1,0),0)&amp;"")</f>
        <v>Existence of Municipal/City Plans at each level</v>
      </c>
      <c r="E33" s="84" t="str">
        <f aca="false">IF(ISBLANK($A33),"NO_CODE",VLOOKUP($A33,'UPD Questions_290926 '!$E$1:$N$300,MATCH(E$1,'UPD Questions_290926 '!$E$1:$N$1,0),0)&amp;"")</f>
        <v>SQ</v>
      </c>
      <c r="F33" s="84" t="str">
        <f aca="false">IF(ISBLANK($A33),"NO_CODE",VLOOKUP($A33,'UPD Questions_290926 '!$E$1:$N$300,MATCH(F$1,'UPD Questions_290926 '!$E$1:$N$1,0),0)&amp;"")</f>
        <v>Is there a Metropolitan/Regional Plan?</v>
      </c>
      <c r="G33" s="84" t="str">
        <f aca="false">IF(ISBLANK($A33),"NO_CODE",VLOOKUP($A33,'UPD Questions_290926 '!$E$1:$N$300,MATCH(G$1,'UPD Questions_290926 '!$E$1:$N$1,0),0)&amp;"")</f>
        <v>Implementation</v>
      </c>
      <c r="H33" s="86" t="n">
        <f aca="false">IF(ISBLANK($A33),"NO_CODE",VLOOKUP($A33,'UPD Questions_290926 '!$E$1:$N$300,MATCH(H$1,'UPD Questions_290926 '!$E$1:$N$1,0),0))</f>
        <v>3.33</v>
      </c>
      <c r="I33" s="87" t="str">
        <f aca="true">IF($H33=0,"NA",IF($A33=INDIRECT("'"&amp;$A33&amp;"'!$B$1"),IF(VLOOKUP(I$1,INDIRECT("'"&amp;$A33&amp;"'!$A$12:$Z$41"),MATCH("Points (Auto-generate)",INDIRECT("'"&amp;$A33&amp;"'!$A$12:$Z$12"),0),0)="","?",VLOOKUP(I$1,INDIRECT("'"&amp;$A33&amp;"'!$A$12:$Z$41"),MATCH("Points (Auto-generate)",INDIRECT("'"&amp;$A33&amp;"'!$A$12:$Z$12"),0),0)),"ER"))</f>
        <v>?</v>
      </c>
      <c r="J33" s="87" t="str">
        <f aca="true">IF($H33=0,"NA",IF($A33=INDIRECT("'"&amp;$A33&amp;"'!$B$1"),IF(VLOOKUP(J$1,INDIRECT("'"&amp;$A33&amp;"'!$A$12:$Z$41"),MATCH("Points (Auto-generate)",INDIRECT("'"&amp;$A33&amp;"'!$A$12:$Z$12"),0),0)="","?",VLOOKUP(J$1,INDIRECT("'"&amp;$A33&amp;"'!$A$12:$Z$41"),MATCH("Points (Auto-generate)",INDIRECT("'"&amp;$A33&amp;"'!$A$12:$Z$12"),0),0)),"ER"))</f>
        <v>?</v>
      </c>
      <c r="K33" s="87" t="str">
        <f aca="true">IF($H33=0,"NA",IF($A33=INDIRECT("'"&amp;$A33&amp;"'!$B$1"),IF(VLOOKUP(K$1,INDIRECT("'"&amp;$A33&amp;"'!$A$12:$Z$41"),MATCH("Points (Auto-generate)",INDIRECT("'"&amp;$A33&amp;"'!$A$12:$Z$12"),0),0)="","?",VLOOKUP(K$1,INDIRECT("'"&amp;$A33&amp;"'!$A$12:$Z$41"),MATCH("Points (Auto-generate)",INDIRECT("'"&amp;$A33&amp;"'!$A$12:$Z$12"),0),0)),"ER"))</f>
        <v>?</v>
      </c>
      <c r="L33" s="87" t="str">
        <f aca="true">IF($H33=0,"NA",IF($A33=INDIRECT("'"&amp;$A33&amp;"'!$B$1"),IF(VLOOKUP(L$1,INDIRECT("'"&amp;$A33&amp;"'!$A$12:$Z$41"),MATCH("Points (Auto-generate)",INDIRECT("'"&amp;$A33&amp;"'!$A$12:$Z$12"),0),0)="","?",VLOOKUP(L$1,INDIRECT("'"&amp;$A33&amp;"'!$A$12:$Z$41"),MATCH("Points (Auto-generate)",INDIRECT("'"&amp;$A33&amp;"'!$A$12:$Z$12"),0),0)),"ER"))</f>
        <v>?</v>
      </c>
      <c r="M33" s="87" t="str">
        <f aca="true">IF($H33=0,"NA",IF($A33=INDIRECT("'"&amp;$A33&amp;"'!$B$1"),IF(VLOOKUP(M$1,INDIRECT("'"&amp;$A33&amp;"'!$A$12:$Z$41"),MATCH("Points (Auto-generate)",INDIRECT("'"&amp;$A33&amp;"'!$A$12:$Z$12"),0),0)="","?",VLOOKUP(M$1,INDIRECT("'"&amp;$A33&amp;"'!$A$12:$Z$41"),MATCH("Points (Auto-generate)",INDIRECT("'"&amp;$A33&amp;"'!$A$12:$Z$12"),0),0)),"ER"))</f>
        <v>?</v>
      </c>
      <c r="N33" s="87" t="str">
        <f aca="true">IF($H33=0,"NA",IF($A33=INDIRECT("'"&amp;$A33&amp;"'!$B$1"),IF(VLOOKUP(N$1,INDIRECT("'"&amp;$A33&amp;"'!$A$12:$Z$41"),MATCH("Points (Auto-generate)",INDIRECT("'"&amp;$A33&amp;"'!$A$12:$Z$12"),0),0)="","?",VLOOKUP(N$1,INDIRECT("'"&amp;$A33&amp;"'!$A$12:$Z$41"),MATCH("Points (Auto-generate)",INDIRECT("'"&amp;$A33&amp;"'!$A$12:$Z$12"),0),0)),"ER"))</f>
        <v>?</v>
      </c>
      <c r="O33" s="87" t="str">
        <f aca="true">IF($H33=0,"NA",IF($A33=INDIRECT("'"&amp;$A33&amp;"'!$B$1"),IF(VLOOKUP(O$1,INDIRECT("'"&amp;$A33&amp;"'!$A$12:$Z$41"),MATCH("Points (Auto-generate)",INDIRECT("'"&amp;$A33&amp;"'!$A$12:$Z$12"),0),0)="","?",VLOOKUP(O$1,INDIRECT("'"&amp;$A33&amp;"'!$A$12:$Z$41"),MATCH("Points (Auto-generate)",INDIRECT("'"&amp;$A33&amp;"'!$A$12:$Z$12"),0),0)),"ER"))</f>
        <v>?</v>
      </c>
      <c r="P33" s="87" t="str">
        <f aca="true">IF($H33=0,"NA",IF($A33=INDIRECT("'"&amp;$A33&amp;"'!$B$1"),IF(VLOOKUP(P$1,INDIRECT("'"&amp;$A33&amp;"'!$A$12:$Z$41"),MATCH("Points (Auto-generate)",INDIRECT("'"&amp;$A33&amp;"'!$A$12:$Z$12"),0),0)="","?",VLOOKUP(P$1,INDIRECT("'"&amp;$A33&amp;"'!$A$12:$Z$41"),MATCH("Points (Auto-generate)",INDIRECT("'"&amp;$A33&amp;"'!$A$12:$Z$12"),0),0)),"ER"))</f>
        <v>?</v>
      </c>
      <c r="Q33" s="87" t="str">
        <f aca="true">IF($H33=0,"NA",IF($A33=INDIRECT("'"&amp;$A33&amp;"'!$B$1"),IF(VLOOKUP(Q$1,INDIRECT("'"&amp;$A33&amp;"'!$A$12:$Z$41"),MATCH("Points (Auto-generate)",INDIRECT("'"&amp;$A33&amp;"'!$A$12:$Z$12"),0),0)="","?",VLOOKUP(Q$1,INDIRECT("'"&amp;$A33&amp;"'!$A$12:$Z$41"),MATCH("Points (Auto-generate)",INDIRECT("'"&amp;$A33&amp;"'!$A$12:$Z$12"),0),0)),"ER"))</f>
        <v>?</v>
      </c>
      <c r="R33" s="87" t="str">
        <f aca="true">IF($H33=0,"NA",IF($A33=INDIRECT("'"&amp;$A33&amp;"'!$B$1"),IF(VLOOKUP(R$1,INDIRECT("'"&amp;$A33&amp;"'!$A$12:$Z$41"),MATCH("Points (Auto-generate)",INDIRECT("'"&amp;$A33&amp;"'!$A$12:$Z$12"),0),0)="","?",VLOOKUP(R$1,INDIRECT("'"&amp;$A33&amp;"'!$A$12:$Z$41"),MATCH("Points (Auto-generate)",INDIRECT("'"&amp;$A33&amp;"'!$A$12:$Z$12"),0),0)),"ER"))</f>
        <v>?</v>
      </c>
      <c r="S33" s="87" t="str">
        <f aca="true">IF($H33=0,"NA",IF($A33=INDIRECT("'"&amp;$A33&amp;"'!$B$1"),IF(VLOOKUP(S$1,INDIRECT("'"&amp;$A33&amp;"'!$A$12:$Z$41"),MATCH("Points (Auto-generate)",INDIRECT("'"&amp;$A33&amp;"'!$A$12:$Z$12"),0),0)="","?",VLOOKUP(S$1,INDIRECT("'"&amp;$A33&amp;"'!$A$12:$Z$41"),MATCH("Points (Auto-generate)",INDIRECT("'"&amp;$A33&amp;"'!$A$12:$Z$12"),0),0)),"ER"))</f>
        <v>?</v>
      </c>
      <c r="T33" s="87" t="str">
        <f aca="true">IF($H33=0,"NA",IF($A33=INDIRECT("'"&amp;$A33&amp;"'!$B$1"),IF(VLOOKUP(T$1,INDIRECT("'"&amp;$A33&amp;"'!$A$12:$Z$41"),MATCH("Points (Auto-generate)",INDIRECT("'"&amp;$A33&amp;"'!$A$12:$Z$12"),0),0)="","?",VLOOKUP(T$1,INDIRECT("'"&amp;$A33&amp;"'!$A$12:$Z$41"),MATCH("Points (Auto-generate)",INDIRECT("'"&amp;$A33&amp;"'!$A$12:$Z$12"),0),0)),"ER"))</f>
        <v>?</v>
      </c>
      <c r="U33" s="87" t="str">
        <f aca="true">IF($H33=0,"NA",IF($A33=INDIRECT("'"&amp;$A33&amp;"'!$B$1"),IF(VLOOKUP(U$1,INDIRECT("'"&amp;$A33&amp;"'!$A$12:$Z$41"),MATCH("Points (Auto-generate)",INDIRECT("'"&amp;$A33&amp;"'!$A$12:$Z$12"),0),0)="","?",VLOOKUP(U$1,INDIRECT("'"&amp;$A33&amp;"'!$A$12:$Z$41"),MATCH("Points (Auto-generate)",INDIRECT("'"&amp;$A33&amp;"'!$A$12:$Z$12"),0),0)),"ER"))</f>
        <v>?</v>
      </c>
      <c r="V33" s="87" t="str">
        <f aca="true">IF($H33=0,"NA",IF($A33=INDIRECT("'"&amp;$A33&amp;"'!$B$1"),IF(VLOOKUP(V$1,INDIRECT("'"&amp;$A33&amp;"'!$A$12:$Z$41"),MATCH("Points (Auto-generate)",INDIRECT("'"&amp;$A33&amp;"'!$A$12:$Z$12"),0),0)="","?",VLOOKUP(V$1,INDIRECT("'"&amp;$A33&amp;"'!$A$12:$Z$41"),MATCH("Points (Auto-generate)",INDIRECT("'"&amp;$A33&amp;"'!$A$12:$Z$12"),0),0)),"ER"))</f>
        <v>?</v>
      </c>
      <c r="W33" s="87" t="str">
        <f aca="true">IF($H33=0,"NA",IF($A33=INDIRECT("'"&amp;$A33&amp;"'!$B$1"),IF(VLOOKUP(W$1,INDIRECT("'"&amp;$A33&amp;"'!$A$12:$Z$41"),MATCH("Points (Auto-generate)",INDIRECT("'"&amp;$A33&amp;"'!$A$12:$Z$12"),0),0)="","?",VLOOKUP(W$1,INDIRECT("'"&amp;$A33&amp;"'!$A$12:$Z$41"),MATCH("Points (Auto-generate)",INDIRECT("'"&amp;$A33&amp;"'!$A$12:$Z$12"),0),0)),"ER"))</f>
        <v>?</v>
      </c>
      <c r="X33" s="87" t="str">
        <f aca="true">IF($H33=0,"NA",IF($A33=INDIRECT("'"&amp;$A33&amp;"'!$B$1"),IF(VLOOKUP(X$1,INDIRECT("'"&amp;$A33&amp;"'!$A$12:$Z$41"),MATCH("Points (Auto-generate)",INDIRECT("'"&amp;$A33&amp;"'!$A$12:$Z$12"),0),0)="","?",VLOOKUP(X$1,INDIRECT("'"&amp;$A33&amp;"'!$A$12:$Z$41"),MATCH("Points (Auto-generate)",INDIRECT("'"&amp;$A33&amp;"'!$A$12:$Z$12"),0),0)),"ER"))</f>
        <v>?</v>
      </c>
      <c r="Y33" s="87" t="str">
        <f aca="true">IF($H33=0,"NA",IF($A33=INDIRECT("'"&amp;$A33&amp;"'!$B$1"),IF(VLOOKUP(Y$1,INDIRECT("'"&amp;$A33&amp;"'!$A$12:$Z$41"),MATCH("Points (Auto-generate)",INDIRECT("'"&amp;$A33&amp;"'!$A$12:$Z$12"),0),0)="","?",VLOOKUP(Y$1,INDIRECT("'"&amp;$A33&amp;"'!$A$12:$Z$41"),MATCH("Points (Auto-generate)",INDIRECT("'"&amp;$A33&amp;"'!$A$12:$Z$12"),0),0)),"ER"))</f>
        <v>?</v>
      </c>
      <c r="Z33" s="87" t="str">
        <f aca="true">IF($H33=0,"NA",IF($A33=INDIRECT("'"&amp;$A33&amp;"'!$B$1"),IF(VLOOKUP(Z$1,INDIRECT("'"&amp;$A33&amp;"'!$A$12:$Z$41"),MATCH("Points (Auto-generate)",INDIRECT("'"&amp;$A33&amp;"'!$A$12:$Z$12"),0),0)="","?",VLOOKUP(Z$1,INDIRECT("'"&amp;$A33&amp;"'!$A$12:$Z$41"),MATCH("Points (Auto-generate)",INDIRECT("'"&amp;$A33&amp;"'!$A$12:$Z$12"),0),0)),"ER"))</f>
        <v>?</v>
      </c>
      <c r="AA33" s="87" t="str">
        <f aca="true">IF($H33=0,"NA",IF($A33=INDIRECT("'"&amp;$A33&amp;"'!$B$1"),IF(VLOOKUP(AA$1,INDIRECT("'"&amp;$A33&amp;"'!$A$12:$Z$41"),MATCH("Points (Auto-generate)",INDIRECT("'"&amp;$A33&amp;"'!$A$12:$Z$12"),0),0)="","?",VLOOKUP(AA$1,INDIRECT("'"&amp;$A33&amp;"'!$A$12:$Z$41"),MATCH("Points (Auto-generate)",INDIRECT("'"&amp;$A33&amp;"'!$A$12:$Z$12"),0),0)),"ER"))</f>
        <v>?</v>
      </c>
      <c r="AB33" s="87" t="str">
        <f aca="true">IF($H33=0,"NA",IF($A33=INDIRECT("'"&amp;$A33&amp;"'!$B$1"),IF(VLOOKUP(AB$1,INDIRECT("'"&amp;$A33&amp;"'!$A$12:$Z$41"),MATCH("Points (Auto-generate)",INDIRECT("'"&amp;$A33&amp;"'!$A$12:$Z$12"),0),0)="","?",VLOOKUP(AB$1,INDIRECT("'"&amp;$A33&amp;"'!$A$12:$Z$41"),MATCH("Points (Auto-generate)",INDIRECT("'"&amp;$A33&amp;"'!$A$12:$Z$12"),0),0)),"ER"))</f>
        <v>?</v>
      </c>
      <c r="AC33" s="87" t="str">
        <f aca="true">IF($H33=0,"NA",IF($A33=INDIRECT("'"&amp;$A33&amp;"'!$B$1"),IF(VLOOKUP(AC$1,INDIRECT("'"&amp;$A33&amp;"'!$A$12:$Z$41"),MATCH("Points (Auto-generate)",INDIRECT("'"&amp;$A33&amp;"'!$A$12:$Z$12"),0),0)="","?",VLOOKUP(AC$1,INDIRECT("'"&amp;$A33&amp;"'!$A$12:$Z$41"),MATCH("Points (Auto-generate)",INDIRECT("'"&amp;$A33&amp;"'!$A$12:$Z$12"),0),0)),"ER"))</f>
        <v>?</v>
      </c>
      <c r="AD33" s="87" t="str">
        <f aca="true">IF($H33=0,"NA",IF($A33=INDIRECT("'"&amp;$A33&amp;"'!$B$1"),IF(VLOOKUP(AD$1,INDIRECT("'"&amp;$A33&amp;"'!$A$12:$Z$41"),MATCH("Points (Auto-generate)",INDIRECT("'"&amp;$A33&amp;"'!$A$12:$Z$12"),0),0)="","?",VLOOKUP(AD$1,INDIRECT("'"&amp;$A33&amp;"'!$A$12:$Z$41"),MATCH("Points (Auto-generate)",INDIRECT("'"&amp;$A33&amp;"'!$A$12:$Z$12"),0),0)),"ER"))</f>
        <v>?</v>
      </c>
      <c r="AE33" s="87" t="str">
        <f aca="true">IF($H33=0,"NA",IF($A33=INDIRECT("'"&amp;$A33&amp;"'!$B$1"),IF(VLOOKUP(AE$1,INDIRECT("'"&amp;$A33&amp;"'!$A$12:$Z$41"),MATCH("Points (Auto-generate)",INDIRECT("'"&amp;$A33&amp;"'!$A$12:$Z$12"),0),0)="","?",VLOOKUP(AE$1,INDIRECT("'"&amp;$A33&amp;"'!$A$12:$Z$41"),MATCH("Points (Auto-generate)",INDIRECT("'"&amp;$A33&amp;"'!$A$12:$Z$12"),0),0)),"ER"))</f>
        <v>?</v>
      </c>
      <c r="AF33" s="87" t="str">
        <f aca="true">IF($H33=0,"NA",IF($A33=INDIRECT("'"&amp;$A33&amp;"'!$B$1"),IF(VLOOKUP(AF$1,INDIRECT("'"&amp;$A33&amp;"'!$A$12:$Z$41"),MATCH("Points (Auto-generate)",INDIRECT("'"&amp;$A33&amp;"'!$A$12:$Z$12"),0),0)="","?",VLOOKUP(AF$1,INDIRECT("'"&amp;$A33&amp;"'!$A$12:$Z$41"),MATCH("Points (Auto-generate)",INDIRECT("'"&amp;$A33&amp;"'!$A$12:$Z$12"),0),0)),"ER"))</f>
        <v>?</v>
      </c>
      <c r="AG33" s="87" t="str">
        <f aca="true">IF($H33=0,"NA",IF($A33=INDIRECT("'"&amp;$A33&amp;"'!$B$1"),IF(VLOOKUP(AG$1,INDIRECT("'"&amp;$A33&amp;"'!$A$12:$Z$41"),MATCH("Points (Auto-generate)",INDIRECT("'"&amp;$A33&amp;"'!$A$12:$Z$12"),0),0)="","?",VLOOKUP(AG$1,INDIRECT("'"&amp;$A33&amp;"'!$A$12:$Z$41"),MATCH("Points (Auto-generate)",INDIRECT("'"&amp;$A33&amp;"'!$A$12:$Z$12"),0),0)),"ER"))</f>
        <v>?</v>
      </c>
      <c r="AH33" s="87" t="str">
        <f aca="true">IF($H33=0,"NA",IF($A33=INDIRECT("'"&amp;$A33&amp;"'!$B$1"),IF(VLOOKUP(AH$1,INDIRECT("'"&amp;$A33&amp;"'!$A$12:$Z$41"),MATCH("Points (Auto-generate)",INDIRECT("'"&amp;$A33&amp;"'!$A$12:$Z$12"),0),0)="","?",VLOOKUP(AH$1,INDIRECT("'"&amp;$A33&amp;"'!$A$12:$Z$41"),MATCH("Points (Auto-generate)",INDIRECT("'"&amp;$A33&amp;"'!$A$12:$Z$12"),0),0)),"ER"))</f>
        <v>?</v>
      </c>
      <c r="AI33" s="87" t="str">
        <f aca="true">IF($H33=0,"NA",IF($A33=INDIRECT("'"&amp;$A33&amp;"'!$B$1"),IF(VLOOKUP(AI$1,INDIRECT("'"&amp;$A33&amp;"'!$A$12:$Z$41"),MATCH("Points (Auto-generate)",INDIRECT("'"&amp;$A33&amp;"'!$A$12:$Z$12"),0),0)="","?",VLOOKUP(AI$1,INDIRECT("'"&amp;$A33&amp;"'!$A$12:$Z$41"),MATCH("Points (Auto-generate)",INDIRECT("'"&amp;$A33&amp;"'!$A$12:$Z$12"),0),0)),"ER"))</f>
        <v>?</v>
      </c>
      <c r="AJ33" s="87" t="str">
        <f aca="true">IF($H33=0,"NA",IF($A33=INDIRECT("'"&amp;$A33&amp;"'!$B$1"),IF(VLOOKUP(AJ$1,INDIRECT("'"&amp;$A33&amp;"'!$A$12:$Z$41"),MATCH("Points (Auto-generate)",INDIRECT("'"&amp;$A33&amp;"'!$A$12:$Z$12"),0),0)="","?",VLOOKUP(AJ$1,INDIRECT("'"&amp;$A33&amp;"'!$A$12:$Z$41"),MATCH("Points (Auto-generate)",INDIRECT("'"&amp;$A33&amp;"'!$A$12:$Z$12"),0),0)),"ER"))</f>
        <v>?</v>
      </c>
      <c r="AK33" s="87" t="str">
        <f aca="true">IF($H33=0,"NA",IF($A33=INDIRECT("'"&amp;$A33&amp;"'!$B$1"),IF(VLOOKUP(AK$1,INDIRECT("'"&amp;$A33&amp;"'!$A$12:$Z$41"),MATCH("Points (Auto-generate)",INDIRECT("'"&amp;$A33&amp;"'!$A$12:$Z$12"),0),0)="","?",VLOOKUP(AK$1,INDIRECT("'"&amp;$A33&amp;"'!$A$12:$Z$41"),MATCH("Points (Auto-generate)",INDIRECT("'"&amp;$A33&amp;"'!$A$12:$Z$12"),0),0)),"ER"))</f>
        <v>?</v>
      </c>
    </row>
    <row r="34" customFormat="false" ht="14.25" hidden="false" customHeight="true" outlineLevel="0" collapsed="false">
      <c r="A34" s="83" t="s">
        <v>237</v>
      </c>
      <c r="B34" s="84" t="str">
        <f aca="false">IF(ISBLANK($A34),"NO_CODE",VLOOKUP($A34,'UPD Questions_290926 '!$E$1:$N$300,MATCH(B$1,'UPD Questions_290926 '!$E$1:$N$1,0),0)&amp;"")</f>
        <v>Implementation</v>
      </c>
      <c r="C34" s="84" t="str">
        <f aca="false">IF(ISBLANK($A34),"NO_CODE",VLOOKUP($A34,'UPD Questions_290926 '!$E$1:$N$300,MATCH(C$1,'UPD Questions_290926 '!$E$1:$N$1,0),0)&amp;"")</f>
        <v>Municipal/City Plan status, hierarchy and coordination</v>
      </c>
      <c r="D34" s="84" t="str">
        <f aca="false">IF(ISBLANK($A34),"NO_CODE",VLOOKUP($A34,'UPD Questions_290926 '!$E$1:$N$300,MATCH(D$1,'UPD Questions_290926 '!$E$1:$N$1,0),0)&amp;"")</f>
        <v>Existence of Municipal/City Plans at each level</v>
      </c>
      <c r="E34" s="84" t="str">
        <f aca="false">IF(ISBLANK($A34),"NO_CODE",VLOOKUP($A34,'UPD Questions_290926 '!$E$1:$N$300,MATCH(E$1,'UPD Questions_290926 '!$E$1:$N$1,0),0)&amp;"")</f>
        <v>SQ</v>
      </c>
      <c r="F34" s="84" t="str">
        <f aca="false">IF(ISBLANK($A34),"NO_CODE",VLOOKUP($A34,'UPD Questions_290926 '!$E$1:$N$300,MATCH(F$1,'UPD Questions_290926 '!$E$1:$N$1,0),0)&amp;"")</f>
        <v>Is there Municipal/City Plan?</v>
      </c>
      <c r="G34" s="84" t="str">
        <f aca="false">IF(ISBLANK($A34),"NO_CODE",VLOOKUP($A34,'UPD Questions_290926 '!$E$1:$N$300,MATCH(G$1,'UPD Questions_290926 '!$E$1:$N$1,0),0)&amp;"")</f>
        <v>Implementation</v>
      </c>
      <c r="H34" s="86" t="n">
        <f aca="false">IF(ISBLANK($A34),"NO_CODE",VLOOKUP($A34,'UPD Questions_290926 '!$E$1:$N$300,MATCH(H$1,'UPD Questions_290926 '!$E$1:$N$1,0),0))</f>
        <v>3.33</v>
      </c>
      <c r="I34" s="87" t="str">
        <f aca="true">IF($H34=0,"NA",IF($A34=INDIRECT("'"&amp;$A34&amp;"'!$B$1"),IF(VLOOKUP(I$1,INDIRECT("'"&amp;$A34&amp;"'!$A$12:$Z$41"),MATCH("Points (Auto-generate)",INDIRECT("'"&amp;$A34&amp;"'!$A$12:$Z$12"),0),0)="","?",VLOOKUP(I$1,INDIRECT("'"&amp;$A34&amp;"'!$A$12:$Z$41"),MATCH("Points (Auto-generate)",INDIRECT("'"&amp;$A34&amp;"'!$A$12:$Z$12"),0),0)),"ER"))</f>
        <v>?</v>
      </c>
      <c r="J34" s="87" t="str">
        <f aca="true">IF($H34=0,"NA",IF($A34=INDIRECT("'"&amp;$A34&amp;"'!$B$1"),IF(VLOOKUP(J$1,INDIRECT("'"&amp;$A34&amp;"'!$A$12:$Z$41"),MATCH("Points (Auto-generate)",INDIRECT("'"&amp;$A34&amp;"'!$A$12:$Z$12"),0),0)="","?",VLOOKUP(J$1,INDIRECT("'"&amp;$A34&amp;"'!$A$12:$Z$41"),MATCH("Points (Auto-generate)",INDIRECT("'"&amp;$A34&amp;"'!$A$12:$Z$12"),0),0)),"ER"))</f>
        <v>?</v>
      </c>
      <c r="K34" s="87" t="str">
        <f aca="true">IF($H34=0,"NA",IF($A34=INDIRECT("'"&amp;$A34&amp;"'!$B$1"),IF(VLOOKUP(K$1,INDIRECT("'"&amp;$A34&amp;"'!$A$12:$Z$41"),MATCH("Points (Auto-generate)",INDIRECT("'"&amp;$A34&amp;"'!$A$12:$Z$12"),0),0)="","?",VLOOKUP(K$1,INDIRECT("'"&amp;$A34&amp;"'!$A$12:$Z$41"),MATCH("Points (Auto-generate)",INDIRECT("'"&amp;$A34&amp;"'!$A$12:$Z$12"),0),0)),"ER"))</f>
        <v>?</v>
      </c>
      <c r="L34" s="87" t="str">
        <f aca="true">IF($H34=0,"NA",IF($A34=INDIRECT("'"&amp;$A34&amp;"'!$B$1"),IF(VLOOKUP(L$1,INDIRECT("'"&amp;$A34&amp;"'!$A$12:$Z$41"),MATCH("Points (Auto-generate)",INDIRECT("'"&amp;$A34&amp;"'!$A$12:$Z$12"),0),0)="","?",VLOOKUP(L$1,INDIRECT("'"&amp;$A34&amp;"'!$A$12:$Z$41"),MATCH("Points (Auto-generate)",INDIRECT("'"&amp;$A34&amp;"'!$A$12:$Z$12"),0),0)),"ER"))</f>
        <v>?</v>
      </c>
      <c r="M34" s="87" t="str">
        <f aca="true">IF($H34=0,"NA",IF($A34=INDIRECT("'"&amp;$A34&amp;"'!$B$1"),IF(VLOOKUP(M$1,INDIRECT("'"&amp;$A34&amp;"'!$A$12:$Z$41"),MATCH("Points (Auto-generate)",INDIRECT("'"&amp;$A34&amp;"'!$A$12:$Z$12"),0),0)="","?",VLOOKUP(M$1,INDIRECT("'"&amp;$A34&amp;"'!$A$12:$Z$41"),MATCH("Points (Auto-generate)",INDIRECT("'"&amp;$A34&amp;"'!$A$12:$Z$12"),0),0)),"ER"))</f>
        <v>?</v>
      </c>
      <c r="N34" s="87" t="str">
        <f aca="true">IF($H34=0,"NA",IF($A34=INDIRECT("'"&amp;$A34&amp;"'!$B$1"),IF(VLOOKUP(N$1,INDIRECT("'"&amp;$A34&amp;"'!$A$12:$Z$41"),MATCH("Points (Auto-generate)",INDIRECT("'"&amp;$A34&amp;"'!$A$12:$Z$12"),0),0)="","?",VLOOKUP(N$1,INDIRECT("'"&amp;$A34&amp;"'!$A$12:$Z$41"),MATCH("Points (Auto-generate)",INDIRECT("'"&amp;$A34&amp;"'!$A$12:$Z$12"),0),0)),"ER"))</f>
        <v>?</v>
      </c>
      <c r="O34" s="87" t="str">
        <f aca="true">IF($H34=0,"NA",IF($A34=INDIRECT("'"&amp;$A34&amp;"'!$B$1"),IF(VLOOKUP(O$1,INDIRECT("'"&amp;$A34&amp;"'!$A$12:$Z$41"),MATCH("Points (Auto-generate)",INDIRECT("'"&amp;$A34&amp;"'!$A$12:$Z$12"),0),0)="","?",VLOOKUP(O$1,INDIRECT("'"&amp;$A34&amp;"'!$A$12:$Z$41"),MATCH("Points (Auto-generate)",INDIRECT("'"&amp;$A34&amp;"'!$A$12:$Z$12"),0),0)),"ER"))</f>
        <v>?</v>
      </c>
      <c r="P34" s="87" t="str">
        <f aca="true">IF($H34=0,"NA",IF($A34=INDIRECT("'"&amp;$A34&amp;"'!$B$1"),IF(VLOOKUP(P$1,INDIRECT("'"&amp;$A34&amp;"'!$A$12:$Z$41"),MATCH("Points (Auto-generate)",INDIRECT("'"&amp;$A34&amp;"'!$A$12:$Z$12"),0),0)="","?",VLOOKUP(P$1,INDIRECT("'"&amp;$A34&amp;"'!$A$12:$Z$41"),MATCH("Points (Auto-generate)",INDIRECT("'"&amp;$A34&amp;"'!$A$12:$Z$12"),0),0)),"ER"))</f>
        <v>?</v>
      </c>
      <c r="Q34" s="87" t="str">
        <f aca="true">IF($H34=0,"NA",IF($A34=INDIRECT("'"&amp;$A34&amp;"'!$B$1"),IF(VLOOKUP(Q$1,INDIRECT("'"&amp;$A34&amp;"'!$A$12:$Z$41"),MATCH("Points (Auto-generate)",INDIRECT("'"&amp;$A34&amp;"'!$A$12:$Z$12"),0),0)="","?",VLOOKUP(Q$1,INDIRECT("'"&amp;$A34&amp;"'!$A$12:$Z$41"),MATCH("Points (Auto-generate)",INDIRECT("'"&amp;$A34&amp;"'!$A$12:$Z$12"),0),0)),"ER"))</f>
        <v>?</v>
      </c>
      <c r="R34" s="87" t="str">
        <f aca="true">IF($H34=0,"NA",IF($A34=INDIRECT("'"&amp;$A34&amp;"'!$B$1"),IF(VLOOKUP(R$1,INDIRECT("'"&amp;$A34&amp;"'!$A$12:$Z$41"),MATCH("Points (Auto-generate)",INDIRECT("'"&amp;$A34&amp;"'!$A$12:$Z$12"),0),0)="","?",VLOOKUP(R$1,INDIRECT("'"&amp;$A34&amp;"'!$A$12:$Z$41"),MATCH("Points (Auto-generate)",INDIRECT("'"&amp;$A34&amp;"'!$A$12:$Z$12"),0),0)),"ER"))</f>
        <v>?</v>
      </c>
      <c r="S34" s="87" t="str">
        <f aca="true">IF($H34=0,"NA",IF($A34=INDIRECT("'"&amp;$A34&amp;"'!$B$1"),IF(VLOOKUP(S$1,INDIRECT("'"&amp;$A34&amp;"'!$A$12:$Z$41"),MATCH("Points (Auto-generate)",INDIRECT("'"&amp;$A34&amp;"'!$A$12:$Z$12"),0),0)="","?",VLOOKUP(S$1,INDIRECT("'"&amp;$A34&amp;"'!$A$12:$Z$41"),MATCH("Points (Auto-generate)",INDIRECT("'"&amp;$A34&amp;"'!$A$12:$Z$12"),0),0)),"ER"))</f>
        <v>?</v>
      </c>
      <c r="T34" s="87" t="str">
        <f aca="true">IF($H34=0,"NA",IF($A34=INDIRECT("'"&amp;$A34&amp;"'!$B$1"),IF(VLOOKUP(T$1,INDIRECT("'"&amp;$A34&amp;"'!$A$12:$Z$41"),MATCH("Points (Auto-generate)",INDIRECT("'"&amp;$A34&amp;"'!$A$12:$Z$12"),0),0)="","?",VLOOKUP(T$1,INDIRECT("'"&amp;$A34&amp;"'!$A$12:$Z$41"),MATCH("Points (Auto-generate)",INDIRECT("'"&amp;$A34&amp;"'!$A$12:$Z$12"),0),0)),"ER"))</f>
        <v>?</v>
      </c>
      <c r="U34" s="87" t="str">
        <f aca="true">IF($H34=0,"NA",IF($A34=INDIRECT("'"&amp;$A34&amp;"'!$B$1"),IF(VLOOKUP(U$1,INDIRECT("'"&amp;$A34&amp;"'!$A$12:$Z$41"),MATCH("Points (Auto-generate)",INDIRECT("'"&amp;$A34&amp;"'!$A$12:$Z$12"),0),0)="","?",VLOOKUP(U$1,INDIRECT("'"&amp;$A34&amp;"'!$A$12:$Z$41"),MATCH("Points (Auto-generate)",INDIRECT("'"&amp;$A34&amp;"'!$A$12:$Z$12"),0),0)),"ER"))</f>
        <v>?</v>
      </c>
      <c r="V34" s="87" t="str">
        <f aca="true">IF($H34=0,"NA",IF($A34=INDIRECT("'"&amp;$A34&amp;"'!$B$1"),IF(VLOOKUP(V$1,INDIRECT("'"&amp;$A34&amp;"'!$A$12:$Z$41"),MATCH("Points (Auto-generate)",INDIRECT("'"&amp;$A34&amp;"'!$A$12:$Z$12"),0),0)="","?",VLOOKUP(V$1,INDIRECT("'"&amp;$A34&amp;"'!$A$12:$Z$41"),MATCH("Points (Auto-generate)",INDIRECT("'"&amp;$A34&amp;"'!$A$12:$Z$12"),0),0)),"ER"))</f>
        <v>?</v>
      </c>
      <c r="W34" s="87" t="str">
        <f aca="true">IF($H34=0,"NA",IF($A34=INDIRECT("'"&amp;$A34&amp;"'!$B$1"),IF(VLOOKUP(W$1,INDIRECT("'"&amp;$A34&amp;"'!$A$12:$Z$41"),MATCH("Points (Auto-generate)",INDIRECT("'"&amp;$A34&amp;"'!$A$12:$Z$12"),0),0)="","?",VLOOKUP(W$1,INDIRECT("'"&amp;$A34&amp;"'!$A$12:$Z$41"),MATCH("Points (Auto-generate)",INDIRECT("'"&amp;$A34&amp;"'!$A$12:$Z$12"),0),0)),"ER"))</f>
        <v>?</v>
      </c>
      <c r="X34" s="87" t="str">
        <f aca="true">IF($H34=0,"NA",IF($A34=INDIRECT("'"&amp;$A34&amp;"'!$B$1"),IF(VLOOKUP(X$1,INDIRECT("'"&amp;$A34&amp;"'!$A$12:$Z$41"),MATCH("Points (Auto-generate)",INDIRECT("'"&amp;$A34&amp;"'!$A$12:$Z$12"),0),0)="","?",VLOOKUP(X$1,INDIRECT("'"&amp;$A34&amp;"'!$A$12:$Z$41"),MATCH("Points (Auto-generate)",INDIRECT("'"&amp;$A34&amp;"'!$A$12:$Z$12"),0),0)),"ER"))</f>
        <v>?</v>
      </c>
      <c r="Y34" s="87" t="str">
        <f aca="true">IF($H34=0,"NA",IF($A34=INDIRECT("'"&amp;$A34&amp;"'!$B$1"),IF(VLOOKUP(Y$1,INDIRECT("'"&amp;$A34&amp;"'!$A$12:$Z$41"),MATCH("Points (Auto-generate)",INDIRECT("'"&amp;$A34&amp;"'!$A$12:$Z$12"),0),0)="","?",VLOOKUP(Y$1,INDIRECT("'"&amp;$A34&amp;"'!$A$12:$Z$41"),MATCH("Points (Auto-generate)",INDIRECT("'"&amp;$A34&amp;"'!$A$12:$Z$12"),0),0)),"ER"))</f>
        <v>?</v>
      </c>
      <c r="Z34" s="87" t="str">
        <f aca="true">IF($H34=0,"NA",IF($A34=INDIRECT("'"&amp;$A34&amp;"'!$B$1"),IF(VLOOKUP(Z$1,INDIRECT("'"&amp;$A34&amp;"'!$A$12:$Z$41"),MATCH("Points (Auto-generate)",INDIRECT("'"&amp;$A34&amp;"'!$A$12:$Z$12"),0),0)="","?",VLOOKUP(Z$1,INDIRECT("'"&amp;$A34&amp;"'!$A$12:$Z$41"),MATCH("Points (Auto-generate)",INDIRECT("'"&amp;$A34&amp;"'!$A$12:$Z$12"),0),0)),"ER"))</f>
        <v>?</v>
      </c>
      <c r="AA34" s="87" t="str">
        <f aca="true">IF($H34=0,"NA",IF($A34=INDIRECT("'"&amp;$A34&amp;"'!$B$1"),IF(VLOOKUP(AA$1,INDIRECT("'"&amp;$A34&amp;"'!$A$12:$Z$41"),MATCH("Points (Auto-generate)",INDIRECT("'"&amp;$A34&amp;"'!$A$12:$Z$12"),0),0)="","?",VLOOKUP(AA$1,INDIRECT("'"&amp;$A34&amp;"'!$A$12:$Z$41"),MATCH("Points (Auto-generate)",INDIRECT("'"&amp;$A34&amp;"'!$A$12:$Z$12"),0),0)),"ER"))</f>
        <v>?</v>
      </c>
      <c r="AB34" s="87" t="str">
        <f aca="true">IF($H34=0,"NA",IF($A34=INDIRECT("'"&amp;$A34&amp;"'!$B$1"),IF(VLOOKUP(AB$1,INDIRECT("'"&amp;$A34&amp;"'!$A$12:$Z$41"),MATCH("Points (Auto-generate)",INDIRECT("'"&amp;$A34&amp;"'!$A$12:$Z$12"),0),0)="","?",VLOOKUP(AB$1,INDIRECT("'"&amp;$A34&amp;"'!$A$12:$Z$41"),MATCH("Points (Auto-generate)",INDIRECT("'"&amp;$A34&amp;"'!$A$12:$Z$12"),0),0)),"ER"))</f>
        <v>?</v>
      </c>
      <c r="AC34" s="87" t="n">
        <f aca="true">IF($H34=0,"NA",IF($A34=INDIRECT("'"&amp;$A34&amp;"'!$B$1"),IF(VLOOKUP(AC$1,INDIRECT("'"&amp;$A34&amp;"'!$A$12:$Z$41"),MATCH("Points (Auto-generate)",INDIRECT("'"&amp;$A34&amp;"'!$A$12:$Z$12"),0),0)="","?",VLOOKUP(AC$1,INDIRECT("'"&amp;$A34&amp;"'!$A$12:$Z$41"),MATCH("Points (Auto-generate)",INDIRECT("'"&amp;$A34&amp;"'!$A$12:$Z$12"),0),0)),"ER"))</f>
        <v>3.33</v>
      </c>
      <c r="AD34" s="87" t="str">
        <f aca="true">IF($H34=0,"NA",IF($A34=INDIRECT("'"&amp;$A34&amp;"'!$B$1"),IF(VLOOKUP(AD$1,INDIRECT("'"&amp;$A34&amp;"'!$A$12:$Z$41"),MATCH("Points (Auto-generate)",INDIRECT("'"&amp;$A34&amp;"'!$A$12:$Z$12"),0),0)="","?",VLOOKUP(AD$1,INDIRECT("'"&amp;$A34&amp;"'!$A$12:$Z$41"),MATCH("Points (Auto-generate)",INDIRECT("'"&amp;$A34&amp;"'!$A$12:$Z$12"),0),0)),"ER"))</f>
        <v>?</v>
      </c>
      <c r="AE34" s="87" t="str">
        <f aca="true">IF($H34=0,"NA",IF($A34=INDIRECT("'"&amp;$A34&amp;"'!$B$1"),IF(VLOOKUP(AE$1,INDIRECT("'"&amp;$A34&amp;"'!$A$12:$Z$41"),MATCH("Points (Auto-generate)",INDIRECT("'"&amp;$A34&amp;"'!$A$12:$Z$12"),0),0)="","?",VLOOKUP(AE$1,INDIRECT("'"&amp;$A34&amp;"'!$A$12:$Z$41"),MATCH("Points (Auto-generate)",INDIRECT("'"&amp;$A34&amp;"'!$A$12:$Z$12"),0),0)),"ER"))</f>
        <v>?</v>
      </c>
      <c r="AF34" s="87" t="str">
        <f aca="true">IF($H34=0,"NA",IF($A34=INDIRECT("'"&amp;$A34&amp;"'!$B$1"),IF(VLOOKUP(AF$1,INDIRECT("'"&amp;$A34&amp;"'!$A$12:$Z$41"),MATCH("Points (Auto-generate)",INDIRECT("'"&amp;$A34&amp;"'!$A$12:$Z$12"),0),0)="","?",VLOOKUP(AF$1,INDIRECT("'"&amp;$A34&amp;"'!$A$12:$Z$41"),MATCH("Points (Auto-generate)",INDIRECT("'"&amp;$A34&amp;"'!$A$12:$Z$12"),0),0)),"ER"))</f>
        <v>?</v>
      </c>
      <c r="AG34" s="87" t="str">
        <f aca="true">IF($H34=0,"NA",IF($A34=INDIRECT("'"&amp;$A34&amp;"'!$B$1"),IF(VLOOKUP(AG$1,INDIRECT("'"&amp;$A34&amp;"'!$A$12:$Z$41"),MATCH("Points (Auto-generate)",INDIRECT("'"&amp;$A34&amp;"'!$A$12:$Z$12"),0),0)="","?",VLOOKUP(AG$1,INDIRECT("'"&amp;$A34&amp;"'!$A$12:$Z$41"),MATCH("Points (Auto-generate)",INDIRECT("'"&amp;$A34&amp;"'!$A$12:$Z$12"),0),0)),"ER"))</f>
        <v>?</v>
      </c>
      <c r="AH34" s="87" t="str">
        <f aca="true">IF($H34=0,"NA",IF($A34=INDIRECT("'"&amp;$A34&amp;"'!$B$1"),IF(VLOOKUP(AH$1,INDIRECT("'"&amp;$A34&amp;"'!$A$12:$Z$41"),MATCH("Points (Auto-generate)",INDIRECT("'"&amp;$A34&amp;"'!$A$12:$Z$12"),0),0)="","?",VLOOKUP(AH$1,INDIRECT("'"&amp;$A34&amp;"'!$A$12:$Z$41"),MATCH("Points (Auto-generate)",INDIRECT("'"&amp;$A34&amp;"'!$A$12:$Z$12"),0),0)),"ER"))</f>
        <v>?</v>
      </c>
      <c r="AI34" s="87" t="str">
        <f aca="true">IF($H34=0,"NA",IF($A34=INDIRECT("'"&amp;$A34&amp;"'!$B$1"),IF(VLOOKUP(AI$1,INDIRECT("'"&amp;$A34&amp;"'!$A$12:$Z$41"),MATCH("Points (Auto-generate)",INDIRECT("'"&amp;$A34&amp;"'!$A$12:$Z$12"),0),0)="","?",VLOOKUP(AI$1,INDIRECT("'"&amp;$A34&amp;"'!$A$12:$Z$41"),MATCH("Points (Auto-generate)",INDIRECT("'"&amp;$A34&amp;"'!$A$12:$Z$12"),0),0)),"ER"))</f>
        <v>?</v>
      </c>
      <c r="AJ34" s="87" t="str">
        <f aca="true">IF($H34=0,"NA",IF($A34=INDIRECT("'"&amp;$A34&amp;"'!$B$1"),IF(VLOOKUP(AJ$1,INDIRECT("'"&amp;$A34&amp;"'!$A$12:$Z$41"),MATCH("Points (Auto-generate)",INDIRECT("'"&amp;$A34&amp;"'!$A$12:$Z$12"),0),0)="","?",VLOOKUP(AJ$1,INDIRECT("'"&amp;$A34&amp;"'!$A$12:$Z$41"),MATCH("Points (Auto-generate)",INDIRECT("'"&amp;$A34&amp;"'!$A$12:$Z$12"),0),0)),"ER"))</f>
        <v>?</v>
      </c>
      <c r="AK34" s="87" t="str">
        <f aca="true">IF($H34=0,"NA",IF($A34=INDIRECT("'"&amp;$A34&amp;"'!$B$1"),IF(VLOOKUP(AK$1,INDIRECT("'"&amp;$A34&amp;"'!$A$12:$Z$41"),MATCH("Points (Auto-generate)",INDIRECT("'"&amp;$A34&amp;"'!$A$12:$Z$12"),0),0)="","?",VLOOKUP(AK$1,INDIRECT("'"&amp;$A34&amp;"'!$A$12:$Z$41"),MATCH("Points (Auto-generate)",INDIRECT("'"&amp;$A34&amp;"'!$A$12:$Z$12"),0),0)),"ER"))</f>
        <v>?</v>
      </c>
    </row>
    <row r="35" customFormat="false" ht="14.25" hidden="false" customHeight="true" outlineLevel="0" collapsed="false">
      <c r="A35" s="83" t="s">
        <v>247</v>
      </c>
      <c r="B35" s="84" t="str">
        <f aca="false">IF(ISBLANK($A35),"NO_CODE",VLOOKUP($A35,'UPD Questions_290926 '!$E$1:$N$300,MATCH(B$1,'UPD Questions_290926 '!$E$1:$N$1,0),0)&amp;"")</f>
        <v>Implementation</v>
      </c>
      <c r="C35" s="84" t="str">
        <f aca="false">IF(ISBLANK($A35),"NO_CODE",VLOOKUP($A35,'UPD Questions_290926 '!$E$1:$N$300,MATCH(C$1,'UPD Questions_290926 '!$E$1:$N$1,0),0)&amp;"")</f>
        <v>Municipal/City Plan status, hierarchy and coordination</v>
      </c>
      <c r="D35" s="84" t="str">
        <f aca="false">IF(ISBLANK($A35),"NO_CODE",VLOOKUP($A35,'UPD Questions_290926 '!$E$1:$N$300,MATCH(D$1,'UPD Questions_290926 '!$E$1:$N$1,0),0)&amp;"")</f>
        <v>Existence of Municipal/City Plans at each level</v>
      </c>
      <c r="E35" s="84" t="str">
        <f aca="false">IF(ISBLANK($A35),"NO_CODE",VLOOKUP($A35,'UPD Questions_290926 '!$E$1:$N$300,MATCH(E$1,'UPD Questions_290926 '!$E$1:$N$1,0),0)&amp;"")</f>
        <v>SQ</v>
      </c>
      <c r="F35" s="84" t="str">
        <f aca="false">IF(ISBLANK($A35),"NO_CODE",VLOOKUP($A35,'UPD Questions_290926 '!$E$1:$N$300,MATCH(F$1,'UPD Questions_290926 '!$E$1:$N$1,0),0)&amp;"")</f>
        <v>Is there a Ward(s) /Local area/ neighbourhood Plan?</v>
      </c>
      <c r="G35" s="84" t="str">
        <f aca="false">IF(ISBLANK($A35),"NO_CODE",VLOOKUP($A35,'UPD Questions_290926 '!$E$1:$N$300,MATCH(G$1,'UPD Questions_290926 '!$E$1:$N$1,0),0)&amp;"")</f>
        <v>Implementation</v>
      </c>
      <c r="H35" s="86" t="n">
        <f aca="false">IF(ISBLANK($A35),"NO_CODE",VLOOKUP($A35,'UPD Questions_290926 '!$E$1:$N$300,MATCH(H$1,'UPD Questions_290926 '!$E$1:$N$1,0),0))</f>
        <v>3.33</v>
      </c>
      <c r="I35" s="87" t="str">
        <f aca="true">IF($H35=0,"NA",IF($A35=INDIRECT("'"&amp;$A35&amp;"'!$B$1"),IF(VLOOKUP(I$1,INDIRECT("'"&amp;$A35&amp;"'!$A$12:$Z$41"),MATCH("Points (Auto-generate)",INDIRECT("'"&amp;$A35&amp;"'!$A$12:$Z$12"),0),0)="","?",VLOOKUP(I$1,INDIRECT("'"&amp;$A35&amp;"'!$A$12:$Z$41"),MATCH("Points (Auto-generate)",INDIRECT("'"&amp;$A35&amp;"'!$A$12:$Z$12"),0),0)),"ER"))</f>
        <v>?</v>
      </c>
      <c r="J35" s="87" t="str">
        <f aca="true">IF($H35=0,"NA",IF($A35=INDIRECT("'"&amp;$A35&amp;"'!$B$1"),IF(VLOOKUP(J$1,INDIRECT("'"&amp;$A35&amp;"'!$A$12:$Z$41"),MATCH("Points (Auto-generate)",INDIRECT("'"&amp;$A35&amp;"'!$A$12:$Z$12"),0),0)="","?",VLOOKUP(J$1,INDIRECT("'"&amp;$A35&amp;"'!$A$12:$Z$41"),MATCH("Points (Auto-generate)",INDIRECT("'"&amp;$A35&amp;"'!$A$12:$Z$12"),0),0)),"ER"))</f>
        <v>?</v>
      </c>
      <c r="K35" s="87" t="str">
        <f aca="true">IF($H35=0,"NA",IF($A35=INDIRECT("'"&amp;$A35&amp;"'!$B$1"),IF(VLOOKUP(K$1,INDIRECT("'"&amp;$A35&amp;"'!$A$12:$Z$41"),MATCH("Points (Auto-generate)",INDIRECT("'"&amp;$A35&amp;"'!$A$12:$Z$12"),0),0)="","?",VLOOKUP(K$1,INDIRECT("'"&amp;$A35&amp;"'!$A$12:$Z$41"),MATCH("Points (Auto-generate)",INDIRECT("'"&amp;$A35&amp;"'!$A$12:$Z$12"),0),0)),"ER"))</f>
        <v>?</v>
      </c>
      <c r="L35" s="87" t="str">
        <f aca="true">IF($H35=0,"NA",IF($A35=INDIRECT("'"&amp;$A35&amp;"'!$B$1"),IF(VLOOKUP(L$1,INDIRECT("'"&amp;$A35&amp;"'!$A$12:$Z$41"),MATCH("Points (Auto-generate)",INDIRECT("'"&amp;$A35&amp;"'!$A$12:$Z$12"),0),0)="","?",VLOOKUP(L$1,INDIRECT("'"&amp;$A35&amp;"'!$A$12:$Z$41"),MATCH("Points (Auto-generate)",INDIRECT("'"&amp;$A35&amp;"'!$A$12:$Z$12"),0),0)),"ER"))</f>
        <v>?</v>
      </c>
      <c r="M35" s="87" t="str">
        <f aca="true">IF($H35=0,"NA",IF($A35=INDIRECT("'"&amp;$A35&amp;"'!$B$1"),IF(VLOOKUP(M$1,INDIRECT("'"&amp;$A35&amp;"'!$A$12:$Z$41"),MATCH("Points (Auto-generate)",INDIRECT("'"&amp;$A35&amp;"'!$A$12:$Z$12"),0),0)="","?",VLOOKUP(M$1,INDIRECT("'"&amp;$A35&amp;"'!$A$12:$Z$41"),MATCH("Points (Auto-generate)",INDIRECT("'"&amp;$A35&amp;"'!$A$12:$Z$12"),0),0)),"ER"))</f>
        <v>?</v>
      </c>
      <c r="N35" s="87" t="str">
        <f aca="true">IF($H35=0,"NA",IF($A35=INDIRECT("'"&amp;$A35&amp;"'!$B$1"),IF(VLOOKUP(N$1,INDIRECT("'"&amp;$A35&amp;"'!$A$12:$Z$41"),MATCH("Points (Auto-generate)",INDIRECT("'"&amp;$A35&amp;"'!$A$12:$Z$12"),0),0)="","?",VLOOKUP(N$1,INDIRECT("'"&amp;$A35&amp;"'!$A$12:$Z$41"),MATCH("Points (Auto-generate)",INDIRECT("'"&amp;$A35&amp;"'!$A$12:$Z$12"),0),0)),"ER"))</f>
        <v>?</v>
      </c>
      <c r="O35" s="87" t="str">
        <f aca="true">IF($H35=0,"NA",IF($A35=INDIRECT("'"&amp;$A35&amp;"'!$B$1"),IF(VLOOKUP(O$1,INDIRECT("'"&amp;$A35&amp;"'!$A$12:$Z$41"),MATCH("Points (Auto-generate)",INDIRECT("'"&amp;$A35&amp;"'!$A$12:$Z$12"),0),0)="","?",VLOOKUP(O$1,INDIRECT("'"&amp;$A35&amp;"'!$A$12:$Z$41"),MATCH("Points (Auto-generate)",INDIRECT("'"&amp;$A35&amp;"'!$A$12:$Z$12"),0),0)),"ER"))</f>
        <v>?</v>
      </c>
      <c r="P35" s="87" t="str">
        <f aca="true">IF($H35=0,"NA",IF($A35=INDIRECT("'"&amp;$A35&amp;"'!$B$1"),IF(VLOOKUP(P$1,INDIRECT("'"&amp;$A35&amp;"'!$A$12:$Z$41"),MATCH("Points (Auto-generate)",INDIRECT("'"&amp;$A35&amp;"'!$A$12:$Z$12"),0),0)="","?",VLOOKUP(P$1,INDIRECT("'"&amp;$A35&amp;"'!$A$12:$Z$41"),MATCH("Points (Auto-generate)",INDIRECT("'"&amp;$A35&amp;"'!$A$12:$Z$12"),0),0)),"ER"))</f>
        <v>?</v>
      </c>
      <c r="Q35" s="87" t="str">
        <f aca="true">IF($H35=0,"NA",IF($A35=INDIRECT("'"&amp;$A35&amp;"'!$B$1"),IF(VLOOKUP(Q$1,INDIRECT("'"&amp;$A35&amp;"'!$A$12:$Z$41"),MATCH("Points (Auto-generate)",INDIRECT("'"&amp;$A35&amp;"'!$A$12:$Z$12"),0),0)="","?",VLOOKUP(Q$1,INDIRECT("'"&amp;$A35&amp;"'!$A$12:$Z$41"),MATCH("Points (Auto-generate)",INDIRECT("'"&amp;$A35&amp;"'!$A$12:$Z$12"),0),0)),"ER"))</f>
        <v>?</v>
      </c>
      <c r="R35" s="87" t="str">
        <f aca="true">IF($H35=0,"NA",IF($A35=INDIRECT("'"&amp;$A35&amp;"'!$B$1"),IF(VLOOKUP(R$1,INDIRECT("'"&amp;$A35&amp;"'!$A$12:$Z$41"),MATCH("Points (Auto-generate)",INDIRECT("'"&amp;$A35&amp;"'!$A$12:$Z$12"),0),0)="","?",VLOOKUP(R$1,INDIRECT("'"&amp;$A35&amp;"'!$A$12:$Z$41"),MATCH("Points (Auto-generate)",INDIRECT("'"&amp;$A35&amp;"'!$A$12:$Z$12"),0),0)),"ER"))</f>
        <v>?</v>
      </c>
      <c r="S35" s="87" t="str">
        <f aca="true">IF($H35=0,"NA",IF($A35=INDIRECT("'"&amp;$A35&amp;"'!$B$1"),IF(VLOOKUP(S$1,INDIRECT("'"&amp;$A35&amp;"'!$A$12:$Z$41"),MATCH("Points (Auto-generate)",INDIRECT("'"&amp;$A35&amp;"'!$A$12:$Z$12"),0),0)="","?",VLOOKUP(S$1,INDIRECT("'"&amp;$A35&amp;"'!$A$12:$Z$41"),MATCH("Points (Auto-generate)",INDIRECT("'"&amp;$A35&amp;"'!$A$12:$Z$12"),0),0)),"ER"))</f>
        <v>?</v>
      </c>
      <c r="T35" s="87" t="str">
        <f aca="true">IF($H35=0,"NA",IF($A35=INDIRECT("'"&amp;$A35&amp;"'!$B$1"),IF(VLOOKUP(T$1,INDIRECT("'"&amp;$A35&amp;"'!$A$12:$Z$41"),MATCH("Points (Auto-generate)",INDIRECT("'"&amp;$A35&amp;"'!$A$12:$Z$12"),0),0)="","?",VLOOKUP(T$1,INDIRECT("'"&amp;$A35&amp;"'!$A$12:$Z$41"),MATCH("Points (Auto-generate)",INDIRECT("'"&amp;$A35&amp;"'!$A$12:$Z$12"),0),0)),"ER"))</f>
        <v>?</v>
      </c>
      <c r="U35" s="87" t="str">
        <f aca="true">IF($H35=0,"NA",IF($A35=INDIRECT("'"&amp;$A35&amp;"'!$B$1"),IF(VLOOKUP(U$1,INDIRECT("'"&amp;$A35&amp;"'!$A$12:$Z$41"),MATCH("Points (Auto-generate)",INDIRECT("'"&amp;$A35&amp;"'!$A$12:$Z$12"),0),0)="","?",VLOOKUP(U$1,INDIRECT("'"&amp;$A35&amp;"'!$A$12:$Z$41"),MATCH("Points (Auto-generate)",INDIRECT("'"&amp;$A35&amp;"'!$A$12:$Z$12"),0),0)),"ER"))</f>
        <v>?</v>
      </c>
      <c r="V35" s="87" t="str">
        <f aca="true">IF($H35=0,"NA",IF($A35=INDIRECT("'"&amp;$A35&amp;"'!$B$1"),IF(VLOOKUP(V$1,INDIRECT("'"&amp;$A35&amp;"'!$A$12:$Z$41"),MATCH("Points (Auto-generate)",INDIRECT("'"&amp;$A35&amp;"'!$A$12:$Z$12"),0),0)="","?",VLOOKUP(V$1,INDIRECT("'"&amp;$A35&amp;"'!$A$12:$Z$41"),MATCH("Points (Auto-generate)",INDIRECT("'"&amp;$A35&amp;"'!$A$12:$Z$12"),0),0)),"ER"))</f>
        <v>?</v>
      </c>
      <c r="W35" s="87" t="str">
        <f aca="true">IF($H35=0,"NA",IF($A35=INDIRECT("'"&amp;$A35&amp;"'!$B$1"),IF(VLOOKUP(W$1,INDIRECT("'"&amp;$A35&amp;"'!$A$12:$Z$41"),MATCH("Points (Auto-generate)",INDIRECT("'"&amp;$A35&amp;"'!$A$12:$Z$12"),0),0)="","?",VLOOKUP(W$1,INDIRECT("'"&amp;$A35&amp;"'!$A$12:$Z$41"),MATCH("Points (Auto-generate)",INDIRECT("'"&amp;$A35&amp;"'!$A$12:$Z$12"),0),0)),"ER"))</f>
        <v>?</v>
      </c>
      <c r="X35" s="87" t="str">
        <f aca="true">IF($H35=0,"NA",IF($A35=INDIRECT("'"&amp;$A35&amp;"'!$B$1"),IF(VLOOKUP(X$1,INDIRECT("'"&amp;$A35&amp;"'!$A$12:$Z$41"),MATCH("Points (Auto-generate)",INDIRECT("'"&amp;$A35&amp;"'!$A$12:$Z$12"),0),0)="","?",VLOOKUP(X$1,INDIRECT("'"&amp;$A35&amp;"'!$A$12:$Z$41"),MATCH("Points (Auto-generate)",INDIRECT("'"&amp;$A35&amp;"'!$A$12:$Z$12"),0),0)),"ER"))</f>
        <v>?</v>
      </c>
      <c r="Y35" s="87" t="str">
        <f aca="true">IF($H35=0,"NA",IF($A35=INDIRECT("'"&amp;$A35&amp;"'!$B$1"),IF(VLOOKUP(Y$1,INDIRECT("'"&amp;$A35&amp;"'!$A$12:$Z$41"),MATCH("Points (Auto-generate)",INDIRECT("'"&amp;$A35&amp;"'!$A$12:$Z$12"),0),0)="","?",VLOOKUP(Y$1,INDIRECT("'"&amp;$A35&amp;"'!$A$12:$Z$41"),MATCH("Points (Auto-generate)",INDIRECT("'"&amp;$A35&amp;"'!$A$12:$Z$12"),0),0)),"ER"))</f>
        <v>?</v>
      </c>
      <c r="Z35" s="87" t="str">
        <f aca="true">IF($H35=0,"NA",IF($A35=INDIRECT("'"&amp;$A35&amp;"'!$B$1"),IF(VLOOKUP(Z$1,INDIRECT("'"&amp;$A35&amp;"'!$A$12:$Z$41"),MATCH("Points (Auto-generate)",INDIRECT("'"&amp;$A35&amp;"'!$A$12:$Z$12"),0),0)="","?",VLOOKUP(Z$1,INDIRECT("'"&amp;$A35&amp;"'!$A$12:$Z$41"),MATCH("Points (Auto-generate)",INDIRECT("'"&amp;$A35&amp;"'!$A$12:$Z$12"),0),0)),"ER"))</f>
        <v>?</v>
      </c>
      <c r="AA35" s="87" t="str">
        <f aca="true">IF($H35=0,"NA",IF($A35=INDIRECT("'"&amp;$A35&amp;"'!$B$1"),IF(VLOOKUP(AA$1,INDIRECT("'"&amp;$A35&amp;"'!$A$12:$Z$41"),MATCH("Points (Auto-generate)",INDIRECT("'"&amp;$A35&amp;"'!$A$12:$Z$12"),0),0)="","?",VLOOKUP(AA$1,INDIRECT("'"&amp;$A35&amp;"'!$A$12:$Z$41"),MATCH("Points (Auto-generate)",INDIRECT("'"&amp;$A35&amp;"'!$A$12:$Z$12"),0),0)),"ER"))</f>
        <v>?</v>
      </c>
      <c r="AB35" s="87" t="str">
        <f aca="true">IF($H35=0,"NA",IF($A35=INDIRECT("'"&amp;$A35&amp;"'!$B$1"),IF(VLOOKUP(AB$1,INDIRECT("'"&amp;$A35&amp;"'!$A$12:$Z$41"),MATCH("Points (Auto-generate)",INDIRECT("'"&amp;$A35&amp;"'!$A$12:$Z$12"),0),0)="","?",VLOOKUP(AB$1,INDIRECT("'"&amp;$A35&amp;"'!$A$12:$Z$41"),MATCH("Points (Auto-generate)",INDIRECT("'"&amp;$A35&amp;"'!$A$12:$Z$12"),0),0)),"ER"))</f>
        <v>?</v>
      </c>
      <c r="AC35" s="87" t="str">
        <f aca="true">IF($H35=0,"NA",IF($A35=INDIRECT("'"&amp;$A35&amp;"'!$B$1"),IF(VLOOKUP(AC$1,INDIRECT("'"&amp;$A35&amp;"'!$A$12:$Z$41"),MATCH("Points (Auto-generate)",INDIRECT("'"&amp;$A35&amp;"'!$A$12:$Z$12"),0),0)="","?",VLOOKUP(AC$1,INDIRECT("'"&amp;$A35&amp;"'!$A$12:$Z$41"),MATCH("Points (Auto-generate)",INDIRECT("'"&amp;$A35&amp;"'!$A$12:$Z$12"),0),0)),"ER"))</f>
        <v>?</v>
      </c>
      <c r="AD35" s="87" t="str">
        <f aca="true">IF($H35=0,"NA",IF($A35=INDIRECT("'"&amp;$A35&amp;"'!$B$1"),IF(VLOOKUP(AD$1,INDIRECT("'"&amp;$A35&amp;"'!$A$12:$Z$41"),MATCH("Points (Auto-generate)",INDIRECT("'"&amp;$A35&amp;"'!$A$12:$Z$12"),0),0)="","?",VLOOKUP(AD$1,INDIRECT("'"&amp;$A35&amp;"'!$A$12:$Z$41"),MATCH("Points (Auto-generate)",INDIRECT("'"&amp;$A35&amp;"'!$A$12:$Z$12"),0),0)),"ER"))</f>
        <v>?</v>
      </c>
      <c r="AE35" s="87" t="str">
        <f aca="true">IF($H35=0,"NA",IF($A35=INDIRECT("'"&amp;$A35&amp;"'!$B$1"),IF(VLOOKUP(AE$1,INDIRECT("'"&amp;$A35&amp;"'!$A$12:$Z$41"),MATCH("Points (Auto-generate)",INDIRECT("'"&amp;$A35&amp;"'!$A$12:$Z$12"),0),0)="","?",VLOOKUP(AE$1,INDIRECT("'"&amp;$A35&amp;"'!$A$12:$Z$41"),MATCH("Points (Auto-generate)",INDIRECT("'"&amp;$A35&amp;"'!$A$12:$Z$12"),0),0)),"ER"))</f>
        <v>?</v>
      </c>
      <c r="AF35" s="87" t="str">
        <f aca="true">IF($H35=0,"NA",IF($A35=INDIRECT("'"&amp;$A35&amp;"'!$B$1"),IF(VLOOKUP(AF$1,INDIRECT("'"&amp;$A35&amp;"'!$A$12:$Z$41"),MATCH("Points (Auto-generate)",INDIRECT("'"&amp;$A35&amp;"'!$A$12:$Z$12"),0),0)="","?",VLOOKUP(AF$1,INDIRECT("'"&amp;$A35&amp;"'!$A$12:$Z$41"),MATCH("Points (Auto-generate)",INDIRECT("'"&amp;$A35&amp;"'!$A$12:$Z$12"),0),0)),"ER"))</f>
        <v>?</v>
      </c>
      <c r="AG35" s="87" t="str">
        <f aca="true">IF($H35=0,"NA",IF($A35=INDIRECT("'"&amp;$A35&amp;"'!$B$1"),IF(VLOOKUP(AG$1,INDIRECT("'"&amp;$A35&amp;"'!$A$12:$Z$41"),MATCH("Points (Auto-generate)",INDIRECT("'"&amp;$A35&amp;"'!$A$12:$Z$12"),0),0)="","?",VLOOKUP(AG$1,INDIRECT("'"&amp;$A35&amp;"'!$A$12:$Z$41"),MATCH("Points (Auto-generate)",INDIRECT("'"&amp;$A35&amp;"'!$A$12:$Z$12"),0),0)),"ER"))</f>
        <v>?</v>
      </c>
      <c r="AH35" s="87" t="str">
        <f aca="true">IF($H35=0,"NA",IF($A35=INDIRECT("'"&amp;$A35&amp;"'!$B$1"),IF(VLOOKUP(AH$1,INDIRECT("'"&amp;$A35&amp;"'!$A$12:$Z$41"),MATCH("Points (Auto-generate)",INDIRECT("'"&amp;$A35&amp;"'!$A$12:$Z$12"),0),0)="","?",VLOOKUP(AH$1,INDIRECT("'"&amp;$A35&amp;"'!$A$12:$Z$41"),MATCH("Points (Auto-generate)",INDIRECT("'"&amp;$A35&amp;"'!$A$12:$Z$12"),0),0)),"ER"))</f>
        <v>?</v>
      </c>
      <c r="AI35" s="87" t="str">
        <f aca="true">IF($H35=0,"NA",IF($A35=INDIRECT("'"&amp;$A35&amp;"'!$B$1"),IF(VLOOKUP(AI$1,INDIRECT("'"&amp;$A35&amp;"'!$A$12:$Z$41"),MATCH("Points (Auto-generate)",INDIRECT("'"&amp;$A35&amp;"'!$A$12:$Z$12"),0),0)="","?",VLOOKUP(AI$1,INDIRECT("'"&amp;$A35&amp;"'!$A$12:$Z$41"),MATCH("Points (Auto-generate)",INDIRECT("'"&amp;$A35&amp;"'!$A$12:$Z$12"),0),0)),"ER"))</f>
        <v>?</v>
      </c>
      <c r="AJ35" s="87" t="str">
        <f aca="true">IF($H35=0,"NA",IF($A35=INDIRECT("'"&amp;$A35&amp;"'!$B$1"),IF(VLOOKUP(AJ$1,INDIRECT("'"&amp;$A35&amp;"'!$A$12:$Z$41"),MATCH("Points (Auto-generate)",INDIRECT("'"&amp;$A35&amp;"'!$A$12:$Z$12"),0),0)="","?",VLOOKUP(AJ$1,INDIRECT("'"&amp;$A35&amp;"'!$A$12:$Z$41"),MATCH("Points (Auto-generate)",INDIRECT("'"&amp;$A35&amp;"'!$A$12:$Z$12"),0),0)),"ER"))</f>
        <v>?</v>
      </c>
      <c r="AK35" s="87" t="str">
        <f aca="true">IF($H35=0,"NA",IF($A35=INDIRECT("'"&amp;$A35&amp;"'!$B$1"),IF(VLOOKUP(AK$1,INDIRECT("'"&amp;$A35&amp;"'!$A$12:$Z$41"),MATCH("Points (Auto-generate)",INDIRECT("'"&amp;$A35&amp;"'!$A$12:$Z$12"),0),0)="","?",VLOOKUP(AK$1,INDIRECT("'"&amp;$A35&amp;"'!$A$12:$Z$41"),MATCH("Points (Auto-generate)",INDIRECT("'"&amp;$A35&amp;"'!$A$12:$Z$12"),0),0)),"ER"))</f>
        <v>?</v>
      </c>
    </row>
    <row r="36" customFormat="false" ht="14.25" hidden="false" customHeight="true" outlineLevel="0" collapsed="false">
      <c r="A36" s="83" t="s">
        <v>255</v>
      </c>
      <c r="B36" s="84" t="str">
        <f aca="false">IF(ISBLANK($A36),"NO_CODE",VLOOKUP($A36,'UPD Questions_290926 '!$E$1:$N$300,MATCH(B$1,'UPD Questions_290926 '!$E$1:$N$1,0),0)&amp;"")</f>
        <v>Implementation</v>
      </c>
      <c r="C36" s="84" t="str">
        <f aca="false">IF(ISBLANK($A36),"NO_CODE",VLOOKUP($A36,'UPD Questions_290926 '!$E$1:$N$300,MATCH(C$1,'UPD Questions_290926 '!$E$1:$N$1,0),0)&amp;"")</f>
        <v>Municipal/City Plan status, hierarchy and coordination</v>
      </c>
      <c r="D36" s="84" t="str">
        <f aca="false">IF(ISBLANK($A36),"NO_CODE",VLOOKUP($A36,'UPD Questions_290926 '!$E$1:$N$300,MATCH(D$1,'UPD Questions_290926 '!$E$1:$N$1,0),0)&amp;"")</f>
        <v>Validity of Municipal/City Plans</v>
      </c>
      <c r="E36" s="84" t="str">
        <f aca="false">IF(ISBLANK($A36),"NO_CODE",VLOOKUP($A36,'UPD Questions_290926 '!$E$1:$N$300,MATCH(E$1,'UPD Questions_290926 '!$E$1:$N$1,0),0)&amp;"")</f>
        <v>MQ</v>
      </c>
      <c r="F36" s="84" t="str">
        <f aca="false">IF(ISBLANK($A36),"NO_CODE",VLOOKUP($A36,'UPD Questions_290926 '!$E$1:$N$300,MATCH(F$1,'UPD Questions_290926 '!$E$1:$N$1,0),0)&amp;"")</f>
        <v>Does the city have a municipal/city plan that is currently in force and within its prescribed validity period?</v>
      </c>
      <c r="G36" s="84" t="str">
        <f aca="false">IF(ISBLANK($A36),"NO_CODE",VLOOKUP($A36,'UPD Questions_290926 '!$E$1:$N$300,MATCH(G$1,'UPD Questions_290926 '!$E$1:$N$1,0),0)&amp;"")</f>
        <v>Implementation</v>
      </c>
      <c r="H36" s="86" t="n">
        <f aca="false">IF(ISBLANK($A36),"NO_CODE",VLOOKUP($A36,'UPD Questions_290926 '!$E$1:$N$300,MATCH(H$1,'UPD Questions_290926 '!$E$1:$N$1,0),0))</f>
        <v>10</v>
      </c>
      <c r="I36" s="87" t="str">
        <f aca="true">IF($H36=0,"NA",IF($A36=INDIRECT("'"&amp;$A36&amp;"'!$B$1"),IF(VLOOKUP(I$1,INDIRECT("'"&amp;$A36&amp;"'!$A$12:$Z$41"),MATCH("Points (Auto-generate)",INDIRECT("'"&amp;$A36&amp;"'!$A$12:$Z$12"),0),0)="","?",VLOOKUP(I$1,INDIRECT("'"&amp;$A36&amp;"'!$A$12:$Z$41"),MATCH("Points (Auto-generate)",INDIRECT("'"&amp;$A36&amp;"'!$A$12:$Z$12"),0),0)),"ER"))</f>
        <v>?</v>
      </c>
      <c r="J36" s="87" t="str">
        <f aca="true">IF($H36=0,"NA",IF($A36=INDIRECT("'"&amp;$A36&amp;"'!$B$1"),IF(VLOOKUP(J$1,INDIRECT("'"&amp;$A36&amp;"'!$A$12:$Z$41"),MATCH("Points (Auto-generate)",INDIRECT("'"&amp;$A36&amp;"'!$A$12:$Z$12"),0),0)="","?",VLOOKUP(J$1,INDIRECT("'"&amp;$A36&amp;"'!$A$12:$Z$41"),MATCH("Points (Auto-generate)",INDIRECT("'"&amp;$A36&amp;"'!$A$12:$Z$12"),0),0)),"ER"))</f>
        <v>?</v>
      </c>
      <c r="K36" s="87" t="str">
        <f aca="true">IF($H36=0,"NA",IF($A36=INDIRECT("'"&amp;$A36&amp;"'!$B$1"),IF(VLOOKUP(K$1,INDIRECT("'"&amp;$A36&amp;"'!$A$12:$Z$41"),MATCH("Points (Auto-generate)",INDIRECT("'"&amp;$A36&amp;"'!$A$12:$Z$12"),0),0)="","?",VLOOKUP(K$1,INDIRECT("'"&amp;$A36&amp;"'!$A$12:$Z$41"),MATCH("Points (Auto-generate)",INDIRECT("'"&amp;$A36&amp;"'!$A$12:$Z$12"),0),0)),"ER"))</f>
        <v>?</v>
      </c>
      <c r="L36" s="87" t="str">
        <f aca="true">IF($H36=0,"NA",IF($A36=INDIRECT("'"&amp;$A36&amp;"'!$B$1"),IF(VLOOKUP(L$1,INDIRECT("'"&amp;$A36&amp;"'!$A$12:$Z$41"),MATCH("Points (Auto-generate)",INDIRECT("'"&amp;$A36&amp;"'!$A$12:$Z$12"),0),0)="","?",VLOOKUP(L$1,INDIRECT("'"&amp;$A36&amp;"'!$A$12:$Z$41"),MATCH("Points (Auto-generate)",INDIRECT("'"&amp;$A36&amp;"'!$A$12:$Z$12"),0),0)),"ER"))</f>
        <v>?</v>
      </c>
      <c r="M36" s="87" t="str">
        <f aca="true">IF($H36=0,"NA",IF($A36=INDIRECT("'"&amp;$A36&amp;"'!$B$1"),IF(VLOOKUP(M$1,INDIRECT("'"&amp;$A36&amp;"'!$A$12:$Z$41"),MATCH("Points (Auto-generate)",INDIRECT("'"&amp;$A36&amp;"'!$A$12:$Z$12"),0),0)="","?",VLOOKUP(M$1,INDIRECT("'"&amp;$A36&amp;"'!$A$12:$Z$41"),MATCH("Points (Auto-generate)",INDIRECT("'"&amp;$A36&amp;"'!$A$12:$Z$12"),0),0)),"ER"))</f>
        <v>?</v>
      </c>
      <c r="N36" s="87" t="str">
        <f aca="true">IF($H36=0,"NA",IF($A36=INDIRECT("'"&amp;$A36&amp;"'!$B$1"),IF(VLOOKUP(N$1,INDIRECT("'"&amp;$A36&amp;"'!$A$12:$Z$41"),MATCH("Points (Auto-generate)",INDIRECT("'"&amp;$A36&amp;"'!$A$12:$Z$12"),0),0)="","?",VLOOKUP(N$1,INDIRECT("'"&amp;$A36&amp;"'!$A$12:$Z$41"),MATCH("Points (Auto-generate)",INDIRECT("'"&amp;$A36&amp;"'!$A$12:$Z$12"),0),0)),"ER"))</f>
        <v>?</v>
      </c>
      <c r="O36" s="87" t="str">
        <f aca="true">IF($H36=0,"NA",IF($A36=INDIRECT("'"&amp;$A36&amp;"'!$B$1"),IF(VLOOKUP(O$1,INDIRECT("'"&amp;$A36&amp;"'!$A$12:$Z$41"),MATCH("Points (Auto-generate)",INDIRECT("'"&amp;$A36&amp;"'!$A$12:$Z$12"),0),0)="","?",VLOOKUP(O$1,INDIRECT("'"&amp;$A36&amp;"'!$A$12:$Z$41"),MATCH("Points (Auto-generate)",INDIRECT("'"&amp;$A36&amp;"'!$A$12:$Z$12"),0),0)),"ER"))</f>
        <v>?</v>
      </c>
      <c r="P36" s="87" t="str">
        <f aca="true">IF($H36=0,"NA",IF($A36=INDIRECT("'"&amp;$A36&amp;"'!$B$1"),IF(VLOOKUP(P$1,INDIRECT("'"&amp;$A36&amp;"'!$A$12:$Z$41"),MATCH("Points (Auto-generate)",INDIRECT("'"&amp;$A36&amp;"'!$A$12:$Z$12"),0),0)="","?",VLOOKUP(P$1,INDIRECT("'"&amp;$A36&amp;"'!$A$12:$Z$41"),MATCH("Points (Auto-generate)",INDIRECT("'"&amp;$A36&amp;"'!$A$12:$Z$12"),0),0)),"ER"))</f>
        <v>?</v>
      </c>
      <c r="Q36" s="87" t="str">
        <f aca="true">IF($H36=0,"NA",IF($A36=INDIRECT("'"&amp;$A36&amp;"'!$B$1"),IF(VLOOKUP(Q$1,INDIRECT("'"&amp;$A36&amp;"'!$A$12:$Z$41"),MATCH("Points (Auto-generate)",INDIRECT("'"&amp;$A36&amp;"'!$A$12:$Z$12"),0),0)="","?",VLOOKUP(Q$1,INDIRECT("'"&amp;$A36&amp;"'!$A$12:$Z$41"),MATCH("Points (Auto-generate)",INDIRECT("'"&amp;$A36&amp;"'!$A$12:$Z$12"),0),0)),"ER"))</f>
        <v>?</v>
      </c>
      <c r="R36" s="87" t="str">
        <f aca="true">IF($H36=0,"NA",IF($A36=INDIRECT("'"&amp;$A36&amp;"'!$B$1"),IF(VLOOKUP(R$1,INDIRECT("'"&amp;$A36&amp;"'!$A$12:$Z$41"),MATCH("Points (Auto-generate)",INDIRECT("'"&amp;$A36&amp;"'!$A$12:$Z$12"),0),0)="","?",VLOOKUP(R$1,INDIRECT("'"&amp;$A36&amp;"'!$A$12:$Z$41"),MATCH("Points (Auto-generate)",INDIRECT("'"&amp;$A36&amp;"'!$A$12:$Z$12"),0),0)),"ER"))</f>
        <v>?</v>
      </c>
      <c r="S36" s="87" t="str">
        <f aca="true">IF($H36=0,"NA",IF($A36=INDIRECT("'"&amp;$A36&amp;"'!$B$1"),IF(VLOOKUP(S$1,INDIRECT("'"&amp;$A36&amp;"'!$A$12:$Z$41"),MATCH("Points (Auto-generate)",INDIRECT("'"&amp;$A36&amp;"'!$A$12:$Z$12"),0),0)="","?",VLOOKUP(S$1,INDIRECT("'"&amp;$A36&amp;"'!$A$12:$Z$41"),MATCH("Points (Auto-generate)",INDIRECT("'"&amp;$A36&amp;"'!$A$12:$Z$12"),0),0)),"ER"))</f>
        <v>?</v>
      </c>
      <c r="T36" s="87" t="str">
        <f aca="true">IF($H36=0,"NA",IF($A36=INDIRECT("'"&amp;$A36&amp;"'!$B$1"),IF(VLOOKUP(T$1,INDIRECT("'"&amp;$A36&amp;"'!$A$12:$Z$41"),MATCH("Points (Auto-generate)",INDIRECT("'"&amp;$A36&amp;"'!$A$12:$Z$12"),0),0)="","?",VLOOKUP(T$1,INDIRECT("'"&amp;$A36&amp;"'!$A$12:$Z$41"),MATCH("Points (Auto-generate)",INDIRECT("'"&amp;$A36&amp;"'!$A$12:$Z$12"),0),0)),"ER"))</f>
        <v>?</v>
      </c>
      <c r="U36" s="87" t="str">
        <f aca="true">IF($H36=0,"NA",IF($A36=INDIRECT("'"&amp;$A36&amp;"'!$B$1"),IF(VLOOKUP(U$1,INDIRECT("'"&amp;$A36&amp;"'!$A$12:$Z$41"),MATCH("Points (Auto-generate)",INDIRECT("'"&amp;$A36&amp;"'!$A$12:$Z$12"),0),0)="","?",VLOOKUP(U$1,INDIRECT("'"&amp;$A36&amp;"'!$A$12:$Z$41"),MATCH("Points (Auto-generate)",INDIRECT("'"&amp;$A36&amp;"'!$A$12:$Z$12"),0),0)),"ER"))</f>
        <v>?</v>
      </c>
      <c r="V36" s="87" t="str">
        <f aca="true">IF($H36=0,"NA",IF($A36=INDIRECT("'"&amp;$A36&amp;"'!$B$1"),IF(VLOOKUP(V$1,INDIRECT("'"&amp;$A36&amp;"'!$A$12:$Z$41"),MATCH("Points (Auto-generate)",INDIRECT("'"&amp;$A36&amp;"'!$A$12:$Z$12"),0),0)="","?",VLOOKUP(V$1,INDIRECT("'"&amp;$A36&amp;"'!$A$12:$Z$41"),MATCH("Points (Auto-generate)",INDIRECT("'"&amp;$A36&amp;"'!$A$12:$Z$12"),0),0)),"ER"))</f>
        <v>?</v>
      </c>
      <c r="W36" s="87" t="str">
        <f aca="true">IF($H36=0,"NA",IF($A36=INDIRECT("'"&amp;$A36&amp;"'!$B$1"),IF(VLOOKUP(W$1,INDIRECT("'"&amp;$A36&amp;"'!$A$12:$Z$41"),MATCH("Points (Auto-generate)",INDIRECT("'"&amp;$A36&amp;"'!$A$12:$Z$12"),0),0)="","?",VLOOKUP(W$1,INDIRECT("'"&amp;$A36&amp;"'!$A$12:$Z$41"),MATCH("Points (Auto-generate)",INDIRECT("'"&amp;$A36&amp;"'!$A$12:$Z$12"),0),0)),"ER"))</f>
        <v>?</v>
      </c>
      <c r="X36" s="87" t="str">
        <f aca="true">IF($H36=0,"NA",IF($A36=INDIRECT("'"&amp;$A36&amp;"'!$B$1"),IF(VLOOKUP(X$1,INDIRECT("'"&amp;$A36&amp;"'!$A$12:$Z$41"),MATCH("Points (Auto-generate)",INDIRECT("'"&amp;$A36&amp;"'!$A$12:$Z$12"),0),0)="","?",VLOOKUP(X$1,INDIRECT("'"&amp;$A36&amp;"'!$A$12:$Z$41"),MATCH("Points (Auto-generate)",INDIRECT("'"&amp;$A36&amp;"'!$A$12:$Z$12"),0),0)),"ER"))</f>
        <v>?</v>
      </c>
      <c r="Y36" s="87" t="str">
        <f aca="true">IF($H36=0,"NA",IF($A36=INDIRECT("'"&amp;$A36&amp;"'!$B$1"),IF(VLOOKUP(Y$1,INDIRECT("'"&amp;$A36&amp;"'!$A$12:$Z$41"),MATCH("Points (Auto-generate)",INDIRECT("'"&amp;$A36&amp;"'!$A$12:$Z$12"),0),0)="","?",VLOOKUP(Y$1,INDIRECT("'"&amp;$A36&amp;"'!$A$12:$Z$41"),MATCH("Points (Auto-generate)",INDIRECT("'"&amp;$A36&amp;"'!$A$12:$Z$12"),0),0)),"ER"))</f>
        <v>?</v>
      </c>
      <c r="Z36" s="87" t="str">
        <f aca="true">IF($H36=0,"NA",IF($A36=INDIRECT("'"&amp;$A36&amp;"'!$B$1"),IF(VLOOKUP(Z$1,INDIRECT("'"&amp;$A36&amp;"'!$A$12:$Z$41"),MATCH("Points (Auto-generate)",INDIRECT("'"&amp;$A36&amp;"'!$A$12:$Z$12"),0),0)="","?",VLOOKUP(Z$1,INDIRECT("'"&amp;$A36&amp;"'!$A$12:$Z$41"),MATCH("Points (Auto-generate)",INDIRECT("'"&amp;$A36&amp;"'!$A$12:$Z$12"),0),0)),"ER"))</f>
        <v>?</v>
      </c>
      <c r="AA36" s="87" t="str">
        <f aca="true">IF($H36=0,"NA",IF($A36=INDIRECT("'"&amp;$A36&amp;"'!$B$1"),IF(VLOOKUP(AA$1,INDIRECT("'"&amp;$A36&amp;"'!$A$12:$Z$41"),MATCH("Points (Auto-generate)",INDIRECT("'"&amp;$A36&amp;"'!$A$12:$Z$12"),0),0)="","?",VLOOKUP(AA$1,INDIRECT("'"&amp;$A36&amp;"'!$A$12:$Z$41"),MATCH("Points (Auto-generate)",INDIRECT("'"&amp;$A36&amp;"'!$A$12:$Z$12"),0),0)),"ER"))</f>
        <v>?</v>
      </c>
      <c r="AB36" s="87" t="str">
        <f aca="true">IF($H36=0,"NA",IF($A36=INDIRECT("'"&amp;$A36&amp;"'!$B$1"),IF(VLOOKUP(AB$1,INDIRECT("'"&amp;$A36&amp;"'!$A$12:$Z$41"),MATCH("Points (Auto-generate)",INDIRECT("'"&amp;$A36&amp;"'!$A$12:$Z$12"),0),0)="","?",VLOOKUP(AB$1,INDIRECT("'"&amp;$A36&amp;"'!$A$12:$Z$41"),MATCH("Points (Auto-generate)",INDIRECT("'"&amp;$A36&amp;"'!$A$12:$Z$12"),0),0)),"ER"))</f>
        <v>?</v>
      </c>
      <c r="AC36" s="87" t="n">
        <f aca="true">IF($H36=0,"NA",IF($A36=INDIRECT("'"&amp;$A36&amp;"'!$B$1"),IF(VLOOKUP(AC$1,INDIRECT("'"&amp;$A36&amp;"'!$A$12:$Z$41"),MATCH("Points (Auto-generate)",INDIRECT("'"&amp;$A36&amp;"'!$A$12:$Z$12"),0),0)="","?",VLOOKUP(AC$1,INDIRECT("'"&amp;$A36&amp;"'!$A$12:$Z$41"),MATCH("Points (Auto-generate)",INDIRECT("'"&amp;$A36&amp;"'!$A$12:$Z$12"),0),0)),"ER"))</f>
        <v>10</v>
      </c>
      <c r="AD36" s="87" t="str">
        <f aca="true">IF($H36=0,"NA",IF($A36=INDIRECT("'"&amp;$A36&amp;"'!$B$1"),IF(VLOOKUP(AD$1,INDIRECT("'"&amp;$A36&amp;"'!$A$12:$Z$41"),MATCH("Points (Auto-generate)",INDIRECT("'"&amp;$A36&amp;"'!$A$12:$Z$12"),0),0)="","?",VLOOKUP(AD$1,INDIRECT("'"&amp;$A36&amp;"'!$A$12:$Z$41"),MATCH("Points (Auto-generate)",INDIRECT("'"&amp;$A36&amp;"'!$A$12:$Z$12"),0),0)),"ER"))</f>
        <v>?</v>
      </c>
      <c r="AE36" s="87" t="str">
        <f aca="true">IF($H36=0,"NA",IF($A36=INDIRECT("'"&amp;$A36&amp;"'!$B$1"),IF(VLOOKUP(AE$1,INDIRECT("'"&amp;$A36&amp;"'!$A$12:$Z$41"),MATCH("Points (Auto-generate)",INDIRECT("'"&amp;$A36&amp;"'!$A$12:$Z$12"),0),0)="","?",VLOOKUP(AE$1,INDIRECT("'"&amp;$A36&amp;"'!$A$12:$Z$41"),MATCH("Points (Auto-generate)",INDIRECT("'"&amp;$A36&amp;"'!$A$12:$Z$12"),0),0)),"ER"))</f>
        <v>?</v>
      </c>
      <c r="AF36" s="87" t="str">
        <f aca="true">IF($H36=0,"NA",IF($A36=INDIRECT("'"&amp;$A36&amp;"'!$B$1"),IF(VLOOKUP(AF$1,INDIRECT("'"&amp;$A36&amp;"'!$A$12:$Z$41"),MATCH("Points (Auto-generate)",INDIRECT("'"&amp;$A36&amp;"'!$A$12:$Z$12"),0),0)="","?",VLOOKUP(AF$1,INDIRECT("'"&amp;$A36&amp;"'!$A$12:$Z$41"),MATCH("Points (Auto-generate)",INDIRECT("'"&amp;$A36&amp;"'!$A$12:$Z$12"),0),0)),"ER"))</f>
        <v>?</v>
      </c>
      <c r="AG36" s="87" t="str">
        <f aca="true">IF($H36=0,"NA",IF($A36=INDIRECT("'"&amp;$A36&amp;"'!$B$1"),IF(VLOOKUP(AG$1,INDIRECT("'"&amp;$A36&amp;"'!$A$12:$Z$41"),MATCH("Points (Auto-generate)",INDIRECT("'"&amp;$A36&amp;"'!$A$12:$Z$12"),0),0)="","?",VLOOKUP(AG$1,INDIRECT("'"&amp;$A36&amp;"'!$A$12:$Z$41"),MATCH("Points (Auto-generate)",INDIRECT("'"&amp;$A36&amp;"'!$A$12:$Z$12"),0),0)),"ER"))</f>
        <v>?</v>
      </c>
      <c r="AH36" s="87" t="str">
        <f aca="true">IF($H36=0,"NA",IF($A36=INDIRECT("'"&amp;$A36&amp;"'!$B$1"),IF(VLOOKUP(AH$1,INDIRECT("'"&amp;$A36&amp;"'!$A$12:$Z$41"),MATCH("Points (Auto-generate)",INDIRECT("'"&amp;$A36&amp;"'!$A$12:$Z$12"),0),0)="","?",VLOOKUP(AH$1,INDIRECT("'"&amp;$A36&amp;"'!$A$12:$Z$41"),MATCH("Points (Auto-generate)",INDIRECT("'"&amp;$A36&amp;"'!$A$12:$Z$12"),0),0)),"ER"))</f>
        <v>?</v>
      </c>
      <c r="AI36" s="87" t="str">
        <f aca="true">IF($H36=0,"NA",IF($A36=INDIRECT("'"&amp;$A36&amp;"'!$B$1"),IF(VLOOKUP(AI$1,INDIRECT("'"&amp;$A36&amp;"'!$A$12:$Z$41"),MATCH("Points (Auto-generate)",INDIRECT("'"&amp;$A36&amp;"'!$A$12:$Z$12"),0),0)="","?",VLOOKUP(AI$1,INDIRECT("'"&amp;$A36&amp;"'!$A$12:$Z$41"),MATCH("Points (Auto-generate)",INDIRECT("'"&amp;$A36&amp;"'!$A$12:$Z$12"),0),0)),"ER"))</f>
        <v>?</v>
      </c>
      <c r="AJ36" s="87" t="str">
        <f aca="true">IF($H36=0,"NA",IF($A36=INDIRECT("'"&amp;$A36&amp;"'!$B$1"),IF(VLOOKUP(AJ$1,INDIRECT("'"&amp;$A36&amp;"'!$A$12:$Z$41"),MATCH("Points (Auto-generate)",INDIRECT("'"&amp;$A36&amp;"'!$A$12:$Z$12"),0),0)="","?",VLOOKUP(AJ$1,INDIRECT("'"&amp;$A36&amp;"'!$A$12:$Z$41"),MATCH("Points (Auto-generate)",INDIRECT("'"&amp;$A36&amp;"'!$A$12:$Z$12"),0),0)),"ER"))</f>
        <v>?</v>
      </c>
      <c r="AK36" s="87" t="str">
        <f aca="true">IF($H36=0,"NA",IF($A36=INDIRECT("'"&amp;$A36&amp;"'!$B$1"),IF(VLOOKUP(AK$1,INDIRECT("'"&amp;$A36&amp;"'!$A$12:$Z$41"),MATCH("Points (Auto-generate)",INDIRECT("'"&amp;$A36&amp;"'!$A$12:$Z$12"),0),0)="","?",VLOOKUP(AK$1,INDIRECT("'"&amp;$A36&amp;"'!$A$12:$Z$41"),MATCH("Points (Auto-generate)",INDIRECT("'"&amp;$A36&amp;"'!$A$12:$Z$12"),0),0)),"ER"))</f>
        <v>?</v>
      </c>
    </row>
    <row r="37" customFormat="false" ht="14.25" hidden="false" customHeight="true" outlineLevel="0" collapsed="false">
      <c r="A37" s="83" t="s">
        <v>672</v>
      </c>
      <c r="B37" s="84" t="str">
        <f aca="false">IF(ISBLANK($A37),"NO_CODE",VLOOKUP($A37,'UPD Questions_290926 '!$E$1:$N$300,MATCH(B$1,'UPD Questions_290926 '!$E$1:$N$1,0),0)&amp;"")</f>
        <v>Implementation</v>
      </c>
      <c r="C37" s="84" t="str">
        <f aca="false">IF(ISBLANK($A37),"NO_CODE",VLOOKUP($A37,'UPD Questions_290926 '!$E$1:$N$300,MATCH(C$1,'UPD Questions_290926 '!$E$1:$N$1,0),0)&amp;"")</f>
        <v>Municipal/City Plan status, hierarchy and coordination</v>
      </c>
      <c r="D37" s="84" t="str">
        <f aca="false">IF(ISBLANK($A37),"NO_CODE",VLOOKUP($A37,'UPD Questions_290926 '!$E$1:$N$300,MATCH(D$1,'UPD Questions_290926 '!$E$1:$N$1,0),0)&amp;"")</f>
        <v>Alignment across planning levels</v>
      </c>
      <c r="E37" s="84" t="str">
        <f aca="false">IF(ISBLANK($A37),"NO_CODE",VLOOKUP($A37,'UPD Questions_290926 '!$E$1:$N$300,MATCH(E$1,'UPD Questions_290926 '!$E$1:$N$1,0),0)&amp;"")</f>
        <v>MQ</v>
      </c>
      <c r="F37" s="84" t="str">
        <f aca="false">IF(ISBLANK($A37),"NO_CODE",VLOOKUP($A37,'UPD Questions_290926 '!$E$1:$N$300,MATCH(F$1,'UPD Questions_290926 '!$E$1:$N$1,0),0)&amp;"")</f>
        <v> Are the spatial plans at the Metropolitan/Regional, Municipal and Ward(s) /Local level in a concurrent or nested timeline of validity?</v>
      </c>
      <c r="G37" s="84" t="str">
        <f aca="false">IF(ISBLANK($A37),"NO_CODE",VLOOKUP($A37,'UPD Questions_290926 '!$E$1:$N$300,MATCH(G$1,'UPD Questions_290926 '!$E$1:$N$1,0),0)&amp;"")</f>
        <v>Implementation</v>
      </c>
      <c r="H37" s="86" t="n">
        <f aca="false">IF(ISBLANK($A37),"NO_CODE",VLOOKUP($A37,'UPD Questions_290926 '!$E$1:$N$300,MATCH(H$1,'UPD Questions_290926 '!$E$1:$N$1,0),0))</f>
        <v>10</v>
      </c>
      <c r="I37" s="87" t="str">
        <f aca="false">IF(OR(I38="ER",I39="ER"),"ER",IF(OR(I38="?",I39="?"),"?",IF(AND(I38="NA",I39="NA"),"NA",SUM(I38,I39)/((I38&lt;&gt;"NA")*$H$38+(I39&lt;&gt;"NA")*$H$39)*$H37)))</f>
        <v>?</v>
      </c>
      <c r="J37" s="87" t="str">
        <f aca="false">IF(OR(J38="ER",J39="ER"),"ER",IF(OR(J38="?",J39="?"),"?",IF(AND(J38="NA",J39="NA"),"NA",SUM(J38,J39)/((J38&lt;&gt;"NA")*$H$38+(J39&lt;&gt;"NA")*$H$39)*$H37)))</f>
        <v>?</v>
      </c>
      <c r="K37" s="87" t="str">
        <f aca="false">IF(OR(K38="ER",K39="ER"),"ER",IF(OR(K38="?",K39="?"),"?",IF(AND(K38="NA",K39="NA"),"NA",SUM(K38,K39)/((K38&lt;&gt;"NA")*$H$38+(K39&lt;&gt;"NA")*$H$39)*$H37)))</f>
        <v>?</v>
      </c>
      <c r="L37" s="87" t="str">
        <f aca="false">IF(OR(L38="ER",L39="ER"),"ER",IF(OR(L38="?",L39="?"),"?",IF(AND(L38="NA",L39="NA"),"NA",SUM(L38,L39)/((L38&lt;&gt;"NA")*$H$38+(L39&lt;&gt;"NA")*$H$39)*$H37)))</f>
        <v>?</v>
      </c>
      <c r="M37" s="87" t="str">
        <f aca="false">IF(OR(M38="ER",M39="ER"),"ER",IF(OR(M38="?",M39="?"),"?",IF(AND(M38="NA",M39="NA"),"NA",SUM(M38,M39)/((M38&lt;&gt;"NA")*$H$38+(M39&lt;&gt;"NA")*$H$39)*$H37)))</f>
        <v>?</v>
      </c>
      <c r="N37" s="87" t="str">
        <f aca="false">IF(OR(N38="ER",N39="ER"),"ER",IF(OR(N38="?",N39="?"),"?",IF(AND(N38="NA",N39="NA"),"NA",SUM(N38,N39)/((N38&lt;&gt;"NA")*$H$38+(N39&lt;&gt;"NA")*$H$39)*$H37)))</f>
        <v>?</v>
      </c>
      <c r="O37" s="87" t="str">
        <f aca="false">IF(OR(O38="ER",O39="ER"),"ER",IF(OR(O38="?",O39="?"),"?",IF(AND(O38="NA",O39="NA"),"NA",SUM(O38,O39)/((O38&lt;&gt;"NA")*$H$38+(O39&lt;&gt;"NA")*$H$39)*$H37)))</f>
        <v>?</v>
      </c>
      <c r="P37" s="87" t="str">
        <f aca="false">IF(OR(P38="ER",P39="ER"),"ER",IF(OR(P38="?",P39="?"),"?",IF(AND(P38="NA",P39="NA"),"NA",SUM(P38,P39)/((P38&lt;&gt;"NA")*$H$38+(P39&lt;&gt;"NA")*$H$39)*$H37)))</f>
        <v>?</v>
      </c>
      <c r="Q37" s="87" t="str">
        <f aca="false">IF(OR(Q38="ER",Q39="ER"),"ER",IF(OR(Q38="?",Q39="?"),"?",IF(AND(Q38="NA",Q39="NA"),"NA",SUM(Q38,Q39)/((Q38&lt;&gt;"NA")*$H$38+(Q39&lt;&gt;"NA")*$H$39)*$H37)))</f>
        <v>?</v>
      </c>
      <c r="R37" s="87" t="str">
        <f aca="false">IF(OR(R38="ER",R39="ER"),"ER",IF(OR(R38="?",R39="?"),"?",IF(AND(R38="NA",R39="NA"),"NA",SUM(R38,R39)/((R38&lt;&gt;"NA")*$H$38+(R39&lt;&gt;"NA")*$H$39)*$H37)))</f>
        <v>?</v>
      </c>
      <c r="S37" s="87" t="str">
        <f aca="false">IF(OR(S38="ER",S39="ER"),"ER",IF(OR(S38="?",S39="?"),"?",IF(AND(S38="NA",S39="NA"),"NA",SUM(S38,S39)/((S38&lt;&gt;"NA")*$H$38+(S39&lt;&gt;"NA")*$H$39)*$H37)))</f>
        <v>?</v>
      </c>
      <c r="T37" s="87" t="str">
        <f aca="false">IF(OR(T38="ER",T39="ER"),"ER",IF(OR(T38="?",T39="?"),"?",IF(AND(T38="NA",T39="NA"),"NA",SUM(T38,T39)/((T38&lt;&gt;"NA")*$H$38+(T39&lt;&gt;"NA")*$H$39)*$H37)))</f>
        <v>?</v>
      </c>
      <c r="U37" s="87" t="str">
        <f aca="false">IF(OR(U38="ER",U39="ER"),"ER",IF(OR(U38="?",U39="?"),"?",IF(AND(U38="NA",U39="NA"),"NA",SUM(U38,U39)/((U38&lt;&gt;"NA")*$H$38+(U39&lt;&gt;"NA")*$H$39)*$H37)))</f>
        <v>?</v>
      </c>
      <c r="V37" s="87" t="str">
        <f aca="false">IF(OR(V38="ER",V39="ER"),"ER",IF(OR(V38="?",V39="?"),"?",IF(AND(V38="NA",V39="NA"),"NA",SUM(V38,V39)/((V38&lt;&gt;"NA")*$H$38+(V39&lt;&gt;"NA")*$H$39)*$H37)))</f>
        <v>?</v>
      </c>
      <c r="W37" s="87" t="str">
        <f aca="false">IF(OR(W38="ER",W39="ER"),"ER",IF(OR(W38="?",W39="?"),"?",IF(AND(W38="NA",W39="NA"),"NA",SUM(W38,W39)/((W38&lt;&gt;"NA")*$H$38+(W39&lt;&gt;"NA")*$H$39)*$H37)))</f>
        <v>?</v>
      </c>
      <c r="X37" s="87" t="str">
        <f aca="false">IF(OR(X38="ER",X39="ER"),"ER",IF(OR(X38="?",X39="?"),"?",IF(AND(X38="NA",X39="NA"),"NA",SUM(X38,X39)/((X38&lt;&gt;"NA")*$H$38+(X39&lt;&gt;"NA")*$H$39)*$H37)))</f>
        <v>?</v>
      </c>
      <c r="Y37" s="87" t="str">
        <f aca="false">IF(OR(Y38="ER",Y39="ER"),"ER",IF(OR(Y38="?",Y39="?"),"?",IF(AND(Y38="NA",Y39="NA"),"NA",SUM(Y38,Y39)/((Y38&lt;&gt;"NA")*$H$38+(Y39&lt;&gt;"NA")*$H$39)*$H37)))</f>
        <v>?</v>
      </c>
      <c r="Z37" s="87" t="str">
        <f aca="false">IF(OR(Z38="ER",Z39="ER"),"ER",IF(OR(Z38="?",Z39="?"),"?",IF(AND(Z38="NA",Z39="NA"),"NA",SUM(Z38,Z39)/((Z38&lt;&gt;"NA")*$H$38+(Z39&lt;&gt;"NA")*$H$39)*$H37)))</f>
        <v>?</v>
      </c>
      <c r="AA37" s="87" t="str">
        <f aca="false">IF(OR(AA38="ER",AA39="ER"),"ER",IF(OR(AA38="?",AA39="?"),"?",IF(AND(AA38="NA",AA39="NA"),"NA",SUM(AA38,AA39)/((AA38&lt;&gt;"NA")*$H$38+(AA39&lt;&gt;"NA")*$H$39)*$H37)))</f>
        <v>?</v>
      </c>
      <c r="AB37" s="87" t="str">
        <f aca="false">IF(OR(AB38="ER",AB39="ER"),"ER",IF(OR(AB38="?",AB39="?"),"?",IF(AND(AB38="NA",AB39="NA"),"NA",SUM(AB38,AB39)/((AB38&lt;&gt;"NA")*$H$38+(AB39&lt;&gt;"NA")*$H$39)*$H37)))</f>
        <v>?</v>
      </c>
      <c r="AC37" s="87" t="str">
        <f aca="false">IF(OR(AC38="ER",AC39="ER"),"ER",IF(OR(AC38="?",AC39="?"),"?",IF(AND(AC38="NA",AC39="NA"),"NA",SUM(AC38,AC39)/((AC38&lt;&gt;"NA")*$H$38+(AC39&lt;&gt;"NA")*$H$39)*$H37)))</f>
        <v>?</v>
      </c>
      <c r="AD37" s="87" t="str">
        <f aca="false">IF(OR(AD38="ER",AD39="ER"),"ER",IF(OR(AD38="?",AD39="?"),"?",IF(AND(AD38="NA",AD39="NA"),"NA",SUM(AD38,AD39)/((AD38&lt;&gt;"NA")*$H$38+(AD39&lt;&gt;"NA")*$H$39)*$H37)))</f>
        <v>?</v>
      </c>
      <c r="AE37" s="87" t="str">
        <f aca="false">IF(OR(AE38="ER",AE39="ER"),"ER",IF(OR(AE38="?",AE39="?"),"?",IF(AND(AE38="NA",AE39="NA"),"NA",SUM(AE38,AE39)/((AE38&lt;&gt;"NA")*$H$38+(AE39&lt;&gt;"NA")*$H$39)*$H37)))</f>
        <v>?</v>
      </c>
      <c r="AF37" s="87" t="str">
        <f aca="false">IF(OR(AF38="ER",AF39="ER"),"ER",IF(OR(AF38="?",AF39="?"),"?",IF(AND(AF38="NA",AF39="NA"),"NA",SUM(AF38,AF39)/((AF38&lt;&gt;"NA")*$H$38+(AF39&lt;&gt;"NA")*$H$39)*$H37)))</f>
        <v>?</v>
      </c>
      <c r="AG37" s="87" t="str">
        <f aca="false">IF(OR(AG38="ER",AG39="ER"),"ER",IF(OR(AG38="?",AG39="?"),"?",IF(AND(AG38="NA",AG39="NA"),"NA",SUM(AG38,AG39)/((AG38&lt;&gt;"NA")*$H$38+(AG39&lt;&gt;"NA")*$H$39)*$H37)))</f>
        <v>?</v>
      </c>
      <c r="AH37" s="87" t="str">
        <f aca="false">IF(OR(AH38="ER",AH39="ER"),"ER",IF(OR(AH38="?",AH39="?"),"?",IF(AND(AH38="NA",AH39="NA"),"NA",SUM(AH38,AH39)/((AH38&lt;&gt;"NA")*$H$38+(AH39&lt;&gt;"NA")*$H$39)*$H37)))</f>
        <v>?</v>
      </c>
      <c r="AI37" s="87" t="str">
        <f aca="false">IF(OR(AI38="ER",AI39="ER"),"ER",IF(OR(AI38="?",AI39="?"),"?",IF(AND(AI38="NA",AI39="NA"),"NA",SUM(AI38,AI39)/((AI38&lt;&gt;"NA")*$H$38+(AI39&lt;&gt;"NA")*$H$39)*$H37)))</f>
        <v>?</v>
      </c>
      <c r="AJ37" s="87" t="str">
        <f aca="false">IF(OR(AJ38="ER",AJ39="ER"),"ER",IF(OR(AJ38="?",AJ39="?"),"?",IF(AND(AJ38="NA",AJ39="NA"),"NA",SUM(AJ38,AJ39)/((AJ38&lt;&gt;"NA")*$H$38+(AJ39&lt;&gt;"NA")*$H$39)*$H37)))</f>
        <v>?</v>
      </c>
      <c r="AK37" s="87" t="str">
        <f aca="false">IF(OR(AK38="ER",AK39="ER"),"ER",IF(OR(AK38="?",AK39="?"),"?",IF(AND(AK38="NA",AK39="NA"),"NA",SUM(AK38,AK39)/((AK38&lt;&gt;"NA")*$H$38+(AK39&lt;&gt;"NA")*$H$39)*$H37)))</f>
        <v>?</v>
      </c>
    </row>
    <row r="38" customFormat="false" ht="14.25" hidden="false" customHeight="true" outlineLevel="0" collapsed="false">
      <c r="A38" s="83" t="s">
        <v>263</v>
      </c>
      <c r="B38" s="84" t="str">
        <f aca="false">IF(ISBLANK($A38),"NO_CODE",VLOOKUP($A38,'UPD Questions_290926 '!$E$1:$N$300,MATCH(B$1,'UPD Questions_290926 '!$E$1:$N$1,0),0)&amp;"")</f>
        <v>Implementation</v>
      </c>
      <c r="C38" s="84" t="str">
        <f aca="false">IF(ISBLANK($A38),"NO_CODE",VLOOKUP($A38,'UPD Questions_290926 '!$E$1:$N$300,MATCH(C$1,'UPD Questions_290926 '!$E$1:$N$1,0),0)&amp;"")</f>
        <v>Municipal/City Plan status, hierarchy and coordination</v>
      </c>
      <c r="D38" s="84" t="str">
        <f aca="false">IF(ISBLANK($A38),"NO_CODE",VLOOKUP($A38,'UPD Questions_290926 '!$E$1:$N$300,MATCH(D$1,'UPD Questions_290926 '!$E$1:$N$1,0),0)&amp;"")</f>
        <v>Alignment across planning levels</v>
      </c>
      <c r="E38" s="84" t="str">
        <f aca="false">IF(ISBLANK($A38),"NO_CODE",VLOOKUP($A38,'UPD Questions_290926 '!$E$1:$N$300,MATCH(E$1,'UPD Questions_290926 '!$E$1:$N$1,0),0)&amp;"")</f>
        <v>SQ</v>
      </c>
      <c r="F38" s="84" t="str">
        <f aca="false">IF(ISBLANK($A38),"NO_CODE",VLOOKUP($A38,'UPD Questions_290926 '!$E$1:$N$300,MATCH(F$1,'UPD Questions_290926 '!$E$1:$N$1,0),0)&amp;"")</f>
        <v>Is the Metropolitan/Regional plan in a concurrent or nested timeline of validity with municipal plan?</v>
      </c>
      <c r="G38" s="84" t="str">
        <f aca="false">IF(ISBLANK($A38),"NO_CODE",VLOOKUP($A38,'UPD Questions_290926 '!$E$1:$N$300,MATCH(G$1,'UPD Questions_290926 '!$E$1:$N$1,0),0)&amp;"")</f>
        <v>Implementation</v>
      </c>
      <c r="H38" s="86" t="n">
        <f aca="false">IF(ISBLANK($A38),"NO_CODE",VLOOKUP($A38,'UPD Questions_290926 '!$E$1:$N$300,MATCH(H$1,'UPD Questions_290926 '!$E$1:$N$1,0),0))</f>
        <v>5</v>
      </c>
      <c r="I38" s="87" t="str">
        <f aca="true">IF($H38=0,"NA",IF($A38=INDIRECT("'"&amp;$A38&amp;"'!$B$1"),IF(VLOOKUP(I$1,INDIRECT("'"&amp;$A38&amp;"'!$A$12:$Z$41"),MATCH("Points (Auto-generate)",INDIRECT("'"&amp;$A38&amp;"'!$A$12:$Z$12"),0),0)="","?",VLOOKUP(I$1,INDIRECT("'"&amp;$A38&amp;"'!$A$12:$Z$41"),MATCH("Points (Auto-generate)",INDIRECT("'"&amp;$A38&amp;"'!$A$12:$Z$12"),0),0)),"ER"))</f>
        <v>?</v>
      </c>
      <c r="J38" s="87" t="str">
        <f aca="true">IF($H38=0,"NA",IF($A38=INDIRECT("'"&amp;$A38&amp;"'!$B$1"),IF(VLOOKUP(J$1,INDIRECT("'"&amp;$A38&amp;"'!$A$12:$Z$41"),MATCH("Points (Auto-generate)",INDIRECT("'"&amp;$A38&amp;"'!$A$12:$Z$12"),0),0)="","?",VLOOKUP(J$1,INDIRECT("'"&amp;$A38&amp;"'!$A$12:$Z$41"),MATCH("Points (Auto-generate)",INDIRECT("'"&amp;$A38&amp;"'!$A$12:$Z$12"),0),0)),"ER"))</f>
        <v>?</v>
      </c>
      <c r="K38" s="87" t="str">
        <f aca="true">IF($H38=0,"NA",IF($A38=INDIRECT("'"&amp;$A38&amp;"'!$B$1"),IF(VLOOKUP(K$1,INDIRECT("'"&amp;$A38&amp;"'!$A$12:$Z$41"),MATCH("Points (Auto-generate)",INDIRECT("'"&amp;$A38&amp;"'!$A$12:$Z$12"),0),0)="","?",VLOOKUP(K$1,INDIRECT("'"&amp;$A38&amp;"'!$A$12:$Z$41"),MATCH("Points (Auto-generate)",INDIRECT("'"&amp;$A38&amp;"'!$A$12:$Z$12"),0),0)),"ER"))</f>
        <v>?</v>
      </c>
      <c r="L38" s="87" t="str">
        <f aca="true">IF($H38=0,"NA",IF($A38=INDIRECT("'"&amp;$A38&amp;"'!$B$1"),IF(VLOOKUP(L$1,INDIRECT("'"&amp;$A38&amp;"'!$A$12:$Z$41"),MATCH("Points (Auto-generate)",INDIRECT("'"&amp;$A38&amp;"'!$A$12:$Z$12"),0),0)="","?",VLOOKUP(L$1,INDIRECT("'"&amp;$A38&amp;"'!$A$12:$Z$41"),MATCH("Points (Auto-generate)",INDIRECT("'"&amp;$A38&amp;"'!$A$12:$Z$12"),0),0)),"ER"))</f>
        <v>?</v>
      </c>
      <c r="M38" s="87" t="str">
        <f aca="true">IF($H38=0,"NA",IF($A38=INDIRECT("'"&amp;$A38&amp;"'!$B$1"),IF(VLOOKUP(M$1,INDIRECT("'"&amp;$A38&amp;"'!$A$12:$Z$41"),MATCH("Points (Auto-generate)",INDIRECT("'"&amp;$A38&amp;"'!$A$12:$Z$12"),0),0)="","?",VLOOKUP(M$1,INDIRECT("'"&amp;$A38&amp;"'!$A$12:$Z$41"),MATCH("Points (Auto-generate)",INDIRECT("'"&amp;$A38&amp;"'!$A$12:$Z$12"),0),0)),"ER"))</f>
        <v>?</v>
      </c>
      <c r="N38" s="87" t="str">
        <f aca="true">IF($H38=0,"NA",IF($A38=INDIRECT("'"&amp;$A38&amp;"'!$B$1"),IF(VLOOKUP(N$1,INDIRECT("'"&amp;$A38&amp;"'!$A$12:$Z$41"),MATCH("Points (Auto-generate)",INDIRECT("'"&amp;$A38&amp;"'!$A$12:$Z$12"),0),0)="","?",VLOOKUP(N$1,INDIRECT("'"&amp;$A38&amp;"'!$A$12:$Z$41"),MATCH("Points (Auto-generate)",INDIRECT("'"&amp;$A38&amp;"'!$A$12:$Z$12"),0),0)),"ER"))</f>
        <v>?</v>
      </c>
      <c r="O38" s="87" t="str">
        <f aca="true">IF($H38=0,"NA",IF($A38=INDIRECT("'"&amp;$A38&amp;"'!$B$1"),IF(VLOOKUP(O$1,INDIRECT("'"&amp;$A38&amp;"'!$A$12:$Z$41"),MATCH("Points (Auto-generate)",INDIRECT("'"&amp;$A38&amp;"'!$A$12:$Z$12"),0),0)="","?",VLOOKUP(O$1,INDIRECT("'"&amp;$A38&amp;"'!$A$12:$Z$41"),MATCH("Points (Auto-generate)",INDIRECT("'"&amp;$A38&amp;"'!$A$12:$Z$12"),0),0)),"ER"))</f>
        <v>?</v>
      </c>
      <c r="P38" s="87" t="str">
        <f aca="true">IF($H38=0,"NA",IF($A38=INDIRECT("'"&amp;$A38&amp;"'!$B$1"),IF(VLOOKUP(P$1,INDIRECT("'"&amp;$A38&amp;"'!$A$12:$Z$41"),MATCH("Points (Auto-generate)",INDIRECT("'"&amp;$A38&amp;"'!$A$12:$Z$12"),0),0)="","?",VLOOKUP(P$1,INDIRECT("'"&amp;$A38&amp;"'!$A$12:$Z$41"),MATCH("Points (Auto-generate)",INDIRECT("'"&amp;$A38&amp;"'!$A$12:$Z$12"),0),0)),"ER"))</f>
        <v>?</v>
      </c>
      <c r="Q38" s="87" t="str">
        <f aca="true">IF($H38=0,"NA",IF($A38=INDIRECT("'"&amp;$A38&amp;"'!$B$1"),IF(VLOOKUP(Q$1,INDIRECT("'"&amp;$A38&amp;"'!$A$12:$Z$41"),MATCH("Points (Auto-generate)",INDIRECT("'"&amp;$A38&amp;"'!$A$12:$Z$12"),0),0)="","?",VLOOKUP(Q$1,INDIRECT("'"&amp;$A38&amp;"'!$A$12:$Z$41"),MATCH("Points (Auto-generate)",INDIRECT("'"&amp;$A38&amp;"'!$A$12:$Z$12"),0),0)),"ER"))</f>
        <v>?</v>
      </c>
      <c r="R38" s="87" t="str">
        <f aca="true">IF($H38=0,"NA",IF($A38=INDIRECT("'"&amp;$A38&amp;"'!$B$1"),IF(VLOOKUP(R$1,INDIRECT("'"&amp;$A38&amp;"'!$A$12:$Z$41"),MATCH("Points (Auto-generate)",INDIRECT("'"&amp;$A38&amp;"'!$A$12:$Z$12"),0),0)="","?",VLOOKUP(R$1,INDIRECT("'"&amp;$A38&amp;"'!$A$12:$Z$41"),MATCH("Points (Auto-generate)",INDIRECT("'"&amp;$A38&amp;"'!$A$12:$Z$12"),0),0)),"ER"))</f>
        <v>?</v>
      </c>
      <c r="S38" s="87" t="str">
        <f aca="true">IF($H38=0,"NA",IF($A38=INDIRECT("'"&amp;$A38&amp;"'!$B$1"),IF(VLOOKUP(S$1,INDIRECT("'"&amp;$A38&amp;"'!$A$12:$Z$41"),MATCH("Points (Auto-generate)",INDIRECT("'"&amp;$A38&amp;"'!$A$12:$Z$12"),0),0)="","?",VLOOKUP(S$1,INDIRECT("'"&amp;$A38&amp;"'!$A$12:$Z$41"),MATCH("Points (Auto-generate)",INDIRECT("'"&amp;$A38&amp;"'!$A$12:$Z$12"),0),0)),"ER"))</f>
        <v>?</v>
      </c>
      <c r="T38" s="87" t="str">
        <f aca="true">IF($H38=0,"NA",IF($A38=INDIRECT("'"&amp;$A38&amp;"'!$B$1"),IF(VLOOKUP(T$1,INDIRECT("'"&amp;$A38&amp;"'!$A$12:$Z$41"),MATCH("Points (Auto-generate)",INDIRECT("'"&amp;$A38&amp;"'!$A$12:$Z$12"),0),0)="","?",VLOOKUP(T$1,INDIRECT("'"&amp;$A38&amp;"'!$A$12:$Z$41"),MATCH("Points (Auto-generate)",INDIRECT("'"&amp;$A38&amp;"'!$A$12:$Z$12"),0),0)),"ER"))</f>
        <v>?</v>
      </c>
      <c r="U38" s="87" t="str">
        <f aca="true">IF($H38=0,"NA",IF($A38=INDIRECT("'"&amp;$A38&amp;"'!$B$1"),IF(VLOOKUP(U$1,INDIRECT("'"&amp;$A38&amp;"'!$A$12:$Z$41"),MATCH("Points (Auto-generate)",INDIRECT("'"&amp;$A38&amp;"'!$A$12:$Z$12"),0),0)="","?",VLOOKUP(U$1,INDIRECT("'"&amp;$A38&amp;"'!$A$12:$Z$41"),MATCH("Points (Auto-generate)",INDIRECT("'"&amp;$A38&amp;"'!$A$12:$Z$12"),0),0)),"ER"))</f>
        <v>?</v>
      </c>
      <c r="V38" s="87" t="str">
        <f aca="true">IF($H38=0,"NA",IF($A38=INDIRECT("'"&amp;$A38&amp;"'!$B$1"),IF(VLOOKUP(V$1,INDIRECT("'"&amp;$A38&amp;"'!$A$12:$Z$41"),MATCH("Points (Auto-generate)",INDIRECT("'"&amp;$A38&amp;"'!$A$12:$Z$12"),0),0)="","?",VLOOKUP(V$1,INDIRECT("'"&amp;$A38&amp;"'!$A$12:$Z$41"),MATCH("Points (Auto-generate)",INDIRECT("'"&amp;$A38&amp;"'!$A$12:$Z$12"),0),0)),"ER"))</f>
        <v>?</v>
      </c>
      <c r="W38" s="87" t="str">
        <f aca="true">IF($H38=0,"NA",IF($A38=INDIRECT("'"&amp;$A38&amp;"'!$B$1"),IF(VLOOKUP(W$1,INDIRECT("'"&amp;$A38&amp;"'!$A$12:$Z$41"),MATCH("Points (Auto-generate)",INDIRECT("'"&amp;$A38&amp;"'!$A$12:$Z$12"),0),0)="","?",VLOOKUP(W$1,INDIRECT("'"&amp;$A38&amp;"'!$A$12:$Z$41"),MATCH("Points (Auto-generate)",INDIRECT("'"&amp;$A38&amp;"'!$A$12:$Z$12"),0),0)),"ER"))</f>
        <v>?</v>
      </c>
      <c r="X38" s="87" t="str">
        <f aca="true">IF($H38=0,"NA",IF($A38=INDIRECT("'"&amp;$A38&amp;"'!$B$1"),IF(VLOOKUP(X$1,INDIRECT("'"&amp;$A38&amp;"'!$A$12:$Z$41"),MATCH("Points (Auto-generate)",INDIRECT("'"&amp;$A38&amp;"'!$A$12:$Z$12"),0),0)="","?",VLOOKUP(X$1,INDIRECT("'"&amp;$A38&amp;"'!$A$12:$Z$41"),MATCH("Points (Auto-generate)",INDIRECT("'"&amp;$A38&amp;"'!$A$12:$Z$12"),0),0)),"ER"))</f>
        <v>?</v>
      </c>
      <c r="Y38" s="87" t="str">
        <f aca="true">IF($H38=0,"NA",IF($A38=INDIRECT("'"&amp;$A38&amp;"'!$B$1"),IF(VLOOKUP(Y$1,INDIRECT("'"&amp;$A38&amp;"'!$A$12:$Z$41"),MATCH("Points (Auto-generate)",INDIRECT("'"&amp;$A38&amp;"'!$A$12:$Z$12"),0),0)="","?",VLOOKUP(Y$1,INDIRECT("'"&amp;$A38&amp;"'!$A$12:$Z$41"),MATCH("Points (Auto-generate)",INDIRECT("'"&amp;$A38&amp;"'!$A$12:$Z$12"),0),0)),"ER"))</f>
        <v>?</v>
      </c>
      <c r="Z38" s="87" t="str">
        <f aca="true">IF($H38=0,"NA",IF($A38=INDIRECT("'"&amp;$A38&amp;"'!$B$1"),IF(VLOOKUP(Z$1,INDIRECT("'"&amp;$A38&amp;"'!$A$12:$Z$41"),MATCH("Points (Auto-generate)",INDIRECT("'"&amp;$A38&amp;"'!$A$12:$Z$12"),0),0)="","?",VLOOKUP(Z$1,INDIRECT("'"&amp;$A38&amp;"'!$A$12:$Z$41"),MATCH("Points (Auto-generate)",INDIRECT("'"&amp;$A38&amp;"'!$A$12:$Z$12"),0),0)),"ER"))</f>
        <v>?</v>
      </c>
      <c r="AA38" s="87" t="str">
        <f aca="true">IF($H38=0,"NA",IF($A38=INDIRECT("'"&amp;$A38&amp;"'!$B$1"),IF(VLOOKUP(AA$1,INDIRECT("'"&amp;$A38&amp;"'!$A$12:$Z$41"),MATCH("Points (Auto-generate)",INDIRECT("'"&amp;$A38&amp;"'!$A$12:$Z$12"),0),0)="","?",VLOOKUP(AA$1,INDIRECT("'"&amp;$A38&amp;"'!$A$12:$Z$41"),MATCH("Points (Auto-generate)",INDIRECT("'"&amp;$A38&amp;"'!$A$12:$Z$12"),0),0)),"ER"))</f>
        <v>?</v>
      </c>
      <c r="AB38" s="87" t="str">
        <f aca="true">IF($H38=0,"NA",IF($A38=INDIRECT("'"&amp;$A38&amp;"'!$B$1"),IF(VLOOKUP(AB$1,INDIRECT("'"&amp;$A38&amp;"'!$A$12:$Z$41"),MATCH("Points (Auto-generate)",INDIRECT("'"&amp;$A38&amp;"'!$A$12:$Z$12"),0),0)="","?",VLOOKUP(AB$1,INDIRECT("'"&amp;$A38&amp;"'!$A$12:$Z$41"),MATCH("Points (Auto-generate)",INDIRECT("'"&amp;$A38&amp;"'!$A$12:$Z$12"),0),0)),"ER"))</f>
        <v>?</v>
      </c>
      <c r="AC38" s="87" t="str">
        <f aca="true">IF($H38=0,"NA",IF($A38=INDIRECT("'"&amp;$A38&amp;"'!$B$1"),IF(VLOOKUP(AC$1,INDIRECT("'"&amp;$A38&amp;"'!$A$12:$Z$41"),MATCH("Points (Auto-generate)",INDIRECT("'"&amp;$A38&amp;"'!$A$12:$Z$12"),0),0)="","?",VLOOKUP(AC$1,INDIRECT("'"&amp;$A38&amp;"'!$A$12:$Z$41"),MATCH("Points (Auto-generate)",INDIRECT("'"&amp;$A38&amp;"'!$A$12:$Z$12"),0),0)),"ER"))</f>
        <v>?</v>
      </c>
      <c r="AD38" s="87" t="str">
        <f aca="true">IF($H38=0,"NA",IF($A38=INDIRECT("'"&amp;$A38&amp;"'!$B$1"),IF(VLOOKUP(AD$1,INDIRECT("'"&amp;$A38&amp;"'!$A$12:$Z$41"),MATCH("Points (Auto-generate)",INDIRECT("'"&amp;$A38&amp;"'!$A$12:$Z$12"),0),0)="","?",VLOOKUP(AD$1,INDIRECT("'"&amp;$A38&amp;"'!$A$12:$Z$41"),MATCH("Points (Auto-generate)",INDIRECT("'"&amp;$A38&amp;"'!$A$12:$Z$12"),0),0)),"ER"))</f>
        <v>?</v>
      </c>
      <c r="AE38" s="87" t="str">
        <f aca="true">IF($H38=0,"NA",IF($A38=INDIRECT("'"&amp;$A38&amp;"'!$B$1"),IF(VLOOKUP(AE$1,INDIRECT("'"&amp;$A38&amp;"'!$A$12:$Z$41"),MATCH("Points (Auto-generate)",INDIRECT("'"&amp;$A38&amp;"'!$A$12:$Z$12"),0),0)="","?",VLOOKUP(AE$1,INDIRECT("'"&amp;$A38&amp;"'!$A$12:$Z$41"),MATCH("Points (Auto-generate)",INDIRECT("'"&amp;$A38&amp;"'!$A$12:$Z$12"),0),0)),"ER"))</f>
        <v>?</v>
      </c>
      <c r="AF38" s="87" t="str">
        <f aca="true">IF($H38=0,"NA",IF($A38=INDIRECT("'"&amp;$A38&amp;"'!$B$1"),IF(VLOOKUP(AF$1,INDIRECT("'"&amp;$A38&amp;"'!$A$12:$Z$41"),MATCH("Points (Auto-generate)",INDIRECT("'"&amp;$A38&amp;"'!$A$12:$Z$12"),0),0)="","?",VLOOKUP(AF$1,INDIRECT("'"&amp;$A38&amp;"'!$A$12:$Z$41"),MATCH("Points (Auto-generate)",INDIRECT("'"&amp;$A38&amp;"'!$A$12:$Z$12"),0),0)),"ER"))</f>
        <v>?</v>
      </c>
      <c r="AG38" s="87" t="str">
        <f aca="true">IF($H38=0,"NA",IF($A38=INDIRECT("'"&amp;$A38&amp;"'!$B$1"),IF(VLOOKUP(AG$1,INDIRECT("'"&amp;$A38&amp;"'!$A$12:$Z$41"),MATCH("Points (Auto-generate)",INDIRECT("'"&amp;$A38&amp;"'!$A$12:$Z$12"),0),0)="","?",VLOOKUP(AG$1,INDIRECT("'"&amp;$A38&amp;"'!$A$12:$Z$41"),MATCH("Points (Auto-generate)",INDIRECT("'"&amp;$A38&amp;"'!$A$12:$Z$12"),0),0)),"ER"))</f>
        <v>?</v>
      </c>
      <c r="AH38" s="87" t="str">
        <f aca="true">IF($H38=0,"NA",IF($A38=INDIRECT("'"&amp;$A38&amp;"'!$B$1"),IF(VLOOKUP(AH$1,INDIRECT("'"&amp;$A38&amp;"'!$A$12:$Z$41"),MATCH("Points (Auto-generate)",INDIRECT("'"&amp;$A38&amp;"'!$A$12:$Z$12"),0),0)="","?",VLOOKUP(AH$1,INDIRECT("'"&amp;$A38&amp;"'!$A$12:$Z$41"),MATCH("Points (Auto-generate)",INDIRECT("'"&amp;$A38&amp;"'!$A$12:$Z$12"),0),0)),"ER"))</f>
        <v>?</v>
      </c>
      <c r="AI38" s="87" t="str">
        <f aca="true">IF($H38=0,"NA",IF($A38=INDIRECT("'"&amp;$A38&amp;"'!$B$1"),IF(VLOOKUP(AI$1,INDIRECT("'"&amp;$A38&amp;"'!$A$12:$Z$41"),MATCH("Points (Auto-generate)",INDIRECT("'"&amp;$A38&amp;"'!$A$12:$Z$12"),0),0)="","?",VLOOKUP(AI$1,INDIRECT("'"&amp;$A38&amp;"'!$A$12:$Z$41"),MATCH("Points (Auto-generate)",INDIRECT("'"&amp;$A38&amp;"'!$A$12:$Z$12"),0),0)),"ER"))</f>
        <v>?</v>
      </c>
      <c r="AJ38" s="87" t="str">
        <f aca="true">IF($H38=0,"NA",IF($A38=INDIRECT("'"&amp;$A38&amp;"'!$B$1"),IF(VLOOKUP(AJ$1,INDIRECT("'"&amp;$A38&amp;"'!$A$12:$Z$41"),MATCH("Points (Auto-generate)",INDIRECT("'"&amp;$A38&amp;"'!$A$12:$Z$12"),0),0)="","?",VLOOKUP(AJ$1,INDIRECT("'"&amp;$A38&amp;"'!$A$12:$Z$41"),MATCH("Points (Auto-generate)",INDIRECT("'"&amp;$A38&amp;"'!$A$12:$Z$12"),0),0)),"ER"))</f>
        <v>?</v>
      </c>
      <c r="AK38" s="87" t="str">
        <f aca="true">IF($H38=0,"NA",IF($A38=INDIRECT("'"&amp;$A38&amp;"'!$B$1"),IF(VLOOKUP(AK$1,INDIRECT("'"&amp;$A38&amp;"'!$A$12:$Z$41"),MATCH("Points (Auto-generate)",INDIRECT("'"&amp;$A38&amp;"'!$A$12:$Z$12"),0),0)="","?",VLOOKUP(AK$1,INDIRECT("'"&amp;$A38&amp;"'!$A$12:$Z$41"),MATCH("Points (Auto-generate)",INDIRECT("'"&amp;$A38&amp;"'!$A$12:$Z$12"),0),0)),"ER"))</f>
        <v>?</v>
      </c>
    </row>
    <row r="39" customFormat="false" ht="14.25" hidden="false" customHeight="true" outlineLevel="0" collapsed="false">
      <c r="A39" s="83" t="s">
        <v>271</v>
      </c>
      <c r="B39" s="84" t="str">
        <f aca="false">IF(ISBLANK($A39),"NO_CODE",VLOOKUP($A39,'UPD Questions_290926 '!$E$1:$N$300,MATCH(B$1,'UPD Questions_290926 '!$E$1:$N$1,0),0)&amp;"")</f>
        <v>Implementation</v>
      </c>
      <c r="C39" s="84" t="str">
        <f aca="false">IF(ISBLANK($A39),"NO_CODE",VLOOKUP($A39,'UPD Questions_290926 '!$E$1:$N$300,MATCH(C$1,'UPD Questions_290926 '!$E$1:$N$1,0),0)&amp;"")</f>
        <v>Municipal/City Plan status, hierarchy and coordination</v>
      </c>
      <c r="D39" s="84" t="str">
        <f aca="false">IF(ISBLANK($A39),"NO_CODE",VLOOKUP($A39,'UPD Questions_290926 '!$E$1:$N$300,MATCH(D$1,'UPD Questions_290926 '!$E$1:$N$1,0),0)&amp;"")</f>
        <v>Alignment across planning levels</v>
      </c>
      <c r="E39" s="84" t="str">
        <f aca="false">IF(ISBLANK($A39),"NO_CODE",VLOOKUP($A39,'UPD Questions_290926 '!$E$1:$N$300,MATCH(E$1,'UPD Questions_290926 '!$E$1:$N$1,0),0)&amp;"")</f>
        <v>SQ</v>
      </c>
      <c r="F39" s="84" t="str">
        <f aca="false">IF(ISBLANK($A39),"NO_CODE",VLOOKUP($A39,'UPD Questions_290926 '!$E$1:$N$300,MATCH(F$1,'UPD Questions_290926 '!$E$1:$N$1,0),0)&amp;"")</f>
        <v>Is the Municipal municipal/city plan in a concurrent or nested timeline of validity with Ward municipal/city plan?</v>
      </c>
      <c r="G39" s="84" t="str">
        <f aca="false">IF(ISBLANK($A39),"NO_CODE",VLOOKUP($A39,'UPD Questions_290926 '!$E$1:$N$300,MATCH(G$1,'UPD Questions_290926 '!$E$1:$N$1,0),0)&amp;"")</f>
        <v>Implementation</v>
      </c>
      <c r="H39" s="86" t="n">
        <f aca="false">IF(ISBLANK($A39),"NO_CODE",VLOOKUP($A39,'UPD Questions_290926 '!$E$1:$N$300,MATCH(H$1,'UPD Questions_290926 '!$E$1:$N$1,0),0))</f>
        <v>5</v>
      </c>
      <c r="I39" s="87" t="str">
        <f aca="true">IF($H39=0,"NA",IF($A39=INDIRECT("'"&amp;$A39&amp;"'!$B$1"),IF(VLOOKUP(I$1,INDIRECT("'"&amp;$A39&amp;"'!$A$12:$Z$41"),MATCH("Points (Auto-generate)",INDIRECT("'"&amp;$A39&amp;"'!$A$12:$Z$12"),0),0)="","?",VLOOKUP(I$1,INDIRECT("'"&amp;$A39&amp;"'!$A$12:$Z$41"),MATCH("Points (Auto-generate)",INDIRECT("'"&amp;$A39&amp;"'!$A$12:$Z$12"),0),0)),"ER"))</f>
        <v>?</v>
      </c>
      <c r="J39" s="87" t="str">
        <f aca="true">IF($H39=0,"NA",IF($A39=INDIRECT("'"&amp;$A39&amp;"'!$B$1"),IF(VLOOKUP(J$1,INDIRECT("'"&amp;$A39&amp;"'!$A$12:$Z$41"),MATCH("Points (Auto-generate)",INDIRECT("'"&amp;$A39&amp;"'!$A$12:$Z$12"),0),0)="","?",VLOOKUP(J$1,INDIRECT("'"&amp;$A39&amp;"'!$A$12:$Z$41"),MATCH("Points (Auto-generate)",INDIRECT("'"&amp;$A39&amp;"'!$A$12:$Z$12"),0),0)),"ER"))</f>
        <v>?</v>
      </c>
      <c r="K39" s="87" t="str">
        <f aca="true">IF($H39=0,"NA",IF($A39=INDIRECT("'"&amp;$A39&amp;"'!$B$1"),IF(VLOOKUP(K$1,INDIRECT("'"&amp;$A39&amp;"'!$A$12:$Z$41"),MATCH("Points (Auto-generate)",INDIRECT("'"&amp;$A39&amp;"'!$A$12:$Z$12"),0),0)="","?",VLOOKUP(K$1,INDIRECT("'"&amp;$A39&amp;"'!$A$12:$Z$41"),MATCH("Points (Auto-generate)",INDIRECT("'"&amp;$A39&amp;"'!$A$12:$Z$12"),0),0)),"ER"))</f>
        <v>?</v>
      </c>
      <c r="L39" s="87" t="str">
        <f aca="true">IF($H39=0,"NA",IF($A39=INDIRECT("'"&amp;$A39&amp;"'!$B$1"),IF(VLOOKUP(L$1,INDIRECT("'"&amp;$A39&amp;"'!$A$12:$Z$41"),MATCH("Points (Auto-generate)",INDIRECT("'"&amp;$A39&amp;"'!$A$12:$Z$12"),0),0)="","?",VLOOKUP(L$1,INDIRECT("'"&amp;$A39&amp;"'!$A$12:$Z$41"),MATCH("Points (Auto-generate)",INDIRECT("'"&amp;$A39&amp;"'!$A$12:$Z$12"),0),0)),"ER"))</f>
        <v>?</v>
      </c>
      <c r="M39" s="87" t="str">
        <f aca="true">IF($H39=0,"NA",IF($A39=INDIRECT("'"&amp;$A39&amp;"'!$B$1"),IF(VLOOKUP(M$1,INDIRECT("'"&amp;$A39&amp;"'!$A$12:$Z$41"),MATCH("Points (Auto-generate)",INDIRECT("'"&amp;$A39&amp;"'!$A$12:$Z$12"),0),0)="","?",VLOOKUP(M$1,INDIRECT("'"&amp;$A39&amp;"'!$A$12:$Z$41"),MATCH("Points (Auto-generate)",INDIRECT("'"&amp;$A39&amp;"'!$A$12:$Z$12"),0),0)),"ER"))</f>
        <v>?</v>
      </c>
      <c r="N39" s="87" t="str">
        <f aca="true">IF($H39=0,"NA",IF($A39=INDIRECT("'"&amp;$A39&amp;"'!$B$1"),IF(VLOOKUP(N$1,INDIRECT("'"&amp;$A39&amp;"'!$A$12:$Z$41"),MATCH("Points (Auto-generate)",INDIRECT("'"&amp;$A39&amp;"'!$A$12:$Z$12"),0),0)="","?",VLOOKUP(N$1,INDIRECT("'"&amp;$A39&amp;"'!$A$12:$Z$41"),MATCH("Points (Auto-generate)",INDIRECT("'"&amp;$A39&amp;"'!$A$12:$Z$12"),0),0)),"ER"))</f>
        <v>?</v>
      </c>
      <c r="O39" s="87" t="str">
        <f aca="true">IF($H39=0,"NA",IF($A39=INDIRECT("'"&amp;$A39&amp;"'!$B$1"),IF(VLOOKUP(O$1,INDIRECT("'"&amp;$A39&amp;"'!$A$12:$Z$41"),MATCH("Points (Auto-generate)",INDIRECT("'"&amp;$A39&amp;"'!$A$12:$Z$12"),0),0)="","?",VLOOKUP(O$1,INDIRECT("'"&amp;$A39&amp;"'!$A$12:$Z$41"),MATCH("Points (Auto-generate)",INDIRECT("'"&amp;$A39&amp;"'!$A$12:$Z$12"),0),0)),"ER"))</f>
        <v>?</v>
      </c>
      <c r="P39" s="87" t="str">
        <f aca="true">IF($H39=0,"NA",IF($A39=INDIRECT("'"&amp;$A39&amp;"'!$B$1"),IF(VLOOKUP(P$1,INDIRECT("'"&amp;$A39&amp;"'!$A$12:$Z$41"),MATCH("Points (Auto-generate)",INDIRECT("'"&amp;$A39&amp;"'!$A$12:$Z$12"),0),0)="","?",VLOOKUP(P$1,INDIRECT("'"&amp;$A39&amp;"'!$A$12:$Z$41"),MATCH("Points (Auto-generate)",INDIRECT("'"&amp;$A39&amp;"'!$A$12:$Z$12"),0),0)),"ER"))</f>
        <v>?</v>
      </c>
      <c r="Q39" s="87" t="str">
        <f aca="true">IF($H39=0,"NA",IF($A39=INDIRECT("'"&amp;$A39&amp;"'!$B$1"),IF(VLOOKUP(Q$1,INDIRECT("'"&amp;$A39&amp;"'!$A$12:$Z$41"),MATCH("Points (Auto-generate)",INDIRECT("'"&amp;$A39&amp;"'!$A$12:$Z$12"),0),0)="","?",VLOOKUP(Q$1,INDIRECT("'"&amp;$A39&amp;"'!$A$12:$Z$41"),MATCH("Points (Auto-generate)",INDIRECT("'"&amp;$A39&amp;"'!$A$12:$Z$12"),0),0)),"ER"))</f>
        <v>?</v>
      </c>
      <c r="R39" s="87" t="str">
        <f aca="true">IF($H39=0,"NA",IF($A39=INDIRECT("'"&amp;$A39&amp;"'!$B$1"),IF(VLOOKUP(R$1,INDIRECT("'"&amp;$A39&amp;"'!$A$12:$Z$41"),MATCH("Points (Auto-generate)",INDIRECT("'"&amp;$A39&amp;"'!$A$12:$Z$12"),0),0)="","?",VLOOKUP(R$1,INDIRECT("'"&amp;$A39&amp;"'!$A$12:$Z$41"),MATCH("Points (Auto-generate)",INDIRECT("'"&amp;$A39&amp;"'!$A$12:$Z$12"),0),0)),"ER"))</f>
        <v>?</v>
      </c>
      <c r="S39" s="87" t="str">
        <f aca="true">IF($H39=0,"NA",IF($A39=INDIRECT("'"&amp;$A39&amp;"'!$B$1"),IF(VLOOKUP(S$1,INDIRECT("'"&amp;$A39&amp;"'!$A$12:$Z$41"),MATCH("Points (Auto-generate)",INDIRECT("'"&amp;$A39&amp;"'!$A$12:$Z$12"),0),0)="","?",VLOOKUP(S$1,INDIRECT("'"&amp;$A39&amp;"'!$A$12:$Z$41"),MATCH("Points (Auto-generate)",INDIRECT("'"&amp;$A39&amp;"'!$A$12:$Z$12"),0),0)),"ER"))</f>
        <v>?</v>
      </c>
      <c r="T39" s="87" t="str">
        <f aca="true">IF($H39=0,"NA",IF($A39=INDIRECT("'"&amp;$A39&amp;"'!$B$1"),IF(VLOOKUP(T$1,INDIRECT("'"&amp;$A39&amp;"'!$A$12:$Z$41"),MATCH("Points (Auto-generate)",INDIRECT("'"&amp;$A39&amp;"'!$A$12:$Z$12"),0),0)="","?",VLOOKUP(T$1,INDIRECT("'"&amp;$A39&amp;"'!$A$12:$Z$41"),MATCH("Points (Auto-generate)",INDIRECT("'"&amp;$A39&amp;"'!$A$12:$Z$12"),0),0)),"ER"))</f>
        <v>?</v>
      </c>
      <c r="U39" s="87" t="str">
        <f aca="true">IF($H39=0,"NA",IF($A39=INDIRECT("'"&amp;$A39&amp;"'!$B$1"),IF(VLOOKUP(U$1,INDIRECT("'"&amp;$A39&amp;"'!$A$12:$Z$41"),MATCH("Points (Auto-generate)",INDIRECT("'"&amp;$A39&amp;"'!$A$12:$Z$12"),0),0)="","?",VLOOKUP(U$1,INDIRECT("'"&amp;$A39&amp;"'!$A$12:$Z$41"),MATCH("Points (Auto-generate)",INDIRECT("'"&amp;$A39&amp;"'!$A$12:$Z$12"),0),0)),"ER"))</f>
        <v>?</v>
      </c>
      <c r="V39" s="87" t="str">
        <f aca="true">IF($H39=0,"NA",IF($A39=INDIRECT("'"&amp;$A39&amp;"'!$B$1"),IF(VLOOKUP(V$1,INDIRECT("'"&amp;$A39&amp;"'!$A$12:$Z$41"),MATCH("Points (Auto-generate)",INDIRECT("'"&amp;$A39&amp;"'!$A$12:$Z$12"),0),0)="","?",VLOOKUP(V$1,INDIRECT("'"&amp;$A39&amp;"'!$A$12:$Z$41"),MATCH("Points (Auto-generate)",INDIRECT("'"&amp;$A39&amp;"'!$A$12:$Z$12"),0),0)),"ER"))</f>
        <v>?</v>
      </c>
      <c r="W39" s="87" t="str">
        <f aca="true">IF($H39=0,"NA",IF($A39=INDIRECT("'"&amp;$A39&amp;"'!$B$1"),IF(VLOOKUP(W$1,INDIRECT("'"&amp;$A39&amp;"'!$A$12:$Z$41"),MATCH("Points (Auto-generate)",INDIRECT("'"&amp;$A39&amp;"'!$A$12:$Z$12"),0),0)="","?",VLOOKUP(W$1,INDIRECT("'"&amp;$A39&amp;"'!$A$12:$Z$41"),MATCH("Points (Auto-generate)",INDIRECT("'"&amp;$A39&amp;"'!$A$12:$Z$12"),0),0)),"ER"))</f>
        <v>?</v>
      </c>
      <c r="X39" s="87" t="str">
        <f aca="true">IF($H39=0,"NA",IF($A39=INDIRECT("'"&amp;$A39&amp;"'!$B$1"),IF(VLOOKUP(X$1,INDIRECT("'"&amp;$A39&amp;"'!$A$12:$Z$41"),MATCH("Points (Auto-generate)",INDIRECT("'"&amp;$A39&amp;"'!$A$12:$Z$12"),0),0)="","?",VLOOKUP(X$1,INDIRECT("'"&amp;$A39&amp;"'!$A$12:$Z$41"),MATCH("Points (Auto-generate)",INDIRECT("'"&amp;$A39&amp;"'!$A$12:$Z$12"),0),0)),"ER"))</f>
        <v>?</v>
      </c>
      <c r="Y39" s="87" t="str">
        <f aca="true">IF($H39=0,"NA",IF($A39=INDIRECT("'"&amp;$A39&amp;"'!$B$1"),IF(VLOOKUP(Y$1,INDIRECT("'"&amp;$A39&amp;"'!$A$12:$Z$41"),MATCH("Points (Auto-generate)",INDIRECT("'"&amp;$A39&amp;"'!$A$12:$Z$12"),0),0)="","?",VLOOKUP(Y$1,INDIRECT("'"&amp;$A39&amp;"'!$A$12:$Z$41"),MATCH("Points (Auto-generate)",INDIRECT("'"&amp;$A39&amp;"'!$A$12:$Z$12"),0),0)),"ER"))</f>
        <v>?</v>
      </c>
      <c r="Z39" s="87" t="str">
        <f aca="true">IF($H39=0,"NA",IF($A39=INDIRECT("'"&amp;$A39&amp;"'!$B$1"),IF(VLOOKUP(Z$1,INDIRECT("'"&amp;$A39&amp;"'!$A$12:$Z$41"),MATCH("Points (Auto-generate)",INDIRECT("'"&amp;$A39&amp;"'!$A$12:$Z$12"),0),0)="","?",VLOOKUP(Z$1,INDIRECT("'"&amp;$A39&amp;"'!$A$12:$Z$41"),MATCH("Points (Auto-generate)",INDIRECT("'"&amp;$A39&amp;"'!$A$12:$Z$12"),0),0)),"ER"))</f>
        <v>?</v>
      </c>
      <c r="AA39" s="87" t="str">
        <f aca="true">IF($H39=0,"NA",IF($A39=INDIRECT("'"&amp;$A39&amp;"'!$B$1"),IF(VLOOKUP(AA$1,INDIRECT("'"&amp;$A39&amp;"'!$A$12:$Z$41"),MATCH("Points (Auto-generate)",INDIRECT("'"&amp;$A39&amp;"'!$A$12:$Z$12"),0),0)="","?",VLOOKUP(AA$1,INDIRECT("'"&amp;$A39&amp;"'!$A$12:$Z$41"),MATCH("Points (Auto-generate)",INDIRECT("'"&amp;$A39&amp;"'!$A$12:$Z$12"),0),0)),"ER"))</f>
        <v>?</v>
      </c>
      <c r="AB39" s="87" t="str">
        <f aca="true">IF($H39=0,"NA",IF($A39=INDIRECT("'"&amp;$A39&amp;"'!$B$1"),IF(VLOOKUP(AB$1,INDIRECT("'"&amp;$A39&amp;"'!$A$12:$Z$41"),MATCH("Points (Auto-generate)",INDIRECT("'"&amp;$A39&amp;"'!$A$12:$Z$12"),0),0)="","?",VLOOKUP(AB$1,INDIRECT("'"&amp;$A39&amp;"'!$A$12:$Z$41"),MATCH("Points (Auto-generate)",INDIRECT("'"&amp;$A39&amp;"'!$A$12:$Z$12"),0),0)),"ER"))</f>
        <v>?</v>
      </c>
      <c r="AC39" s="87" t="str">
        <f aca="true">IF($H39=0,"NA",IF($A39=INDIRECT("'"&amp;$A39&amp;"'!$B$1"),IF(VLOOKUP(AC$1,INDIRECT("'"&amp;$A39&amp;"'!$A$12:$Z$41"),MATCH("Points (Auto-generate)",INDIRECT("'"&amp;$A39&amp;"'!$A$12:$Z$12"),0),0)="","?",VLOOKUP(AC$1,INDIRECT("'"&amp;$A39&amp;"'!$A$12:$Z$41"),MATCH("Points (Auto-generate)",INDIRECT("'"&amp;$A39&amp;"'!$A$12:$Z$12"),0),0)),"ER"))</f>
        <v>?</v>
      </c>
      <c r="AD39" s="87" t="str">
        <f aca="true">IF($H39=0,"NA",IF($A39=INDIRECT("'"&amp;$A39&amp;"'!$B$1"),IF(VLOOKUP(AD$1,INDIRECT("'"&amp;$A39&amp;"'!$A$12:$Z$41"),MATCH("Points (Auto-generate)",INDIRECT("'"&amp;$A39&amp;"'!$A$12:$Z$12"),0),0)="","?",VLOOKUP(AD$1,INDIRECT("'"&amp;$A39&amp;"'!$A$12:$Z$41"),MATCH("Points (Auto-generate)",INDIRECT("'"&amp;$A39&amp;"'!$A$12:$Z$12"),0),0)),"ER"))</f>
        <v>?</v>
      </c>
      <c r="AE39" s="87" t="str">
        <f aca="true">IF($H39=0,"NA",IF($A39=INDIRECT("'"&amp;$A39&amp;"'!$B$1"),IF(VLOOKUP(AE$1,INDIRECT("'"&amp;$A39&amp;"'!$A$12:$Z$41"),MATCH("Points (Auto-generate)",INDIRECT("'"&amp;$A39&amp;"'!$A$12:$Z$12"),0),0)="","?",VLOOKUP(AE$1,INDIRECT("'"&amp;$A39&amp;"'!$A$12:$Z$41"),MATCH("Points (Auto-generate)",INDIRECT("'"&amp;$A39&amp;"'!$A$12:$Z$12"),0),0)),"ER"))</f>
        <v>?</v>
      </c>
      <c r="AF39" s="87" t="str">
        <f aca="true">IF($H39=0,"NA",IF($A39=INDIRECT("'"&amp;$A39&amp;"'!$B$1"),IF(VLOOKUP(AF$1,INDIRECT("'"&amp;$A39&amp;"'!$A$12:$Z$41"),MATCH("Points (Auto-generate)",INDIRECT("'"&amp;$A39&amp;"'!$A$12:$Z$12"),0),0)="","?",VLOOKUP(AF$1,INDIRECT("'"&amp;$A39&amp;"'!$A$12:$Z$41"),MATCH("Points (Auto-generate)",INDIRECT("'"&amp;$A39&amp;"'!$A$12:$Z$12"),0),0)),"ER"))</f>
        <v>?</v>
      </c>
      <c r="AG39" s="87" t="str">
        <f aca="true">IF($H39=0,"NA",IF($A39=INDIRECT("'"&amp;$A39&amp;"'!$B$1"),IF(VLOOKUP(AG$1,INDIRECT("'"&amp;$A39&amp;"'!$A$12:$Z$41"),MATCH("Points (Auto-generate)",INDIRECT("'"&amp;$A39&amp;"'!$A$12:$Z$12"),0),0)="","?",VLOOKUP(AG$1,INDIRECT("'"&amp;$A39&amp;"'!$A$12:$Z$41"),MATCH("Points (Auto-generate)",INDIRECT("'"&amp;$A39&amp;"'!$A$12:$Z$12"),0),0)),"ER"))</f>
        <v>?</v>
      </c>
      <c r="AH39" s="87" t="str">
        <f aca="true">IF($H39=0,"NA",IF($A39=INDIRECT("'"&amp;$A39&amp;"'!$B$1"),IF(VLOOKUP(AH$1,INDIRECT("'"&amp;$A39&amp;"'!$A$12:$Z$41"),MATCH("Points (Auto-generate)",INDIRECT("'"&amp;$A39&amp;"'!$A$12:$Z$12"),0),0)="","?",VLOOKUP(AH$1,INDIRECT("'"&amp;$A39&amp;"'!$A$12:$Z$41"),MATCH("Points (Auto-generate)",INDIRECT("'"&amp;$A39&amp;"'!$A$12:$Z$12"),0),0)),"ER"))</f>
        <v>?</v>
      </c>
      <c r="AI39" s="87" t="str">
        <f aca="true">IF($H39=0,"NA",IF($A39=INDIRECT("'"&amp;$A39&amp;"'!$B$1"),IF(VLOOKUP(AI$1,INDIRECT("'"&amp;$A39&amp;"'!$A$12:$Z$41"),MATCH("Points (Auto-generate)",INDIRECT("'"&amp;$A39&amp;"'!$A$12:$Z$12"),0),0)="","?",VLOOKUP(AI$1,INDIRECT("'"&amp;$A39&amp;"'!$A$12:$Z$41"),MATCH("Points (Auto-generate)",INDIRECT("'"&amp;$A39&amp;"'!$A$12:$Z$12"),0),0)),"ER"))</f>
        <v>?</v>
      </c>
      <c r="AJ39" s="87" t="str">
        <f aca="true">IF($H39=0,"NA",IF($A39=INDIRECT("'"&amp;$A39&amp;"'!$B$1"),IF(VLOOKUP(AJ$1,INDIRECT("'"&amp;$A39&amp;"'!$A$12:$Z$41"),MATCH("Points (Auto-generate)",INDIRECT("'"&amp;$A39&amp;"'!$A$12:$Z$12"),0),0)="","?",VLOOKUP(AJ$1,INDIRECT("'"&amp;$A39&amp;"'!$A$12:$Z$41"),MATCH("Points (Auto-generate)",INDIRECT("'"&amp;$A39&amp;"'!$A$12:$Z$12"),0),0)),"ER"))</f>
        <v>?</v>
      </c>
      <c r="AK39" s="87" t="str">
        <f aca="true">IF($H39=0,"NA",IF($A39=INDIRECT("'"&amp;$A39&amp;"'!$B$1"),IF(VLOOKUP(AK$1,INDIRECT("'"&amp;$A39&amp;"'!$A$12:$Z$41"),MATCH("Points (Auto-generate)",INDIRECT("'"&amp;$A39&amp;"'!$A$12:$Z$12"),0),0)="","?",VLOOKUP(AK$1,INDIRECT("'"&amp;$A39&amp;"'!$A$12:$Z$41"),MATCH("Points (Auto-generate)",INDIRECT("'"&amp;$A39&amp;"'!$A$12:$Z$12"),0),0)),"ER"))</f>
        <v>?</v>
      </c>
    </row>
    <row r="40" customFormat="false" ht="14.25" hidden="false" customHeight="true" outlineLevel="0" collapsed="false">
      <c r="A40" s="83" t="s">
        <v>275</v>
      </c>
      <c r="B40" s="84" t="str">
        <f aca="false">IF(ISBLANK($A40),"NO_CODE",VLOOKUP($A40,'UPD Questions_290926 '!$E$1:$N$300,MATCH(B$1,'UPD Questions_290926 '!$E$1:$N$1,0),0)&amp;"")</f>
        <v>Implementation</v>
      </c>
      <c r="C40" s="84" t="str">
        <f aca="false">IF(ISBLANK($A40),"NO_CODE",VLOOKUP($A40,'UPD Questions_290926 '!$E$1:$N$300,MATCH(C$1,'UPD Questions_290926 '!$E$1:$N$1,0),0)&amp;"")</f>
        <v>Municipal/City Plan status, hierarchy and coordination</v>
      </c>
      <c r="D40" s="84" t="str">
        <f aca="false">IF(ISBLANK($A40),"NO_CODE",VLOOKUP($A40,'UPD Questions_290926 '!$E$1:$N$300,MATCH(D$1,'UPD Questions_290926 '!$E$1:$N$1,0),0)&amp;"")</f>
        <v>Inter-agency coordination and integration</v>
      </c>
      <c r="E40" s="84" t="str">
        <f aca="false">IF(ISBLANK($A40),"NO_CODE",VLOOKUP($A40,'UPD Questions_290926 '!$E$1:$N$300,MATCH(E$1,'UPD Questions_290926 '!$E$1:$N$1,0),0)&amp;"")</f>
        <v>MQ</v>
      </c>
      <c r="F40" s="84" t="str">
        <f aca="false">IF(ISBLANK($A40),"NO_CODE",VLOOKUP($A40,'UPD Questions_290926 '!$E$1:$N$300,MATCH(F$1,'UPD Questions_290926 '!$E$1:$N$1,0),0)&amp;"")</f>
        <v>Do the municipal/city plans at each level, integrate the plans and priorities of various sectoral public departments and agencies? </v>
      </c>
      <c r="G40" s="84" t="str">
        <f aca="false">IF(ISBLANK($A40),"NO_CODE",VLOOKUP($A40,'UPD Questions_290926 '!$E$1:$N$300,MATCH(G$1,'UPD Questions_290926 '!$E$1:$N$1,0),0)&amp;"")</f>
        <v>Implementation</v>
      </c>
      <c r="H40" s="86" t="n">
        <f aca="false">IF(ISBLANK($A40),"NO_CODE",VLOOKUP($A40,'UPD Questions_290926 '!$E$1:$N$300,MATCH(H$1,'UPD Questions_290926 '!$E$1:$N$1,0),0))</f>
        <v>10</v>
      </c>
      <c r="I40" s="87" t="str">
        <f aca="true">IF($H40=0,"NA",IF($A40=INDIRECT("'"&amp;$A40&amp;"'!$B$1"),IF(VLOOKUP(I$1,INDIRECT("'"&amp;$A40&amp;"'!$A$12:$Z$41"),MATCH("Points (Auto-generate)",INDIRECT("'"&amp;$A40&amp;"'!$A$12:$Z$12"),0),0)="","?",VLOOKUP(I$1,INDIRECT("'"&amp;$A40&amp;"'!$A$12:$Z$41"),MATCH("Points (Auto-generate)",INDIRECT("'"&amp;$A40&amp;"'!$A$12:$Z$12"),0),0)),"ER"))</f>
        <v>?</v>
      </c>
      <c r="J40" s="87" t="n">
        <f aca="true">IF($H40=0,"NA",IF($A40=INDIRECT("'"&amp;$A40&amp;"'!$B$1"),IF(VLOOKUP(J$1,INDIRECT("'"&amp;$A40&amp;"'!$A$12:$Z$41"),MATCH("Points (Auto-generate)",INDIRECT("'"&amp;$A40&amp;"'!$A$12:$Z$12"),0),0)="","?",VLOOKUP(J$1,INDIRECT("'"&amp;$A40&amp;"'!$A$12:$Z$41"),MATCH("Points (Auto-generate)",INDIRECT("'"&amp;$A40&amp;"'!$A$12:$Z$12"),0),0)),"ER"))</f>
        <v>0</v>
      </c>
      <c r="K40" s="87" t="str">
        <f aca="true">IF($H40=0,"NA",IF($A40=INDIRECT("'"&amp;$A40&amp;"'!$B$1"),IF(VLOOKUP(K$1,INDIRECT("'"&amp;$A40&amp;"'!$A$12:$Z$41"),MATCH("Points (Auto-generate)",INDIRECT("'"&amp;$A40&amp;"'!$A$12:$Z$12"),0),0)="","?",VLOOKUP(K$1,INDIRECT("'"&amp;$A40&amp;"'!$A$12:$Z$41"),MATCH("Points (Auto-generate)",INDIRECT("'"&amp;$A40&amp;"'!$A$12:$Z$12"),0),0)),"ER"))</f>
        <v>?</v>
      </c>
      <c r="L40" s="87" t="str">
        <f aca="true">IF($H40=0,"NA",IF($A40=INDIRECT("'"&amp;$A40&amp;"'!$B$1"),IF(VLOOKUP(L$1,INDIRECT("'"&amp;$A40&amp;"'!$A$12:$Z$41"),MATCH("Points (Auto-generate)",INDIRECT("'"&amp;$A40&amp;"'!$A$12:$Z$12"),0),0)="","?",VLOOKUP(L$1,INDIRECT("'"&amp;$A40&amp;"'!$A$12:$Z$41"),MATCH("Points (Auto-generate)",INDIRECT("'"&amp;$A40&amp;"'!$A$12:$Z$12"),0),0)),"ER"))</f>
        <v>?</v>
      </c>
      <c r="M40" s="87" t="str">
        <f aca="true">IF($H40=0,"NA",IF($A40=INDIRECT("'"&amp;$A40&amp;"'!$B$1"),IF(VLOOKUP(M$1,INDIRECT("'"&amp;$A40&amp;"'!$A$12:$Z$41"),MATCH("Points (Auto-generate)",INDIRECT("'"&amp;$A40&amp;"'!$A$12:$Z$12"),0),0)="","?",VLOOKUP(M$1,INDIRECT("'"&amp;$A40&amp;"'!$A$12:$Z$41"),MATCH("Points (Auto-generate)",INDIRECT("'"&amp;$A40&amp;"'!$A$12:$Z$12"),0),0)),"ER"))</f>
        <v>?</v>
      </c>
      <c r="N40" s="87" t="str">
        <f aca="true">IF($H40=0,"NA",IF($A40=INDIRECT("'"&amp;$A40&amp;"'!$B$1"),IF(VLOOKUP(N$1,INDIRECT("'"&amp;$A40&amp;"'!$A$12:$Z$41"),MATCH("Points (Auto-generate)",INDIRECT("'"&amp;$A40&amp;"'!$A$12:$Z$12"),0),0)="","?",VLOOKUP(N$1,INDIRECT("'"&amp;$A40&amp;"'!$A$12:$Z$41"),MATCH("Points (Auto-generate)",INDIRECT("'"&amp;$A40&amp;"'!$A$12:$Z$12"),0),0)),"ER"))</f>
        <v>?</v>
      </c>
      <c r="O40" s="87" t="str">
        <f aca="true">IF($H40=0,"NA",IF($A40=INDIRECT("'"&amp;$A40&amp;"'!$B$1"),IF(VLOOKUP(O$1,INDIRECT("'"&amp;$A40&amp;"'!$A$12:$Z$41"),MATCH("Points (Auto-generate)",INDIRECT("'"&amp;$A40&amp;"'!$A$12:$Z$12"),0),0)="","?",VLOOKUP(O$1,INDIRECT("'"&amp;$A40&amp;"'!$A$12:$Z$41"),MATCH("Points (Auto-generate)",INDIRECT("'"&amp;$A40&amp;"'!$A$12:$Z$12"),0),0)),"ER"))</f>
        <v>?</v>
      </c>
      <c r="P40" s="87" t="str">
        <f aca="true">IF($H40=0,"NA",IF($A40=INDIRECT("'"&amp;$A40&amp;"'!$B$1"),IF(VLOOKUP(P$1,INDIRECT("'"&amp;$A40&amp;"'!$A$12:$Z$41"),MATCH("Points (Auto-generate)",INDIRECT("'"&amp;$A40&amp;"'!$A$12:$Z$12"),0),0)="","?",VLOOKUP(P$1,INDIRECT("'"&amp;$A40&amp;"'!$A$12:$Z$41"),MATCH("Points (Auto-generate)",INDIRECT("'"&amp;$A40&amp;"'!$A$12:$Z$12"),0),0)),"ER"))</f>
        <v>?</v>
      </c>
      <c r="Q40" s="87" t="str">
        <f aca="true">IF($H40=0,"NA",IF($A40=INDIRECT("'"&amp;$A40&amp;"'!$B$1"),IF(VLOOKUP(Q$1,INDIRECT("'"&amp;$A40&amp;"'!$A$12:$Z$41"),MATCH("Points (Auto-generate)",INDIRECT("'"&amp;$A40&amp;"'!$A$12:$Z$12"),0),0)="","?",VLOOKUP(Q$1,INDIRECT("'"&amp;$A40&amp;"'!$A$12:$Z$41"),MATCH("Points (Auto-generate)",INDIRECT("'"&amp;$A40&amp;"'!$A$12:$Z$12"),0),0)),"ER"))</f>
        <v>?</v>
      </c>
      <c r="R40" s="87" t="str">
        <f aca="true">IF($H40=0,"NA",IF($A40=INDIRECT("'"&amp;$A40&amp;"'!$B$1"),IF(VLOOKUP(R$1,INDIRECT("'"&amp;$A40&amp;"'!$A$12:$Z$41"),MATCH("Points (Auto-generate)",INDIRECT("'"&amp;$A40&amp;"'!$A$12:$Z$12"),0),0)="","?",VLOOKUP(R$1,INDIRECT("'"&amp;$A40&amp;"'!$A$12:$Z$41"),MATCH("Points (Auto-generate)",INDIRECT("'"&amp;$A40&amp;"'!$A$12:$Z$12"),0),0)),"ER"))</f>
        <v>?</v>
      </c>
      <c r="S40" s="87" t="str">
        <f aca="true">IF($H40=0,"NA",IF($A40=INDIRECT("'"&amp;$A40&amp;"'!$B$1"),IF(VLOOKUP(S$1,INDIRECT("'"&amp;$A40&amp;"'!$A$12:$Z$41"),MATCH("Points (Auto-generate)",INDIRECT("'"&amp;$A40&amp;"'!$A$12:$Z$12"),0),0)="","?",VLOOKUP(S$1,INDIRECT("'"&amp;$A40&amp;"'!$A$12:$Z$41"),MATCH("Points (Auto-generate)",INDIRECT("'"&amp;$A40&amp;"'!$A$12:$Z$12"),0),0)),"ER"))</f>
        <v>?</v>
      </c>
      <c r="T40" s="87" t="str">
        <f aca="true">IF($H40=0,"NA",IF($A40=INDIRECT("'"&amp;$A40&amp;"'!$B$1"),IF(VLOOKUP(T$1,INDIRECT("'"&amp;$A40&amp;"'!$A$12:$Z$41"),MATCH("Points (Auto-generate)",INDIRECT("'"&amp;$A40&amp;"'!$A$12:$Z$12"),0),0)="","?",VLOOKUP(T$1,INDIRECT("'"&amp;$A40&amp;"'!$A$12:$Z$41"),MATCH("Points (Auto-generate)",INDIRECT("'"&amp;$A40&amp;"'!$A$12:$Z$12"),0),0)),"ER"))</f>
        <v>?</v>
      </c>
      <c r="U40" s="87" t="str">
        <f aca="true">IF($H40=0,"NA",IF($A40=INDIRECT("'"&amp;$A40&amp;"'!$B$1"),IF(VLOOKUP(U$1,INDIRECT("'"&amp;$A40&amp;"'!$A$12:$Z$41"),MATCH("Points (Auto-generate)",INDIRECT("'"&amp;$A40&amp;"'!$A$12:$Z$12"),0),0)="","?",VLOOKUP(U$1,INDIRECT("'"&amp;$A40&amp;"'!$A$12:$Z$41"),MATCH("Points (Auto-generate)",INDIRECT("'"&amp;$A40&amp;"'!$A$12:$Z$12"),0),0)),"ER"))</f>
        <v>?</v>
      </c>
      <c r="V40" s="87" t="str">
        <f aca="true">IF($H40=0,"NA",IF($A40=INDIRECT("'"&amp;$A40&amp;"'!$B$1"),IF(VLOOKUP(V$1,INDIRECT("'"&amp;$A40&amp;"'!$A$12:$Z$41"),MATCH("Points (Auto-generate)",INDIRECT("'"&amp;$A40&amp;"'!$A$12:$Z$12"),0),0)="","?",VLOOKUP(V$1,INDIRECT("'"&amp;$A40&amp;"'!$A$12:$Z$41"),MATCH("Points (Auto-generate)",INDIRECT("'"&amp;$A40&amp;"'!$A$12:$Z$12"),0),0)),"ER"))</f>
        <v>?</v>
      </c>
      <c r="W40" s="87" t="str">
        <f aca="true">IF($H40=0,"NA",IF($A40=INDIRECT("'"&amp;$A40&amp;"'!$B$1"),IF(VLOOKUP(W$1,INDIRECT("'"&amp;$A40&amp;"'!$A$12:$Z$41"),MATCH("Points (Auto-generate)",INDIRECT("'"&amp;$A40&amp;"'!$A$12:$Z$12"),0),0)="","?",VLOOKUP(W$1,INDIRECT("'"&amp;$A40&amp;"'!$A$12:$Z$41"),MATCH("Points (Auto-generate)",INDIRECT("'"&amp;$A40&amp;"'!$A$12:$Z$12"),0),0)),"ER"))</f>
        <v>?</v>
      </c>
      <c r="X40" s="87" t="str">
        <f aca="true">IF($H40=0,"NA",IF($A40=INDIRECT("'"&amp;$A40&amp;"'!$B$1"),IF(VLOOKUP(X$1,INDIRECT("'"&amp;$A40&amp;"'!$A$12:$Z$41"),MATCH("Points (Auto-generate)",INDIRECT("'"&amp;$A40&amp;"'!$A$12:$Z$12"),0),0)="","?",VLOOKUP(X$1,INDIRECT("'"&amp;$A40&amp;"'!$A$12:$Z$41"),MATCH("Points (Auto-generate)",INDIRECT("'"&amp;$A40&amp;"'!$A$12:$Z$12"),0),0)),"ER"))</f>
        <v>?</v>
      </c>
      <c r="Y40" s="87" t="str">
        <f aca="true">IF($H40=0,"NA",IF($A40=INDIRECT("'"&amp;$A40&amp;"'!$B$1"),IF(VLOOKUP(Y$1,INDIRECT("'"&amp;$A40&amp;"'!$A$12:$Z$41"),MATCH("Points (Auto-generate)",INDIRECT("'"&amp;$A40&amp;"'!$A$12:$Z$12"),0),0)="","?",VLOOKUP(Y$1,INDIRECT("'"&amp;$A40&amp;"'!$A$12:$Z$41"),MATCH("Points (Auto-generate)",INDIRECT("'"&amp;$A40&amp;"'!$A$12:$Z$12"),0),0)),"ER"))</f>
        <v>?</v>
      </c>
      <c r="Z40" s="87" t="str">
        <f aca="true">IF($H40=0,"NA",IF($A40=INDIRECT("'"&amp;$A40&amp;"'!$B$1"),IF(VLOOKUP(Z$1,INDIRECT("'"&amp;$A40&amp;"'!$A$12:$Z$41"),MATCH("Points (Auto-generate)",INDIRECT("'"&amp;$A40&amp;"'!$A$12:$Z$12"),0),0)="","?",VLOOKUP(Z$1,INDIRECT("'"&amp;$A40&amp;"'!$A$12:$Z$41"),MATCH("Points (Auto-generate)",INDIRECT("'"&amp;$A40&amp;"'!$A$12:$Z$12"),0),0)),"ER"))</f>
        <v>?</v>
      </c>
      <c r="AA40" s="87" t="str">
        <f aca="true">IF($H40=0,"NA",IF($A40=INDIRECT("'"&amp;$A40&amp;"'!$B$1"),IF(VLOOKUP(AA$1,INDIRECT("'"&amp;$A40&amp;"'!$A$12:$Z$41"),MATCH("Points (Auto-generate)",INDIRECT("'"&amp;$A40&amp;"'!$A$12:$Z$12"),0),0)="","?",VLOOKUP(AA$1,INDIRECT("'"&amp;$A40&amp;"'!$A$12:$Z$41"),MATCH("Points (Auto-generate)",INDIRECT("'"&amp;$A40&amp;"'!$A$12:$Z$12"),0),0)),"ER"))</f>
        <v>?</v>
      </c>
      <c r="AB40" s="87" t="str">
        <f aca="true">IF($H40=0,"NA",IF($A40=INDIRECT("'"&amp;$A40&amp;"'!$B$1"),IF(VLOOKUP(AB$1,INDIRECT("'"&amp;$A40&amp;"'!$A$12:$Z$41"),MATCH("Points (Auto-generate)",INDIRECT("'"&amp;$A40&amp;"'!$A$12:$Z$12"),0),0)="","?",VLOOKUP(AB$1,INDIRECT("'"&amp;$A40&amp;"'!$A$12:$Z$41"),MATCH("Points (Auto-generate)",INDIRECT("'"&amp;$A40&amp;"'!$A$12:$Z$12"),0),0)),"ER"))</f>
        <v>?</v>
      </c>
      <c r="AC40" s="87" t="str">
        <f aca="true">IF($H40=0,"NA",IF($A40=INDIRECT("'"&amp;$A40&amp;"'!$B$1"),IF(VLOOKUP(AC$1,INDIRECT("'"&amp;$A40&amp;"'!$A$12:$Z$41"),MATCH("Points (Auto-generate)",INDIRECT("'"&amp;$A40&amp;"'!$A$12:$Z$12"),0),0)="","?",VLOOKUP(AC$1,INDIRECT("'"&amp;$A40&amp;"'!$A$12:$Z$41"),MATCH("Points (Auto-generate)",INDIRECT("'"&amp;$A40&amp;"'!$A$12:$Z$12"),0),0)),"ER"))</f>
        <v>?</v>
      </c>
      <c r="AD40" s="87" t="str">
        <f aca="true">IF($H40=0,"NA",IF($A40=INDIRECT("'"&amp;$A40&amp;"'!$B$1"),IF(VLOOKUP(AD$1,INDIRECT("'"&amp;$A40&amp;"'!$A$12:$Z$41"),MATCH("Points (Auto-generate)",INDIRECT("'"&amp;$A40&amp;"'!$A$12:$Z$12"),0),0)="","?",VLOOKUP(AD$1,INDIRECT("'"&amp;$A40&amp;"'!$A$12:$Z$41"),MATCH("Points (Auto-generate)",INDIRECT("'"&amp;$A40&amp;"'!$A$12:$Z$12"),0),0)),"ER"))</f>
        <v>?</v>
      </c>
      <c r="AE40" s="87" t="str">
        <f aca="true">IF($H40=0,"NA",IF($A40=INDIRECT("'"&amp;$A40&amp;"'!$B$1"),IF(VLOOKUP(AE$1,INDIRECT("'"&amp;$A40&amp;"'!$A$12:$Z$41"),MATCH("Points (Auto-generate)",INDIRECT("'"&amp;$A40&amp;"'!$A$12:$Z$12"),0),0)="","?",VLOOKUP(AE$1,INDIRECT("'"&amp;$A40&amp;"'!$A$12:$Z$41"),MATCH("Points (Auto-generate)",INDIRECT("'"&amp;$A40&amp;"'!$A$12:$Z$12"),0),0)),"ER"))</f>
        <v>?</v>
      </c>
      <c r="AF40" s="87" t="str">
        <f aca="true">IF($H40=0,"NA",IF($A40=INDIRECT("'"&amp;$A40&amp;"'!$B$1"),IF(VLOOKUP(AF$1,INDIRECT("'"&amp;$A40&amp;"'!$A$12:$Z$41"),MATCH("Points (Auto-generate)",INDIRECT("'"&amp;$A40&amp;"'!$A$12:$Z$12"),0),0)="","?",VLOOKUP(AF$1,INDIRECT("'"&amp;$A40&amp;"'!$A$12:$Z$41"),MATCH("Points (Auto-generate)",INDIRECT("'"&amp;$A40&amp;"'!$A$12:$Z$12"),0),0)),"ER"))</f>
        <v>?</v>
      </c>
      <c r="AG40" s="87" t="str">
        <f aca="true">IF($H40=0,"NA",IF($A40=INDIRECT("'"&amp;$A40&amp;"'!$B$1"),IF(VLOOKUP(AG$1,INDIRECT("'"&amp;$A40&amp;"'!$A$12:$Z$41"),MATCH("Points (Auto-generate)",INDIRECT("'"&amp;$A40&amp;"'!$A$12:$Z$12"),0),0)="","?",VLOOKUP(AG$1,INDIRECT("'"&amp;$A40&amp;"'!$A$12:$Z$41"),MATCH("Points (Auto-generate)",INDIRECT("'"&amp;$A40&amp;"'!$A$12:$Z$12"),0),0)),"ER"))</f>
        <v>?</v>
      </c>
      <c r="AH40" s="87" t="str">
        <f aca="true">IF($H40=0,"NA",IF($A40=INDIRECT("'"&amp;$A40&amp;"'!$B$1"),IF(VLOOKUP(AH$1,INDIRECT("'"&amp;$A40&amp;"'!$A$12:$Z$41"),MATCH("Points (Auto-generate)",INDIRECT("'"&amp;$A40&amp;"'!$A$12:$Z$12"),0),0)="","?",VLOOKUP(AH$1,INDIRECT("'"&amp;$A40&amp;"'!$A$12:$Z$41"),MATCH("Points (Auto-generate)",INDIRECT("'"&amp;$A40&amp;"'!$A$12:$Z$12"),0),0)),"ER"))</f>
        <v>?</v>
      </c>
      <c r="AI40" s="87" t="str">
        <f aca="true">IF($H40=0,"NA",IF($A40=INDIRECT("'"&amp;$A40&amp;"'!$B$1"),IF(VLOOKUP(AI$1,INDIRECT("'"&amp;$A40&amp;"'!$A$12:$Z$41"),MATCH("Points (Auto-generate)",INDIRECT("'"&amp;$A40&amp;"'!$A$12:$Z$12"),0),0)="","?",VLOOKUP(AI$1,INDIRECT("'"&amp;$A40&amp;"'!$A$12:$Z$41"),MATCH("Points (Auto-generate)",INDIRECT("'"&amp;$A40&amp;"'!$A$12:$Z$12"),0),0)),"ER"))</f>
        <v>?</v>
      </c>
      <c r="AJ40" s="87" t="str">
        <f aca="true">IF($H40=0,"NA",IF($A40=INDIRECT("'"&amp;$A40&amp;"'!$B$1"),IF(VLOOKUP(AJ$1,INDIRECT("'"&amp;$A40&amp;"'!$A$12:$Z$41"),MATCH("Points (Auto-generate)",INDIRECT("'"&amp;$A40&amp;"'!$A$12:$Z$12"),0),0)="","?",VLOOKUP(AJ$1,INDIRECT("'"&amp;$A40&amp;"'!$A$12:$Z$41"),MATCH("Points (Auto-generate)",INDIRECT("'"&amp;$A40&amp;"'!$A$12:$Z$12"),0),0)),"ER"))</f>
        <v>?</v>
      </c>
      <c r="AK40" s="87" t="str">
        <f aca="true">IF($H40=0,"NA",IF($A40=INDIRECT("'"&amp;$A40&amp;"'!$B$1"),IF(VLOOKUP(AK$1,INDIRECT("'"&amp;$A40&amp;"'!$A$12:$Z$41"),MATCH("Points (Auto-generate)",INDIRECT("'"&amp;$A40&amp;"'!$A$12:$Z$12"),0),0)="","?",VLOOKUP(AK$1,INDIRECT("'"&amp;$A40&amp;"'!$A$12:$Z$41"),MATCH("Points (Auto-generate)",INDIRECT("'"&amp;$A40&amp;"'!$A$12:$Z$12"),0),0)),"ER"))</f>
        <v>?</v>
      </c>
    </row>
    <row r="41" customFormat="false" ht="14.25" hidden="false" customHeight="true" outlineLevel="0" collapsed="false">
      <c r="A41" s="83" t="s">
        <v>281</v>
      </c>
      <c r="B41" s="84" t="str">
        <f aca="false">IF(ISBLANK($A41),"NO_CODE",VLOOKUP($A41,'UPD Questions_290926 '!$E$1:$N$300,MATCH(B$1,'UPD Questions_290926 '!$E$1:$N$1,0),0)&amp;"")</f>
        <v>Implementation</v>
      </c>
      <c r="C41" s="84" t="str">
        <f aca="false">IF(ISBLANK($A41),"NO_CODE",VLOOKUP($A41,'UPD Questions_290926 '!$E$1:$N$300,MATCH(C$1,'UPD Questions_290926 '!$E$1:$N$1,0),0)&amp;"")</f>
        <v>Municipal/City Plan status, hierarchy and coordination</v>
      </c>
      <c r="D41" s="84" t="str">
        <f aca="false">IF(ISBLANK($A41),"NO_CODE",VLOOKUP($A41,'UPD Questions_290926 '!$E$1:$N$300,MATCH(D$1,'UPD Questions_290926 '!$E$1:$N$1,0),0)&amp;"")</f>
        <v>Objectives of the Municipal/City Plan</v>
      </c>
      <c r="E41" s="84" t="str">
        <f aca="false">IF(ISBLANK($A41),"NO_CODE",VLOOKUP($A41,'UPD Questions_290926 '!$E$1:$N$300,MATCH(E$1,'UPD Questions_290926 '!$E$1:$N$1,0),0)&amp;"")</f>
        <v>MQ</v>
      </c>
      <c r="F41" s="84" t="str">
        <f aca="false">IF(ISBLANK($A41),"NO_CODE",VLOOKUP($A41,'UPD Questions_290926 '!$E$1:$N$300,MATCH(F$1,'UPD Questions_290926 '!$E$1:$N$1,0),0)&amp;"")</f>
        <v>Does the municipal/city plan include objectives on jobs and economy?</v>
      </c>
      <c r="G41" s="84" t="str">
        <f aca="false">IF(ISBLANK($A41),"NO_CODE",VLOOKUP($A41,'UPD Questions_290926 '!$E$1:$N$300,MATCH(G$1,'UPD Questions_290926 '!$E$1:$N$1,0),0)&amp;"")</f>
        <v>Implementation</v>
      </c>
      <c r="H41" s="86" t="n">
        <f aca="false">IF(ISBLANK($A41),"NO_CODE",VLOOKUP($A41,'UPD Questions_290926 '!$E$1:$N$300,MATCH(H$1,'UPD Questions_290926 '!$E$1:$N$1,0),0))</f>
        <v>10</v>
      </c>
      <c r="I41" s="87" t="str">
        <f aca="true">IF($H41=0,"NA",IF($A41=INDIRECT("'"&amp;$A41&amp;"'!$B$1"),IF(VLOOKUP(I$1,INDIRECT("'"&amp;$A41&amp;"'!$A$12:$Z$41"),MATCH("Points (Auto-generate)",INDIRECT("'"&amp;$A41&amp;"'!$A$12:$Z$12"),0),0)="","?",VLOOKUP(I$1,INDIRECT("'"&amp;$A41&amp;"'!$A$12:$Z$41"),MATCH("Points (Auto-generate)",INDIRECT("'"&amp;$A41&amp;"'!$A$12:$Z$12"),0),0)),"ER"))</f>
        <v>?</v>
      </c>
      <c r="J41" s="87" t="n">
        <f aca="true">IF($H41=0,"NA",IF($A41=INDIRECT("'"&amp;$A41&amp;"'!$B$1"),IF(VLOOKUP(J$1,INDIRECT("'"&amp;$A41&amp;"'!$A$12:$Z$41"),MATCH("Points (Auto-generate)",INDIRECT("'"&amp;$A41&amp;"'!$A$12:$Z$12"),0),0)="","?",VLOOKUP(J$1,INDIRECT("'"&amp;$A41&amp;"'!$A$12:$Z$41"),MATCH("Points (Auto-generate)",INDIRECT("'"&amp;$A41&amp;"'!$A$12:$Z$12"),0),0)),"ER"))</f>
        <v>0</v>
      </c>
      <c r="K41" s="87" t="str">
        <f aca="true">IF($H41=0,"NA",IF($A41=INDIRECT("'"&amp;$A41&amp;"'!$B$1"),IF(VLOOKUP(K$1,INDIRECT("'"&amp;$A41&amp;"'!$A$12:$Z$41"),MATCH("Points (Auto-generate)",INDIRECT("'"&amp;$A41&amp;"'!$A$12:$Z$12"),0),0)="","?",VLOOKUP(K$1,INDIRECT("'"&amp;$A41&amp;"'!$A$12:$Z$41"),MATCH("Points (Auto-generate)",INDIRECT("'"&amp;$A41&amp;"'!$A$12:$Z$12"),0),0)),"ER"))</f>
        <v>?</v>
      </c>
      <c r="L41" s="87" t="str">
        <f aca="true">IF($H41=0,"NA",IF($A41=INDIRECT("'"&amp;$A41&amp;"'!$B$1"),IF(VLOOKUP(L$1,INDIRECT("'"&amp;$A41&amp;"'!$A$12:$Z$41"),MATCH("Points (Auto-generate)",INDIRECT("'"&amp;$A41&amp;"'!$A$12:$Z$12"),0),0)="","?",VLOOKUP(L$1,INDIRECT("'"&amp;$A41&amp;"'!$A$12:$Z$41"),MATCH("Points (Auto-generate)",INDIRECT("'"&amp;$A41&amp;"'!$A$12:$Z$12"),0),0)),"ER"))</f>
        <v>?</v>
      </c>
      <c r="M41" s="87" t="str">
        <f aca="true">IF($H41=0,"NA",IF($A41=INDIRECT("'"&amp;$A41&amp;"'!$B$1"),IF(VLOOKUP(M$1,INDIRECT("'"&amp;$A41&amp;"'!$A$12:$Z$41"),MATCH("Points (Auto-generate)",INDIRECT("'"&amp;$A41&amp;"'!$A$12:$Z$12"),0),0)="","?",VLOOKUP(M$1,INDIRECT("'"&amp;$A41&amp;"'!$A$12:$Z$41"),MATCH("Points (Auto-generate)",INDIRECT("'"&amp;$A41&amp;"'!$A$12:$Z$12"),0),0)),"ER"))</f>
        <v>?</v>
      </c>
      <c r="N41" s="87" t="str">
        <f aca="true">IF($H41=0,"NA",IF($A41=INDIRECT("'"&amp;$A41&amp;"'!$B$1"),IF(VLOOKUP(N$1,INDIRECT("'"&amp;$A41&amp;"'!$A$12:$Z$41"),MATCH("Points (Auto-generate)",INDIRECT("'"&amp;$A41&amp;"'!$A$12:$Z$12"),0),0)="","?",VLOOKUP(N$1,INDIRECT("'"&amp;$A41&amp;"'!$A$12:$Z$41"),MATCH("Points (Auto-generate)",INDIRECT("'"&amp;$A41&amp;"'!$A$12:$Z$12"),0),0)),"ER"))</f>
        <v>?</v>
      </c>
      <c r="O41" s="87" t="str">
        <f aca="true">IF($H41=0,"NA",IF($A41=INDIRECT("'"&amp;$A41&amp;"'!$B$1"),IF(VLOOKUP(O$1,INDIRECT("'"&amp;$A41&amp;"'!$A$12:$Z$41"),MATCH("Points (Auto-generate)",INDIRECT("'"&amp;$A41&amp;"'!$A$12:$Z$12"),0),0)="","?",VLOOKUP(O$1,INDIRECT("'"&amp;$A41&amp;"'!$A$12:$Z$41"),MATCH("Points (Auto-generate)",INDIRECT("'"&amp;$A41&amp;"'!$A$12:$Z$12"),0),0)),"ER"))</f>
        <v>?</v>
      </c>
      <c r="P41" s="87" t="str">
        <f aca="true">IF($H41=0,"NA",IF($A41=INDIRECT("'"&amp;$A41&amp;"'!$B$1"),IF(VLOOKUP(P$1,INDIRECT("'"&amp;$A41&amp;"'!$A$12:$Z$41"),MATCH("Points (Auto-generate)",INDIRECT("'"&amp;$A41&amp;"'!$A$12:$Z$12"),0),0)="","?",VLOOKUP(P$1,INDIRECT("'"&amp;$A41&amp;"'!$A$12:$Z$41"),MATCH("Points (Auto-generate)",INDIRECT("'"&amp;$A41&amp;"'!$A$12:$Z$12"),0),0)),"ER"))</f>
        <v>?</v>
      </c>
      <c r="Q41" s="87" t="str">
        <f aca="true">IF($H41=0,"NA",IF($A41=INDIRECT("'"&amp;$A41&amp;"'!$B$1"),IF(VLOOKUP(Q$1,INDIRECT("'"&amp;$A41&amp;"'!$A$12:$Z$41"),MATCH("Points (Auto-generate)",INDIRECT("'"&amp;$A41&amp;"'!$A$12:$Z$12"),0),0)="","?",VLOOKUP(Q$1,INDIRECT("'"&amp;$A41&amp;"'!$A$12:$Z$41"),MATCH("Points (Auto-generate)",INDIRECT("'"&amp;$A41&amp;"'!$A$12:$Z$12"),0),0)),"ER"))</f>
        <v>?</v>
      </c>
      <c r="R41" s="87" t="str">
        <f aca="true">IF($H41=0,"NA",IF($A41=INDIRECT("'"&amp;$A41&amp;"'!$B$1"),IF(VLOOKUP(R$1,INDIRECT("'"&amp;$A41&amp;"'!$A$12:$Z$41"),MATCH("Points (Auto-generate)",INDIRECT("'"&amp;$A41&amp;"'!$A$12:$Z$12"),0),0)="","?",VLOOKUP(R$1,INDIRECT("'"&amp;$A41&amp;"'!$A$12:$Z$41"),MATCH("Points (Auto-generate)",INDIRECT("'"&amp;$A41&amp;"'!$A$12:$Z$12"),0),0)),"ER"))</f>
        <v>?</v>
      </c>
      <c r="S41" s="87" t="str">
        <f aca="true">IF($H41=0,"NA",IF($A41=INDIRECT("'"&amp;$A41&amp;"'!$B$1"),IF(VLOOKUP(S$1,INDIRECT("'"&amp;$A41&amp;"'!$A$12:$Z$41"),MATCH("Points (Auto-generate)",INDIRECT("'"&amp;$A41&amp;"'!$A$12:$Z$12"),0),0)="","?",VLOOKUP(S$1,INDIRECT("'"&amp;$A41&amp;"'!$A$12:$Z$41"),MATCH("Points (Auto-generate)",INDIRECT("'"&amp;$A41&amp;"'!$A$12:$Z$12"),0),0)),"ER"))</f>
        <v>?</v>
      </c>
      <c r="T41" s="87" t="str">
        <f aca="true">IF($H41=0,"NA",IF($A41=INDIRECT("'"&amp;$A41&amp;"'!$B$1"),IF(VLOOKUP(T$1,INDIRECT("'"&amp;$A41&amp;"'!$A$12:$Z$41"),MATCH("Points (Auto-generate)",INDIRECT("'"&amp;$A41&amp;"'!$A$12:$Z$12"),0),0)="","?",VLOOKUP(T$1,INDIRECT("'"&amp;$A41&amp;"'!$A$12:$Z$41"),MATCH("Points (Auto-generate)",INDIRECT("'"&amp;$A41&amp;"'!$A$12:$Z$12"),0),0)),"ER"))</f>
        <v>?</v>
      </c>
      <c r="U41" s="87" t="str">
        <f aca="true">IF($H41=0,"NA",IF($A41=INDIRECT("'"&amp;$A41&amp;"'!$B$1"),IF(VLOOKUP(U$1,INDIRECT("'"&amp;$A41&amp;"'!$A$12:$Z$41"),MATCH("Points (Auto-generate)",INDIRECT("'"&amp;$A41&amp;"'!$A$12:$Z$12"),0),0)="","?",VLOOKUP(U$1,INDIRECT("'"&amp;$A41&amp;"'!$A$12:$Z$41"),MATCH("Points (Auto-generate)",INDIRECT("'"&amp;$A41&amp;"'!$A$12:$Z$12"),0),0)),"ER"))</f>
        <v>?</v>
      </c>
      <c r="V41" s="87" t="str">
        <f aca="true">IF($H41=0,"NA",IF($A41=INDIRECT("'"&amp;$A41&amp;"'!$B$1"),IF(VLOOKUP(V$1,INDIRECT("'"&amp;$A41&amp;"'!$A$12:$Z$41"),MATCH("Points (Auto-generate)",INDIRECT("'"&amp;$A41&amp;"'!$A$12:$Z$12"),0),0)="","?",VLOOKUP(V$1,INDIRECT("'"&amp;$A41&amp;"'!$A$12:$Z$41"),MATCH("Points (Auto-generate)",INDIRECT("'"&amp;$A41&amp;"'!$A$12:$Z$12"),0),0)),"ER"))</f>
        <v>?</v>
      </c>
      <c r="W41" s="87" t="str">
        <f aca="true">IF($H41=0,"NA",IF($A41=INDIRECT("'"&amp;$A41&amp;"'!$B$1"),IF(VLOOKUP(W$1,INDIRECT("'"&amp;$A41&amp;"'!$A$12:$Z$41"),MATCH("Points (Auto-generate)",INDIRECT("'"&amp;$A41&amp;"'!$A$12:$Z$12"),0),0)="","?",VLOOKUP(W$1,INDIRECT("'"&amp;$A41&amp;"'!$A$12:$Z$41"),MATCH("Points (Auto-generate)",INDIRECT("'"&amp;$A41&amp;"'!$A$12:$Z$12"),0),0)),"ER"))</f>
        <v>?</v>
      </c>
      <c r="X41" s="87" t="str">
        <f aca="true">IF($H41=0,"NA",IF($A41=INDIRECT("'"&amp;$A41&amp;"'!$B$1"),IF(VLOOKUP(X$1,INDIRECT("'"&amp;$A41&amp;"'!$A$12:$Z$41"),MATCH("Points (Auto-generate)",INDIRECT("'"&amp;$A41&amp;"'!$A$12:$Z$12"),0),0)="","?",VLOOKUP(X$1,INDIRECT("'"&amp;$A41&amp;"'!$A$12:$Z$41"),MATCH("Points (Auto-generate)",INDIRECT("'"&amp;$A41&amp;"'!$A$12:$Z$12"),0),0)),"ER"))</f>
        <v>?</v>
      </c>
      <c r="Y41" s="87" t="str">
        <f aca="true">IF($H41=0,"NA",IF($A41=INDIRECT("'"&amp;$A41&amp;"'!$B$1"),IF(VLOOKUP(Y$1,INDIRECT("'"&amp;$A41&amp;"'!$A$12:$Z$41"),MATCH("Points (Auto-generate)",INDIRECT("'"&amp;$A41&amp;"'!$A$12:$Z$12"),0),0)="","?",VLOOKUP(Y$1,INDIRECT("'"&amp;$A41&amp;"'!$A$12:$Z$41"),MATCH("Points (Auto-generate)",INDIRECT("'"&amp;$A41&amp;"'!$A$12:$Z$12"),0),0)),"ER"))</f>
        <v>?</v>
      </c>
      <c r="Z41" s="87" t="str">
        <f aca="true">IF($H41=0,"NA",IF($A41=INDIRECT("'"&amp;$A41&amp;"'!$B$1"),IF(VLOOKUP(Z$1,INDIRECT("'"&amp;$A41&amp;"'!$A$12:$Z$41"),MATCH("Points (Auto-generate)",INDIRECT("'"&amp;$A41&amp;"'!$A$12:$Z$12"),0),0)="","?",VLOOKUP(Z$1,INDIRECT("'"&amp;$A41&amp;"'!$A$12:$Z$41"),MATCH("Points (Auto-generate)",INDIRECT("'"&amp;$A41&amp;"'!$A$12:$Z$12"),0),0)),"ER"))</f>
        <v>?</v>
      </c>
      <c r="AA41" s="87" t="str">
        <f aca="true">IF($H41=0,"NA",IF($A41=INDIRECT("'"&amp;$A41&amp;"'!$B$1"),IF(VLOOKUP(AA$1,INDIRECT("'"&amp;$A41&amp;"'!$A$12:$Z$41"),MATCH("Points (Auto-generate)",INDIRECT("'"&amp;$A41&amp;"'!$A$12:$Z$12"),0),0)="","?",VLOOKUP(AA$1,INDIRECT("'"&amp;$A41&amp;"'!$A$12:$Z$41"),MATCH("Points (Auto-generate)",INDIRECT("'"&amp;$A41&amp;"'!$A$12:$Z$12"),0),0)),"ER"))</f>
        <v>?</v>
      </c>
      <c r="AB41" s="87" t="str">
        <f aca="true">IF($H41=0,"NA",IF($A41=INDIRECT("'"&amp;$A41&amp;"'!$B$1"),IF(VLOOKUP(AB$1,INDIRECT("'"&amp;$A41&amp;"'!$A$12:$Z$41"),MATCH("Points (Auto-generate)",INDIRECT("'"&amp;$A41&amp;"'!$A$12:$Z$12"),0),0)="","?",VLOOKUP(AB$1,INDIRECT("'"&amp;$A41&amp;"'!$A$12:$Z$41"),MATCH("Points (Auto-generate)",INDIRECT("'"&amp;$A41&amp;"'!$A$12:$Z$12"),0),0)),"ER"))</f>
        <v>?</v>
      </c>
      <c r="AC41" s="87" t="n">
        <f aca="true">IF($H41=0,"NA",IF($A41=INDIRECT("'"&amp;$A41&amp;"'!$B$1"),IF(VLOOKUP(AC$1,INDIRECT("'"&amp;$A41&amp;"'!$A$12:$Z$41"),MATCH("Points (Auto-generate)",INDIRECT("'"&amp;$A41&amp;"'!$A$12:$Z$12"),0),0)="","?",VLOOKUP(AC$1,INDIRECT("'"&amp;$A41&amp;"'!$A$12:$Z$41"),MATCH("Points (Auto-generate)",INDIRECT("'"&amp;$A41&amp;"'!$A$12:$Z$12"),0),0)),"ER"))</f>
        <v>10</v>
      </c>
      <c r="AD41" s="87" t="str">
        <f aca="true">IF($H41=0,"NA",IF($A41=INDIRECT("'"&amp;$A41&amp;"'!$B$1"),IF(VLOOKUP(AD$1,INDIRECT("'"&amp;$A41&amp;"'!$A$12:$Z$41"),MATCH("Points (Auto-generate)",INDIRECT("'"&amp;$A41&amp;"'!$A$12:$Z$12"),0),0)="","?",VLOOKUP(AD$1,INDIRECT("'"&amp;$A41&amp;"'!$A$12:$Z$41"),MATCH("Points (Auto-generate)",INDIRECT("'"&amp;$A41&amp;"'!$A$12:$Z$12"),0),0)),"ER"))</f>
        <v>?</v>
      </c>
      <c r="AE41" s="87" t="str">
        <f aca="true">IF($H41=0,"NA",IF($A41=INDIRECT("'"&amp;$A41&amp;"'!$B$1"),IF(VLOOKUP(AE$1,INDIRECT("'"&amp;$A41&amp;"'!$A$12:$Z$41"),MATCH("Points (Auto-generate)",INDIRECT("'"&amp;$A41&amp;"'!$A$12:$Z$12"),0),0)="","?",VLOOKUP(AE$1,INDIRECT("'"&amp;$A41&amp;"'!$A$12:$Z$41"),MATCH("Points (Auto-generate)",INDIRECT("'"&amp;$A41&amp;"'!$A$12:$Z$12"),0),0)),"ER"))</f>
        <v>?</v>
      </c>
      <c r="AF41" s="87" t="str">
        <f aca="true">IF($H41=0,"NA",IF($A41=INDIRECT("'"&amp;$A41&amp;"'!$B$1"),IF(VLOOKUP(AF$1,INDIRECT("'"&amp;$A41&amp;"'!$A$12:$Z$41"),MATCH("Points (Auto-generate)",INDIRECT("'"&amp;$A41&amp;"'!$A$12:$Z$12"),0),0)="","?",VLOOKUP(AF$1,INDIRECT("'"&amp;$A41&amp;"'!$A$12:$Z$41"),MATCH("Points (Auto-generate)",INDIRECT("'"&amp;$A41&amp;"'!$A$12:$Z$12"),0),0)),"ER"))</f>
        <v>?</v>
      </c>
      <c r="AG41" s="87" t="str">
        <f aca="true">IF($H41=0,"NA",IF($A41=INDIRECT("'"&amp;$A41&amp;"'!$B$1"),IF(VLOOKUP(AG$1,INDIRECT("'"&amp;$A41&amp;"'!$A$12:$Z$41"),MATCH("Points (Auto-generate)",INDIRECT("'"&amp;$A41&amp;"'!$A$12:$Z$12"),0),0)="","?",VLOOKUP(AG$1,INDIRECT("'"&amp;$A41&amp;"'!$A$12:$Z$41"),MATCH("Points (Auto-generate)",INDIRECT("'"&amp;$A41&amp;"'!$A$12:$Z$12"),0),0)),"ER"))</f>
        <v>?</v>
      </c>
      <c r="AH41" s="87" t="str">
        <f aca="true">IF($H41=0,"NA",IF($A41=INDIRECT("'"&amp;$A41&amp;"'!$B$1"),IF(VLOOKUP(AH$1,INDIRECT("'"&amp;$A41&amp;"'!$A$12:$Z$41"),MATCH("Points (Auto-generate)",INDIRECT("'"&amp;$A41&amp;"'!$A$12:$Z$12"),0),0)="","?",VLOOKUP(AH$1,INDIRECT("'"&amp;$A41&amp;"'!$A$12:$Z$41"),MATCH("Points (Auto-generate)",INDIRECT("'"&amp;$A41&amp;"'!$A$12:$Z$12"),0),0)),"ER"))</f>
        <v>?</v>
      </c>
      <c r="AI41" s="87" t="str">
        <f aca="true">IF($H41=0,"NA",IF($A41=INDIRECT("'"&amp;$A41&amp;"'!$B$1"),IF(VLOOKUP(AI$1,INDIRECT("'"&amp;$A41&amp;"'!$A$12:$Z$41"),MATCH("Points (Auto-generate)",INDIRECT("'"&amp;$A41&amp;"'!$A$12:$Z$12"),0),0)="","?",VLOOKUP(AI$1,INDIRECT("'"&amp;$A41&amp;"'!$A$12:$Z$41"),MATCH("Points (Auto-generate)",INDIRECT("'"&amp;$A41&amp;"'!$A$12:$Z$12"),0),0)),"ER"))</f>
        <v>?</v>
      </c>
      <c r="AJ41" s="87" t="str">
        <f aca="true">IF($H41=0,"NA",IF($A41=INDIRECT("'"&amp;$A41&amp;"'!$B$1"),IF(VLOOKUP(AJ$1,INDIRECT("'"&amp;$A41&amp;"'!$A$12:$Z$41"),MATCH("Points (Auto-generate)",INDIRECT("'"&amp;$A41&amp;"'!$A$12:$Z$12"),0),0)="","?",VLOOKUP(AJ$1,INDIRECT("'"&amp;$A41&amp;"'!$A$12:$Z$41"),MATCH("Points (Auto-generate)",INDIRECT("'"&amp;$A41&amp;"'!$A$12:$Z$12"),0),0)),"ER"))</f>
        <v>?</v>
      </c>
      <c r="AK41" s="87" t="str">
        <f aca="true">IF($H41=0,"NA",IF($A41=INDIRECT("'"&amp;$A41&amp;"'!$B$1"),IF(VLOOKUP(AK$1,INDIRECT("'"&amp;$A41&amp;"'!$A$12:$Z$41"),MATCH("Points (Auto-generate)",INDIRECT("'"&amp;$A41&amp;"'!$A$12:$Z$12"),0),0)="","?",VLOOKUP(AK$1,INDIRECT("'"&amp;$A41&amp;"'!$A$12:$Z$41"),MATCH("Points (Auto-generate)",INDIRECT("'"&amp;$A41&amp;"'!$A$12:$Z$12"),0),0)),"ER"))</f>
        <v>?</v>
      </c>
    </row>
    <row r="42" customFormat="false" ht="14.25" hidden="false" customHeight="true" outlineLevel="0" collapsed="false">
      <c r="A42" s="83" t="s">
        <v>699</v>
      </c>
      <c r="B42" s="84" t="str">
        <f aca="false">IF(ISBLANK($A42),"NO_CODE",VLOOKUP($A42,'UPD Questions_290926 '!$E$1:$N$300,MATCH(B$1,'UPD Questions_290926 '!$E$1:$N$1,0),0)&amp;"")</f>
        <v>Implementation</v>
      </c>
      <c r="C42" s="84" t="str">
        <f aca="false">IF(ISBLANK($A42),"NO_CODE",VLOOKUP($A42,'UPD Questions_290926 '!$E$1:$N$300,MATCH(C$1,'UPD Questions_290926 '!$E$1:$N$1,0),0)&amp;"")</f>
        <v>Municipal/City Plan status, hierarchy and coordination</v>
      </c>
      <c r="D42" s="84" t="str">
        <f aca="false">IF(ISBLANK($A42),"NO_CODE",VLOOKUP($A42,'UPD Questions_290926 '!$E$1:$N$300,MATCH(D$1,'UPD Questions_290926 '!$E$1:$N$1,0),0)&amp;"")</f>
        <v>Objectives of the Municipal/City Plan</v>
      </c>
      <c r="E42" s="84" t="str">
        <f aca="false">IF(ISBLANK($A42),"NO_CODE",VLOOKUP($A42,'UPD Questions_290926 '!$E$1:$N$300,MATCH(E$1,'UPD Questions_290926 '!$E$1:$N$1,0),0)&amp;"")</f>
        <v>MQ</v>
      </c>
      <c r="F42" s="84" t="str">
        <f aca="false">IF(ISBLANK($A42),"NO_CODE",VLOOKUP($A42,'UPD Questions_290926 '!$E$1:$N$300,MATCH(F$1,'UPD Questions_290926 '!$E$1:$N$1,0),0)&amp;"")</f>
        <v>Does the municipal/city plan include objectives on environment and heritage conservation?</v>
      </c>
      <c r="G42" s="84" t="str">
        <f aca="false">IF(ISBLANK($A42),"NO_CODE",VLOOKUP($A42,'UPD Questions_290926 '!$E$1:$N$300,MATCH(G$1,'UPD Questions_290926 '!$E$1:$N$1,0),0)&amp;"")</f>
        <v>Implementation</v>
      </c>
      <c r="H42" s="86" t="n">
        <f aca="false">IF(ISBLANK($A42),"NO_CODE",VLOOKUP($A42,'UPD Questions_290926 '!$E$1:$N$300,MATCH(H$1,'UPD Questions_290926 '!$E$1:$N$1,0),0))</f>
        <v>10</v>
      </c>
      <c r="I42" s="87" t="str">
        <f aca="false">IF(OR(I43="ER",I44="ER"),"ER",IF(OR(I43="?",I44="?"),"?",IF(AND(I43="NA",I44="NA"),"NA",SUM(I43,I44)/((I43&lt;&gt;"NA")*$H$43+(I44&lt;&gt;"NA")*$H$44)*$H42)))</f>
        <v>?</v>
      </c>
      <c r="J42" s="87" t="n">
        <f aca="false">IF(OR(J43="ER",J44="ER"),"ER",IF(OR(J43="?",J44="?"),"?",IF(AND(J43="NA",J44="NA"),"NA",SUM(J43,J44)/((J43&lt;&gt;"NA")*$H$43+(J44&lt;&gt;"NA")*$H$44)*$H42)))</f>
        <v>0</v>
      </c>
      <c r="K42" s="87" t="str">
        <f aca="false">IF(OR(K43="ER",K44="ER"),"ER",IF(OR(K43="?",K44="?"),"?",IF(AND(K43="NA",K44="NA"),"NA",SUM(K43,K44)/((K43&lt;&gt;"NA")*$H$43+(K44&lt;&gt;"NA")*$H$44)*$H42)))</f>
        <v>?</v>
      </c>
      <c r="L42" s="87" t="str">
        <f aca="false">IF(OR(L43="ER",L44="ER"),"ER",IF(OR(L43="?",L44="?"),"?",IF(AND(L43="NA",L44="NA"),"NA",SUM(L43,L44)/((L43&lt;&gt;"NA")*$H$43+(L44&lt;&gt;"NA")*$H$44)*$H42)))</f>
        <v>?</v>
      </c>
      <c r="M42" s="87" t="str">
        <f aca="false">IF(OR(M43="ER",M44="ER"),"ER",IF(OR(M43="?",M44="?"),"?",IF(AND(M43="NA",M44="NA"),"NA",SUM(M43,M44)/((M43&lt;&gt;"NA")*$H$43+(M44&lt;&gt;"NA")*$H$44)*$H42)))</f>
        <v>?</v>
      </c>
      <c r="N42" s="87" t="str">
        <f aca="false">IF(OR(N43="ER",N44="ER"),"ER",IF(OR(N43="?",N44="?"),"?",IF(AND(N43="NA",N44="NA"),"NA",SUM(N43,N44)/((N43&lt;&gt;"NA")*$H$43+(N44&lt;&gt;"NA")*$H$44)*$H42)))</f>
        <v>?</v>
      </c>
      <c r="O42" s="87" t="str">
        <f aca="false">IF(OR(O43="ER",O44="ER"),"ER",IF(OR(O43="?",O44="?"),"?",IF(AND(O43="NA",O44="NA"),"NA",SUM(O43,O44)/((O43&lt;&gt;"NA")*$H$43+(O44&lt;&gt;"NA")*$H$44)*$H42)))</f>
        <v>?</v>
      </c>
      <c r="P42" s="87" t="str">
        <f aca="false">IF(OR(P43="ER",P44="ER"),"ER",IF(OR(P43="?",P44="?"),"?",IF(AND(P43="NA",P44="NA"),"NA",SUM(P43,P44)/((P43&lt;&gt;"NA")*$H$43+(P44&lt;&gt;"NA")*$H$44)*$H42)))</f>
        <v>?</v>
      </c>
      <c r="Q42" s="87" t="str">
        <f aca="false">IF(OR(Q43="ER",Q44="ER"),"ER",IF(OR(Q43="?",Q44="?"),"?",IF(AND(Q43="NA",Q44="NA"),"NA",SUM(Q43,Q44)/((Q43&lt;&gt;"NA")*$H$43+(Q44&lt;&gt;"NA")*$H$44)*$H42)))</f>
        <v>?</v>
      </c>
      <c r="R42" s="87" t="str">
        <f aca="false">IF(OR(R43="ER",R44="ER"),"ER",IF(OR(R43="?",R44="?"),"?",IF(AND(R43="NA",R44="NA"),"NA",SUM(R43,R44)/((R43&lt;&gt;"NA")*$H$43+(R44&lt;&gt;"NA")*$H$44)*$H42)))</f>
        <v>?</v>
      </c>
      <c r="S42" s="87" t="str">
        <f aca="false">IF(OR(S43="ER",S44="ER"),"ER",IF(OR(S43="?",S44="?"),"?",IF(AND(S43="NA",S44="NA"),"NA",SUM(S43,S44)/((S43&lt;&gt;"NA")*$H$43+(S44&lt;&gt;"NA")*$H$44)*$H42)))</f>
        <v>?</v>
      </c>
      <c r="T42" s="87" t="str">
        <f aca="false">IF(OR(T43="ER",T44="ER"),"ER",IF(OR(T43="?",T44="?"),"?",IF(AND(T43="NA",T44="NA"),"NA",SUM(T43,T44)/((T43&lt;&gt;"NA")*$H$43+(T44&lt;&gt;"NA")*$H$44)*$H42)))</f>
        <v>?</v>
      </c>
      <c r="U42" s="87" t="str">
        <f aca="false">IF(OR(U43="ER",U44="ER"),"ER",IF(OR(U43="?",U44="?"),"?",IF(AND(U43="NA",U44="NA"),"NA",SUM(U43,U44)/((U43&lt;&gt;"NA")*$H$43+(U44&lt;&gt;"NA")*$H$44)*$H42)))</f>
        <v>?</v>
      </c>
      <c r="V42" s="87" t="str">
        <f aca="false">IF(OR(V43="ER",V44="ER"),"ER",IF(OR(V43="?",V44="?"),"?",IF(AND(V43="NA",V44="NA"),"NA",SUM(V43,V44)/((V43&lt;&gt;"NA")*$H$43+(V44&lt;&gt;"NA")*$H$44)*$H42)))</f>
        <v>?</v>
      </c>
      <c r="W42" s="87" t="str">
        <f aca="false">IF(OR(W43="ER",W44="ER"),"ER",IF(OR(W43="?",W44="?"),"?",IF(AND(W43="NA",W44="NA"),"NA",SUM(W43,W44)/((W43&lt;&gt;"NA")*$H$43+(W44&lt;&gt;"NA")*$H$44)*$H42)))</f>
        <v>?</v>
      </c>
      <c r="X42" s="87" t="str">
        <f aca="false">IF(OR(X43="ER",X44="ER"),"ER",IF(OR(X43="?",X44="?"),"?",IF(AND(X43="NA",X44="NA"),"NA",SUM(X43,X44)/((X43&lt;&gt;"NA")*$H$43+(X44&lt;&gt;"NA")*$H$44)*$H42)))</f>
        <v>?</v>
      </c>
      <c r="Y42" s="87" t="str">
        <f aca="false">IF(OR(Y43="ER",Y44="ER"),"ER",IF(OR(Y43="?",Y44="?"),"?",IF(AND(Y43="NA",Y44="NA"),"NA",SUM(Y43,Y44)/((Y43&lt;&gt;"NA")*$H$43+(Y44&lt;&gt;"NA")*$H$44)*$H42)))</f>
        <v>?</v>
      </c>
      <c r="Z42" s="87" t="str">
        <f aca="false">IF(OR(Z43="ER",Z44="ER"),"ER",IF(OR(Z43="?",Z44="?"),"?",IF(AND(Z43="NA",Z44="NA"),"NA",SUM(Z43,Z44)/((Z43&lt;&gt;"NA")*$H$43+(Z44&lt;&gt;"NA")*$H$44)*$H42)))</f>
        <v>?</v>
      </c>
      <c r="AA42" s="87" t="str">
        <f aca="false">IF(OR(AA43="ER",AA44="ER"),"ER",IF(OR(AA43="?",AA44="?"),"?",IF(AND(AA43="NA",AA44="NA"),"NA",SUM(AA43,AA44)/((AA43&lt;&gt;"NA")*$H$43+(AA44&lt;&gt;"NA")*$H$44)*$H42)))</f>
        <v>?</v>
      </c>
      <c r="AB42" s="87" t="str">
        <f aca="false">IF(OR(AB43="ER",AB44="ER"),"ER",IF(OR(AB43="?",AB44="?"),"?",IF(AND(AB43="NA",AB44="NA"),"NA",SUM(AB43,AB44)/((AB43&lt;&gt;"NA")*$H$43+(AB44&lt;&gt;"NA")*$H$44)*$H42)))</f>
        <v>?</v>
      </c>
      <c r="AC42" s="87" t="str">
        <f aca="false">IF(OR(AC43="ER",AC44="ER"),"ER",IF(OR(AC43="?",AC44="?"),"?",IF(AND(AC43="NA",AC44="NA"),"NA",SUM(AC43,AC44)/((AC43&lt;&gt;"NA")*$H$43+(AC44&lt;&gt;"NA")*$H$44)*$H42)))</f>
        <v>?</v>
      </c>
      <c r="AD42" s="87" t="str">
        <f aca="false">IF(OR(AD43="ER",AD44="ER"),"ER",IF(OR(AD43="?",AD44="?"),"?",IF(AND(AD43="NA",AD44="NA"),"NA",SUM(AD43,AD44)/((AD43&lt;&gt;"NA")*$H$43+(AD44&lt;&gt;"NA")*$H$44)*$H42)))</f>
        <v>?</v>
      </c>
      <c r="AE42" s="87" t="str">
        <f aca="false">IF(OR(AE43="ER",AE44="ER"),"ER",IF(OR(AE43="?",AE44="?"),"?",IF(AND(AE43="NA",AE44="NA"),"NA",SUM(AE43,AE44)/((AE43&lt;&gt;"NA")*$H$43+(AE44&lt;&gt;"NA")*$H$44)*$H42)))</f>
        <v>?</v>
      </c>
      <c r="AF42" s="87" t="str">
        <f aca="false">IF(OR(AF43="ER",AF44="ER"),"ER",IF(OR(AF43="?",AF44="?"),"?",IF(AND(AF43="NA",AF44="NA"),"NA",SUM(AF43,AF44)/((AF43&lt;&gt;"NA")*$H$43+(AF44&lt;&gt;"NA")*$H$44)*$H42)))</f>
        <v>?</v>
      </c>
      <c r="AG42" s="87" t="str">
        <f aca="false">IF(OR(AG43="ER",AG44="ER"),"ER",IF(OR(AG43="?",AG44="?"),"?",IF(AND(AG43="NA",AG44="NA"),"NA",SUM(AG43,AG44)/((AG43&lt;&gt;"NA")*$H$43+(AG44&lt;&gt;"NA")*$H$44)*$H42)))</f>
        <v>?</v>
      </c>
      <c r="AH42" s="87" t="str">
        <f aca="false">IF(OR(AH43="ER",AH44="ER"),"ER",IF(OR(AH43="?",AH44="?"),"?",IF(AND(AH43="NA",AH44="NA"),"NA",SUM(AH43,AH44)/((AH43&lt;&gt;"NA")*$H$43+(AH44&lt;&gt;"NA")*$H$44)*$H42)))</f>
        <v>?</v>
      </c>
      <c r="AI42" s="87" t="str">
        <f aca="false">IF(OR(AI43="ER",AI44="ER"),"ER",IF(OR(AI43="?",AI44="?"),"?",IF(AND(AI43="NA",AI44="NA"),"NA",SUM(AI43,AI44)/((AI43&lt;&gt;"NA")*$H$43+(AI44&lt;&gt;"NA")*$H$44)*$H42)))</f>
        <v>?</v>
      </c>
      <c r="AJ42" s="87" t="str">
        <f aca="false">IF(OR(AJ43="ER",AJ44="ER"),"ER",IF(OR(AJ43="?",AJ44="?"),"?",IF(AND(AJ43="NA",AJ44="NA"),"NA",SUM(AJ43,AJ44)/((AJ43&lt;&gt;"NA")*$H$43+(AJ44&lt;&gt;"NA")*$H$44)*$H42)))</f>
        <v>?</v>
      </c>
      <c r="AK42" s="87" t="str">
        <f aca="false">IF(OR(AK43="ER",AK44="ER"),"ER",IF(OR(AK43="?",AK44="?"),"?",IF(AND(AK43="NA",AK44="NA"),"NA",SUM(AK43,AK44)/((AK43&lt;&gt;"NA")*$H$43+(AK44&lt;&gt;"NA")*$H$44)*$H42)))</f>
        <v>?</v>
      </c>
    </row>
    <row r="43" customFormat="false" ht="14.25" hidden="false" customHeight="true" outlineLevel="0" collapsed="false">
      <c r="A43" s="83" t="s">
        <v>287</v>
      </c>
      <c r="B43" s="84" t="str">
        <f aca="false">IF(ISBLANK($A43),"NO_CODE",VLOOKUP($A43,'UPD Questions_290926 '!$E$1:$N$300,MATCH(B$1,'UPD Questions_290926 '!$E$1:$N$1,0),0)&amp;"")</f>
        <v>Implementation</v>
      </c>
      <c r="C43" s="84" t="str">
        <f aca="false">IF(ISBLANK($A43),"NO_CODE",VLOOKUP($A43,'UPD Questions_290926 '!$E$1:$N$300,MATCH(C$1,'UPD Questions_290926 '!$E$1:$N$1,0),0)&amp;"")</f>
        <v>Municipal/City Plan status, hierarchy and coordination</v>
      </c>
      <c r="D43" s="84" t="str">
        <f aca="false">IF(ISBLANK($A43),"NO_CODE",VLOOKUP($A43,'UPD Questions_290926 '!$E$1:$N$300,MATCH(D$1,'UPD Questions_290926 '!$E$1:$N$1,0),0)&amp;"")</f>
        <v>Objectives of the Municipal/City Plan</v>
      </c>
      <c r="E43" s="84" t="str">
        <f aca="false">IF(ISBLANK($A43),"NO_CODE",VLOOKUP($A43,'UPD Questions_290926 '!$E$1:$N$300,MATCH(E$1,'UPD Questions_290926 '!$E$1:$N$1,0),0)&amp;"")</f>
        <v>SQ</v>
      </c>
      <c r="F43" s="84" t="str">
        <f aca="false">IF(ISBLANK($A43),"NO_CODE",VLOOKUP($A43,'UPD Questions_290926 '!$E$1:$N$300,MATCH(F$1,'UPD Questions_290926 '!$E$1:$N$1,0),0)&amp;"")</f>
        <v>a) Environmental Conservation </v>
      </c>
      <c r="G43" s="84" t="str">
        <f aca="false">IF(ISBLANK($A43),"NO_CODE",VLOOKUP($A43,'UPD Questions_290926 '!$E$1:$N$300,MATCH(G$1,'UPD Questions_290926 '!$E$1:$N$1,0),0)&amp;"")</f>
        <v>Implementation</v>
      </c>
      <c r="H43" s="86" t="n">
        <f aca="false">IF(ISBLANK($A43),"NO_CODE",VLOOKUP($A43,'UPD Questions_290926 '!$E$1:$N$300,MATCH(H$1,'UPD Questions_290926 '!$E$1:$N$1,0),0))</f>
        <v>5</v>
      </c>
      <c r="I43" s="87" t="str">
        <f aca="true">IF($H43=0,"NA",IF($A43=INDIRECT("'"&amp;$A43&amp;"'!$B$1"),IF(VLOOKUP(I$1,INDIRECT("'"&amp;$A43&amp;"'!$A$12:$Z$41"),MATCH("Points (Auto-generate)",INDIRECT("'"&amp;$A43&amp;"'!$A$12:$Z$12"),0),0)="","?",VLOOKUP(I$1,INDIRECT("'"&amp;$A43&amp;"'!$A$12:$Z$41"),MATCH("Points (Auto-generate)",INDIRECT("'"&amp;$A43&amp;"'!$A$12:$Z$12"),0),0)),"ER"))</f>
        <v>?</v>
      </c>
      <c r="J43" s="87" t="n">
        <f aca="true">IF($H43=0,"NA",IF($A43=INDIRECT("'"&amp;$A43&amp;"'!$B$1"),IF(VLOOKUP(J$1,INDIRECT("'"&amp;$A43&amp;"'!$A$12:$Z$41"),MATCH("Points (Auto-generate)",INDIRECT("'"&amp;$A43&amp;"'!$A$12:$Z$12"),0),0)="","?",VLOOKUP(J$1,INDIRECT("'"&amp;$A43&amp;"'!$A$12:$Z$41"),MATCH("Points (Auto-generate)",INDIRECT("'"&amp;$A43&amp;"'!$A$12:$Z$12"),0),0)),"ER"))</f>
        <v>0</v>
      </c>
      <c r="K43" s="87" t="str">
        <f aca="true">IF($H43=0,"NA",IF($A43=INDIRECT("'"&amp;$A43&amp;"'!$B$1"),IF(VLOOKUP(K$1,INDIRECT("'"&amp;$A43&amp;"'!$A$12:$Z$41"),MATCH("Points (Auto-generate)",INDIRECT("'"&amp;$A43&amp;"'!$A$12:$Z$12"),0),0)="","?",VLOOKUP(K$1,INDIRECT("'"&amp;$A43&amp;"'!$A$12:$Z$41"),MATCH("Points (Auto-generate)",INDIRECT("'"&amp;$A43&amp;"'!$A$12:$Z$12"),0),0)),"ER"))</f>
        <v>?</v>
      </c>
      <c r="L43" s="87" t="str">
        <f aca="true">IF($H43=0,"NA",IF($A43=INDIRECT("'"&amp;$A43&amp;"'!$B$1"),IF(VLOOKUP(L$1,INDIRECT("'"&amp;$A43&amp;"'!$A$12:$Z$41"),MATCH("Points (Auto-generate)",INDIRECT("'"&amp;$A43&amp;"'!$A$12:$Z$12"),0),0)="","?",VLOOKUP(L$1,INDIRECT("'"&amp;$A43&amp;"'!$A$12:$Z$41"),MATCH("Points (Auto-generate)",INDIRECT("'"&amp;$A43&amp;"'!$A$12:$Z$12"),0),0)),"ER"))</f>
        <v>?</v>
      </c>
      <c r="M43" s="87" t="str">
        <f aca="true">IF($H43=0,"NA",IF($A43=INDIRECT("'"&amp;$A43&amp;"'!$B$1"),IF(VLOOKUP(M$1,INDIRECT("'"&amp;$A43&amp;"'!$A$12:$Z$41"),MATCH("Points (Auto-generate)",INDIRECT("'"&amp;$A43&amp;"'!$A$12:$Z$12"),0),0)="","?",VLOOKUP(M$1,INDIRECT("'"&amp;$A43&amp;"'!$A$12:$Z$41"),MATCH("Points (Auto-generate)",INDIRECT("'"&amp;$A43&amp;"'!$A$12:$Z$12"),0),0)),"ER"))</f>
        <v>?</v>
      </c>
      <c r="N43" s="87" t="str">
        <f aca="true">IF($H43=0,"NA",IF($A43=INDIRECT("'"&amp;$A43&amp;"'!$B$1"),IF(VLOOKUP(N$1,INDIRECT("'"&amp;$A43&amp;"'!$A$12:$Z$41"),MATCH("Points (Auto-generate)",INDIRECT("'"&amp;$A43&amp;"'!$A$12:$Z$12"),0),0)="","?",VLOOKUP(N$1,INDIRECT("'"&amp;$A43&amp;"'!$A$12:$Z$41"),MATCH("Points (Auto-generate)",INDIRECT("'"&amp;$A43&amp;"'!$A$12:$Z$12"),0),0)),"ER"))</f>
        <v>?</v>
      </c>
      <c r="O43" s="87" t="str">
        <f aca="true">IF($H43=0,"NA",IF($A43=INDIRECT("'"&amp;$A43&amp;"'!$B$1"),IF(VLOOKUP(O$1,INDIRECT("'"&amp;$A43&amp;"'!$A$12:$Z$41"),MATCH("Points (Auto-generate)",INDIRECT("'"&amp;$A43&amp;"'!$A$12:$Z$12"),0),0)="","?",VLOOKUP(O$1,INDIRECT("'"&amp;$A43&amp;"'!$A$12:$Z$41"),MATCH("Points (Auto-generate)",INDIRECT("'"&amp;$A43&amp;"'!$A$12:$Z$12"),0),0)),"ER"))</f>
        <v>?</v>
      </c>
      <c r="P43" s="87" t="str">
        <f aca="true">IF($H43=0,"NA",IF($A43=INDIRECT("'"&amp;$A43&amp;"'!$B$1"),IF(VLOOKUP(P$1,INDIRECT("'"&amp;$A43&amp;"'!$A$12:$Z$41"),MATCH("Points (Auto-generate)",INDIRECT("'"&amp;$A43&amp;"'!$A$12:$Z$12"),0),0)="","?",VLOOKUP(P$1,INDIRECT("'"&amp;$A43&amp;"'!$A$12:$Z$41"),MATCH("Points (Auto-generate)",INDIRECT("'"&amp;$A43&amp;"'!$A$12:$Z$12"),0),0)),"ER"))</f>
        <v>?</v>
      </c>
      <c r="Q43" s="87" t="str">
        <f aca="true">IF($H43=0,"NA",IF($A43=INDIRECT("'"&amp;$A43&amp;"'!$B$1"),IF(VLOOKUP(Q$1,INDIRECT("'"&amp;$A43&amp;"'!$A$12:$Z$41"),MATCH("Points (Auto-generate)",INDIRECT("'"&amp;$A43&amp;"'!$A$12:$Z$12"),0),0)="","?",VLOOKUP(Q$1,INDIRECT("'"&amp;$A43&amp;"'!$A$12:$Z$41"),MATCH("Points (Auto-generate)",INDIRECT("'"&amp;$A43&amp;"'!$A$12:$Z$12"),0),0)),"ER"))</f>
        <v>?</v>
      </c>
      <c r="R43" s="87" t="str">
        <f aca="true">IF($H43=0,"NA",IF($A43=INDIRECT("'"&amp;$A43&amp;"'!$B$1"),IF(VLOOKUP(R$1,INDIRECT("'"&amp;$A43&amp;"'!$A$12:$Z$41"),MATCH("Points (Auto-generate)",INDIRECT("'"&amp;$A43&amp;"'!$A$12:$Z$12"),0),0)="","?",VLOOKUP(R$1,INDIRECT("'"&amp;$A43&amp;"'!$A$12:$Z$41"),MATCH("Points (Auto-generate)",INDIRECT("'"&amp;$A43&amp;"'!$A$12:$Z$12"),0),0)),"ER"))</f>
        <v>?</v>
      </c>
      <c r="S43" s="87" t="str">
        <f aca="true">IF($H43=0,"NA",IF($A43=INDIRECT("'"&amp;$A43&amp;"'!$B$1"),IF(VLOOKUP(S$1,INDIRECT("'"&amp;$A43&amp;"'!$A$12:$Z$41"),MATCH("Points (Auto-generate)",INDIRECT("'"&amp;$A43&amp;"'!$A$12:$Z$12"),0),0)="","?",VLOOKUP(S$1,INDIRECT("'"&amp;$A43&amp;"'!$A$12:$Z$41"),MATCH("Points (Auto-generate)",INDIRECT("'"&amp;$A43&amp;"'!$A$12:$Z$12"),0),0)),"ER"))</f>
        <v>?</v>
      </c>
      <c r="T43" s="87" t="str">
        <f aca="true">IF($H43=0,"NA",IF($A43=INDIRECT("'"&amp;$A43&amp;"'!$B$1"),IF(VLOOKUP(T$1,INDIRECT("'"&amp;$A43&amp;"'!$A$12:$Z$41"),MATCH("Points (Auto-generate)",INDIRECT("'"&amp;$A43&amp;"'!$A$12:$Z$12"),0),0)="","?",VLOOKUP(T$1,INDIRECT("'"&amp;$A43&amp;"'!$A$12:$Z$41"),MATCH("Points (Auto-generate)",INDIRECT("'"&amp;$A43&amp;"'!$A$12:$Z$12"),0),0)),"ER"))</f>
        <v>?</v>
      </c>
      <c r="U43" s="87" t="str">
        <f aca="true">IF($H43=0,"NA",IF($A43=INDIRECT("'"&amp;$A43&amp;"'!$B$1"),IF(VLOOKUP(U$1,INDIRECT("'"&amp;$A43&amp;"'!$A$12:$Z$41"),MATCH("Points (Auto-generate)",INDIRECT("'"&amp;$A43&amp;"'!$A$12:$Z$12"),0),0)="","?",VLOOKUP(U$1,INDIRECT("'"&amp;$A43&amp;"'!$A$12:$Z$41"),MATCH("Points (Auto-generate)",INDIRECT("'"&amp;$A43&amp;"'!$A$12:$Z$12"),0),0)),"ER"))</f>
        <v>?</v>
      </c>
      <c r="V43" s="87" t="str">
        <f aca="true">IF($H43=0,"NA",IF($A43=INDIRECT("'"&amp;$A43&amp;"'!$B$1"),IF(VLOOKUP(V$1,INDIRECT("'"&amp;$A43&amp;"'!$A$12:$Z$41"),MATCH("Points (Auto-generate)",INDIRECT("'"&amp;$A43&amp;"'!$A$12:$Z$12"),0),0)="","?",VLOOKUP(V$1,INDIRECT("'"&amp;$A43&amp;"'!$A$12:$Z$41"),MATCH("Points (Auto-generate)",INDIRECT("'"&amp;$A43&amp;"'!$A$12:$Z$12"),0),0)),"ER"))</f>
        <v>?</v>
      </c>
      <c r="W43" s="87" t="str">
        <f aca="true">IF($H43=0,"NA",IF($A43=INDIRECT("'"&amp;$A43&amp;"'!$B$1"),IF(VLOOKUP(W$1,INDIRECT("'"&amp;$A43&amp;"'!$A$12:$Z$41"),MATCH("Points (Auto-generate)",INDIRECT("'"&amp;$A43&amp;"'!$A$12:$Z$12"),0),0)="","?",VLOOKUP(W$1,INDIRECT("'"&amp;$A43&amp;"'!$A$12:$Z$41"),MATCH("Points (Auto-generate)",INDIRECT("'"&amp;$A43&amp;"'!$A$12:$Z$12"),0),0)),"ER"))</f>
        <v>?</v>
      </c>
      <c r="X43" s="87" t="str">
        <f aca="true">IF($H43=0,"NA",IF($A43=INDIRECT("'"&amp;$A43&amp;"'!$B$1"),IF(VLOOKUP(X$1,INDIRECT("'"&amp;$A43&amp;"'!$A$12:$Z$41"),MATCH("Points (Auto-generate)",INDIRECT("'"&amp;$A43&amp;"'!$A$12:$Z$12"),0),0)="","?",VLOOKUP(X$1,INDIRECT("'"&amp;$A43&amp;"'!$A$12:$Z$41"),MATCH("Points (Auto-generate)",INDIRECT("'"&amp;$A43&amp;"'!$A$12:$Z$12"),0),0)),"ER"))</f>
        <v>?</v>
      </c>
      <c r="Y43" s="87" t="str">
        <f aca="true">IF($H43=0,"NA",IF($A43=INDIRECT("'"&amp;$A43&amp;"'!$B$1"),IF(VLOOKUP(Y$1,INDIRECT("'"&amp;$A43&amp;"'!$A$12:$Z$41"),MATCH("Points (Auto-generate)",INDIRECT("'"&amp;$A43&amp;"'!$A$12:$Z$12"),0),0)="","?",VLOOKUP(Y$1,INDIRECT("'"&amp;$A43&amp;"'!$A$12:$Z$41"),MATCH("Points (Auto-generate)",INDIRECT("'"&amp;$A43&amp;"'!$A$12:$Z$12"),0),0)),"ER"))</f>
        <v>?</v>
      </c>
      <c r="Z43" s="87" t="str">
        <f aca="true">IF($H43=0,"NA",IF($A43=INDIRECT("'"&amp;$A43&amp;"'!$B$1"),IF(VLOOKUP(Z$1,INDIRECT("'"&amp;$A43&amp;"'!$A$12:$Z$41"),MATCH("Points (Auto-generate)",INDIRECT("'"&amp;$A43&amp;"'!$A$12:$Z$12"),0),0)="","?",VLOOKUP(Z$1,INDIRECT("'"&amp;$A43&amp;"'!$A$12:$Z$41"),MATCH("Points (Auto-generate)",INDIRECT("'"&amp;$A43&amp;"'!$A$12:$Z$12"),0),0)),"ER"))</f>
        <v>?</v>
      </c>
      <c r="AA43" s="87" t="str">
        <f aca="true">IF($H43=0,"NA",IF($A43=INDIRECT("'"&amp;$A43&amp;"'!$B$1"),IF(VLOOKUP(AA$1,INDIRECT("'"&amp;$A43&amp;"'!$A$12:$Z$41"),MATCH("Points (Auto-generate)",INDIRECT("'"&amp;$A43&amp;"'!$A$12:$Z$12"),0),0)="","?",VLOOKUP(AA$1,INDIRECT("'"&amp;$A43&amp;"'!$A$12:$Z$41"),MATCH("Points (Auto-generate)",INDIRECT("'"&amp;$A43&amp;"'!$A$12:$Z$12"),0),0)),"ER"))</f>
        <v>?</v>
      </c>
      <c r="AB43" s="87" t="str">
        <f aca="true">IF($H43=0,"NA",IF($A43=INDIRECT("'"&amp;$A43&amp;"'!$B$1"),IF(VLOOKUP(AB$1,INDIRECT("'"&amp;$A43&amp;"'!$A$12:$Z$41"),MATCH("Points (Auto-generate)",INDIRECT("'"&amp;$A43&amp;"'!$A$12:$Z$12"),0),0)="","?",VLOOKUP(AB$1,INDIRECT("'"&amp;$A43&amp;"'!$A$12:$Z$41"),MATCH("Points (Auto-generate)",INDIRECT("'"&amp;$A43&amp;"'!$A$12:$Z$12"),0),0)),"ER"))</f>
        <v>?</v>
      </c>
      <c r="AC43" s="87" t="n">
        <f aca="true">IF($H43=0,"NA",IF($A43=INDIRECT("'"&amp;$A43&amp;"'!$B$1"),IF(VLOOKUP(AC$1,INDIRECT("'"&amp;$A43&amp;"'!$A$12:$Z$41"),MATCH("Points (Auto-generate)",INDIRECT("'"&amp;$A43&amp;"'!$A$12:$Z$12"),0),0)="","?",VLOOKUP(AC$1,INDIRECT("'"&amp;$A43&amp;"'!$A$12:$Z$41"),MATCH("Points (Auto-generate)",INDIRECT("'"&amp;$A43&amp;"'!$A$12:$Z$12"),0),0)),"ER"))</f>
        <v>5</v>
      </c>
      <c r="AD43" s="87" t="str">
        <f aca="true">IF($H43=0,"NA",IF($A43=INDIRECT("'"&amp;$A43&amp;"'!$B$1"),IF(VLOOKUP(AD$1,INDIRECT("'"&amp;$A43&amp;"'!$A$12:$Z$41"),MATCH("Points (Auto-generate)",INDIRECT("'"&amp;$A43&amp;"'!$A$12:$Z$12"),0),0)="","?",VLOOKUP(AD$1,INDIRECT("'"&amp;$A43&amp;"'!$A$12:$Z$41"),MATCH("Points (Auto-generate)",INDIRECT("'"&amp;$A43&amp;"'!$A$12:$Z$12"),0),0)),"ER"))</f>
        <v>?</v>
      </c>
      <c r="AE43" s="87" t="str">
        <f aca="true">IF($H43=0,"NA",IF($A43=INDIRECT("'"&amp;$A43&amp;"'!$B$1"),IF(VLOOKUP(AE$1,INDIRECT("'"&amp;$A43&amp;"'!$A$12:$Z$41"),MATCH("Points (Auto-generate)",INDIRECT("'"&amp;$A43&amp;"'!$A$12:$Z$12"),0),0)="","?",VLOOKUP(AE$1,INDIRECT("'"&amp;$A43&amp;"'!$A$12:$Z$41"),MATCH("Points (Auto-generate)",INDIRECT("'"&amp;$A43&amp;"'!$A$12:$Z$12"),0),0)),"ER"))</f>
        <v>?</v>
      </c>
      <c r="AF43" s="87" t="str">
        <f aca="true">IF($H43=0,"NA",IF($A43=INDIRECT("'"&amp;$A43&amp;"'!$B$1"),IF(VLOOKUP(AF$1,INDIRECT("'"&amp;$A43&amp;"'!$A$12:$Z$41"),MATCH("Points (Auto-generate)",INDIRECT("'"&amp;$A43&amp;"'!$A$12:$Z$12"),0),0)="","?",VLOOKUP(AF$1,INDIRECT("'"&amp;$A43&amp;"'!$A$12:$Z$41"),MATCH("Points (Auto-generate)",INDIRECT("'"&amp;$A43&amp;"'!$A$12:$Z$12"),0),0)),"ER"))</f>
        <v>?</v>
      </c>
      <c r="AG43" s="87" t="str">
        <f aca="true">IF($H43=0,"NA",IF($A43=INDIRECT("'"&amp;$A43&amp;"'!$B$1"),IF(VLOOKUP(AG$1,INDIRECT("'"&amp;$A43&amp;"'!$A$12:$Z$41"),MATCH("Points (Auto-generate)",INDIRECT("'"&amp;$A43&amp;"'!$A$12:$Z$12"),0),0)="","?",VLOOKUP(AG$1,INDIRECT("'"&amp;$A43&amp;"'!$A$12:$Z$41"),MATCH("Points (Auto-generate)",INDIRECT("'"&amp;$A43&amp;"'!$A$12:$Z$12"),0),0)),"ER"))</f>
        <v>?</v>
      </c>
      <c r="AH43" s="87" t="str">
        <f aca="true">IF($H43=0,"NA",IF($A43=INDIRECT("'"&amp;$A43&amp;"'!$B$1"),IF(VLOOKUP(AH$1,INDIRECT("'"&amp;$A43&amp;"'!$A$12:$Z$41"),MATCH("Points (Auto-generate)",INDIRECT("'"&amp;$A43&amp;"'!$A$12:$Z$12"),0),0)="","?",VLOOKUP(AH$1,INDIRECT("'"&amp;$A43&amp;"'!$A$12:$Z$41"),MATCH("Points (Auto-generate)",INDIRECT("'"&amp;$A43&amp;"'!$A$12:$Z$12"),0),0)),"ER"))</f>
        <v>?</v>
      </c>
      <c r="AI43" s="87" t="str">
        <f aca="true">IF($H43=0,"NA",IF($A43=INDIRECT("'"&amp;$A43&amp;"'!$B$1"),IF(VLOOKUP(AI$1,INDIRECT("'"&amp;$A43&amp;"'!$A$12:$Z$41"),MATCH("Points (Auto-generate)",INDIRECT("'"&amp;$A43&amp;"'!$A$12:$Z$12"),0),0)="","?",VLOOKUP(AI$1,INDIRECT("'"&amp;$A43&amp;"'!$A$12:$Z$41"),MATCH("Points (Auto-generate)",INDIRECT("'"&amp;$A43&amp;"'!$A$12:$Z$12"),0),0)),"ER"))</f>
        <v>?</v>
      </c>
      <c r="AJ43" s="87" t="str">
        <f aca="true">IF($H43=0,"NA",IF($A43=INDIRECT("'"&amp;$A43&amp;"'!$B$1"),IF(VLOOKUP(AJ$1,INDIRECT("'"&amp;$A43&amp;"'!$A$12:$Z$41"),MATCH("Points (Auto-generate)",INDIRECT("'"&amp;$A43&amp;"'!$A$12:$Z$12"),0),0)="","?",VLOOKUP(AJ$1,INDIRECT("'"&amp;$A43&amp;"'!$A$12:$Z$41"),MATCH("Points (Auto-generate)",INDIRECT("'"&amp;$A43&amp;"'!$A$12:$Z$12"),0),0)),"ER"))</f>
        <v>?</v>
      </c>
      <c r="AK43" s="87" t="str">
        <f aca="true">IF($H43=0,"NA",IF($A43=INDIRECT("'"&amp;$A43&amp;"'!$B$1"),IF(VLOOKUP(AK$1,INDIRECT("'"&amp;$A43&amp;"'!$A$12:$Z$41"),MATCH("Points (Auto-generate)",INDIRECT("'"&amp;$A43&amp;"'!$A$12:$Z$12"),0),0)="","?",VLOOKUP(AK$1,INDIRECT("'"&amp;$A43&amp;"'!$A$12:$Z$41"),MATCH("Points (Auto-generate)",INDIRECT("'"&amp;$A43&amp;"'!$A$12:$Z$12"),0),0)),"ER"))</f>
        <v>?</v>
      </c>
    </row>
    <row r="44" customFormat="false" ht="14.25" hidden="false" customHeight="true" outlineLevel="0" collapsed="false">
      <c r="A44" s="83" t="s">
        <v>295</v>
      </c>
      <c r="B44" s="84" t="str">
        <f aca="false">IF(ISBLANK($A44),"NO_CODE",VLOOKUP($A44,'UPD Questions_290926 '!$E$1:$N$300,MATCH(B$1,'UPD Questions_290926 '!$E$1:$N$1,0),0)&amp;"")</f>
        <v>Implementation</v>
      </c>
      <c r="C44" s="84" t="str">
        <f aca="false">IF(ISBLANK($A44),"NO_CODE",VLOOKUP($A44,'UPD Questions_290926 '!$E$1:$N$300,MATCH(C$1,'UPD Questions_290926 '!$E$1:$N$1,0),0)&amp;"")</f>
        <v>Municipal/City Plan status, hierarchy and coordination</v>
      </c>
      <c r="D44" s="84" t="str">
        <f aca="false">IF(ISBLANK($A44),"NO_CODE",VLOOKUP($A44,'UPD Questions_290926 '!$E$1:$N$300,MATCH(D$1,'UPD Questions_290926 '!$E$1:$N$1,0),0)&amp;"")</f>
        <v>Objectives of the Municipal/City Plan</v>
      </c>
      <c r="E44" s="84" t="str">
        <f aca="false">IF(ISBLANK($A44),"NO_CODE",VLOOKUP($A44,'UPD Questions_290926 '!$E$1:$N$300,MATCH(E$1,'UPD Questions_290926 '!$E$1:$N$1,0),0)&amp;"")</f>
        <v>SQ</v>
      </c>
      <c r="F44" s="84" t="str">
        <f aca="false">IF(ISBLANK($A44),"NO_CODE",VLOOKUP($A44,'UPD Questions_290926 '!$E$1:$N$300,MATCH(F$1,'UPD Questions_290926 '!$E$1:$N$1,0),0)&amp;"")</f>
        <v>b) Heritage Conservation </v>
      </c>
      <c r="G44" s="84" t="str">
        <f aca="false">IF(ISBLANK($A44),"NO_CODE",VLOOKUP($A44,'UPD Questions_290926 '!$E$1:$N$300,MATCH(G$1,'UPD Questions_290926 '!$E$1:$N$1,0),0)&amp;"")</f>
        <v>Implementation</v>
      </c>
      <c r="H44" s="86" t="n">
        <f aca="false">IF(ISBLANK($A44),"NO_CODE",VLOOKUP($A44,'UPD Questions_290926 '!$E$1:$N$300,MATCH(H$1,'UPD Questions_290926 '!$E$1:$N$1,0),0))</f>
        <v>5</v>
      </c>
      <c r="I44" s="87" t="str">
        <f aca="true">IF($H44=0,"NA",IF($A44=INDIRECT("'"&amp;$A44&amp;"'!$B$1"),IF(VLOOKUP(I$1,INDIRECT("'"&amp;$A44&amp;"'!$A$12:$Z$41"),MATCH("Points (Auto-generate)",INDIRECT("'"&amp;$A44&amp;"'!$A$12:$Z$12"),0),0)="","?",VLOOKUP(I$1,INDIRECT("'"&amp;$A44&amp;"'!$A$12:$Z$41"),MATCH("Points (Auto-generate)",INDIRECT("'"&amp;$A44&amp;"'!$A$12:$Z$12"),0),0)),"ER"))</f>
        <v>?</v>
      </c>
      <c r="J44" s="87" t="n">
        <f aca="true">IF($H44=0,"NA",IF($A44=INDIRECT("'"&amp;$A44&amp;"'!$B$1"),IF(VLOOKUP(J$1,INDIRECT("'"&amp;$A44&amp;"'!$A$12:$Z$41"),MATCH("Points (Auto-generate)",INDIRECT("'"&amp;$A44&amp;"'!$A$12:$Z$12"),0),0)="","?",VLOOKUP(J$1,INDIRECT("'"&amp;$A44&amp;"'!$A$12:$Z$41"),MATCH("Points (Auto-generate)",INDIRECT("'"&amp;$A44&amp;"'!$A$12:$Z$12"),0),0)),"ER"))</f>
        <v>0</v>
      </c>
      <c r="K44" s="87" t="str">
        <f aca="true">IF($H44=0,"NA",IF($A44=INDIRECT("'"&amp;$A44&amp;"'!$B$1"),IF(VLOOKUP(K$1,INDIRECT("'"&amp;$A44&amp;"'!$A$12:$Z$41"),MATCH("Points (Auto-generate)",INDIRECT("'"&amp;$A44&amp;"'!$A$12:$Z$12"),0),0)="","?",VLOOKUP(K$1,INDIRECT("'"&amp;$A44&amp;"'!$A$12:$Z$41"),MATCH("Points (Auto-generate)",INDIRECT("'"&amp;$A44&amp;"'!$A$12:$Z$12"),0),0)),"ER"))</f>
        <v>?</v>
      </c>
      <c r="L44" s="87" t="str">
        <f aca="true">IF($H44=0,"NA",IF($A44=INDIRECT("'"&amp;$A44&amp;"'!$B$1"),IF(VLOOKUP(L$1,INDIRECT("'"&amp;$A44&amp;"'!$A$12:$Z$41"),MATCH("Points (Auto-generate)",INDIRECT("'"&amp;$A44&amp;"'!$A$12:$Z$12"),0),0)="","?",VLOOKUP(L$1,INDIRECT("'"&amp;$A44&amp;"'!$A$12:$Z$41"),MATCH("Points (Auto-generate)",INDIRECT("'"&amp;$A44&amp;"'!$A$12:$Z$12"),0),0)),"ER"))</f>
        <v>?</v>
      </c>
      <c r="M44" s="87" t="str">
        <f aca="true">IF($H44=0,"NA",IF($A44=INDIRECT("'"&amp;$A44&amp;"'!$B$1"),IF(VLOOKUP(M$1,INDIRECT("'"&amp;$A44&amp;"'!$A$12:$Z$41"),MATCH("Points (Auto-generate)",INDIRECT("'"&amp;$A44&amp;"'!$A$12:$Z$12"),0),0)="","?",VLOOKUP(M$1,INDIRECT("'"&amp;$A44&amp;"'!$A$12:$Z$41"),MATCH("Points (Auto-generate)",INDIRECT("'"&amp;$A44&amp;"'!$A$12:$Z$12"),0),0)),"ER"))</f>
        <v>?</v>
      </c>
      <c r="N44" s="87" t="str">
        <f aca="true">IF($H44=0,"NA",IF($A44=INDIRECT("'"&amp;$A44&amp;"'!$B$1"),IF(VLOOKUP(N$1,INDIRECT("'"&amp;$A44&amp;"'!$A$12:$Z$41"),MATCH("Points (Auto-generate)",INDIRECT("'"&amp;$A44&amp;"'!$A$12:$Z$12"),0),0)="","?",VLOOKUP(N$1,INDIRECT("'"&amp;$A44&amp;"'!$A$12:$Z$41"),MATCH("Points (Auto-generate)",INDIRECT("'"&amp;$A44&amp;"'!$A$12:$Z$12"),0),0)),"ER"))</f>
        <v>?</v>
      </c>
      <c r="O44" s="87" t="str">
        <f aca="true">IF($H44=0,"NA",IF($A44=INDIRECT("'"&amp;$A44&amp;"'!$B$1"),IF(VLOOKUP(O$1,INDIRECT("'"&amp;$A44&amp;"'!$A$12:$Z$41"),MATCH("Points (Auto-generate)",INDIRECT("'"&amp;$A44&amp;"'!$A$12:$Z$12"),0),0)="","?",VLOOKUP(O$1,INDIRECT("'"&amp;$A44&amp;"'!$A$12:$Z$41"),MATCH("Points (Auto-generate)",INDIRECT("'"&amp;$A44&amp;"'!$A$12:$Z$12"),0),0)),"ER"))</f>
        <v>?</v>
      </c>
      <c r="P44" s="87" t="str">
        <f aca="true">IF($H44=0,"NA",IF($A44=INDIRECT("'"&amp;$A44&amp;"'!$B$1"),IF(VLOOKUP(P$1,INDIRECT("'"&amp;$A44&amp;"'!$A$12:$Z$41"),MATCH("Points (Auto-generate)",INDIRECT("'"&amp;$A44&amp;"'!$A$12:$Z$12"),0),0)="","?",VLOOKUP(P$1,INDIRECT("'"&amp;$A44&amp;"'!$A$12:$Z$41"),MATCH("Points (Auto-generate)",INDIRECT("'"&amp;$A44&amp;"'!$A$12:$Z$12"),0),0)),"ER"))</f>
        <v>?</v>
      </c>
      <c r="Q44" s="87" t="str">
        <f aca="true">IF($H44=0,"NA",IF($A44=INDIRECT("'"&amp;$A44&amp;"'!$B$1"),IF(VLOOKUP(Q$1,INDIRECT("'"&amp;$A44&amp;"'!$A$12:$Z$41"),MATCH("Points (Auto-generate)",INDIRECT("'"&amp;$A44&amp;"'!$A$12:$Z$12"),0),0)="","?",VLOOKUP(Q$1,INDIRECT("'"&amp;$A44&amp;"'!$A$12:$Z$41"),MATCH("Points (Auto-generate)",INDIRECT("'"&amp;$A44&amp;"'!$A$12:$Z$12"),0),0)),"ER"))</f>
        <v>?</v>
      </c>
      <c r="R44" s="87" t="str">
        <f aca="true">IF($H44=0,"NA",IF($A44=INDIRECT("'"&amp;$A44&amp;"'!$B$1"),IF(VLOOKUP(R$1,INDIRECT("'"&amp;$A44&amp;"'!$A$12:$Z$41"),MATCH("Points (Auto-generate)",INDIRECT("'"&amp;$A44&amp;"'!$A$12:$Z$12"),0),0)="","?",VLOOKUP(R$1,INDIRECT("'"&amp;$A44&amp;"'!$A$12:$Z$41"),MATCH("Points (Auto-generate)",INDIRECT("'"&amp;$A44&amp;"'!$A$12:$Z$12"),0),0)),"ER"))</f>
        <v>?</v>
      </c>
      <c r="S44" s="87" t="str">
        <f aca="true">IF($H44=0,"NA",IF($A44=INDIRECT("'"&amp;$A44&amp;"'!$B$1"),IF(VLOOKUP(S$1,INDIRECT("'"&amp;$A44&amp;"'!$A$12:$Z$41"),MATCH("Points (Auto-generate)",INDIRECT("'"&amp;$A44&amp;"'!$A$12:$Z$12"),0),0)="","?",VLOOKUP(S$1,INDIRECT("'"&amp;$A44&amp;"'!$A$12:$Z$41"),MATCH("Points (Auto-generate)",INDIRECT("'"&amp;$A44&amp;"'!$A$12:$Z$12"),0),0)),"ER"))</f>
        <v>?</v>
      </c>
      <c r="T44" s="87" t="str">
        <f aca="true">IF($H44=0,"NA",IF($A44=INDIRECT("'"&amp;$A44&amp;"'!$B$1"),IF(VLOOKUP(T$1,INDIRECT("'"&amp;$A44&amp;"'!$A$12:$Z$41"),MATCH("Points (Auto-generate)",INDIRECT("'"&amp;$A44&amp;"'!$A$12:$Z$12"),0),0)="","?",VLOOKUP(T$1,INDIRECT("'"&amp;$A44&amp;"'!$A$12:$Z$41"),MATCH("Points (Auto-generate)",INDIRECT("'"&amp;$A44&amp;"'!$A$12:$Z$12"),0),0)),"ER"))</f>
        <v>?</v>
      </c>
      <c r="U44" s="87" t="str">
        <f aca="true">IF($H44=0,"NA",IF($A44=INDIRECT("'"&amp;$A44&amp;"'!$B$1"),IF(VLOOKUP(U$1,INDIRECT("'"&amp;$A44&amp;"'!$A$12:$Z$41"),MATCH("Points (Auto-generate)",INDIRECT("'"&amp;$A44&amp;"'!$A$12:$Z$12"),0),0)="","?",VLOOKUP(U$1,INDIRECT("'"&amp;$A44&amp;"'!$A$12:$Z$41"),MATCH("Points (Auto-generate)",INDIRECT("'"&amp;$A44&amp;"'!$A$12:$Z$12"),0),0)),"ER"))</f>
        <v>?</v>
      </c>
      <c r="V44" s="87" t="str">
        <f aca="true">IF($H44=0,"NA",IF($A44=INDIRECT("'"&amp;$A44&amp;"'!$B$1"),IF(VLOOKUP(V$1,INDIRECT("'"&amp;$A44&amp;"'!$A$12:$Z$41"),MATCH("Points (Auto-generate)",INDIRECT("'"&amp;$A44&amp;"'!$A$12:$Z$12"),0),0)="","?",VLOOKUP(V$1,INDIRECT("'"&amp;$A44&amp;"'!$A$12:$Z$41"),MATCH("Points (Auto-generate)",INDIRECT("'"&amp;$A44&amp;"'!$A$12:$Z$12"),0),0)),"ER"))</f>
        <v>?</v>
      </c>
      <c r="W44" s="87" t="str">
        <f aca="true">IF($H44=0,"NA",IF($A44=INDIRECT("'"&amp;$A44&amp;"'!$B$1"),IF(VLOOKUP(W$1,INDIRECT("'"&amp;$A44&amp;"'!$A$12:$Z$41"),MATCH("Points (Auto-generate)",INDIRECT("'"&amp;$A44&amp;"'!$A$12:$Z$12"),0),0)="","?",VLOOKUP(W$1,INDIRECT("'"&amp;$A44&amp;"'!$A$12:$Z$41"),MATCH("Points (Auto-generate)",INDIRECT("'"&amp;$A44&amp;"'!$A$12:$Z$12"),0),0)),"ER"))</f>
        <v>?</v>
      </c>
      <c r="X44" s="87" t="str">
        <f aca="true">IF($H44=0,"NA",IF($A44=INDIRECT("'"&amp;$A44&amp;"'!$B$1"),IF(VLOOKUP(X$1,INDIRECT("'"&amp;$A44&amp;"'!$A$12:$Z$41"),MATCH("Points (Auto-generate)",INDIRECT("'"&amp;$A44&amp;"'!$A$12:$Z$12"),0),0)="","?",VLOOKUP(X$1,INDIRECT("'"&amp;$A44&amp;"'!$A$12:$Z$41"),MATCH("Points (Auto-generate)",INDIRECT("'"&amp;$A44&amp;"'!$A$12:$Z$12"),0),0)),"ER"))</f>
        <v>?</v>
      </c>
      <c r="Y44" s="87" t="str">
        <f aca="true">IF($H44=0,"NA",IF($A44=INDIRECT("'"&amp;$A44&amp;"'!$B$1"),IF(VLOOKUP(Y$1,INDIRECT("'"&amp;$A44&amp;"'!$A$12:$Z$41"),MATCH("Points (Auto-generate)",INDIRECT("'"&amp;$A44&amp;"'!$A$12:$Z$12"),0),0)="","?",VLOOKUP(Y$1,INDIRECT("'"&amp;$A44&amp;"'!$A$12:$Z$41"),MATCH("Points (Auto-generate)",INDIRECT("'"&amp;$A44&amp;"'!$A$12:$Z$12"),0),0)),"ER"))</f>
        <v>?</v>
      </c>
      <c r="Z44" s="87" t="str">
        <f aca="true">IF($H44=0,"NA",IF($A44=INDIRECT("'"&amp;$A44&amp;"'!$B$1"),IF(VLOOKUP(Z$1,INDIRECT("'"&amp;$A44&amp;"'!$A$12:$Z$41"),MATCH("Points (Auto-generate)",INDIRECT("'"&amp;$A44&amp;"'!$A$12:$Z$12"),0),0)="","?",VLOOKUP(Z$1,INDIRECT("'"&amp;$A44&amp;"'!$A$12:$Z$41"),MATCH("Points (Auto-generate)",INDIRECT("'"&amp;$A44&amp;"'!$A$12:$Z$12"),0),0)),"ER"))</f>
        <v>?</v>
      </c>
      <c r="AA44" s="87" t="str">
        <f aca="true">IF($H44=0,"NA",IF($A44=INDIRECT("'"&amp;$A44&amp;"'!$B$1"),IF(VLOOKUP(AA$1,INDIRECT("'"&amp;$A44&amp;"'!$A$12:$Z$41"),MATCH("Points (Auto-generate)",INDIRECT("'"&amp;$A44&amp;"'!$A$12:$Z$12"),0),0)="","?",VLOOKUP(AA$1,INDIRECT("'"&amp;$A44&amp;"'!$A$12:$Z$41"),MATCH("Points (Auto-generate)",INDIRECT("'"&amp;$A44&amp;"'!$A$12:$Z$12"),0),0)),"ER"))</f>
        <v>?</v>
      </c>
      <c r="AB44" s="87" t="str">
        <f aca="true">IF($H44=0,"NA",IF($A44=INDIRECT("'"&amp;$A44&amp;"'!$B$1"),IF(VLOOKUP(AB$1,INDIRECT("'"&amp;$A44&amp;"'!$A$12:$Z$41"),MATCH("Points (Auto-generate)",INDIRECT("'"&amp;$A44&amp;"'!$A$12:$Z$12"),0),0)="","?",VLOOKUP(AB$1,INDIRECT("'"&amp;$A44&amp;"'!$A$12:$Z$41"),MATCH("Points (Auto-generate)",INDIRECT("'"&amp;$A44&amp;"'!$A$12:$Z$12"),0),0)),"ER"))</f>
        <v>?</v>
      </c>
      <c r="AC44" s="87" t="str">
        <f aca="true">IF($H44=0,"NA",IF($A44=INDIRECT("'"&amp;$A44&amp;"'!$B$1"),IF(VLOOKUP(AC$1,INDIRECT("'"&amp;$A44&amp;"'!$A$12:$Z$41"),MATCH("Points (Auto-generate)",INDIRECT("'"&amp;$A44&amp;"'!$A$12:$Z$12"),0),0)="","?",VLOOKUP(AC$1,INDIRECT("'"&amp;$A44&amp;"'!$A$12:$Z$41"),MATCH("Points (Auto-generate)",INDIRECT("'"&amp;$A44&amp;"'!$A$12:$Z$12"),0),0)),"ER"))</f>
        <v>?</v>
      </c>
      <c r="AD44" s="87" t="str">
        <f aca="true">IF($H44=0,"NA",IF($A44=INDIRECT("'"&amp;$A44&amp;"'!$B$1"),IF(VLOOKUP(AD$1,INDIRECT("'"&amp;$A44&amp;"'!$A$12:$Z$41"),MATCH("Points (Auto-generate)",INDIRECT("'"&amp;$A44&amp;"'!$A$12:$Z$12"),0),0)="","?",VLOOKUP(AD$1,INDIRECT("'"&amp;$A44&amp;"'!$A$12:$Z$41"),MATCH("Points (Auto-generate)",INDIRECT("'"&amp;$A44&amp;"'!$A$12:$Z$12"),0),0)),"ER"))</f>
        <v>?</v>
      </c>
      <c r="AE44" s="87" t="str">
        <f aca="true">IF($H44=0,"NA",IF($A44=INDIRECT("'"&amp;$A44&amp;"'!$B$1"),IF(VLOOKUP(AE$1,INDIRECT("'"&amp;$A44&amp;"'!$A$12:$Z$41"),MATCH("Points (Auto-generate)",INDIRECT("'"&amp;$A44&amp;"'!$A$12:$Z$12"),0),0)="","?",VLOOKUP(AE$1,INDIRECT("'"&amp;$A44&amp;"'!$A$12:$Z$41"),MATCH("Points (Auto-generate)",INDIRECT("'"&amp;$A44&amp;"'!$A$12:$Z$12"),0),0)),"ER"))</f>
        <v>?</v>
      </c>
      <c r="AF44" s="87" t="str">
        <f aca="true">IF($H44=0,"NA",IF($A44=INDIRECT("'"&amp;$A44&amp;"'!$B$1"),IF(VLOOKUP(AF$1,INDIRECT("'"&amp;$A44&amp;"'!$A$12:$Z$41"),MATCH("Points (Auto-generate)",INDIRECT("'"&amp;$A44&amp;"'!$A$12:$Z$12"),0),0)="","?",VLOOKUP(AF$1,INDIRECT("'"&amp;$A44&amp;"'!$A$12:$Z$41"),MATCH("Points (Auto-generate)",INDIRECT("'"&amp;$A44&amp;"'!$A$12:$Z$12"),0),0)),"ER"))</f>
        <v>?</v>
      </c>
      <c r="AG44" s="87" t="str">
        <f aca="true">IF($H44=0,"NA",IF($A44=INDIRECT("'"&amp;$A44&amp;"'!$B$1"),IF(VLOOKUP(AG$1,INDIRECT("'"&amp;$A44&amp;"'!$A$12:$Z$41"),MATCH("Points (Auto-generate)",INDIRECT("'"&amp;$A44&amp;"'!$A$12:$Z$12"),0),0)="","?",VLOOKUP(AG$1,INDIRECT("'"&amp;$A44&amp;"'!$A$12:$Z$41"),MATCH("Points (Auto-generate)",INDIRECT("'"&amp;$A44&amp;"'!$A$12:$Z$12"),0),0)),"ER"))</f>
        <v>?</v>
      </c>
      <c r="AH44" s="87" t="str">
        <f aca="true">IF($H44=0,"NA",IF($A44=INDIRECT("'"&amp;$A44&amp;"'!$B$1"),IF(VLOOKUP(AH$1,INDIRECT("'"&amp;$A44&amp;"'!$A$12:$Z$41"),MATCH("Points (Auto-generate)",INDIRECT("'"&amp;$A44&amp;"'!$A$12:$Z$12"),0),0)="","?",VLOOKUP(AH$1,INDIRECT("'"&amp;$A44&amp;"'!$A$12:$Z$41"),MATCH("Points (Auto-generate)",INDIRECT("'"&amp;$A44&amp;"'!$A$12:$Z$12"),0),0)),"ER"))</f>
        <v>?</v>
      </c>
      <c r="AI44" s="87" t="str">
        <f aca="true">IF($H44=0,"NA",IF($A44=INDIRECT("'"&amp;$A44&amp;"'!$B$1"),IF(VLOOKUP(AI$1,INDIRECT("'"&amp;$A44&amp;"'!$A$12:$Z$41"),MATCH("Points (Auto-generate)",INDIRECT("'"&amp;$A44&amp;"'!$A$12:$Z$12"),0),0)="","?",VLOOKUP(AI$1,INDIRECT("'"&amp;$A44&amp;"'!$A$12:$Z$41"),MATCH("Points (Auto-generate)",INDIRECT("'"&amp;$A44&amp;"'!$A$12:$Z$12"),0),0)),"ER"))</f>
        <v>?</v>
      </c>
      <c r="AJ44" s="87" t="str">
        <f aca="true">IF($H44=0,"NA",IF($A44=INDIRECT("'"&amp;$A44&amp;"'!$B$1"),IF(VLOOKUP(AJ$1,INDIRECT("'"&amp;$A44&amp;"'!$A$12:$Z$41"),MATCH("Points (Auto-generate)",INDIRECT("'"&amp;$A44&amp;"'!$A$12:$Z$12"),0),0)="","?",VLOOKUP(AJ$1,INDIRECT("'"&amp;$A44&amp;"'!$A$12:$Z$41"),MATCH("Points (Auto-generate)",INDIRECT("'"&amp;$A44&amp;"'!$A$12:$Z$12"),0),0)),"ER"))</f>
        <v>?</v>
      </c>
      <c r="AK44" s="87" t="str">
        <f aca="true">IF($H44=0,"NA",IF($A44=INDIRECT("'"&amp;$A44&amp;"'!$B$1"),IF(VLOOKUP(AK$1,INDIRECT("'"&amp;$A44&amp;"'!$A$12:$Z$41"),MATCH("Points (Auto-generate)",INDIRECT("'"&amp;$A44&amp;"'!$A$12:$Z$12"),0),0)="","?",VLOOKUP(AK$1,INDIRECT("'"&amp;$A44&amp;"'!$A$12:$Z$41"),MATCH("Points (Auto-generate)",INDIRECT("'"&amp;$A44&amp;"'!$A$12:$Z$12"),0),0)),"ER"))</f>
        <v>?</v>
      </c>
    </row>
    <row r="45" customFormat="false" ht="14.25" hidden="false" customHeight="true" outlineLevel="0" collapsed="false">
      <c r="A45" s="83" t="s">
        <v>788</v>
      </c>
      <c r="B45" s="84" t="str">
        <f aca="false">IF(ISBLANK($A45),"NO_CODE",VLOOKUP($A45,'UPD Questions_290926 '!$E$1:$N$300,MATCH(B$1,'UPD Questions_290926 '!$E$1:$N$1,0),0)&amp;"")</f>
        <v>Implementation</v>
      </c>
      <c r="C45" s="84" t="str">
        <f aca="false">IF(ISBLANK($A45),"NO_CODE",VLOOKUP($A45,'UPD Questions_290926 '!$E$1:$N$300,MATCH(C$1,'UPD Questions_290926 '!$E$1:$N$1,0),0)&amp;"")</f>
        <v>Municipal/City Plan status, hierarchy and coordination</v>
      </c>
      <c r="D45" s="84" t="str">
        <f aca="false">IF(ISBLANK($A45),"NO_CODE",VLOOKUP($A45,'UPD Questions_290926 '!$E$1:$N$300,MATCH(D$1,'UPD Questions_290926 '!$E$1:$N$1,0),0)&amp;"")</f>
        <v>Objectives of the Municipal/City Plan</v>
      </c>
      <c r="E45" s="84" t="str">
        <f aca="false">IF(ISBLANK($A45),"NO_CODE",VLOOKUP($A45,'UPD Questions_290926 '!$E$1:$N$300,MATCH(E$1,'UPD Questions_290926 '!$E$1:$N$1,0),0)&amp;"")</f>
        <v>MQ</v>
      </c>
      <c r="F45" s="84" t="str">
        <f aca="false">IF(ISBLANK($A45),"NO_CODE",VLOOKUP($A45,'UPD Questions_290926 '!$E$1:$N$300,MATCH(F$1,'UPD Questions_290926 '!$E$1:$N$1,0),0)&amp;"")</f>
        <v>Does the municipal/city plan include objectives on social development (health care, education)?</v>
      </c>
      <c r="G45" s="84" t="str">
        <f aca="false">IF(ISBLANK($A45),"NO_CODE",VLOOKUP($A45,'UPD Questions_290926 '!$E$1:$N$300,MATCH(G$1,'UPD Questions_290926 '!$E$1:$N$1,0),0)&amp;"")</f>
        <v>Implementation</v>
      </c>
      <c r="H45" s="86" t="n">
        <f aca="false">IF(ISBLANK($A45),"NO_CODE",VLOOKUP($A45,'UPD Questions_290926 '!$E$1:$N$300,MATCH(H$1,'UPD Questions_290926 '!$E$1:$N$1,0),0))</f>
        <v>10</v>
      </c>
      <c r="I45" s="87" t="str">
        <f aca="false">IF(OR(I46="ER",I47="ER",I48="ER"),"ER",IF(OR(I46="?",I47="?",I48="?"),"?",IF(AND(I46="NA",I47="NA",I48="NA"),"NA",SUM(I46,I47,I48)/((I46&lt;&gt;"NA")*$H$46+(I47&lt;&gt;"NA")*$H$47+(I48&lt;&gt;"NA")*$H$48)*$H45)))</f>
        <v>?</v>
      </c>
      <c r="J45" s="87" t="n">
        <f aca="false">IF(OR(J46="ER",J47="ER",J48="ER"),"ER",IF(OR(J46="?",J47="?",J48="?"),"?",IF(AND(J46="NA",J47="NA",J48="NA"),"NA",SUM(J46,J47,J48)/((J46&lt;&gt;"NA")*$H$46+(J47&lt;&gt;"NA")*$H$47+(J48&lt;&gt;"NA")*$H$48)*$H45)))</f>
        <v>0</v>
      </c>
      <c r="K45" s="87" t="str">
        <f aca="false">IF(OR(K46="ER",K47="ER",K48="ER"),"ER",IF(OR(K46="?",K47="?",K48="?"),"?",IF(AND(K46="NA",K47="NA",K48="NA"),"NA",SUM(K46,K47,K48)/((K46&lt;&gt;"NA")*$H$46+(K47&lt;&gt;"NA")*$H$47+(K48&lt;&gt;"NA")*$H$48)*$H45)))</f>
        <v>?</v>
      </c>
      <c r="L45" s="87" t="str">
        <f aca="false">IF(OR(L46="ER",L47="ER",L48="ER"),"ER",IF(OR(L46="?",L47="?",L48="?"),"?",IF(AND(L46="NA",L47="NA",L48="NA"),"NA",SUM(L46,L47,L48)/((L46&lt;&gt;"NA")*$H$46+(L47&lt;&gt;"NA")*$H$47+(L48&lt;&gt;"NA")*$H$48)*$H45)))</f>
        <v>?</v>
      </c>
      <c r="M45" s="87" t="str">
        <f aca="false">IF(OR(M46="ER",M47="ER",M48="ER"),"ER",IF(OR(M46="?",M47="?",M48="?"),"?",IF(AND(M46="NA",M47="NA",M48="NA"),"NA",SUM(M46,M47,M48)/((M46&lt;&gt;"NA")*$H$46+(M47&lt;&gt;"NA")*$H$47+(M48&lt;&gt;"NA")*$H$48)*$H45)))</f>
        <v>?</v>
      </c>
      <c r="N45" s="87" t="str">
        <f aca="false">IF(OR(N46="ER",N47="ER",N48="ER"),"ER",IF(OR(N46="?",N47="?",N48="?"),"?",IF(AND(N46="NA",N47="NA",N48="NA"),"NA",SUM(N46,N47,N48)/((N46&lt;&gt;"NA")*$H$46+(N47&lt;&gt;"NA")*$H$47+(N48&lt;&gt;"NA")*$H$48)*$H45)))</f>
        <v>?</v>
      </c>
      <c r="O45" s="87" t="str">
        <f aca="false">IF(OR(O46="ER",O47="ER",O48="ER"),"ER",IF(OR(O46="?",O47="?",O48="?"),"?",IF(AND(O46="NA",O47="NA",O48="NA"),"NA",SUM(O46,O47,O48)/((O46&lt;&gt;"NA")*$H$46+(O47&lt;&gt;"NA")*$H$47+(O48&lt;&gt;"NA")*$H$48)*$H45)))</f>
        <v>?</v>
      </c>
      <c r="P45" s="87" t="str">
        <f aca="false">IF(OR(P46="ER",P47="ER",P48="ER"),"ER",IF(OR(P46="?",P47="?",P48="?"),"?",IF(AND(P46="NA",P47="NA",P48="NA"),"NA",SUM(P46,P47,P48)/((P46&lt;&gt;"NA")*$H$46+(P47&lt;&gt;"NA")*$H$47+(P48&lt;&gt;"NA")*$H$48)*$H45)))</f>
        <v>?</v>
      </c>
      <c r="Q45" s="87" t="str">
        <f aca="false">IF(OR(Q46="ER",Q47="ER",Q48="ER"),"ER",IF(OR(Q46="?",Q47="?",Q48="?"),"?",IF(AND(Q46="NA",Q47="NA",Q48="NA"),"NA",SUM(Q46,Q47,Q48)/((Q46&lt;&gt;"NA")*$H$46+(Q47&lt;&gt;"NA")*$H$47+(Q48&lt;&gt;"NA")*$H$48)*$H45)))</f>
        <v>?</v>
      </c>
      <c r="R45" s="87" t="str">
        <f aca="false">IF(OR(R46="ER",R47="ER",R48="ER"),"ER",IF(OR(R46="?",R47="?",R48="?"),"?",IF(AND(R46="NA",R47="NA",R48="NA"),"NA",SUM(R46,R47,R48)/((R46&lt;&gt;"NA")*$H$46+(R47&lt;&gt;"NA")*$H$47+(R48&lt;&gt;"NA")*$H$48)*$H45)))</f>
        <v>?</v>
      </c>
      <c r="S45" s="87" t="str">
        <f aca="false">IF(OR(S46="ER",S47="ER",S48="ER"),"ER",IF(OR(S46="?",S47="?",S48="?"),"?",IF(AND(S46="NA",S47="NA",S48="NA"),"NA",SUM(S46,S47,S48)/((S46&lt;&gt;"NA")*$H$46+(S47&lt;&gt;"NA")*$H$47+(S48&lt;&gt;"NA")*$H$48)*$H45)))</f>
        <v>?</v>
      </c>
      <c r="T45" s="87" t="str">
        <f aca="false">IF(OR(T46="ER",T47="ER",T48="ER"),"ER",IF(OR(T46="?",T47="?",T48="?"),"?",IF(AND(T46="NA",T47="NA",T48="NA"),"NA",SUM(T46,T47,T48)/((T46&lt;&gt;"NA")*$H$46+(T47&lt;&gt;"NA")*$H$47+(T48&lt;&gt;"NA")*$H$48)*$H45)))</f>
        <v>?</v>
      </c>
      <c r="U45" s="87" t="str">
        <f aca="false">IF(OR(U46="ER",U47="ER",U48="ER"),"ER",IF(OR(U46="?",U47="?",U48="?"),"?",IF(AND(U46="NA",U47="NA",U48="NA"),"NA",SUM(U46,U47,U48)/((U46&lt;&gt;"NA")*$H$46+(U47&lt;&gt;"NA")*$H$47+(U48&lt;&gt;"NA")*$H$48)*$H45)))</f>
        <v>?</v>
      </c>
      <c r="V45" s="87" t="str">
        <f aca="false">IF(OR(V46="ER",V47="ER",V48="ER"),"ER",IF(OR(V46="?",V47="?",V48="?"),"?",IF(AND(V46="NA",V47="NA",V48="NA"),"NA",SUM(V46,V47,V48)/((V46&lt;&gt;"NA")*$H$46+(V47&lt;&gt;"NA")*$H$47+(V48&lt;&gt;"NA")*$H$48)*$H45)))</f>
        <v>?</v>
      </c>
      <c r="W45" s="87" t="str">
        <f aca="false">IF(OR(W46="ER",W47="ER",W48="ER"),"ER",IF(OR(W46="?",W47="?",W48="?"),"?",IF(AND(W46="NA",W47="NA",W48="NA"),"NA",SUM(W46,W47,W48)/((W46&lt;&gt;"NA")*$H$46+(W47&lt;&gt;"NA")*$H$47+(W48&lt;&gt;"NA")*$H$48)*$H45)))</f>
        <v>?</v>
      </c>
      <c r="X45" s="87" t="str">
        <f aca="false">IF(OR(X46="ER",X47="ER",X48="ER"),"ER",IF(OR(X46="?",X47="?",X48="?"),"?",IF(AND(X46="NA",X47="NA",X48="NA"),"NA",SUM(X46,X47,X48)/((X46&lt;&gt;"NA")*$H$46+(X47&lt;&gt;"NA")*$H$47+(X48&lt;&gt;"NA")*$H$48)*$H45)))</f>
        <v>?</v>
      </c>
      <c r="Y45" s="87" t="str">
        <f aca="false">IF(OR(Y46="ER",Y47="ER",Y48="ER"),"ER",IF(OR(Y46="?",Y47="?",Y48="?"),"?",IF(AND(Y46="NA",Y47="NA",Y48="NA"),"NA",SUM(Y46,Y47,Y48)/((Y46&lt;&gt;"NA")*$H$46+(Y47&lt;&gt;"NA")*$H$47+(Y48&lt;&gt;"NA")*$H$48)*$H45)))</f>
        <v>?</v>
      </c>
      <c r="Z45" s="87" t="str">
        <f aca="false">IF(OR(Z46="ER",Z47="ER",Z48="ER"),"ER",IF(OR(Z46="?",Z47="?",Z48="?"),"?",IF(AND(Z46="NA",Z47="NA",Z48="NA"),"NA",SUM(Z46,Z47,Z48)/((Z46&lt;&gt;"NA")*$H$46+(Z47&lt;&gt;"NA")*$H$47+(Z48&lt;&gt;"NA")*$H$48)*$H45)))</f>
        <v>?</v>
      </c>
      <c r="AA45" s="87" t="str">
        <f aca="false">IF(OR(AA46="ER",AA47="ER",AA48="ER"),"ER",IF(OR(AA46="?",AA47="?",AA48="?"),"?",IF(AND(AA46="NA",AA47="NA",AA48="NA"),"NA",SUM(AA46,AA47,AA48)/((AA46&lt;&gt;"NA")*$H$46+(AA47&lt;&gt;"NA")*$H$47+(AA48&lt;&gt;"NA")*$H$48)*$H45)))</f>
        <v>?</v>
      </c>
      <c r="AB45" s="87" t="str">
        <f aca="false">IF(OR(AB46="ER",AB47="ER",AB48="ER"),"ER",IF(OR(AB46="?",AB47="?",AB48="?"),"?",IF(AND(AB46="NA",AB47="NA",AB48="NA"),"NA",SUM(AB46,AB47,AB48)/((AB46&lt;&gt;"NA")*$H$46+(AB47&lt;&gt;"NA")*$H$47+(AB48&lt;&gt;"NA")*$H$48)*$H45)))</f>
        <v>?</v>
      </c>
      <c r="AC45" s="87" t="str">
        <f aca="false">IF(OR(AC46="ER",AC47="ER",AC48="ER"),"ER",IF(OR(AC46="?",AC47="?",AC48="?"),"?",IF(AND(AC46="NA",AC47="NA",AC48="NA"),"NA",SUM(AC46,AC47,AC48)/((AC46&lt;&gt;"NA")*$H$46+(AC47&lt;&gt;"NA")*$H$47+(AC48&lt;&gt;"NA")*$H$48)*$H45)))</f>
        <v>?</v>
      </c>
      <c r="AD45" s="87" t="str">
        <f aca="false">IF(OR(AD46="ER",AD47="ER",AD48="ER"),"ER",IF(OR(AD46="?",AD47="?",AD48="?"),"?",IF(AND(AD46="NA",AD47="NA",AD48="NA"),"NA",SUM(AD46,AD47,AD48)/((AD46&lt;&gt;"NA")*$H$46+(AD47&lt;&gt;"NA")*$H$47+(AD48&lt;&gt;"NA")*$H$48)*$H45)))</f>
        <v>?</v>
      </c>
      <c r="AE45" s="87" t="str">
        <f aca="false">IF(OR(AE46="ER",AE47="ER",AE48="ER"),"ER",IF(OR(AE46="?",AE47="?",AE48="?"),"?",IF(AND(AE46="NA",AE47="NA",AE48="NA"),"NA",SUM(AE46,AE47,AE48)/((AE46&lt;&gt;"NA")*$H$46+(AE47&lt;&gt;"NA")*$H$47+(AE48&lt;&gt;"NA")*$H$48)*$H45)))</f>
        <v>?</v>
      </c>
      <c r="AF45" s="87" t="str">
        <f aca="false">IF(OR(AF46="ER",AF47="ER",AF48="ER"),"ER",IF(OR(AF46="?",AF47="?",AF48="?"),"?",IF(AND(AF46="NA",AF47="NA",AF48="NA"),"NA",SUM(AF46,AF47,AF48)/((AF46&lt;&gt;"NA")*$H$46+(AF47&lt;&gt;"NA")*$H$47+(AF48&lt;&gt;"NA")*$H$48)*$H45)))</f>
        <v>?</v>
      </c>
      <c r="AG45" s="87" t="str">
        <f aca="false">IF(OR(AG46="ER",AG47="ER",AG48="ER"),"ER",IF(OR(AG46="?",AG47="?",AG48="?"),"?",IF(AND(AG46="NA",AG47="NA",AG48="NA"),"NA",SUM(AG46,AG47,AG48)/((AG46&lt;&gt;"NA")*$H$46+(AG47&lt;&gt;"NA")*$H$47+(AG48&lt;&gt;"NA")*$H$48)*$H45)))</f>
        <v>?</v>
      </c>
      <c r="AH45" s="87" t="str">
        <f aca="false">IF(OR(AH46="ER",AH47="ER",AH48="ER"),"ER",IF(OR(AH46="?",AH47="?",AH48="?"),"?",IF(AND(AH46="NA",AH47="NA",AH48="NA"),"NA",SUM(AH46,AH47,AH48)/((AH46&lt;&gt;"NA")*$H$46+(AH47&lt;&gt;"NA")*$H$47+(AH48&lt;&gt;"NA")*$H$48)*$H45)))</f>
        <v>?</v>
      </c>
      <c r="AI45" s="87" t="str">
        <f aca="false">IF(OR(AI46="ER",AI47="ER",AI48="ER"),"ER",IF(OR(AI46="?",AI47="?",AI48="?"),"?",IF(AND(AI46="NA",AI47="NA",AI48="NA"),"NA",SUM(AI46,AI47,AI48)/((AI46&lt;&gt;"NA")*$H$46+(AI47&lt;&gt;"NA")*$H$47+(AI48&lt;&gt;"NA")*$H$48)*$H45)))</f>
        <v>?</v>
      </c>
      <c r="AJ45" s="87" t="str">
        <f aca="false">IF(OR(AJ46="ER",AJ47="ER",AJ48="ER"),"ER",IF(OR(AJ46="?",AJ47="?",AJ48="?"),"?",IF(AND(AJ46="NA",AJ47="NA",AJ48="NA"),"NA",SUM(AJ46,AJ47,AJ48)/((AJ46&lt;&gt;"NA")*$H$46+(AJ47&lt;&gt;"NA")*$H$47+(AJ48&lt;&gt;"NA")*$H$48)*$H45)))</f>
        <v>?</v>
      </c>
      <c r="AK45" s="87" t="str">
        <f aca="false">IF(OR(AK46="ER",AK47="ER",AK48="ER"),"ER",IF(OR(AK46="?",AK47="?",AK48="?"),"?",IF(AND(AK46="NA",AK47="NA",AK48="NA"),"NA",SUM(AK46,AK47,AK48)/((AK46&lt;&gt;"NA")*$H$46+(AK47&lt;&gt;"NA")*$H$47+(AK48&lt;&gt;"NA")*$H$48)*$H45)))</f>
        <v>?</v>
      </c>
    </row>
    <row r="46" customFormat="false" ht="14.25" hidden="false" customHeight="true" outlineLevel="0" collapsed="false">
      <c r="A46" s="83" t="s">
        <v>301</v>
      </c>
      <c r="B46" s="84" t="str">
        <f aca="false">IF(ISBLANK($A46),"NO_CODE",VLOOKUP($A46,'UPD Questions_290926 '!$E$1:$N$300,MATCH(B$1,'UPD Questions_290926 '!$E$1:$N$1,0),0)&amp;"")</f>
        <v>Implementation</v>
      </c>
      <c r="C46" s="84" t="str">
        <f aca="false">IF(ISBLANK($A46),"NO_CODE",VLOOKUP($A46,'UPD Questions_290926 '!$E$1:$N$300,MATCH(C$1,'UPD Questions_290926 '!$E$1:$N$1,0),0)&amp;"")</f>
        <v>Municipal/City Plan status, hierarchy and coordination</v>
      </c>
      <c r="D46" s="84" t="str">
        <f aca="false">IF(ISBLANK($A46),"NO_CODE",VLOOKUP($A46,'UPD Questions_290926 '!$E$1:$N$300,MATCH(D$1,'UPD Questions_290926 '!$E$1:$N$1,0),0)&amp;"")</f>
        <v>Objectives of the Municipal/City Plan</v>
      </c>
      <c r="E46" s="84" t="str">
        <f aca="false">IF(ISBLANK($A46),"NO_CODE",VLOOKUP($A46,'UPD Questions_290926 '!$E$1:$N$300,MATCH(E$1,'UPD Questions_290926 '!$E$1:$N$1,0),0)&amp;"")</f>
        <v>SQ</v>
      </c>
      <c r="F46" s="84" t="str">
        <f aca="false">IF(ISBLANK($A46),"NO_CODE",VLOOKUP($A46,'UPD Questions_290926 '!$E$1:$N$300,MATCH(F$1,'UPD Questions_290926 '!$E$1:$N$1,0),0)&amp;"")</f>
        <v>a) Education </v>
      </c>
      <c r="G46" s="84" t="str">
        <f aca="false">IF(ISBLANK($A46),"NO_CODE",VLOOKUP($A46,'UPD Questions_290926 '!$E$1:$N$300,MATCH(G$1,'UPD Questions_290926 '!$E$1:$N$1,0),0)&amp;"")</f>
        <v>Implementation</v>
      </c>
      <c r="H46" s="86" t="n">
        <f aca="false">IF(ISBLANK($A46),"NO_CODE",VLOOKUP($A46,'UPD Questions_290926 '!$E$1:$N$300,MATCH(H$1,'UPD Questions_290926 '!$E$1:$N$1,0),0))</f>
        <v>3.33</v>
      </c>
      <c r="I46" s="87" t="str">
        <f aca="true">IF($H46=0,"NA",IF($A46=INDIRECT("'"&amp;$A46&amp;"'!$B$1"),IF(VLOOKUP(I$1,INDIRECT("'"&amp;$A46&amp;"'!$A$12:$Z$41"),MATCH("Points (Auto-generate)",INDIRECT("'"&amp;$A46&amp;"'!$A$12:$Z$12"),0),0)="","?",VLOOKUP(I$1,INDIRECT("'"&amp;$A46&amp;"'!$A$12:$Z$41"),MATCH("Points (Auto-generate)",INDIRECT("'"&amp;$A46&amp;"'!$A$12:$Z$12"),0),0)),"ER"))</f>
        <v>?</v>
      </c>
      <c r="J46" s="87" t="n">
        <f aca="true">IF($H46=0,"NA",IF($A46=INDIRECT("'"&amp;$A46&amp;"'!$B$1"),IF(VLOOKUP(J$1,INDIRECT("'"&amp;$A46&amp;"'!$A$12:$Z$41"),MATCH("Points (Auto-generate)",INDIRECT("'"&amp;$A46&amp;"'!$A$12:$Z$12"),0),0)="","?",VLOOKUP(J$1,INDIRECT("'"&amp;$A46&amp;"'!$A$12:$Z$41"),MATCH("Points (Auto-generate)",INDIRECT("'"&amp;$A46&amp;"'!$A$12:$Z$12"),0),0)),"ER"))</f>
        <v>0</v>
      </c>
      <c r="K46" s="87" t="str">
        <f aca="true">IF($H46=0,"NA",IF($A46=INDIRECT("'"&amp;$A46&amp;"'!$B$1"),IF(VLOOKUP(K$1,INDIRECT("'"&amp;$A46&amp;"'!$A$12:$Z$41"),MATCH("Points (Auto-generate)",INDIRECT("'"&amp;$A46&amp;"'!$A$12:$Z$12"),0),0)="","?",VLOOKUP(K$1,INDIRECT("'"&amp;$A46&amp;"'!$A$12:$Z$41"),MATCH("Points (Auto-generate)",INDIRECT("'"&amp;$A46&amp;"'!$A$12:$Z$12"),0),0)),"ER"))</f>
        <v>?</v>
      </c>
      <c r="L46" s="87" t="str">
        <f aca="true">IF($H46=0,"NA",IF($A46=INDIRECT("'"&amp;$A46&amp;"'!$B$1"),IF(VLOOKUP(L$1,INDIRECT("'"&amp;$A46&amp;"'!$A$12:$Z$41"),MATCH("Points (Auto-generate)",INDIRECT("'"&amp;$A46&amp;"'!$A$12:$Z$12"),0),0)="","?",VLOOKUP(L$1,INDIRECT("'"&amp;$A46&amp;"'!$A$12:$Z$41"),MATCH("Points (Auto-generate)",INDIRECT("'"&amp;$A46&amp;"'!$A$12:$Z$12"),0),0)),"ER"))</f>
        <v>?</v>
      </c>
      <c r="M46" s="87" t="str">
        <f aca="true">IF($H46=0,"NA",IF($A46=INDIRECT("'"&amp;$A46&amp;"'!$B$1"),IF(VLOOKUP(M$1,INDIRECT("'"&amp;$A46&amp;"'!$A$12:$Z$41"),MATCH("Points (Auto-generate)",INDIRECT("'"&amp;$A46&amp;"'!$A$12:$Z$12"),0),0)="","?",VLOOKUP(M$1,INDIRECT("'"&amp;$A46&amp;"'!$A$12:$Z$41"),MATCH("Points (Auto-generate)",INDIRECT("'"&amp;$A46&amp;"'!$A$12:$Z$12"),0),0)),"ER"))</f>
        <v>?</v>
      </c>
      <c r="N46" s="87" t="str">
        <f aca="true">IF($H46=0,"NA",IF($A46=INDIRECT("'"&amp;$A46&amp;"'!$B$1"),IF(VLOOKUP(N$1,INDIRECT("'"&amp;$A46&amp;"'!$A$12:$Z$41"),MATCH("Points (Auto-generate)",INDIRECT("'"&amp;$A46&amp;"'!$A$12:$Z$12"),0),0)="","?",VLOOKUP(N$1,INDIRECT("'"&amp;$A46&amp;"'!$A$12:$Z$41"),MATCH("Points (Auto-generate)",INDIRECT("'"&amp;$A46&amp;"'!$A$12:$Z$12"),0),0)),"ER"))</f>
        <v>?</v>
      </c>
      <c r="O46" s="87" t="str">
        <f aca="true">IF($H46=0,"NA",IF($A46=INDIRECT("'"&amp;$A46&amp;"'!$B$1"),IF(VLOOKUP(O$1,INDIRECT("'"&amp;$A46&amp;"'!$A$12:$Z$41"),MATCH("Points (Auto-generate)",INDIRECT("'"&amp;$A46&amp;"'!$A$12:$Z$12"),0),0)="","?",VLOOKUP(O$1,INDIRECT("'"&amp;$A46&amp;"'!$A$12:$Z$41"),MATCH("Points (Auto-generate)",INDIRECT("'"&amp;$A46&amp;"'!$A$12:$Z$12"),0),0)),"ER"))</f>
        <v>?</v>
      </c>
      <c r="P46" s="87" t="str">
        <f aca="true">IF($H46=0,"NA",IF($A46=INDIRECT("'"&amp;$A46&amp;"'!$B$1"),IF(VLOOKUP(P$1,INDIRECT("'"&amp;$A46&amp;"'!$A$12:$Z$41"),MATCH("Points (Auto-generate)",INDIRECT("'"&amp;$A46&amp;"'!$A$12:$Z$12"),0),0)="","?",VLOOKUP(P$1,INDIRECT("'"&amp;$A46&amp;"'!$A$12:$Z$41"),MATCH("Points (Auto-generate)",INDIRECT("'"&amp;$A46&amp;"'!$A$12:$Z$12"),0),0)),"ER"))</f>
        <v>?</v>
      </c>
      <c r="Q46" s="87" t="str">
        <f aca="true">IF($H46=0,"NA",IF($A46=INDIRECT("'"&amp;$A46&amp;"'!$B$1"),IF(VLOOKUP(Q$1,INDIRECT("'"&amp;$A46&amp;"'!$A$12:$Z$41"),MATCH("Points (Auto-generate)",INDIRECT("'"&amp;$A46&amp;"'!$A$12:$Z$12"),0),0)="","?",VLOOKUP(Q$1,INDIRECT("'"&amp;$A46&amp;"'!$A$12:$Z$41"),MATCH("Points (Auto-generate)",INDIRECT("'"&amp;$A46&amp;"'!$A$12:$Z$12"),0),0)),"ER"))</f>
        <v>?</v>
      </c>
      <c r="R46" s="87" t="str">
        <f aca="true">IF($H46=0,"NA",IF($A46=INDIRECT("'"&amp;$A46&amp;"'!$B$1"),IF(VLOOKUP(R$1,INDIRECT("'"&amp;$A46&amp;"'!$A$12:$Z$41"),MATCH("Points (Auto-generate)",INDIRECT("'"&amp;$A46&amp;"'!$A$12:$Z$12"),0),0)="","?",VLOOKUP(R$1,INDIRECT("'"&amp;$A46&amp;"'!$A$12:$Z$41"),MATCH("Points (Auto-generate)",INDIRECT("'"&amp;$A46&amp;"'!$A$12:$Z$12"),0),0)),"ER"))</f>
        <v>?</v>
      </c>
      <c r="S46" s="87" t="str">
        <f aca="true">IF($H46=0,"NA",IF($A46=INDIRECT("'"&amp;$A46&amp;"'!$B$1"),IF(VLOOKUP(S$1,INDIRECT("'"&amp;$A46&amp;"'!$A$12:$Z$41"),MATCH("Points (Auto-generate)",INDIRECT("'"&amp;$A46&amp;"'!$A$12:$Z$12"),0),0)="","?",VLOOKUP(S$1,INDIRECT("'"&amp;$A46&amp;"'!$A$12:$Z$41"),MATCH("Points (Auto-generate)",INDIRECT("'"&amp;$A46&amp;"'!$A$12:$Z$12"),0),0)),"ER"))</f>
        <v>?</v>
      </c>
      <c r="T46" s="87" t="str">
        <f aca="true">IF($H46=0,"NA",IF($A46=INDIRECT("'"&amp;$A46&amp;"'!$B$1"),IF(VLOOKUP(T$1,INDIRECT("'"&amp;$A46&amp;"'!$A$12:$Z$41"),MATCH("Points (Auto-generate)",INDIRECT("'"&amp;$A46&amp;"'!$A$12:$Z$12"),0),0)="","?",VLOOKUP(T$1,INDIRECT("'"&amp;$A46&amp;"'!$A$12:$Z$41"),MATCH("Points (Auto-generate)",INDIRECT("'"&amp;$A46&amp;"'!$A$12:$Z$12"),0),0)),"ER"))</f>
        <v>?</v>
      </c>
      <c r="U46" s="87" t="str">
        <f aca="true">IF($H46=0,"NA",IF($A46=INDIRECT("'"&amp;$A46&amp;"'!$B$1"),IF(VLOOKUP(U$1,INDIRECT("'"&amp;$A46&amp;"'!$A$12:$Z$41"),MATCH("Points (Auto-generate)",INDIRECT("'"&amp;$A46&amp;"'!$A$12:$Z$12"),0),0)="","?",VLOOKUP(U$1,INDIRECT("'"&amp;$A46&amp;"'!$A$12:$Z$41"),MATCH("Points (Auto-generate)",INDIRECT("'"&amp;$A46&amp;"'!$A$12:$Z$12"),0),0)),"ER"))</f>
        <v>?</v>
      </c>
      <c r="V46" s="87" t="str">
        <f aca="true">IF($H46=0,"NA",IF($A46=INDIRECT("'"&amp;$A46&amp;"'!$B$1"),IF(VLOOKUP(V$1,INDIRECT("'"&amp;$A46&amp;"'!$A$12:$Z$41"),MATCH("Points (Auto-generate)",INDIRECT("'"&amp;$A46&amp;"'!$A$12:$Z$12"),0),0)="","?",VLOOKUP(V$1,INDIRECT("'"&amp;$A46&amp;"'!$A$12:$Z$41"),MATCH("Points (Auto-generate)",INDIRECT("'"&amp;$A46&amp;"'!$A$12:$Z$12"),0),0)),"ER"))</f>
        <v>?</v>
      </c>
      <c r="W46" s="87" t="str">
        <f aca="true">IF($H46=0,"NA",IF($A46=INDIRECT("'"&amp;$A46&amp;"'!$B$1"),IF(VLOOKUP(W$1,INDIRECT("'"&amp;$A46&amp;"'!$A$12:$Z$41"),MATCH("Points (Auto-generate)",INDIRECT("'"&amp;$A46&amp;"'!$A$12:$Z$12"),0),0)="","?",VLOOKUP(W$1,INDIRECT("'"&amp;$A46&amp;"'!$A$12:$Z$41"),MATCH("Points (Auto-generate)",INDIRECT("'"&amp;$A46&amp;"'!$A$12:$Z$12"),0),0)),"ER"))</f>
        <v>?</v>
      </c>
      <c r="X46" s="87" t="str">
        <f aca="true">IF($H46=0,"NA",IF($A46=INDIRECT("'"&amp;$A46&amp;"'!$B$1"),IF(VLOOKUP(X$1,INDIRECT("'"&amp;$A46&amp;"'!$A$12:$Z$41"),MATCH("Points (Auto-generate)",INDIRECT("'"&amp;$A46&amp;"'!$A$12:$Z$12"),0),0)="","?",VLOOKUP(X$1,INDIRECT("'"&amp;$A46&amp;"'!$A$12:$Z$41"),MATCH("Points (Auto-generate)",INDIRECT("'"&amp;$A46&amp;"'!$A$12:$Z$12"),0),0)),"ER"))</f>
        <v>?</v>
      </c>
      <c r="Y46" s="87" t="str">
        <f aca="true">IF($H46=0,"NA",IF($A46=INDIRECT("'"&amp;$A46&amp;"'!$B$1"),IF(VLOOKUP(Y$1,INDIRECT("'"&amp;$A46&amp;"'!$A$12:$Z$41"),MATCH("Points (Auto-generate)",INDIRECT("'"&amp;$A46&amp;"'!$A$12:$Z$12"),0),0)="","?",VLOOKUP(Y$1,INDIRECT("'"&amp;$A46&amp;"'!$A$12:$Z$41"),MATCH("Points (Auto-generate)",INDIRECT("'"&amp;$A46&amp;"'!$A$12:$Z$12"),0),0)),"ER"))</f>
        <v>?</v>
      </c>
      <c r="Z46" s="87" t="str">
        <f aca="true">IF($H46=0,"NA",IF($A46=INDIRECT("'"&amp;$A46&amp;"'!$B$1"),IF(VLOOKUP(Z$1,INDIRECT("'"&amp;$A46&amp;"'!$A$12:$Z$41"),MATCH("Points (Auto-generate)",INDIRECT("'"&amp;$A46&amp;"'!$A$12:$Z$12"),0),0)="","?",VLOOKUP(Z$1,INDIRECT("'"&amp;$A46&amp;"'!$A$12:$Z$41"),MATCH("Points (Auto-generate)",INDIRECT("'"&amp;$A46&amp;"'!$A$12:$Z$12"),0),0)),"ER"))</f>
        <v>?</v>
      </c>
      <c r="AA46" s="87" t="str">
        <f aca="true">IF($H46=0,"NA",IF($A46=INDIRECT("'"&amp;$A46&amp;"'!$B$1"),IF(VLOOKUP(AA$1,INDIRECT("'"&amp;$A46&amp;"'!$A$12:$Z$41"),MATCH("Points (Auto-generate)",INDIRECT("'"&amp;$A46&amp;"'!$A$12:$Z$12"),0),0)="","?",VLOOKUP(AA$1,INDIRECT("'"&amp;$A46&amp;"'!$A$12:$Z$41"),MATCH("Points (Auto-generate)",INDIRECT("'"&amp;$A46&amp;"'!$A$12:$Z$12"),0),0)),"ER"))</f>
        <v>?</v>
      </c>
      <c r="AB46" s="87" t="str">
        <f aca="true">IF($H46=0,"NA",IF($A46=INDIRECT("'"&amp;$A46&amp;"'!$B$1"),IF(VLOOKUP(AB$1,INDIRECT("'"&amp;$A46&amp;"'!$A$12:$Z$41"),MATCH("Points (Auto-generate)",INDIRECT("'"&amp;$A46&amp;"'!$A$12:$Z$12"),0),0)="","?",VLOOKUP(AB$1,INDIRECT("'"&amp;$A46&amp;"'!$A$12:$Z$41"),MATCH("Points (Auto-generate)",INDIRECT("'"&amp;$A46&amp;"'!$A$12:$Z$12"),0),0)),"ER"))</f>
        <v>?</v>
      </c>
      <c r="AC46" s="87" t="str">
        <f aca="true">IF($H46=0,"NA",IF($A46=INDIRECT("'"&amp;$A46&amp;"'!$B$1"),IF(VLOOKUP(AC$1,INDIRECT("'"&amp;$A46&amp;"'!$A$12:$Z$41"),MATCH("Points (Auto-generate)",INDIRECT("'"&amp;$A46&amp;"'!$A$12:$Z$12"),0),0)="","?",VLOOKUP(AC$1,INDIRECT("'"&amp;$A46&amp;"'!$A$12:$Z$41"),MATCH("Points (Auto-generate)",INDIRECT("'"&amp;$A46&amp;"'!$A$12:$Z$12"),0),0)),"ER"))</f>
        <v>?</v>
      </c>
      <c r="AD46" s="87" t="str">
        <f aca="true">IF($H46=0,"NA",IF($A46=INDIRECT("'"&amp;$A46&amp;"'!$B$1"),IF(VLOOKUP(AD$1,INDIRECT("'"&amp;$A46&amp;"'!$A$12:$Z$41"),MATCH("Points (Auto-generate)",INDIRECT("'"&amp;$A46&amp;"'!$A$12:$Z$12"),0),0)="","?",VLOOKUP(AD$1,INDIRECT("'"&amp;$A46&amp;"'!$A$12:$Z$41"),MATCH("Points (Auto-generate)",INDIRECT("'"&amp;$A46&amp;"'!$A$12:$Z$12"),0),0)),"ER"))</f>
        <v>?</v>
      </c>
      <c r="AE46" s="87" t="str">
        <f aca="true">IF($H46=0,"NA",IF($A46=INDIRECT("'"&amp;$A46&amp;"'!$B$1"),IF(VLOOKUP(AE$1,INDIRECT("'"&amp;$A46&amp;"'!$A$12:$Z$41"),MATCH("Points (Auto-generate)",INDIRECT("'"&amp;$A46&amp;"'!$A$12:$Z$12"),0),0)="","?",VLOOKUP(AE$1,INDIRECT("'"&amp;$A46&amp;"'!$A$12:$Z$41"),MATCH("Points (Auto-generate)",INDIRECT("'"&amp;$A46&amp;"'!$A$12:$Z$12"),0),0)),"ER"))</f>
        <v>?</v>
      </c>
      <c r="AF46" s="87" t="str">
        <f aca="true">IF($H46=0,"NA",IF($A46=INDIRECT("'"&amp;$A46&amp;"'!$B$1"),IF(VLOOKUP(AF$1,INDIRECT("'"&amp;$A46&amp;"'!$A$12:$Z$41"),MATCH("Points (Auto-generate)",INDIRECT("'"&amp;$A46&amp;"'!$A$12:$Z$12"),0),0)="","?",VLOOKUP(AF$1,INDIRECT("'"&amp;$A46&amp;"'!$A$12:$Z$41"),MATCH("Points (Auto-generate)",INDIRECT("'"&amp;$A46&amp;"'!$A$12:$Z$12"),0),0)),"ER"))</f>
        <v>?</v>
      </c>
      <c r="AG46" s="87" t="str">
        <f aca="true">IF($H46=0,"NA",IF($A46=INDIRECT("'"&amp;$A46&amp;"'!$B$1"),IF(VLOOKUP(AG$1,INDIRECT("'"&amp;$A46&amp;"'!$A$12:$Z$41"),MATCH("Points (Auto-generate)",INDIRECT("'"&amp;$A46&amp;"'!$A$12:$Z$12"),0),0)="","?",VLOOKUP(AG$1,INDIRECT("'"&amp;$A46&amp;"'!$A$12:$Z$41"),MATCH("Points (Auto-generate)",INDIRECT("'"&amp;$A46&amp;"'!$A$12:$Z$12"),0),0)),"ER"))</f>
        <v>?</v>
      </c>
      <c r="AH46" s="87" t="str">
        <f aca="true">IF($H46=0,"NA",IF($A46=INDIRECT("'"&amp;$A46&amp;"'!$B$1"),IF(VLOOKUP(AH$1,INDIRECT("'"&amp;$A46&amp;"'!$A$12:$Z$41"),MATCH("Points (Auto-generate)",INDIRECT("'"&amp;$A46&amp;"'!$A$12:$Z$12"),0),0)="","?",VLOOKUP(AH$1,INDIRECT("'"&amp;$A46&amp;"'!$A$12:$Z$41"),MATCH("Points (Auto-generate)",INDIRECT("'"&amp;$A46&amp;"'!$A$12:$Z$12"),0),0)),"ER"))</f>
        <v>?</v>
      </c>
      <c r="AI46" s="87" t="str">
        <f aca="true">IF($H46=0,"NA",IF($A46=INDIRECT("'"&amp;$A46&amp;"'!$B$1"),IF(VLOOKUP(AI$1,INDIRECT("'"&amp;$A46&amp;"'!$A$12:$Z$41"),MATCH("Points (Auto-generate)",INDIRECT("'"&amp;$A46&amp;"'!$A$12:$Z$12"),0),0)="","?",VLOOKUP(AI$1,INDIRECT("'"&amp;$A46&amp;"'!$A$12:$Z$41"),MATCH("Points (Auto-generate)",INDIRECT("'"&amp;$A46&amp;"'!$A$12:$Z$12"),0),0)),"ER"))</f>
        <v>?</v>
      </c>
      <c r="AJ46" s="87" t="str">
        <f aca="true">IF($H46=0,"NA",IF($A46=INDIRECT("'"&amp;$A46&amp;"'!$B$1"),IF(VLOOKUP(AJ$1,INDIRECT("'"&amp;$A46&amp;"'!$A$12:$Z$41"),MATCH("Points (Auto-generate)",INDIRECT("'"&amp;$A46&amp;"'!$A$12:$Z$12"),0),0)="","?",VLOOKUP(AJ$1,INDIRECT("'"&amp;$A46&amp;"'!$A$12:$Z$41"),MATCH("Points (Auto-generate)",INDIRECT("'"&amp;$A46&amp;"'!$A$12:$Z$12"),0),0)),"ER"))</f>
        <v>?</v>
      </c>
      <c r="AK46" s="87" t="str">
        <f aca="true">IF($H46=0,"NA",IF($A46=INDIRECT("'"&amp;$A46&amp;"'!$B$1"),IF(VLOOKUP(AK$1,INDIRECT("'"&amp;$A46&amp;"'!$A$12:$Z$41"),MATCH("Points (Auto-generate)",INDIRECT("'"&amp;$A46&amp;"'!$A$12:$Z$12"),0),0)="","?",VLOOKUP(AK$1,INDIRECT("'"&amp;$A46&amp;"'!$A$12:$Z$41"),MATCH("Points (Auto-generate)",INDIRECT("'"&amp;$A46&amp;"'!$A$12:$Z$12"),0),0)),"ER"))</f>
        <v>?</v>
      </c>
    </row>
    <row r="47" customFormat="false" ht="14.25" hidden="false" customHeight="true" outlineLevel="0" collapsed="false">
      <c r="A47" s="83" t="s">
        <v>309</v>
      </c>
      <c r="B47" s="84" t="str">
        <f aca="false">IF(ISBLANK($A47),"NO_CODE",VLOOKUP($A47,'UPD Questions_290926 '!$E$1:$N$300,MATCH(B$1,'UPD Questions_290926 '!$E$1:$N$1,0),0)&amp;"")</f>
        <v>Implementation</v>
      </c>
      <c r="C47" s="84" t="str">
        <f aca="false">IF(ISBLANK($A47),"NO_CODE",VLOOKUP($A47,'UPD Questions_290926 '!$E$1:$N$300,MATCH(C$1,'UPD Questions_290926 '!$E$1:$N$1,0),0)&amp;"")</f>
        <v>Municipal/City Plan status, hierarchy and coordination</v>
      </c>
      <c r="D47" s="84" t="str">
        <f aca="false">IF(ISBLANK($A47),"NO_CODE",VLOOKUP($A47,'UPD Questions_290926 '!$E$1:$N$300,MATCH(D$1,'UPD Questions_290926 '!$E$1:$N$1,0),0)&amp;"")</f>
        <v>Objectives of the Municipal/City Plan</v>
      </c>
      <c r="E47" s="84" t="str">
        <f aca="false">IF(ISBLANK($A47),"NO_CODE",VLOOKUP($A47,'UPD Questions_290926 '!$E$1:$N$300,MATCH(E$1,'UPD Questions_290926 '!$E$1:$N$1,0),0)&amp;"")</f>
        <v>SQ</v>
      </c>
      <c r="F47" s="84" t="str">
        <f aca="false">IF(ISBLANK($A47),"NO_CODE",VLOOKUP($A47,'UPD Questions_290926 '!$E$1:$N$300,MATCH(F$1,'UPD Questions_290926 '!$E$1:$N$1,0),0)&amp;"")</f>
        <v>b) Healthcare</v>
      </c>
      <c r="G47" s="84" t="str">
        <f aca="false">IF(ISBLANK($A47),"NO_CODE",VLOOKUP($A47,'UPD Questions_290926 '!$E$1:$N$300,MATCH(G$1,'UPD Questions_290926 '!$E$1:$N$1,0),0)&amp;"")</f>
        <v>Implementation</v>
      </c>
      <c r="H47" s="86" t="n">
        <f aca="false">IF(ISBLANK($A47),"NO_CODE",VLOOKUP($A47,'UPD Questions_290926 '!$E$1:$N$300,MATCH(H$1,'UPD Questions_290926 '!$E$1:$N$1,0),0))</f>
        <v>3.33</v>
      </c>
      <c r="I47" s="87" t="str">
        <f aca="true">IF($H47=0,"NA",IF($A47=INDIRECT("'"&amp;$A47&amp;"'!$B$1"),IF(VLOOKUP(I$1,INDIRECT("'"&amp;$A47&amp;"'!$A$12:$Z$41"),MATCH("Points (Auto-generate)",INDIRECT("'"&amp;$A47&amp;"'!$A$12:$Z$12"),0),0)="","?",VLOOKUP(I$1,INDIRECT("'"&amp;$A47&amp;"'!$A$12:$Z$41"),MATCH("Points (Auto-generate)",INDIRECT("'"&amp;$A47&amp;"'!$A$12:$Z$12"),0),0)),"ER"))</f>
        <v>?</v>
      </c>
      <c r="J47" s="87" t="n">
        <f aca="true">IF($H47=0,"NA",IF($A47=INDIRECT("'"&amp;$A47&amp;"'!$B$1"),IF(VLOOKUP(J$1,INDIRECT("'"&amp;$A47&amp;"'!$A$12:$Z$41"),MATCH("Points (Auto-generate)",INDIRECT("'"&amp;$A47&amp;"'!$A$12:$Z$12"),0),0)="","?",VLOOKUP(J$1,INDIRECT("'"&amp;$A47&amp;"'!$A$12:$Z$41"),MATCH("Points (Auto-generate)",INDIRECT("'"&amp;$A47&amp;"'!$A$12:$Z$12"),0),0)),"ER"))</f>
        <v>0</v>
      </c>
      <c r="K47" s="87" t="str">
        <f aca="true">IF($H47=0,"NA",IF($A47=INDIRECT("'"&amp;$A47&amp;"'!$B$1"),IF(VLOOKUP(K$1,INDIRECT("'"&amp;$A47&amp;"'!$A$12:$Z$41"),MATCH("Points (Auto-generate)",INDIRECT("'"&amp;$A47&amp;"'!$A$12:$Z$12"),0),0)="","?",VLOOKUP(K$1,INDIRECT("'"&amp;$A47&amp;"'!$A$12:$Z$41"),MATCH("Points (Auto-generate)",INDIRECT("'"&amp;$A47&amp;"'!$A$12:$Z$12"),0),0)),"ER"))</f>
        <v>?</v>
      </c>
      <c r="L47" s="87" t="str">
        <f aca="true">IF($H47=0,"NA",IF($A47=INDIRECT("'"&amp;$A47&amp;"'!$B$1"),IF(VLOOKUP(L$1,INDIRECT("'"&amp;$A47&amp;"'!$A$12:$Z$41"),MATCH("Points (Auto-generate)",INDIRECT("'"&amp;$A47&amp;"'!$A$12:$Z$12"),0),0)="","?",VLOOKUP(L$1,INDIRECT("'"&amp;$A47&amp;"'!$A$12:$Z$41"),MATCH("Points (Auto-generate)",INDIRECT("'"&amp;$A47&amp;"'!$A$12:$Z$12"),0),0)),"ER"))</f>
        <v>?</v>
      </c>
      <c r="M47" s="87" t="str">
        <f aca="true">IF($H47=0,"NA",IF($A47=INDIRECT("'"&amp;$A47&amp;"'!$B$1"),IF(VLOOKUP(M$1,INDIRECT("'"&amp;$A47&amp;"'!$A$12:$Z$41"),MATCH("Points (Auto-generate)",INDIRECT("'"&amp;$A47&amp;"'!$A$12:$Z$12"),0),0)="","?",VLOOKUP(M$1,INDIRECT("'"&amp;$A47&amp;"'!$A$12:$Z$41"),MATCH("Points (Auto-generate)",INDIRECT("'"&amp;$A47&amp;"'!$A$12:$Z$12"),0),0)),"ER"))</f>
        <v>?</v>
      </c>
      <c r="N47" s="87" t="str">
        <f aca="true">IF($H47=0,"NA",IF($A47=INDIRECT("'"&amp;$A47&amp;"'!$B$1"),IF(VLOOKUP(N$1,INDIRECT("'"&amp;$A47&amp;"'!$A$12:$Z$41"),MATCH("Points (Auto-generate)",INDIRECT("'"&amp;$A47&amp;"'!$A$12:$Z$12"),0),0)="","?",VLOOKUP(N$1,INDIRECT("'"&amp;$A47&amp;"'!$A$12:$Z$41"),MATCH("Points (Auto-generate)",INDIRECT("'"&amp;$A47&amp;"'!$A$12:$Z$12"),0),0)),"ER"))</f>
        <v>?</v>
      </c>
      <c r="O47" s="87" t="str">
        <f aca="true">IF($H47=0,"NA",IF($A47=INDIRECT("'"&amp;$A47&amp;"'!$B$1"),IF(VLOOKUP(O$1,INDIRECT("'"&amp;$A47&amp;"'!$A$12:$Z$41"),MATCH("Points (Auto-generate)",INDIRECT("'"&amp;$A47&amp;"'!$A$12:$Z$12"),0),0)="","?",VLOOKUP(O$1,INDIRECT("'"&amp;$A47&amp;"'!$A$12:$Z$41"),MATCH("Points (Auto-generate)",INDIRECT("'"&amp;$A47&amp;"'!$A$12:$Z$12"),0),0)),"ER"))</f>
        <v>?</v>
      </c>
      <c r="P47" s="87" t="str">
        <f aca="true">IF($H47=0,"NA",IF($A47=INDIRECT("'"&amp;$A47&amp;"'!$B$1"),IF(VLOOKUP(P$1,INDIRECT("'"&amp;$A47&amp;"'!$A$12:$Z$41"),MATCH("Points (Auto-generate)",INDIRECT("'"&amp;$A47&amp;"'!$A$12:$Z$12"),0),0)="","?",VLOOKUP(P$1,INDIRECT("'"&amp;$A47&amp;"'!$A$12:$Z$41"),MATCH("Points (Auto-generate)",INDIRECT("'"&amp;$A47&amp;"'!$A$12:$Z$12"),0),0)),"ER"))</f>
        <v>?</v>
      </c>
      <c r="Q47" s="87" t="str">
        <f aca="true">IF($H47=0,"NA",IF($A47=INDIRECT("'"&amp;$A47&amp;"'!$B$1"),IF(VLOOKUP(Q$1,INDIRECT("'"&amp;$A47&amp;"'!$A$12:$Z$41"),MATCH("Points (Auto-generate)",INDIRECT("'"&amp;$A47&amp;"'!$A$12:$Z$12"),0),0)="","?",VLOOKUP(Q$1,INDIRECT("'"&amp;$A47&amp;"'!$A$12:$Z$41"),MATCH("Points (Auto-generate)",INDIRECT("'"&amp;$A47&amp;"'!$A$12:$Z$12"),0),0)),"ER"))</f>
        <v>?</v>
      </c>
      <c r="R47" s="87" t="str">
        <f aca="true">IF($H47=0,"NA",IF($A47=INDIRECT("'"&amp;$A47&amp;"'!$B$1"),IF(VLOOKUP(R$1,INDIRECT("'"&amp;$A47&amp;"'!$A$12:$Z$41"),MATCH("Points (Auto-generate)",INDIRECT("'"&amp;$A47&amp;"'!$A$12:$Z$12"),0),0)="","?",VLOOKUP(R$1,INDIRECT("'"&amp;$A47&amp;"'!$A$12:$Z$41"),MATCH("Points (Auto-generate)",INDIRECT("'"&amp;$A47&amp;"'!$A$12:$Z$12"),0),0)),"ER"))</f>
        <v>?</v>
      </c>
      <c r="S47" s="87" t="str">
        <f aca="true">IF($H47=0,"NA",IF($A47=INDIRECT("'"&amp;$A47&amp;"'!$B$1"),IF(VLOOKUP(S$1,INDIRECT("'"&amp;$A47&amp;"'!$A$12:$Z$41"),MATCH("Points (Auto-generate)",INDIRECT("'"&amp;$A47&amp;"'!$A$12:$Z$12"),0),0)="","?",VLOOKUP(S$1,INDIRECT("'"&amp;$A47&amp;"'!$A$12:$Z$41"),MATCH("Points (Auto-generate)",INDIRECT("'"&amp;$A47&amp;"'!$A$12:$Z$12"),0),0)),"ER"))</f>
        <v>?</v>
      </c>
      <c r="T47" s="87" t="str">
        <f aca="true">IF($H47=0,"NA",IF($A47=INDIRECT("'"&amp;$A47&amp;"'!$B$1"),IF(VLOOKUP(T$1,INDIRECT("'"&amp;$A47&amp;"'!$A$12:$Z$41"),MATCH("Points (Auto-generate)",INDIRECT("'"&amp;$A47&amp;"'!$A$12:$Z$12"),0),0)="","?",VLOOKUP(T$1,INDIRECT("'"&amp;$A47&amp;"'!$A$12:$Z$41"),MATCH("Points (Auto-generate)",INDIRECT("'"&amp;$A47&amp;"'!$A$12:$Z$12"),0),0)),"ER"))</f>
        <v>?</v>
      </c>
      <c r="U47" s="87" t="str">
        <f aca="true">IF($H47=0,"NA",IF($A47=INDIRECT("'"&amp;$A47&amp;"'!$B$1"),IF(VLOOKUP(U$1,INDIRECT("'"&amp;$A47&amp;"'!$A$12:$Z$41"),MATCH("Points (Auto-generate)",INDIRECT("'"&amp;$A47&amp;"'!$A$12:$Z$12"),0),0)="","?",VLOOKUP(U$1,INDIRECT("'"&amp;$A47&amp;"'!$A$12:$Z$41"),MATCH("Points (Auto-generate)",INDIRECT("'"&amp;$A47&amp;"'!$A$12:$Z$12"),0),0)),"ER"))</f>
        <v>?</v>
      </c>
      <c r="V47" s="87" t="str">
        <f aca="true">IF($H47=0,"NA",IF($A47=INDIRECT("'"&amp;$A47&amp;"'!$B$1"),IF(VLOOKUP(V$1,INDIRECT("'"&amp;$A47&amp;"'!$A$12:$Z$41"),MATCH("Points (Auto-generate)",INDIRECT("'"&amp;$A47&amp;"'!$A$12:$Z$12"),0),0)="","?",VLOOKUP(V$1,INDIRECT("'"&amp;$A47&amp;"'!$A$12:$Z$41"),MATCH("Points (Auto-generate)",INDIRECT("'"&amp;$A47&amp;"'!$A$12:$Z$12"),0),0)),"ER"))</f>
        <v>?</v>
      </c>
      <c r="W47" s="87" t="str">
        <f aca="true">IF($H47=0,"NA",IF($A47=INDIRECT("'"&amp;$A47&amp;"'!$B$1"),IF(VLOOKUP(W$1,INDIRECT("'"&amp;$A47&amp;"'!$A$12:$Z$41"),MATCH("Points (Auto-generate)",INDIRECT("'"&amp;$A47&amp;"'!$A$12:$Z$12"),0),0)="","?",VLOOKUP(W$1,INDIRECT("'"&amp;$A47&amp;"'!$A$12:$Z$41"),MATCH("Points (Auto-generate)",INDIRECT("'"&amp;$A47&amp;"'!$A$12:$Z$12"),0),0)),"ER"))</f>
        <v>?</v>
      </c>
      <c r="X47" s="87" t="str">
        <f aca="true">IF($H47=0,"NA",IF($A47=INDIRECT("'"&amp;$A47&amp;"'!$B$1"),IF(VLOOKUP(X$1,INDIRECT("'"&amp;$A47&amp;"'!$A$12:$Z$41"),MATCH("Points (Auto-generate)",INDIRECT("'"&amp;$A47&amp;"'!$A$12:$Z$12"),0),0)="","?",VLOOKUP(X$1,INDIRECT("'"&amp;$A47&amp;"'!$A$12:$Z$41"),MATCH("Points (Auto-generate)",INDIRECT("'"&amp;$A47&amp;"'!$A$12:$Z$12"),0),0)),"ER"))</f>
        <v>?</v>
      </c>
      <c r="Y47" s="87" t="str">
        <f aca="true">IF($H47=0,"NA",IF($A47=INDIRECT("'"&amp;$A47&amp;"'!$B$1"),IF(VLOOKUP(Y$1,INDIRECT("'"&amp;$A47&amp;"'!$A$12:$Z$41"),MATCH("Points (Auto-generate)",INDIRECT("'"&amp;$A47&amp;"'!$A$12:$Z$12"),0),0)="","?",VLOOKUP(Y$1,INDIRECT("'"&amp;$A47&amp;"'!$A$12:$Z$41"),MATCH("Points (Auto-generate)",INDIRECT("'"&amp;$A47&amp;"'!$A$12:$Z$12"),0),0)),"ER"))</f>
        <v>?</v>
      </c>
      <c r="Z47" s="87" t="str">
        <f aca="true">IF($H47=0,"NA",IF($A47=INDIRECT("'"&amp;$A47&amp;"'!$B$1"),IF(VLOOKUP(Z$1,INDIRECT("'"&amp;$A47&amp;"'!$A$12:$Z$41"),MATCH("Points (Auto-generate)",INDIRECT("'"&amp;$A47&amp;"'!$A$12:$Z$12"),0),0)="","?",VLOOKUP(Z$1,INDIRECT("'"&amp;$A47&amp;"'!$A$12:$Z$41"),MATCH("Points (Auto-generate)",INDIRECT("'"&amp;$A47&amp;"'!$A$12:$Z$12"),0),0)),"ER"))</f>
        <v>?</v>
      </c>
      <c r="AA47" s="87" t="str">
        <f aca="true">IF($H47=0,"NA",IF($A47=INDIRECT("'"&amp;$A47&amp;"'!$B$1"),IF(VLOOKUP(AA$1,INDIRECT("'"&amp;$A47&amp;"'!$A$12:$Z$41"),MATCH("Points (Auto-generate)",INDIRECT("'"&amp;$A47&amp;"'!$A$12:$Z$12"),0),0)="","?",VLOOKUP(AA$1,INDIRECT("'"&amp;$A47&amp;"'!$A$12:$Z$41"),MATCH("Points (Auto-generate)",INDIRECT("'"&amp;$A47&amp;"'!$A$12:$Z$12"),0),0)),"ER"))</f>
        <v>?</v>
      </c>
      <c r="AB47" s="87" t="str">
        <f aca="true">IF($H47=0,"NA",IF($A47=INDIRECT("'"&amp;$A47&amp;"'!$B$1"),IF(VLOOKUP(AB$1,INDIRECT("'"&amp;$A47&amp;"'!$A$12:$Z$41"),MATCH("Points (Auto-generate)",INDIRECT("'"&amp;$A47&amp;"'!$A$12:$Z$12"),0),0)="","?",VLOOKUP(AB$1,INDIRECT("'"&amp;$A47&amp;"'!$A$12:$Z$41"),MATCH("Points (Auto-generate)",INDIRECT("'"&amp;$A47&amp;"'!$A$12:$Z$12"),0),0)),"ER"))</f>
        <v>?</v>
      </c>
      <c r="AC47" s="87" t="str">
        <f aca="true">IF($H47=0,"NA",IF($A47=INDIRECT("'"&amp;$A47&amp;"'!$B$1"),IF(VLOOKUP(AC$1,INDIRECT("'"&amp;$A47&amp;"'!$A$12:$Z$41"),MATCH("Points (Auto-generate)",INDIRECT("'"&amp;$A47&amp;"'!$A$12:$Z$12"),0),0)="","?",VLOOKUP(AC$1,INDIRECT("'"&amp;$A47&amp;"'!$A$12:$Z$41"),MATCH("Points (Auto-generate)",INDIRECT("'"&amp;$A47&amp;"'!$A$12:$Z$12"),0),0)),"ER"))</f>
        <v>?</v>
      </c>
      <c r="AD47" s="87" t="str">
        <f aca="true">IF($H47=0,"NA",IF($A47=INDIRECT("'"&amp;$A47&amp;"'!$B$1"),IF(VLOOKUP(AD$1,INDIRECT("'"&amp;$A47&amp;"'!$A$12:$Z$41"),MATCH("Points (Auto-generate)",INDIRECT("'"&amp;$A47&amp;"'!$A$12:$Z$12"),0),0)="","?",VLOOKUP(AD$1,INDIRECT("'"&amp;$A47&amp;"'!$A$12:$Z$41"),MATCH("Points (Auto-generate)",INDIRECT("'"&amp;$A47&amp;"'!$A$12:$Z$12"),0),0)),"ER"))</f>
        <v>?</v>
      </c>
      <c r="AE47" s="87" t="str">
        <f aca="true">IF($H47=0,"NA",IF($A47=INDIRECT("'"&amp;$A47&amp;"'!$B$1"),IF(VLOOKUP(AE$1,INDIRECT("'"&amp;$A47&amp;"'!$A$12:$Z$41"),MATCH("Points (Auto-generate)",INDIRECT("'"&amp;$A47&amp;"'!$A$12:$Z$12"),0),0)="","?",VLOOKUP(AE$1,INDIRECT("'"&amp;$A47&amp;"'!$A$12:$Z$41"),MATCH("Points (Auto-generate)",INDIRECT("'"&amp;$A47&amp;"'!$A$12:$Z$12"),0),0)),"ER"))</f>
        <v>?</v>
      </c>
      <c r="AF47" s="87" t="str">
        <f aca="true">IF($H47=0,"NA",IF($A47=INDIRECT("'"&amp;$A47&amp;"'!$B$1"),IF(VLOOKUP(AF$1,INDIRECT("'"&amp;$A47&amp;"'!$A$12:$Z$41"),MATCH("Points (Auto-generate)",INDIRECT("'"&amp;$A47&amp;"'!$A$12:$Z$12"),0),0)="","?",VLOOKUP(AF$1,INDIRECT("'"&amp;$A47&amp;"'!$A$12:$Z$41"),MATCH("Points (Auto-generate)",INDIRECT("'"&amp;$A47&amp;"'!$A$12:$Z$12"),0),0)),"ER"))</f>
        <v>?</v>
      </c>
      <c r="AG47" s="87" t="str">
        <f aca="true">IF($H47=0,"NA",IF($A47=INDIRECT("'"&amp;$A47&amp;"'!$B$1"),IF(VLOOKUP(AG$1,INDIRECT("'"&amp;$A47&amp;"'!$A$12:$Z$41"),MATCH("Points (Auto-generate)",INDIRECT("'"&amp;$A47&amp;"'!$A$12:$Z$12"),0),0)="","?",VLOOKUP(AG$1,INDIRECT("'"&amp;$A47&amp;"'!$A$12:$Z$41"),MATCH("Points (Auto-generate)",INDIRECT("'"&amp;$A47&amp;"'!$A$12:$Z$12"),0),0)),"ER"))</f>
        <v>?</v>
      </c>
      <c r="AH47" s="87" t="str">
        <f aca="true">IF($H47=0,"NA",IF($A47=INDIRECT("'"&amp;$A47&amp;"'!$B$1"),IF(VLOOKUP(AH$1,INDIRECT("'"&amp;$A47&amp;"'!$A$12:$Z$41"),MATCH("Points (Auto-generate)",INDIRECT("'"&amp;$A47&amp;"'!$A$12:$Z$12"),0),0)="","?",VLOOKUP(AH$1,INDIRECT("'"&amp;$A47&amp;"'!$A$12:$Z$41"),MATCH("Points (Auto-generate)",INDIRECT("'"&amp;$A47&amp;"'!$A$12:$Z$12"),0),0)),"ER"))</f>
        <v>?</v>
      </c>
      <c r="AI47" s="87" t="str">
        <f aca="true">IF($H47=0,"NA",IF($A47=INDIRECT("'"&amp;$A47&amp;"'!$B$1"),IF(VLOOKUP(AI$1,INDIRECT("'"&amp;$A47&amp;"'!$A$12:$Z$41"),MATCH("Points (Auto-generate)",INDIRECT("'"&amp;$A47&amp;"'!$A$12:$Z$12"),0),0)="","?",VLOOKUP(AI$1,INDIRECT("'"&amp;$A47&amp;"'!$A$12:$Z$41"),MATCH("Points (Auto-generate)",INDIRECT("'"&amp;$A47&amp;"'!$A$12:$Z$12"),0),0)),"ER"))</f>
        <v>?</v>
      </c>
      <c r="AJ47" s="87" t="str">
        <f aca="true">IF($H47=0,"NA",IF($A47=INDIRECT("'"&amp;$A47&amp;"'!$B$1"),IF(VLOOKUP(AJ$1,INDIRECT("'"&amp;$A47&amp;"'!$A$12:$Z$41"),MATCH("Points (Auto-generate)",INDIRECT("'"&amp;$A47&amp;"'!$A$12:$Z$12"),0),0)="","?",VLOOKUP(AJ$1,INDIRECT("'"&amp;$A47&amp;"'!$A$12:$Z$41"),MATCH("Points (Auto-generate)",INDIRECT("'"&amp;$A47&amp;"'!$A$12:$Z$12"),0),0)),"ER"))</f>
        <v>?</v>
      </c>
      <c r="AK47" s="87" t="str">
        <f aca="true">IF($H47=0,"NA",IF($A47=INDIRECT("'"&amp;$A47&amp;"'!$B$1"),IF(VLOOKUP(AK$1,INDIRECT("'"&amp;$A47&amp;"'!$A$12:$Z$41"),MATCH("Points (Auto-generate)",INDIRECT("'"&amp;$A47&amp;"'!$A$12:$Z$12"),0),0)="","?",VLOOKUP(AK$1,INDIRECT("'"&amp;$A47&amp;"'!$A$12:$Z$41"),MATCH("Points (Auto-generate)",INDIRECT("'"&amp;$A47&amp;"'!$A$12:$Z$12"),0),0)),"ER"))</f>
        <v>?</v>
      </c>
    </row>
    <row r="48" customFormat="false" ht="14.25" hidden="false" customHeight="true" outlineLevel="0" collapsed="false">
      <c r="A48" s="83" t="s">
        <v>317</v>
      </c>
      <c r="B48" s="84" t="str">
        <f aca="false">IF(ISBLANK($A48),"NO_CODE",VLOOKUP($A48,'UPD Questions_290926 '!$E$1:$N$300,MATCH(B$1,'UPD Questions_290926 '!$E$1:$N$1,0),0)&amp;"")</f>
        <v>Implementation</v>
      </c>
      <c r="C48" s="84" t="str">
        <f aca="false">IF(ISBLANK($A48),"NO_CODE",VLOOKUP($A48,'UPD Questions_290926 '!$E$1:$N$300,MATCH(C$1,'UPD Questions_290926 '!$E$1:$N$1,0),0)&amp;"")</f>
        <v>Municipal/City Plan status, hierarchy and coordination</v>
      </c>
      <c r="D48" s="84" t="str">
        <f aca="false">IF(ISBLANK($A48),"NO_CODE",VLOOKUP($A48,'UPD Questions_290926 '!$E$1:$N$300,MATCH(D$1,'UPD Questions_290926 '!$E$1:$N$1,0),0)&amp;"")</f>
        <v>Objectives of the Municipal/City Plan</v>
      </c>
      <c r="E48" s="84" t="str">
        <f aca="false">IF(ISBLANK($A48),"NO_CODE",VLOOKUP($A48,'UPD Questions_290926 '!$E$1:$N$300,MATCH(E$1,'UPD Questions_290926 '!$E$1:$N$1,0),0)&amp;"")</f>
        <v>SQ</v>
      </c>
      <c r="F48" s="84" t="str">
        <f aca="false">IF(ISBLANK($A48),"NO_CODE",VLOOKUP($A48,'UPD Questions_290926 '!$E$1:$N$300,MATCH(F$1,'UPD Questions_290926 '!$E$1:$N$1,0),0)&amp;"")</f>
        <v>c) Affordable housing </v>
      </c>
      <c r="G48" s="84" t="str">
        <f aca="false">IF(ISBLANK($A48),"NO_CODE",VLOOKUP($A48,'UPD Questions_290926 '!$E$1:$N$300,MATCH(G$1,'UPD Questions_290926 '!$E$1:$N$1,0),0)&amp;"")</f>
        <v>Implementation</v>
      </c>
      <c r="H48" s="86" t="n">
        <f aca="false">IF(ISBLANK($A48),"NO_CODE",VLOOKUP($A48,'UPD Questions_290926 '!$E$1:$N$300,MATCH(H$1,'UPD Questions_290926 '!$E$1:$N$1,0),0))</f>
        <v>3.33</v>
      </c>
      <c r="I48" s="87" t="str">
        <f aca="true">IF($H48=0,"NA",IF($A48=INDIRECT("'"&amp;$A48&amp;"'!$B$1"),IF(VLOOKUP(I$1,INDIRECT("'"&amp;$A48&amp;"'!$A$12:$Z$41"),MATCH("Points (Auto-generate)",INDIRECT("'"&amp;$A48&amp;"'!$A$12:$Z$12"),0),0)="","?",VLOOKUP(I$1,INDIRECT("'"&amp;$A48&amp;"'!$A$12:$Z$41"),MATCH("Points (Auto-generate)",INDIRECT("'"&amp;$A48&amp;"'!$A$12:$Z$12"),0),0)),"ER"))</f>
        <v>?</v>
      </c>
      <c r="J48" s="87" t="n">
        <f aca="true">IF($H48=0,"NA",IF($A48=INDIRECT("'"&amp;$A48&amp;"'!$B$1"),IF(VLOOKUP(J$1,INDIRECT("'"&amp;$A48&amp;"'!$A$12:$Z$41"),MATCH("Points (Auto-generate)",INDIRECT("'"&amp;$A48&amp;"'!$A$12:$Z$12"),0),0)="","?",VLOOKUP(J$1,INDIRECT("'"&amp;$A48&amp;"'!$A$12:$Z$41"),MATCH("Points (Auto-generate)",INDIRECT("'"&amp;$A48&amp;"'!$A$12:$Z$12"),0),0)),"ER"))</f>
        <v>0</v>
      </c>
      <c r="K48" s="87" t="str">
        <f aca="true">IF($H48=0,"NA",IF($A48=INDIRECT("'"&amp;$A48&amp;"'!$B$1"),IF(VLOOKUP(K$1,INDIRECT("'"&amp;$A48&amp;"'!$A$12:$Z$41"),MATCH("Points (Auto-generate)",INDIRECT("'"&amp;$A48&amp;"'!$A$12:$Z$12"),0),0)="","?",VLOOKUP(K$1,INDIRECT("'"&amp;$A48&amp;"'!$A$12:$Z$41"),MATCH("Points (Auto-generate)",INDIRECT("'"&amp;$A48&amp;"'!$A$12:$Z$12"),0),0)),"ER"))</f>
        <v>?</v>
      </c>
      <c r="L48" s="87" t="str">
        <f aca="true">IF($H48=0,"NA",IF($A48=INDIRECT("'"&amp;$A48&amp;"'!$B$1"),IF(VLOOKUP(L$1,INDIRECT("'"&amp;$A48&amp;"'!$A$12:$Z$41"),MATCH("Points (Auto-generate)",INDIRECT("'"&amp;$A48&amp;"'!$A$12:$Z$12"),0),0)="","?",VLOOKUP(L$1,INDIRECT("'"&amp;$A48&amp;"'!$A$12:$Z$41"),MATCH("Points (Auto-generate)",INDIRECT("'"&amp;$A48&amp;"'!$A$12:$Z$12"),0),0)),"ER"))</f>
        <v>?</v>
      </c>
      <c r="M48" s="87" t="str">
        <f aca="true">IF($H48=0,"NA",IF($A48=INDIRECT("'"&amp;$A48&amp;"'!$B$1"),IF(VLOOKUP(M$1,INDIRECT("'"&amp;$A48&amp;"'!$A$12:$Z$41"),MATCH("Points (Auto-generate)",INDIRECT("'"&amp;$A48&amp;"'!$A$12:$Z$12"),0),0)="","?",VLOOKUP(M$1,INDIRECT("'"&amp;$A48&amp;"'!$A$12:$Z$41"),MATCH("Points (Auto-generate)",INDIRECT("'"&amp;$A48&amp;"'!$A$12:$Z$12"),0),0)),"ER"))</f>
        <v>?</v>
      </c>
      <c r="N48" s="87" t="str">
        <f aca="true">IF($H48=0,"NA",IF($A48=INDIRECT("'"&amp;$A48&amp;"'!$B$1"),IF(VLOOKUP(N$1,INDIRECT("'"&amp;$A48&amp;"'!$A$12:$Z$41"),MATCH("Points (Auto-generate)",INDIRECT("'"&amp;$A48&amp;"'!$A$12:$Z$12"),0),0)="","?",VLOOKUP(N$1,INDIRECT("'"&amp;$A48&amp;"'!$A$12:$Z$41"),MATCH("Points (Auto-generate)",INDIRECT("'"&amp;$A48&amp;"'!$A$12:$Z$12"),0),0)),"ER"))</f>
        <v>?</v>
      </c>
      <c r="O48" s="87" t="str">
        <f aca="true">IF($H48=0,"NA",IF($A48=INDIRECT("'"&amp;$A48&amp;"'!$B$1"),IF(VLOOKUP(O$1,INDIRECT("'"&amp;$A48&amp;"'!$A$12:$Z$41"),MATCH("Points (Auto-generate)",INDIRECT("'"&amp;$A48&amp;"'!$A$12:$Z$12"),0),0)="","?",VLOOKUP(O$1,INDIRECT("'"&amp;$A48&amp;"'!$A$12:$Z$41"),MATCH("Points (Auto-generate)",INDIRECT("'"&amp;$A48&amp;"'!$A$12:$Z$12"),0),0)),"ER"))</f>
        <v>?</v>
      </c>
      <c r="P48" s="87" t="str">
        <f aca="true">IF($H48=0,"NA",IF($A48=INDIRECT("'"&amp;$A48&amp;"'!$B$1"),IF(VLOOKUP(P$1,INDIRECT("'"&amp;$A48&amp;"'!$A$12:$Z$41"),MATCH("Points (Auto-generate)",INDIRECT("'"&amp;$A48&amp;"'!$A$12:$Z$12"),0),0)="","?",VLOOKUP(P$1,INDIRECT("'"&amp;$A48&amp;"'!$A$12:$Z$41"),MATCH("Points (Auto-generate)",INDIRECT("'"&amp;$A48&amp;"'!$A$12:$Z$12"),0),0)),"ER"))</f>
        <v>?</v>
      </c>
      <c r="Q48" s="87" t="str">
        <f aca="true">IF($H48=0,"NA",IF($A48=INDIRECT("'"&amp;$A48&amp;"'!$B$1"),IF(VLOOKUP(Q$1,INDIRECT("'"&amp;$A48&amp;"'!$A$12:$Z$41"),MATCH("Points (Auto-generate)",INDIRECT("'"&amp;$A48&amp;"'!$A$12:$Z$12"),0),0)="","?",VLOOKUP(Q$1,INDIRECT("'"&amp;$A48&amp;"'!$A$12:$Z$41"),MATCH("Points (Auto-generate)",INDIRECT("'"&amp;$A48&amp;"'!$A$12:$Z$12"),0),0)),"ER"))</f>
        <v>?</v>
      </c>
      <c r="R48" s="87" t="str">
        <f aca="true">IF($H48=0,"NA",IF($A48=INDIRECT("'"&amp;$A48&amp;"'!$B$1"),IF(VLOOKUP(R$1,INDIRECT("'"&amp;$A48&amp;"'!$A$12:$Z$41"),MATCH("Points (Auto-generate)",INDIRECT("'"&amp;$A48&amp;"'!$A$12:$Z$12"),0),0)="","?",VLOOKUP(R$1,INDIRECT("'"&amp;$A48&amp;"'!$A$12:$Z$41"),MATCH("Points (Auto-generate)",INDIRECT("'"&amp;$A48&amp;"'!$A$12:$Z$12"),0),0)),"ER"))</f>
        <v>?</v>
      </c>
      <c r="S48" s="87" t="str">
        <f aca="true">IF($H48=0,"NA",IF($A48=INDIRECT("'"&amp;$A48&amp;"'!$B$1"),IF(VLOOKUP(S$1,INDIRECT("'"&amp;$A48&amp;"'!$A$12:$Z$41"),MATCH("Points (Auto-generate)",INDIRECT("'"&amp;$A48&amp;"'!$A$12:$Z$12"),0),0)="","?",VLOOKUP(S$1,INDIRECT("'"&amp;$A48&amp;"'!$A$12:$Z$41"),MATCH("Points (Auto-generate)",INDIRECT("'"&amp;$A48&amp;"'!$A$12:$Z$12"),0),0)),"ER"))</f>
        <v>?</v>
      </c>
      <c r="T48" s="87" t="str">
        <f aca="true">IF($H48=0,"NA",IF($A48=INDIRECT("'"&amp;$A48&amp;"'!$B$1"),IF(VLOOKUP(T$1,INDIRECT("'"&amp;$A48&amp;"'!$A$12:$Z$41"),MATCH("Points (Auto-generate)",INDIRECT("'"&amp;$A48&amp;"'!$A$12:$Z$12"),0),0)="","?",VLOOKUP(T$1,INDIRECT("'"&amp;$A48&amp;"'!$A$12:$Z$41"),MATCH("Points (Auto-generate)",INDIRECT("'"&amp;$A48&amp;"'!$A$12:$Z$12"),0),0)),"ER"))</f>
        <v>?</v>
      </c>
      <c r="U48" s="87" t="str">
        <f aca="true">IF($H48=0,"NA",IF($A48=INDIRECT("'"&amp;$A48&amp;"'!$B$1"),IF(VLOOKUP(U$1,INDIRECT("'"&amp;$A48&amp;"'!$A$12:$Z$41"),MATCH("Points (Auto-generate)",INDIRECT("'"&amp;$A48&amp;"'!$A$12:$Z$12"),0),0)="","?",VLOOKUP(U$1,INDIRECT("'"&amp;$A48&amp;"'!$A$12:$Z$41"),MATCH("Points (Auto-generate)",INDIRECT("'"&amp;$A48&amp;"'!$A$12:$Z$12"),0),0)),"ER"))</f>
        <v>?</v>
      </c>
      <c r="V48" s="87" t="str">
        <f aca="true">IF($H48=0,"NA",IF($A48=INDIRECT("'"&amp;$A48&amp;"'!$B$1"),IF(VLOOKUP(V$1,INDIRECT("'"&amp;$A48&amp;"'!$A$12:$Z$41"),MATCH("Points (Auto-generate)",INDIRECT("'"&amp;$A48&amp;"'!$A$12:$Z$12"),0),0)="","?",VLOOKUP(V$1,INDIRECT("'"&amp;$A48&amp;"'!$A$12:$Z$41"),MATCH("Points (Auto-generate)",INDIRECT("'"&amp;$A48&amp;"'!$A$12:$Z$12"),0),0)),"ER"))</f>
        <v>?</v>
      </c>
      <c r="W48" s="87" t="str">
        <f aca="true">IF($H48=0,"NA",IF($A48=INDIRECT("'"&amp;$A48&amp;"'!$B$1"),IF(VLOOKUP(W$1,INDIRECT("'"&amp;$A48&amp;"'!$A$12:$Z$41"),MATCH("Points (Auto-generate)",INDIRECT("'"&amp;$A48&amp;"'!$A$12:$Z$12"),0),0)="","?",VLOOKUP(W$1,INDIRECT("'"&amp;$A48&amp;"'!$A$12:$Z$41"),MATCH("Points (Auto-generate)",INDIRECT("'"&amp;$A48&amp;"'!$A$12:$Z$12"),0),0)),"ER"))</f>
        <v>?</v>
      </c>
      <c r="X48" s="87" t="str">
        <f aca="true">IF($H48=0,"NA",IF($A48=INDIRECT("'"&amp;$A48&amp;"'!$B$1"),IF(VLOOKUP(X$1,INDIRECT("'"&amp;$A48&amp;"'!$A$12:$Z$41"),MATCH("Points (Auto-generate)",INDIRECT("'"&amp;$A48&amp;"'!$A$12:$Z$12"),0),0)="","?",VLOOKUP(X$1,INDIRECT("'"&amp;$A48&amp;"'!$A$12:$Z$41"),MATCH("Points (Auto-generate)",INDIRECT("'"&amp;$A48&amp;"'!$A$12:$Z$12"),0),0)),"ER"))</f>
        <v>?</v>
      </c>
      <c r="Y48" s="87" t="str">
        <f aca="true">IF($H48=0,"NA",IF($A48=INDIRECT("'"&amp;$A48&amp;"'!$B$1"),IF(VLOOKUP(Y$1,INDIRECT("'"&amp;$A48&amp;"'!$A$12:$Z$41"),MATCH("Points (Auto-generate)",INDIRECT("'"&amp;$A48&amp;"'!$A$12:$Z$12"),0),0)="","?",VLOOKUP(Y$1,INDIRECT("'"&amp;$A48&amp;"'!$A$12:$Z$41"),MATCH("Points (Auto-generate)",INDIRECT("'"&amp;$A48&amp;"'!$A$12:$Z$12"),0),0)),"ER"))</f>
        <v>?</v>
      </c>
      <c r="Z48" s="87" t="str">
        <f aca="true">IF($H48=0,"NA",IF($A48=INDIRECT("'"&amp;$A48&amp;"'!$B$1"),IF(VLOOKUP(Z$1,INDIRECT("'"&amp;$A48&amp;"'!$A$12:$Z$41"),MATCH("Points (Auto-generate)",INDIRECT("'"&amp;$A48&amp;"'!$A$12:$Z$12"),0),0)="","?",VLOOKUP(Z$1,INDIRECT("'"&amp;$A48&amp;"'!$A$12:$Z$41"),MATCH("Points (Auto-generate)",INDIRECT("'"&amp;$A48&amp;"'!$A$12:$Z$12"),0),0)),"ER"))</f>
        <v>?</v>
      </c>
      <c r="AA48" s="87" t="str">
        <f aca="true">IF($H48=0,"NA",IF($A48=INDIRECT("'"&amp;$A48&amp;"'!$B$1"),IF(VLOOKUP(AA$1,INDIRECT("'"&amp;$A48&amp;"'!$A$12:$Z$41"),MATCH("Points (Auto-generate)",INDIRECT("'"&amp;$A48&amp;"'!$A$12:$Z$12"),0),0)="","?",VLOOKUP(AA$1,INDIRECT("'"&amp;$A48&amp;"'!$A$12:$Z$41"),MATCH("Points (Auto-generate)",INDIRECT("'"&amp;$A48&amp;"'!$A$12:$Z$12"),0),0)),"ER"))</f>
        <v>?</v>
      </c>
      <c r="AB48" s="87" t="str">
        <f aca="true">IF($H48=0,"NA",IF($A48=INDIRECT("'"&amp;$A48&amp;"'!$B$1"),IF(VLOOKUP(AB$1,INDIRECT("'"&amp;$A48&amp;"'!$A$12:$Z$41"),MATCH("Points (Auto-generate)",INDIRECT("'"&amp;$A48&amp;"'!$A$12:$Z$12"),0),0)="","?",VLOOKUP(AB$1,INDIRECT("'"&amp;$A48&amp;"'!$A$12:$Z$41"),MATCH("Points (Auto-generate)",INDIRECT("'"&amp;$A48&amp;"'!$A$12:$Z$12"),0),0)),"ER"))</f>
        <v>?</v>
      </c>
      <c r="AC48" s="87" t="str">
        <f aca="true">IF($H48=0,"NA",IF($A48=INDIRECT("'"&amp;$A48&amp;"'!$B$1"),IF(VLOOKUP(AC$1,INDIRECT("'"&amp;$A48&amp;"'!$A$12:$Z$41"),MATCH("Points (Auto-generate)",INDIRECT("'"&amp;$A48&amp;"'!$A$12:$Z$12"),0),0)="","?",VLOOKUP(AC$1,INDIRECT("'"&amp;$A48&amp;"'!$A$12:$Z$41"),MATCH("Points (Auto-generate)",INDIRECT("'"&amp;$A48&amp;"'!$A$12:$Z$12"),0),0)),"ER"))</f>
        <v>?</v>
      </c>
      <c r="AD48" s="87" t="str">
        <f aca="true">IF($H48=0,"NA",IF($A48=INDIRECT("'"&amp;$A48&amp;"'!$B$1"),IF(VLOOKUP(AD$1,INDIRECT("'"&amp;$A48&amp;"'!$A$12:$Z$41"),MATCH("Points (Auto-generate)",INDIRECT("'"&amp;$A48&amp;"'!$A$12:$Z$12"),0),0)="","?",VLOOKUP(AD$1,INDIRECT("'"&amp;$A48&amp;"'!$A$12:$Z$41"),MATCH("Points (Auto-generate)",INDIRECT("'"&amp;$A48&amp;"'!$A$12:$Z$12"),0),0)),"ER"))</f>
        <v>?</v>
      </c>
      <c r="AE48" s="87" t="str">
        <f aca="true">IF($H48=0,"NA",IF($A48=INDIRECT("'"&amp;$A48&amp;"'!$B$1"),IF(VLOOKUP(AE$1,INDIRECT("'"&amp;$A48&amp;"'!$A$12:$Z$41"),MATCH("Points (Auto-generate)",INDIRECT("'"&amp;$A48&amp;"'!$A$12:$Z$12"),0),0)="","?",VLOOKUP(AE$1,INDIRECT("'"&amp;$A48&amp;"'!$A$12:$Z$41"),MATCH("Points (Auto-generate)",INDIRECT("'"&amp;$A48&amp;"'!$A$12:$Z$12"),0),0)),"ER"))</f>
        <v>?</v>
      </c>
      <c r="AF48" s="87" t="str">
        <f aca="true">IF($H48=0,"NA",IF($A48=INDIRECT("'"&amp;$A48&amp;"'!$B$1"),IF(VLOOKUP(AF$1,INDIRECT("'"&amp;$A48&amp;"'!$A$12:$Z$41"),MATCH("Points (Auto-generate)",INDIRECT("'"&amp;$A48&amp;"'!$A$12:$Z$12"),0),0)="","?",VLOOKUP(AF$1,INDIRECT("'"&amp;$A48&amp;"'!$A$12:$Z$41"),MATCH("Points (Auto-generate)",INDIRECT("'"&amp;$A48&amp;"'!$A$12:$Z$12"),0),0)),"ER"))</f>
        <v>?</v>
      </c>
      <c r="AG48" s="87" t="str">
        <f aca="true">IF($H48=0,"NA",IF($A48=INDIRECT("'"&amp;$A48&amp;"'!$B$1"),IF(VLOOKUP(AG$1,INDIRECT("'"&amp;$A48&amp;"'!$A$12:$Z$41"),MATCH("Points (Auto-generate)",INDIRECT("'"&amp;$A48&amp;"'!$A$12:$Z$12"),0),0)="","?",VLOOKUP(AG$1,INDIRECT("'"&amp;$A48&amp;"'!$A$12:$Z$41"),MATCH("Points (Auto-generate)",INDIRECT("'"&amp;$A48&amp;"'!$A$12:$Z$12"),0),0)),"ER"))</f>
        <v>?</v>
      </c>
      <c r="AH48" s="87" t="str">
        <f aca="true">IF($H48=0,"NA",IF($A48=INDIRECT("'"&amp;$A48&amp;"'!$B$1"),IF(VLOOKUP(AH$1,INDIRECT("'"&amp;$A48&amp;"'!$A$12:$Z$41"),MATCH("Points (Auto-generate)",INDIRECT("'"&amp;$A48&amp;"'!$A$12:$Z$12"),0),0)="","?",VLOOKUP(AH$1,INDIRECT("'"&amp;$A48&amp;"'!$A$12:$Z$41"),MATCH("Points (Auto-generate)",INDIRECT("'"&amp;$A48&amp;"'!$A$12:$Z$12"),0),0)),"ER"))</f>
        <v>?</v>
      </c>
      <c r="AI48" s="87" t="str">
        <f aca="true">IF($H48=0,"NA",IF($A48=INDIRECT("'"&amp;$A48&amp;"'!$B$1"),IF(VLOOKUP(AI$1,INDIRECT("'"&amp;$A48&amp;"'!$A$12:$Z$41"),MATCH("Points (Auto-generate)",INDIRECT("'"&amp;$A48&amp;"'!$A$12:$Z$12"),0),0)="","?",VLOOKUP(AI$1,INDIRECT("'"&amp;$A48&amp;"'!$A$12:$Z$41"),MATCH("Points (Auto-generate)",INDIRECT("'"&amp;$A48&amp;"'!$A$12:$Z$12"),0),0)),"ER"))</f>
        <v>?</v>
      </c>
      <c r="AJ48" s="87" t="str">
        <f aca="true">IF($H48=0,"NA",IF($A48=INDIRECT("'"&amp;$A48&amp;"'!$B$1"),IF(VLOOKUP(AJ$1,INDIRECT("'"&amp;$A48&amp;"'!$A$12:$Z$41"),MATCH("Points (Auto-generate)",INDIRECT("'"&amp;$A48&amp;"'!$A$12:$Z$12"),0),0)="","?",VLOOKUP(AJ$1,INDIRECT("'"&amp;$A48&amp;"'!$A$12:$Z$41"),MATCH("Points (Auto-generate)",INDIRECT("'"&amp;$A48&amp;"'!$A$12:$Z$12"),0),0)),"ER"))</f>
        <v>?</v>
      </c>
      <c r="AK48" s="87" t="str">
        <f aca="true">IF($H48=0,"NA",IF($A48=INDIRECT("'"&amp;$A48&amp;"'!$B$1"),IF(VLOOKUP(AK$1,INDIRECT("'"&amp;$A48&amp;"'!$A$12:$Z$41"),MATCH("Points (Auto-generate)",INDIRECT("'"&amp;$A48&amp;"'!$A$12:$Z$12"),0),0)="","?",VLOOKUP(AK$1,INDIRECT("'"&amp;$A48&amp;"'!$A$12:$Z$41"),MATCH("Points (Auto-generate)",INDIRECT("'"&amp;$A48&amp;"'!$A$12:$Z$12"),0),0)),"ER"))</f>
        <v>?</v>
      </c>
    </row>
    <row r="49" customFormat="false" ht="14.25" hidden="false" customHeight="true" outlineLevel="0" collapsed="false">
      <c r="A49" s="83" t="s">
        <v>325</v>
      </c>
      <c r="B49" s="84" t="str">
        <f aca="false">IF(ISBLANK($A49),"NO_CODE",VLOOKUP($A49,'UPD Questions_290926 '!$E$1:$N$300,MATCH(B$1,'UPD Questions_290926 '!$E$1:$N$1,0),0)&amp;"")</f>
        <v>Implementation</v>
      </c>
      <c r="C49" s="84" t="str">
        <f aca="false">IF(ISBLANK($A49),"NO_CODE",VLOOKUP($A49,'UPD Questions_290926 '!$E$1:$N$300,MATCH(C$1,'UPD Questions_290926 '!$E$1:$N$1,0),0)&amp;"")</f>
        <v>Municipal/City Plan status, hierarchy and coordination</v>
      </c>
      <c r="D49" s="84" t="str">
        <f aca="false">IF(ISBLANK($A49),"NO_CODE",VLOOKUP($A49,'UPD Questions_290926 '!$E$1:$N$300,MATCH(D$1,'UPD Questions_290926 '!$E$1:$N$1,0),0)&amp;"")</f>
        <v>Objectives of the Municipal/City Plan</v>
      </c>
      <c r="E49" s="84" t="str">
        <f aca="false">IF(ISBLANK($A49),"NO_CODE",VLOOKUP($A49,'UPD Questions_290926 '!$E$1:$N$300,MATCH(E$1,'UPD Questions_290926 '!$E$1:$N$1,0),0)&amp;"")</f>
        <v>MQ</v>
      </c>
      <c r="F49" s="84" t="str">
        <f aca="false">IF(ISBLANK($A49),"NO_CODE",VLOOKUP($A49,'UPD Questions_290926 '!$E$1:$N$300,MATCH(F$1,'UPD Questions_290926 '!$E$1:$N$1,0),0)&amp;"")</f>
        <v>Does the municipal/city plan include objectives for women?</v>
      </c>
      <c r="G49" s="84" t="str">
        <f aca="false">IF(ISBLANK($A49),"NO_CODE",VLOOKUP($A49,'UPD Questions_290926 '!$E$1:$N$300,MATCH(G$1,'UPD Questions_290926 '!$E$1:$N$1,0),0)&amp;"")</f>
        <v>Implementation</v>
      </c>
      <c r="H49" s="86" t="n">
        <f aca="false">IF(ISBLANK($A49),"NO_CODE",VLOOKUP($A49,'UPD Questions_290926 '!$E$1:$N$300,MATCH(H$1,'UPD Questions_290926 '!$E$1:$N$1,0),0))</f>
        <v>10</v>
      </c>
      <c r="I49" s="87" t="str">
        <f aca="true">IF($H49=0,"NA",IF($A49=INDIRECT("'"&amp;$A49&amp;"'!$B$1"),IF(VLOOKUP(I$1,INDIRECT("'"&amp;$A49&amp;"'!$A$12:$Z$41"),MATCH("Points (Auto-generate)",INDIRECT("'"&amp;$A49&amp;"'!$A$12:$Z$12"),0),0)="","?",VLOOKUP(I$1,INDIRECT("'"&amp;$A49&amp;"'!$A$12:$Z$41"),MATCH("Points (Auto-generate)",INDIRECT("'"&amp;$A49&amp;"'!$A$12:$Z$12"),0),0)),"ER"))</f>
        <v>?</v>
      </c>
      <c r="J49" s="87" t="n">
        <f aca="true">IF($H49=0,"NA",IF($A49=INDIRECT("'"&amp;$A49&amp;"'!$B$1"),IF(VLOOKUP(J$1,INDIRECT("'"&amp;$A49&amp;"'!$A$12:$Z$41"),MATCH("Points (Auto-generate)",INDIRECT("'"&amp;$A49&amp;"'!$A$12:$Z$12"),0),0)="","?",VLOOKUP(J$1,INDIRECT("'"&amp;$A49&amp;"'!$A$12:$Z$41"),MATCH("Points (Auto-generate)",INDIRECT("'"&amp;$A49&amp;"'!$A$12:$Z$12"),0),0)),"ER"))</f>
        <v>0</v>
      </c>
      <c r="K49" s="87" t="str">
        <f aca="true">IF($H49=0,"NA",IF($A49=INDIRECT("'"&amp;$A49&amp;"'!$B$1"),IF(VLOOKUP(K$1,INDIRECT("'"&amp;$A49&amp;"'!$A$12:$Z$41"),MATCH("Points (Auto-generate)",INDIRECT("'"&amp;$A49&amp;"'!$A$12:$Z$12"),0),0)="","?",VLOOKUP(K$1,INDIRECT("'"&amp;$A49&amp;"'!$A$12:$Z$41"),MATCH("Points (Auto-generate)",INDIRECT("'"&amp;$A49&amp;"'!$A$12:$Z$12"),0),0)),"ER"))</f>
        <v>?</v>
      </c>
      <c r="L49" s="87" t="str">
        <f aca="true">IF($H49=0,"NA",IF($A49=INDIRECT("'"&amp;$A49&amp;"'!$B$1"),IF(VLOOKUP(L$1,INDIRECT("'"&amp;$A49&amp;"'!$A$12:$Z$41"),MATCH("Points (Auto-generate)",INDIRECT("'"&amp;$A49&amp;"'!$A$12:$Z$12"),0),0)="","?",VLOOKUP(L$1,INDIRECT("'"&amp;$A49&amp;"'!$A$12:$Z$41"),MATCH("Points (Auto-generate)",INDIRECT("'"&amp;$A49&amp;"'!$A$12:$Z$12"),0),0)),"ER"))</f>
        <v>?</v>
      </c>
      <c r="M49" s="87" t="str">
        <f aca="true">IF($H49=0,"NA",IF($A49=INDIRECT("'"&amp;$A49&amp;"'!$B$1"),IF(VLOOKUP(M$1,INDIRECT("'"&amp;$A49&amp;"'!$A$12:$Z$41"),MATCH("Points (Auto-generate)",INDIRECT("'"&amp;$A49&amp;"'!$A$12:$Z$12"),0),0)="","?",VLOOKUP(M$1,INDIRECT("'"&amp;$A49&amp;"'!$A$12:$Z$41"),MATCH("Points (Auto-generate)",INDIRECT("'"&amp;$A49&amp;"'!$A$12:$Z$12"),0),0)),"ER"))</f>
        <v>?</v>
      </c>
      <c r="N49" s="87" t="str">
        <f aca="true">IF($H49=0,"NA",IF($A49=INDIRECT("'"&amp;$A49&amp;"'!$B$1"),IF(VLOOKUP(N$1,INDIRECT("'"&amp;$A49&amp;"'!$A$12:$Z$41"),MATCH("Points (Auto-generate)",INDIRECT("'"&amp;$A49&amp;"'!$A$12:$Z$12"),0),0)="","?",VLOOKUP(N$1,INDIRECT("'"&amp;$A49&amp;"'!$A$12:$Z$41"),MATCH("Points (Auto-generate)",INDIRECT("'"&amp;$A49&amp;"'!$A$12:$Z$12"),0),0)),"ER"))</f>
        <v>?</v>
      </c>
      <c r="O49" s="87" t="str">
        <f aca="true">IF($H49=0,"NA",IF($A49=INDIRECT("'"&amp;$A49&amp;"'!$B$1"),IF(VLOOKUP(O$1,INDIRECT("'"&amp;$A49&amp;"'!$A$12:$Z$41"),MATCH("Points (Auto-generate)",INDIRECT("'"&amp;$A49&amp;"'!$A$12:$Z$12"),0),0)="","?",VLOOKUP(O$1,INDIRECT("'"&amp;$A49&amp;"'!$A$12:$Z$41"),MATCH("Points (Auto-generate)",INDIRECT("'"&amp;$A49&amp;"'!$A$12:$Z$12"),0),0)),"ER"))</f>
        <v>?</v>
      </c>
      <c r="P49" s="87" t="str">
        <f aca="true">IF($H49=0,"NA",IF($A49=INDIRECT("'"&amp;$A49&amp;"'!$B$1"),IF(VLOOKUP(P$1,INDIRECT("'"&amp;$A49&amp;"'!$A$12:$Z$41"),MATCH("Points (Auto-generate)",INDIRECT("'"&amp;$A49&amp;"'!$A$12:$Z$12"),0),0)="","?",VLOOKUP(P$1,INDIRECT("'"&amp;$A49&amp;"'!$A$12:$Z$41"),MATCH("Points (Auto-generate)",INDIRECT("'"&amp;$A49&amp;"'!$A$12:$Z$12"),0),0)),"ER"))</f>
        <v>?</v>
      </c>
      <c r="Q49" s="87" t="str">
        <f aca="true">IF($H49=0,"NA",IF($A49=INDIRECT("'"&amp;$A49&amp;"'!$B$1"),IF(VLOOKUP(Q$1,INDIRECT("'"&amp;$A49&amp;"'!$A$12:$Z$41"),MATCH("Points (Auto-generate)",INDIRECT("'"&amp;$A49&amp;"'!$A$12:$Z$12"),0),0)="","?",VLOOKUP(Q$1,INDIRECT("'"&amp;$A49&amp;"'!$A$12:$Z$41"),MATCH("Points (Auto-generate)",INDIRECT("'"&amp;$A49&amp;"'!$A$12:$Z$12"),0),0)),"ER"))</f>
        <v>?</v>
      </c>
      <c r="R49" s="87" t="str">
        <f aca="true">IF($H49=0,"NA",IF($A49=INDIRECT("'"&amp;$A49&amp;"'!$B$1"),IF(VLOOKUP(R$1,INDIRECT("'"&amp;$A49&amp;"'!$A$12:$Z$41"),MATCH("Points (Auto-generate)",INDIRECT("'"&amp;$A49&amp;"'!$A$12:$Z$12"),0),0)="","?",VLOOKUP(R$1,INDIRECT("'"&amp;$A49&amp;"'!$A$12:$Z$41"),MATCH("Points (Auto-generate)",INDIRECT("'"&amp;$A49&amp;"'!$A$12:$Z$12"),0),0)),"ER"))</f>
        <v>?</v>
      </c>
      <c r="S49" s="87" t="str">
        <f aca="true">IF($H49=0,"NA",IF($A49=INDIRECT("'"&amp;$A49&amp;"'!$B$1"),IF(VLOOKUP(S$1,INDIRECT("'"&amp;$A49&amp;"'!$A$12:$Z$41"),MATCH("Points (Auto-generate)",INDIRECT("'"&amp;$A49&amp;"'!$A$12:$Z$12"),0),0)="","?",VLOOKUP(S$1,INDIRECT("'"&amp;$A49&amp;"'!$A$12:$Z$41"),MATCH("Points (Auto-generate)",INDIRECT("'"&amp;$A49&amp;"'!$A$12:$Z$12"),0),0)),"ER"))</f>
        <v>?</v>
      </c>
      <c r="T49" s="87" t="str">
        <f aca="true">IF($H49=0,"NA",IF($A49=INDIRECT("'"&amp;$A49&amp;"'!$B$1"),IF(VLOOKUP(T$1,INDIRECT("'"&amp;$A49&amp;"'!$A$12:$Z$41"),MATCH("Points (Auto-generate)",INDIRECT("'"&amp;$A49&amp;"'!$A$12:$Z$12"),0),0)="","?",VLOOKUP(T$1,INDIRECT("'"&amp;$A49&amp;"'!$A$12:$Z$41"),MATCH("Points (Auto-generate)",INDIRECT("'"&amp;$A49&amp;"'!$A$12:$Z$12"),0),0)),"ER"))</f>
        <v>?</v>
      </c>
      <c r="U49" s="87" t="str">
        <f aca="true">IF($H49=0,"NA",IF($A49=INDIRECT("'"&amp;$A49&amp;"'!$B$1"),IF(VLOOKUP(U$1,INDIRECT("'"&amp;$A49&amp;"'!$A$12:$Z$41"),MATCH("Points (Auto-generate)",INDIRECT("'"&amp;$A49&amp;"'!$A$12:$Z$12"),0),0)="","?",VLOOKUP(U$1,INDIRECT("'"&amp;$A49&amp;"'!$A$12:$Z$41"),MATCH("Points (Auto-generate)",INDIRECT("'"&amp;$A49&amp;"'!$A$12:$Z$12"),0),0)),"ER"))</f>
        <v>?</v>
      </c>
      <c r="V49" s="87" t="str">
        <f aca="true">IF($H49=0,"NA",IF($A49=INDIRECT("'"&amp;$A49&amp;"'!$B$1"),IF(VLOOKUP(V$1,INDIRECT("'"&amp;$A49&amp;"'!$A$12:$Z$41"),MATCH("Points (Auto-generate)",INDIRECT("'"&amp;$A49&amp;"'!$A$12:$Z$12"),0),0)="","?",VLOOKUP(V$1,INDIRECT("'"&amp;$A49&amp;"'!$A$12:$Z$41"),MATCH("Points (Auto-generate)",INDIRECT("'"&amp;$A49&amp;"'!$A$12:$Z$12"),0),0)),"ER"))</f>
        <v>?</v>
      </c>
      <c r="W49" s="87" t="str">
        <f aca="true">IF($H49=0,"NA",IF($A49=INDIRECT("'"&amp;$A49&amp;"'!$B$1"),IF(VLOOKUP(W$1,INDIRECT("'"&amp;$A49&amp;"'!$A$12:$Z$41"),MATCH("Points (Auto-generate)",INDIRECT("'"&amp;$A49&amp;"'!$A$12:$Z$12"),0),0)="","?",VLOOKUP(W$1,INDIRECT("'"&amp;$A49&amp;"'!$A$12:$Z$41"),MATCH("Points (Auto-generate)",INDIRECT("'"&amp;$A49&amp;"'!$A$12:$Z$12"),0),0)),"ER"))</f>
        <v>?</v>
      </c>
      <c r="X49" s="87" t="str">
        <f aca="true">IF($H49=0,"NA",IF($A49=INDIRECT("'"&amp;$A49&amp;"'!$B$1"),IF(VLOOKUP(X$1,INDIRECT("'"&amp;$A49&amp;"'!$A$12:$Z$41"),MATCH("Points (Auto-generate)",INDIRECT("'"&amp;$A49&amp;"'!$A$12:$Z$12"),0),0)="","?",VLOOKUP(X$1,INDIRECT("'"&amp;$A49&amp;"'!$A$12:$Z$41"),MATCH("Points (Auto-generate)",INDIRECT("'"&amp;$A49&amp;"'!$A$12:$Z$12"),0),0)),"ER"))</f>
        <v>?</v>
      </c>
      <c r="Y49" s="87" t="str">
        <f aca="true">IF($H49=0,"NA",IF($A49=INDIRECT("'"&amp;$A49&amp;"'!$B$1"),IF(VLOOKUP(Y$1,INDIRECT("'"&amp;$A49&amp;"'!$A$12:$Z$41"),MATCH("Points (Auto-generate)",INDIRECT("'"&amp;$A49&amp;"'!$A$12:$Z$12"),0),0)="","?",VLOOKUP(Y$1,INDIRECT("'"&amp;$A49&amp;"'!$A$12:$Z$41"),MATCH("Points (Auto-generate)",INDIRECT("'"&amp;$A49&amp;"'!$A$12:$Z$12"),0),0)),"ER"))</f>
        <v>?</v>
      </c>
      <c r="Z49" s="87" t="str">
        <f aca="true">IF($H49=0,"NA",IF($A49=INDIRECT("'"&amp;$A49&amp;"'!$B$1"),IF(VLOOKUP(Z$1,INDIRECT("'"&amp;$A49&amp;"'!$A$12:$Z$41"),MATCH("Points (Auto-generate)",INDIRECT("'"&amp;$A49&amp;"'!$A$12:$Z$12"),0),0)="","?",VLOOKUP(Z$1,INDIRECT("'"&amp;$A49&amp;"'!$A$12:$Z$41"),MATCH("Points (Auto-generate)",INDIRECT("'"&amp;$A49&amp;"'!$A$12:$Z$12"),0),0)),"ER"))</f>
        <v>?</v>
      </c>
      <c r="AA49" s="87" t="str">
        <f aca="true">IF($H49=0,"NA",IF($A49=INDIRECT("'"&amp;$A49&amp;"'!$B$1"),IF(VLOOKUP(AA$1,INDIRECT("'"&amp;$A49&amp;"'!$A$12:$Z$41"),MATCH("Points (Auto-generate)",INDIRECT("'"&amp;$A49&amp;"'!$A$12:$Z$12"),0),0)="","?",VLOOKUP(AA$1,INDIRECT("'"&amp;$A49&amp;"'!$A$12:$Z$41"),MATCH("Points (Auto-generate)",INDIRECT("'"&amp;$A49&amp;"'!$A$12:$Z$12"),0),0)),"ER"))</f>
        <v>?</v>
      </c>
      <c r="AB49" s="87" t="str">
        <f aca="true">IF($H49=0,"NA",IF($A49=INDIRECT("'"&amp;$A49&amp;"'!$B$1"),IF(VLOOKUP(AB$1,INDIRECT("'"&amp;$A49&amp;"'!$A$12:$Z$41"),MATCH("Points (Auto-generate)",INDIRECT("'"&amp;$A49&amp;"'!$A$12:$Z$12"),0),0)="","?",VLOOKUP(AB$1,INDIRECT("'"&amp;$A49&amp;"'!$A$12:$Z$41"),MATCH("Points (Auto-generate)",INDIRECT("'"&amp;$A49&amp;"'!$A$12:$Z$12"),0),0)),"ER"))</f>
        <v>?</v>
      </c>
      <c r="AC49" s="87" t="str">
        <f aca="true">IF($H49=0,"NA",IF($A49=INDIRECT("'"&amp;$A49&amp;"'!$B$1"),IF(VLOOKUP(AC$1,INDIRECT("'"&amp;$A49&amp;"'!$A$12:$Z$41"),MATCH("Points (Auto-generate)",INDIRECT("'"&amp;$A49&amp;"'!$A$12:$Z$12"),0),0)="","?",VLOOKUP(AC$1,INDIRECT("'"&amp;$A49&amp;"'!$A$12:$Z$41"),MATCH("Points (Auto-generate)",INDIRECT("'"&amp;$A49&amp;"'!$A$12:$Z$12"),0),0)),"ER"))</f>
        <v>?</v>
      </c>
      <c r="AD49" s="87" t="str">
        <f aca="true">IF($H49=0,"NA",IF($A49=INDIRECT("'"&amp;$A49&amp;"'!$B$1"),IF(VLOOKUP(AD$1,INDIRECT("'"&amp;$A49&amp;"'!$A$12:$Z$41"),MATCH("Points (Auto-generate)",INDIRECT("'"&amp;$A49&amp;"'!$A$12:$Z$12"),0),0)="","?",VLOOKUP(AD$1,INDIRECT("'"&amp;$A49&amp;"'!$A$12:$Z$41"),MATCH("Points (Auto-generate)",INDIRECT("'"&amp;$A49&amp;"'!$A$12:$Z$12"),0),0)),"ER"))</f>
        <v>?</v>
      </c>
      <c r="AE49" s="87" t="str">
        <f aca="true">IF($H49=0,"NA",IF($A49=INDIRECT("'"&amp;$A49&amp;"'!$B$1"),IF(VLOOKUP(AE$1,INDIRECT("'"&amp;$A49&amp;"'!$A$12:$Z$41"),MATCH("Points (Auto-generate)",INDIRECT("'"&amp;$A49&amp;"'!$A$12:$Z$12"),0),0)="","?",VLOOKUP(AE$1,INDIRECT("'"&amp;$A49&amp;"'!$A$12:$Z$41"),MATCH("Points (Auto-generate)",INDIRECT("'"&amp;$A49&amp;"'!$A$12:$Z$12"),0),0)),"ER"))</f>
        <v>?</v>
      </c>
      <c r="AF49" s="87" t="str">
        <f aca="true">IF($H49=0,"NA",IF($A49=INDIRECT("'"&amp;$A49&amp;"'!$B$1"),IF(VLOOKUP(AF$1,INDIRECT("'"&amp;$A49&amp;"'!$A$12:$Z$41"),MATCH("Points (Auto-generate)",INDIRECT("'"&amp;$A49&amp;"'!$A$12:$Z$12"),0),0)="","?",VLOOKUP(AF$1,INDIRECT("'"&amp;$A49&amp;"'!$A$12:$Z$41"),MATCH("Points (Auto-generate)",INDIRECT("'"&amp;$A49&amp;"'!$A$12:$Z$12"),0),0)),"ER"))</f>
        <v>?</v>
      </c>
      <c r="AG49" s="87" t="str">
        <f aca="true">IF($H49=0,"NA",IF($A49=INDIRECT("'"&amp;$A49&amp;"'!$B$1"),IF(VLOOKUP(AG$1,INDIRECT("'"&amp;$A49&amp;"'!$A$12:$Z$41"),MATCH("Points (Auto-generate)",INDIRECT("'"&amp;$A49&amp;"'!$A$12:$Z$12"),0),0)="","?",VLOOKUP(AG$1,INDIRECT("'"&amp;$A49&amp;"'!$A$12:$Z$41"),MATCH("Points (Auto-generate)",INDIRECT("'"&amp;$A49&amp;"'!$A$12:$Z$12"),0),0)),"ER"))</f>
        <v>?</v>
      </c>
      <c r="AH49" s="87" t="str">
        <f aca="true">IF($H49=0,"NA",IF($A49=INDIRECT("'"&amp;$A49&amp;"'!$B$1"),IF(VLOOKUP(AH$1,INDIRECT("'"&amp;$A49&amp;"'!$A$12:$Z$41"),MATCH("Points (Auto-generate)",INDIRECT("'"&amp;$A49&amp;"'!$A$12:$Z$12"),0),0)="","?",VLOOKUP(AH$1,INDIRECT("'"&amp;$A49&amp;"'!$A$12:$Z$41"),MATCH("Points (Auto-generate)",INDIRECT("'"&amp;$A49&amp;"'!$A$12:$Z$12"),0),0)),"ER"))</f>
        <v>?</v>
      </c>
      <c r="AI49" s="87" t="str">
        <f aca="true">IF($H49=0,"NA",IF($A49=INDIRECT("'"&amp;$A49&amp;"'!$B$1"),IF(VLOOKUP(AI$1,INDIRECT("'"&amp;$A49&amp;"'!$A$12:$Z$41"),MATCH("Points (Auto-generate)",INDIRECT("'"&amp;$A49&amp;"'!$A$12:$Z$12"),0),0)="","?",VLOOKUP(AI$1,INDIRECT("'"&amp;$A49&amp;"'!$A$12:$Z$41"),MATCH("Points (Auto-generate)",INDIRECT("'"&amp;$A49&amp;"'!$A$12:$Z$12"),0),0)),"ER"))</f>
        <v>?</v>
      </c>
      <c r="AJ49" s="87" t="str">
        <f aca="true">IF($H49=0,"NA",IF($A49=INDIRECT("'"&amp;$A49&amp;"'!$B$1"),IF(VLOOKUP(AJ$1,INDIRECT("'"&amp;$A49&amp;"'!$A$12:$Z$41"),MATCH("Points (Auto-generate)",INDIRECT("'"&amp;$A49&amp;"'!$A$12:$Z$12"),0),0)="","?",VLOOKUP(AJ$1,INDIRECT("'"&amp;$A49&amp;"'!$A$12:$Z$41"),MATCH("Points (Auto-generate)",INDIRECT("'"&amp;$A49&amp;"'!$A$12:$Z$12"),0),0)),"ER"))</f>
        <v>?</v>
      </c>
      <c r="AK49" s="87" t="str">
        <f aca="true">IF($H49=0,"NA",IF($A49=INDIRECT("'"&amp;$A49&amp;"'!$B$1"),IF(VLOOKUP(AK$1,INDIRECT("'"&amp;$A49&amp;"'!$A$12:$Z$41"),MATCH("Points (Auto-generate)",INDIRECT("'"&amp;$A49&amp;"'!$A$12:$Z$12"),0),0)="","?",VLOOKUP(AK$1,INDIRECT("'"&amp;$A49&amp;"'!$A$12:$Z$41"),MATCH("Points (Auto-generate)",INDIRECT("'"&amp;$A49&amp;"'!$A$12:$Z$12"),0),0)),"ER"))</f>
        <v>?</v>
      </c>
    </row>
    <row r="50" customFormat="false" ht="14.25" hidden="false" customHeight="true" outlineLevel="0" collapsed="false">
      <c r="A50" s="83" t="s">
        <v>333</v>
      </c>
      <c r="B50" s="84" t="str">
        <f aca="false">IF(ISBLANK($A50),"NO_CODE",VLOOKUP($A50,'UPD Questions_290926 '!$E$1:$N$300,MATCH(B$1,'UPD Questions_290926 '!$E$1:$N$1,0),0)&amp;"")</f>
        <v>Implementation</v>
      </c>
      <c r="C50" s="84" t="str">
        <f aca="false">IF(ISBLANK($A50),"NO_CODE",VLOOKUP($A50,'UPD Questions_290926 '!$E$1:$N$300,MATCH(C$1,'UPD Questions_290926 '!$E$1:$N$1,0),0)&amp;"")</f>
        <v>Municipal/City Plan status, hierarchy and coordination</v>
      </c>
      <c r="D50" s="84" t="str">
        <f aca="false">IF(ISBLANK($A50),"NO_CODE",VLOOKUP($A50,'UPD Questions_290926 '!$E$1:$N$300,MATCH(D$1,'UPD Questions_290926 '!$E$1:$N$1,0),0)&amp;"")</f>
        <v>Shared spatial information and data coordination</v>
      </c>
      <c r="E50" s="84" t="str">
        <f aca="false">IF(ISBLANK($A50),"NO_CODE",VLOOKUP($A50,'UPD Questions_290926 '!$E$1:$N$300,MATCH(E$1,'UPD Questions_290926 '!$E$1:$N$1,0),0)&amp;"")</f>
        <v>MQ</v>
      </c>
      <c r="F50" s="84" t="str">
        <f aca="false">IF(ISBLANK($A50),"NO_CODE",VLOOKUP($A50,'UPD Questions_290926 '!$E$1:$N$300,MATCH(F$1,'UPD Questions_290926 '!$E$1:$N$1,0),0)&amp;"")</f>
        <v>Is there a common digital base municipal/city plan Map shared among Planning Authorities, and data updated through GIS with fixed periodicity by the relevent sectoral agencies (transport, network infrastructure, land use changes)</v>
      </c>
      <c r="G50" s="84" t="str">
        <f aca="false">IF(ISBLANK($A50),"NO_CODE",VLOOKUP($A50,'UPD Questions_290926 '!$E$1:$N$300,MATCH(G$1,'UPD Questions_290926 '!$E$1:$N$1,0),0)&amp;"")</f>
        <v>Implementation</v>
      </c>
      <c r="H50" s="86" t="n">
        <f aca="false">IF(ISBLANK($A50),"NO_CODE",VLOOKUP($A50,'UPD Questions_290926 '!$E$1:$N$300,MATCH(H$1,'UPD Questions_290926 '!$E$1:$N$1,0),0))</f>
        <v>10</v>
      </c>
      <c r="I50" s="87" t="str">
        <f aca="true">IF($H50=0,"NA",IF($A50=INDIRECT("'"&amp;$A50&amp;"'!$B$1"),IF(VLOOKUP(I$1,INDIRECT("'"&amp;$A50&amp;"'!$A$12:$Z$41"),MATCH("Points (Auto-generate)",INDIRECT("'"&amp;$A50&amp;"'!$A$12:$Z$12"),0),0)="","?",VLOOKUP(I$1,INDIRECT("'"&amp;$A50&amp;"'!$A$12:$Z$41"),MATCH("Points (Auto-generate)",INDIRECT("'"&amp;$A50&amp;"'!$A$12:$Z$12"),0),0)),"ER"))</f>
        <v>?</v>
      </c>
      <c r="J50" s="87" t="n">
        <f aca="true">IF($H50=0,"NA",IF($A50=INDIRECT("'"&amp;$A50&amp;"'!$B$1"),IF(VLOOKUP(J$1,INDIRECT("'"&amp;$A50&amp;"'!$A$12:$Z$41"),MATCH("Points (Auto-generate)",INDIRECT("'"&amp;$A50&amp;"'!$A$12:$Z$12"),0),0)="","?",VLOOKUP(J$1,INDIRECT("'"&amp;$A50&amp;"'!$A$12:$Z$41"),MATCH("Points (Auto-generate)",INDIRECT("'"&amp;$A50&amp;"'!$A$12:$Z$12"),0),0)),"ER"))</f>
        <v>10</v>
      </c>
      <c r="K50" s="87" t="str">
        <f aca="true">IF($H50=0,"NA",IF($A50=INDIRECT("'"&amp;$A50&amp;"'!$B$1"),IF(VLOOKUP(K$1,INDIRECT("'"&amp;$A50&amp;"'!$A$12:$Z$41"),MATCH("Points (Auto-generate)",INDIRECT("'"&amp;$A50&amp;"'!$A$12:$Z$12"),0),0)="","?",VLOOKUP(K$1,INDIRECT("'"&amp;$A50&amp;"'!$A$12:$Z$41"),MATCH("Points (Auto-generate)",INDIRECT("'"&amp;$A50&amp;"'!$A$12:$Z$12"),0),0)),"ER"))</f>
        <v>?</v>
      </c>
      <c r="L50" s="87" t="str">
        <f aca="true">IF($H50=0,"NA",IF($A50=INDIRECT("'"&amp;$A50&amp;"'!$B$1"),IF(VLOOKUP(L$1,INDIRECT("'"&amp;$A50&amp;"'!$A$12:$Z$41"),MATCH("Points (Auto-generate)",INDIRECT("'"&amp;$A50&amp;"'!$A$12:$Z$12"),0),0)="","?",VLOOKUP(L$1,INDIRECT("'"&amp;$A50&amp;"'!$A$12:$Z$41"),MATCH("Points (Auto-generate)",INDIRECT("'"&amp;$A50&amp;"'!$A$12:$Z$12"),0),0)),"ER"))</f>
        <v>?</v>
      </c>
      <c r="M50" s="87" t="str">
        <f aca="true">IF($H50=0,"NA",IF($A50=INDIRECT("'"&amp;$A50&amp;"'!$B$1"),IF(VLOOKUP(M$1,INDIRECT("'"&amp;$A50&amp;"'!$A$12:$Z$41"),MATCH("Points (Auto-generate)",INDIRECT("'"&amp;$A50&amp;"'!$A$12:$Z$12"),0),0)="","?",VLOOKUP(M$1,INDIRECT("'"&amp;$A50&amp;"'!$A$12:$Z$41"),MATCH("Points (Auto-generate)",INDIRECT("'"&amp;$A50&amp;"'!$A$12:$Z$12"),0),0)),"ER"))</f>
        <v>?</v>
      </c>
      <c r="N50" s="87" t="str">
        <f aca="true">IF($H50=0,"NA",IF($A50=INDIRECT("'"&amp;$A50&amp;"'!$B$1"),IF(VLOOKUP(N$1,INDIRECT("'"&amp;$A50&amp;"'!$A$12:$Z$41"),MATCH("Points (Auto-generate)",INDIRECT("'"&amp;$A50&amp;"'!$A$12:$Z$12"),0),0)="","?",VLOOKUP(N$1,INDIRECT("'"&amp;$A50&amp;"'!$A$12:$Z$41"),MATCH("Points (Auto-generate)",INDIRECT("'"&amp;$A50&amp;"'!$A$12:$Z$12"),0),0)),"ER"))</f>
        <v>?</v>
      </c>
      <c r="O50" s="87" t="str">
        <f aca="true">IF($H50=0,"NA",IF($A50=INDIRECT("'"&amp;$A50&amp;"'!$B$1"),IF(VLOOKUP(O$1,INDIRECT("'"&amp;$A50&amp;"'!$A$12:$Z$41"),MATCH("Points (Auto-generate)",INDIRECT("'"&amp;$A50&amp;"'!$A$12:$Z$12"),0),0)="","?",VLOOKUP(O$1,INDIRECT("'"&amp;$A50&amp;"'!$A$12:$Z$41"),MATCH("Points (Auto-generate)",INDIRECT("'"&amp;$A50&amp;"'!$A$12:$Z$12"),0),0)),"ER"))</f>
        <v>?</v>
      </c>
      <c r="P50" s="87" t="str">
        <f aca="true">IF($H50=0,"NA",IF($A50=INDIRECT("'"&amp;$A50&amp;"'!$B$1"),IF(VLOOKUP(P$1,INDIRECT("'"&amp;$A50&amp;"'!$A$12:$Z$41"),MATCH("Points (Auto-generate)",INDIRECT("'"&amp;$A50&amp;"'!$A$12:$Z$12"),0),0)="","?",VLOOKUP(P$1,INDIRECT("'"&amp;$A50&amp;"'!$A$12:$Z$41"),MATCH("Points (Auto-generate)",INDIRECT("'"&amp;$A50&amp;"'!$A$12:$Z$12"),0),0)),"ER"))</f>
        <v>?</v>
      </c>
      <c r="Q50" s="87" t="str">
        <f aca="true">IF($H50=0,"NA",IF($A50=INDIRECT("'"&amp;$A50&amp;"'!$B$1"),IF(VLOOKUP(Q$1,INDIRECT("'"&amp;$A50&amp;"'!$A$12:$Z$41"),MATCH("Points (Auto-generate)",INDIRECT("'"&amp;$A50&amp;"'!$A$12:$Z$12"),0),0)="","?",VLOOKUP(Q$1,INDIRECT("'"&amp;$A50&amp;"'!$A$12:$Z$41"),MATCH("Points (Auto-generate)",INDIRECT("'"&amp;$A50&amp;"'!$A$12:$Z$12"),0),0)),"ER"))</f>
        <v>?</v>
      </c>
      <c r="R50" s="87" t="str">
        <f aca="true">IF($H50=0,"NA",IF($A50=INDIRECT("'"&amp;$A50&amp;"'!$B$1"),IF(VLOOKUP(R$1,INDIRECT("'"&amp;$A50&amp;"'!$A$12:$Z$41"),MATCH("Points (Auto-generate)",INDIRECT("'"&amp;$A50&amp;"'!$A$12:$Z$12"),0),0)="","?",VLOOKUP(R$1,INDIRECT("'"&amp;$A50&amp;"'!$A$12:$Z$41"),MATCH("Points (Auto-generate)",INDIRECT("'"&amp;$A50&amp;"'!$A$12:$Z$12"),0),0)),"ER"))</f>
        <v>?</v>
      </c>
      <c r="S50" s="87" t="str">
        <f aca="true">IF($H50=0,"NA",IF($A50=INDIRECT("'"&amp;$A50&amp;"'!$B$1"),IF(VLOOKUP(S$1,INDIRECT("'"&amp;$A50&amp;"'!$A$12:$Z$41"),MATCH("Points (Auto-generate)",INDIRECT("'"&amp;$A50&amp;"'!$A$12:$Z$12"),0),0)="","?",VLOOKUP(S$1,INDIRECT("'"&amp;$A50&amp;"'!$A$12:$Z$41"),MATCH("Points (Auto-generate)",INDIRECT("'"&amp;$A50&amp;"'!$A$12:$Z$12"),0),0)),"ER"))</f>
        <v>?</v>
      </c>
      <c r="T50" s="87" t="str">
        <f aca="true">IF($H50=0,"NA",IF($A50=INDIRECT("'"&amp;$A50&amp;"'!$B$1"),IF(VLOOKUP(T$1,INDIRECT("'"&amp;$A50&amp;"'!$A$12:$Z$41"),MATCH("Points (Auto-generate)",INDIRECT("'"&amp;$A50&amp;"'!$A$12:$Z$12"),0),0)="","?",VLOOKUP(T$1,INDIRECT("'"&amp;$A50&amp;"'!$A$12:$Z$41"),MATCH("Points (Auto-generate)",INDIRECT("'"&amp;$A50&amp;"'!$A$12:$Z$12"),0),0)),"ER"))</f>
        <v>?</v>
      </c>
      <c r="U50" s="87" t="str">
        <f aca="true">IF($H50=0,"NA",IF($A50=INDIRECT("'"&amp;$A50&amp;"'!$B$1"),IF(VLOOKUP(U$1,INDIRECT("'"&amp;$A50&amp;"'!$A$12:$Z$41"),MATCH("Points (Auto-generate)",INDIRECT("'"&amp;$A50&amp;"'!$A$12:$Z$12"),0),0)="","?",VLOOKUP(U$1,INDIRECT("'"&amp;$A50&amp;"'!$A$12:$Z$41"),MATCH("Points (Auto-generate)",INDIRECT("'"&amp;$A50&amp;"'!$A$12:$Z$12"),0),0)),"ER"))</f>
        <v>?</v>
      </c>
      <c r="V50" s="87" t="str">
        <f aca="true">IF($H50=0,"NA",IF($A50=INDIRECT("'"&amp;$A50&amp;"'!$B$1"),IF(VLOOKUP(V$1,INDIRECT("'"&amp;$A50&amp;"'!$A$12:$Z$41"),MATCH("Points (Auto-generate)",INDIRECT("'"&amp;$A50&amp;"'!$A$12:$Z$12"),0),0)="","?",VLOOKUP(V$1,INDIRECT("'"&amp;$A50&amp;"'!$A$12:$Z$41"),MATCH("Points (Auto-generate)",INDIRECT("'"&amp;$A50&amp;"'!$A$12:$Z$12"),0),0)),"ER"))</f>
        <v>?</v>
      </c>
      <c r="W50" s="87" t="str">
        <f aca="true">IF($H50=0,"NA",IF($A50=INDIRECT("'"&amp;$A50&amp;"'!$B$1"),IF(VLOOKUP(W$1,INDIRECT("'"&amp;$A50&amp;"'!$A$12:$Z$41"),MATCH("Points (Auto-generate)",INDIRECT("'"&amp;$A50&amp;"'!$A$12:$Z$12"),0),0)="","?",VLOOKUP(W$1,INDIRECT("'"&amp;$A50&amp;"'!$A$12:$Z$41"),MATCH("Points (Auto-generate)",INDIRECT("'"&amp;$A50&amp;"'!$A$12:$Z$12"),0),0)),"ER"))</f>
        <v>?</v>
      </c>
      <c r="X50" s="87" t="str">
        <f aca="true">IF($H50=0,"NA",IF($A50=INDIRECT("'"&amp;$A50&amp;"'!$B$1"),IF(VLOOKUP(X$1,INDIRECT("'"&amp;$A50&amp;"'!$A$12:$Z$41"),MATCH("Points (Auto-generate)",INDIRECT("'"&amp;$A50&amp;"'!$A$12:$Z$12"),0),0)="","?",VLOOKUP(X$1,INDIRECT("'"&amp;$A50&amp;"'!$A$12:$Z$41"),MATCH("Points (Auto-generate)",INDIRECT("'"&amp;$A50&amp;"'!$A$12:$Z$12"),0),0)),"ER"))</f>
        <v>?</v>
      </c>
      <c r="Y50" s="87" t="str">
        <f aca="true">IF($H50=0,"NA",IF($A50=INDIRECT("'"&amp;$A50&amp;"'!$B$1"),IF(VLOOKUP(Y$1,INDIRECT("'"&amp;$A50&amp;"'!$A$12:$Z$41"),MATCH("Points (Auto-generate)",INDIRECT("'"&amp;$A50&amp;"'!$A$12:$Z$12"),0),0)="","?",VLOOKUP(Y$1,INDIRECT("'"&amp;$A50&amp;"'!$A$12:$Z$41"),MATCH("Points (Auto-generate)",INDIRECT("'"&amp;$A50&amp;"'!$A$12:$Z$12"),0),0)),"ER"))</f>
        <v>?</v>
      </c>
      <c r="Z50" s="87" t="str">
        <f aca="true">IF($H50=0,"NA",IF($A50=INDIRECT("'"&amp;$A50&amp;"'!$B$1"),IF(VLOOKUP(Z$1,INDIRECT("'"&amp;$A50&amp;"'!$A$12:$Z$41"),MATCH("Points (Auto-generate)",INDIRECT("'"&amp;$A50&amp;"'!$A$12:$Z$12"),0),0)="","?",VLOOKUP(Z$1,INDIRECT("'"&amp;$A50&amp;"'!$A$12:$Z$41"),MATCH("Points (Auto-generate)",INDIRECT("'"&amp;$A50&amp;"'!$A$12:$Z$12"),0),0)),"ER"))</f>
        <v>?</v>
      </c>
      <c r="AA50" s="87" t="str">
        <f aca="true">IF($H50=0,"NA",IF($A50=INDIRECT("'"&amp;$A50&amp;"'!$B$1"),IF(VLOOKUP(AA$1,INDIRECT("'"&amp;$A50&amp;"'!$A$12:$Z$41"),MATCH("Points (Auto-generate)",INDIRECT("'"&amp;$A50&amp;"'!$A$12:$Z$12"),0),0)="","?",VLOOKUP(AA$1,INDIRECT("'"&amp;$A50&amp;"'!$A$12:$Z$41"),MATCH("Points (Auto-generate)",INDIRECT("'"&amp;$A50&amp;"'!$A$12:$Z$12"),0),0)),"ER"))</f>
        <v>?</v>
      </c>
      <c r="AB50" s="87" t="str">
        <f aca="true">IF($H50=0,"NA",IF($A50=INDIRECT("'"&amp;$A50&amp;"'!$B$1"),IF(VLOOKUP(AB$1,INDIRECT("'"&amp;$A50&amp;"'!$A$12:$Z$41"),MATCH("Points (Auto-generate)",INDIRECT("'"&amp;$A50&amp;"'!$A$12:$Z$12"),0),0)="","?",VLOOKUP(AB$1,INDIRECT("'"&amp;$A50&amp;"'!$A$12:$Z$41"),MATCH("Points (Auto-generate)",INDIRECT("'"&amp;$A50&amp;"'!$A$12:$Z$12"),0),0)),"ER"))</f>
        <v>?</v>
      </c>
      <c r="AC50" s="87" t="str">
        <f aca="true">IF($H50=0,"NA",IF($A50=INDIRECT("'"&amp;$A50&amp;"'!$B$1"),IF(VLOOKUP(AC$1,INDIRECT("'"&amp;$A50&amp;"'!$A$12:$Z$41"),MATCH("Points (Auto-generate)",INDIRECT("'"&amp;$A50&amp;"'!$A$12:$Z$12"),0),0)="","?",VLOOKUP(AC$1,INDIRECT("'"&amp;$A50&amp;"'!$A$12:$Z$41"),MATCH("Points (Auto-generate)",INDIRECT("'"&amp;$A50&amp;"'!$A$12:$Z$12"),0),0)),"ER"))</f>
        <v>?</v>
      </c>
      <c r="AD50" s="87" t="str">
        <f aca="true">IF($H50=0,"NA",IF($A50=INDIRECT("'"&amp;$A50&amp;"'!$B$1"),IF(VLOOKUP(AD$1,INDIRECT("'"&amp;$A50&amp;"'!$A$12:$Z$41"),MATCH("Points (Auto-generate)",INDIRECT("'"&amp;$A50&amp;"'!$A$12:$Z$12"),0),0)="","?",VLOOKUP(AD$1,INDIRECT("'"&amp;$A50&amp;"'!$A$12:$Z$41"),MATCH("Points (Auto-generate)",INDIRECT("'"&amp;$A50&amp;"'!$A$12:$Z$12"),0),0)),"ER"))</f>
        <v>?</v>
      </c>
      <c r="AE50" s="87" t="str">
        <f aca="true">IF($H50=0,"NA",IF($A50=INDIRECT("'"&amp;$A50&amp;"'!$B$1"),IF(VLOOKUP(AE$1,INDIRECT("'"&amp;$A50&amp;"'!$A$12:$Z$41"),MATCH("Points (Auto-generate)",INDIRECT("'"&amp;$A50&amp;"'!$A$12:$Z$12"),0),0)="","?",VLOOKUP(AE$1,INDIRECT("'"&amp;$A50&amp;"'!$A$12:$Z$41"),MATCH("Points (Auto-generate)",INDIRECT("'"&amp;$A50&amp;"'!$A$12:$Z$12"),0),0)),"ER"))</f>
        <v>?</v>
      </c>
      <c r="AF50" s="87" t="str">
        <f aca="true">IF($H50=0,"NA",IF($A50=INDIRECT("'"&amp;$A50&amp;"'!$B$1"),IF(VLOOKUP(AF$1,INDIRECT("'"&amp;$A50&amp;"'!$A$12:$Z$41"),MATCH("Points (Auto-generate)",INDIRECT("'"&amp;$A50&amp;"'!$A$12:$Z$12"),0),0)="","?",VLOOKUP(AF$1,INDIRECT("'"&amp;$A50&amp;"'!$A$12:$Z$41"),MATCH("Points (Auto-generate)",INDIRECT("'"&amp;$A50&amp;"'!$A$12:$Z$12"),0),0)),"ER"))</f>
        <v>?</v>
      </c>
      <c r="AG50" s="87" t="str">
        <f aca="true">IF($H50=0,"NA",IF($A50=INDIRECT("'"&amp;$A50&amp;"'!$B$1"),IF(VLOOKUP(AG$1,INDIRECT("'"&amp;$A50&amp;"'!$A$12:$Z$41"),MATCH("Points (Auto-generate)",INDIRECT("'"&amp;$A50&amp;"'!$A$12:$Z$12"),0),0)="","?",VLOOKUP(AG$1,INDIRECT("'"&amp;$A50&amp;"'!$A$12:$Z$41"),MATCH("Points (Auto-generate)",INDIRECT("'"&amp;$A50&amp;"'!$A$12:$Z$12"),0),0)),"ER"))</f>
        <v>?</v>
      </c>
      <c r="AH50" s="87" t="str">
        <f aca="true">IF($H50=0,"NA",IF($A50=INDIRECT("'"&amp;$A50&amp;"'!$B$1"),IF(VLOOKUP(AH$1,INDIRECT("'"&amp;$A50&amp;"'!$A$12:$Z$41"),MATCH("Points (Auto-generate)",INDIRECT("'"&amp;$A50&amp;"'!$A$12:$Z$12"),0),0)="","?",VLOOKUP(AH$1,INDIRECT("'"&amp;$A50&amp;"'!$A$12:$Z$41"),MATCH("Points (Auto-generate)",INDIRECT("'"&amp;$A50&amp;"'!$A$12:$Z$12"),0),0)),"ER"))</f>
        <v>?</v>
      </c>
      <c r="AI50" s="87" t="str">
        <f aca="true">IF($H50=0,"NA",IF($A50=INDIRECT("'"&amp;$A50&amp;"'!$B$1"),IF(VLOOKUP(AI$1,INDIRECT("'"&amp;$A50&amp;"'!$A$12:$Z$41"),MATCH("Points (Auto-generate)",INDIRECT("'"&amp;$A50&amp;"'!$A$12:$Z$12"),0),0)="","?",VLOOKUP(AI$1,INDIRECT("'"&amp;$A50&amp;"'!$A$12:$Z$41"),MATCH("Points (Auto-generate)",INDIRECT("'"&amp;$A50&amp;"'!$A$12:$Z$12"),0),0)),"ER"))</f>
        <v>?</v>
      </c>
      <c r="AJ50" s="87" t="str">
        <f aca="true">IF($H50=0,"NA",IF($A50=INDIRECT("'"&amp;$A50&amp;"'!$B$1"),IF(VLOOKUP(AJ$1,INDIRECT("'"&amp;$A50&amp;"'!$A$12:$Z$41"),MATCH("Points (Auto-generate)",INDIRECT("'"&amp;$A50&amp;"'!$A$12:$Z$12"),0),0)="","?",VLOOKUP(AJ$1,INDIRECT("'"&amp;$A50&amp;"'!$A$12:$Z$41"),MATCH("Points (Auto-generate)",INDIRECT("'"&amp;$A50&amp;"'!$A$12:$Z$12"),0),0)),"ER"))</f>
        <v>?</v>
      </c>
      <c r="AK50" s="87" t="str">
        <f aca="true">IF($H50=0,"NA",IF($A50=INDIRECT("'"&amp;$A50&amp;"'!$B$1"),IF(VLOOKUP(AK$1,INDIRECT("'"&amp;$A50&amp;"'!$A$12:$Z$41"),MATCH("Points (Auto-generate)",INDIRECT("'"&amp;$A50&amp;"'!$A$12:$Z$12"),0),0)="","?",VLOOKUP(AK$1,INDIRECT("'"&amp;$A50&amp;"'!$A$12:$Z$41"),MATCH("Points (Auto-generate)",INDIRECT("'"&amp;$A50&amp;"'!$A$12:$Z$12"),0),0)),"ER"))</f>
        <v>?</v>
      </c>
    </row>
    <row r="51" customFormat="false" ht="14.25" hidden="false" customHeight="true" outlineLevel="0" collapsed="false">
      <c r="A51" s="83" t="s">
        <v>807</v>
      </c>
      <c r="B51" s="84" t="str">
        <f aca="false">IF(ISBLANK($A51),"NO_CODE",VLOOKUP($A51,'UPD Questions_290926 '!$E$1:$N$300,MATCH(B$1,'UPD Questions_290926 '!$E$1:$N$1,0),0)&amp;"")</f>
        <v>Implementation</v>
      </c>
      <c r="C51" s="84" t="str">
        <f aca="false">IF(ISBLANK($A51),"NO_CODE",VLOOKUP($A51,'UPD Questions_290926 '!$E$1:$N$300,MATCH(C$1,'UPD Questions_290926 '!$E$1:$N$1,0),0)&amp;"")</f>
        <v>Sectoral planning</v>
      </c>
      <c r="D51" s="84" t="str">
        <f aca="false">IF(ISBLANK($A51),"NO_CODE",VLOOKUP($A51,'UPD Questions_290926 '!$E$1:$N$300,MATCH(D$1,'UPD Questions_290926 '!$E$1:$N$1,0),0)&amp;"")</f>
        <v>Water supply and sewerage, sanitation, solid waste management </v>
      </c>
      <c r="E51" s="84" t="str">
        <f aca="false">IF(ISBLANK($A51),"NO_CODE",VLOOKUP($A51,'UPD Questions_290926 '!$E$1:$N$300,MATCH(E$1,'UPD Questions_290926 '!$E$1:$N$1,0),0)&amp;"")</f>
        <v>MQ</v>
      </c>
      <c r="F51" s="84" t="str">
        <f aca="false">IF(ISBLANK($A51),"NO_CODE",VLOOKUP($A51,'UPD Questions_290926 '!$E$1:$N$300,MATCH(F$1,'UPD Questions_290926 '!$E$1:$N$1,0),0)&amp;"")</f>
        <v>Does the city have a Water Supply and Sewerage Plan, City Sanitation Plan, and Solid Waste Management Plan  that clearly articulates development priorities, measurable objectives, and the roles and responsibilities of the ULG?</v>
      </c>
      <c r="G51" s="84" t="str">
        <f aca="false">IF(ISBLANK($A51),"NO_CODE",VLOOKUP($A51,'UPD Questions_290926 '!$E$1:$N$300,MATCH(G$1,'UPD Questions_290926 '!$E$1:$N$1,0),0)&amp;"")</f>
        <v>Implementation</v>
      </c>
      <c r="H51" s="86" t="n">
        <f aca="false">IF(ISBLANK($A51),"NO_CODE",VLOOKUP($A51,'UPD Questions_290926 '!$E$1:$N$300,MATCH(H$1,'UPD Questions_290926 '!$E$1:$N$1,0),0))</f>
        <v>10</v>
      </c>
      <c r="I51" s="87" t="str">
        <f aca="false">IF(OR(I52="ER",I56="ER",I60="ER"),"ER",IF(OR(I52="?",I56="?",I60="?"),"?",IF(AND(I52="NA",I56="NA",I60="NA"),"NA",SUM(I52,I56,I60)/((I52&lt;&gt;"NA")*$H$52+(I56&lt;&gt;"NA")*$H$56+(I60&lt;&gt;"NA")*$H$60)*$H51)))</f>
        <v>?</v>
      </c>
      <c r="J51" s="87" t="n">
        <f aca="false">IF(OR(J52="ER",J56="ER",J60="ER"),"ER",IF(OR(J52="?",J56="?",J60="?"),"?",IF(AND(J52="NA",J56="NA",J60="NA"),"NA",SUM(J52,J56,J60)/((J52&lt;&gt;"NA")*$H$52+(J56&lt;&gt;"NA")*$H$56+(J60&lt;&gt;"NA")*$H$60)*$H51)))</f>
        <v>2.22222222222222</v>
      </c>
      <c r="K51" s="87" t="str">
        <f aca="false">IF(OR(K52="ER",K56="ER",K60="ER"),"ER",IF(OR(K52="?",K56="?",K60="?"),"?",IF(AND(K52="NA",K56="NA",K60="NA"),"NA",SUM(K52,K56,K60)/((K52&lt;&gt;"NA")*$H$52+(K56&lt;&gt;"NA")*$H$56+(K60&lt;&gt;"NA")*$H$60)*$H51)))</f>
        <v>?</v>
      </c>
      <c r="L51" s="87" t="str">
        <f aca="false">IF(OR(L52="ER",L56="ER",L60="ER"),"ER",IF(OR(L52="?",L56="?",L60="?"),"?",IF(AND(L52="NA",L56="NA",L60="NA"),"NA",SUM(L52,L56,L60)/((L52&lt;&gt;"NA")*$H$52+(L56&lt;&gt;"NA")*$H$56+(L60&lt;&gt;"NA")*$H$60)*$H51)))</f>
        <v>?</v>
      </c>
      <c r="M51" s="87" t="str">
        <f aca="false">IF(OR(M52="ER",M56="ER",M60="ER"),"ER",IF(OR(M52="?",M56="?",M60="?"),"?",IF(AND(M52="NA",M56="NA",M60="NA"),"NA",SUM(M52,M56,M60)/((M52&lt;&gt;"NA")*$H$52+(M56&lt;&gt;"NA")*$H$56+(M60&lt;&gt;"NA")*$H$60)*$H51)))</f>
        <v>?</v>
      </c>
      <c r="N51" s="87" t="str">
        <f aca="false">IF(OR(N52="ER",N56="ER",N60="ER"),"ER",IF(OR(N52="?",N56="?",N60="?"),"?",IF(AND(N52="NA",N56="NA",N60="NA"),"NA",SUM(N52,N56,N60)/((N52&lt;&gt;"NA")*$H$52+(N56&lt;&gt;"NA")*$H$56+(N60&lt;&gt;"NA")*$H$60)*$H51)))</f>
        <v>?</v>
      </c>
      <c r="O51" s="87" t="str">
        <f aca="false">IF(OR(O52="ER",O56="ER",O60="ER"),"ER",IF(OR(O52="?",O56="?",O60="?"),"?",IF(AND(O52="NA",O56="NA",O60="NA"),"NA",SUM(O52,O56,O60)/((O52&lt;&gt;"NA")*$H$52+(O56&lt;&gt;"NA")*$H$56+(O60&lt;&gt;"NA")*$H$60)*$H51)))</f>
        <v>?</v>
      </c>
      <c r="P51" s="87" t="str">
        <f aca="false">IF(OR(P52="ER",P56="ER",P60="ER"),"ER",IF(OR(P52="?",P56="?",P60="?"),"?",IF(AND(P52="NA",P56="NA",P60="NA"),"NA",SUM(P52,P56,P60)/((P52&lt;&gt;"NA")*$H$52+(P56&lt;&gt;"NA")*$H$56+(P60&lt;&gt;"NA")*$H$60)*$H51)))</f>
        <v>?</v>
      </c>
      <c r="Q51" s="87" t="str">
        <f aca="false">IF(OR(Q52="ER",Q56="ER",Q60="ER"),"ER",IF(OR(Q52="?",Q56="?",Q60="?"),"?",IF(AND(Q52="NA",Q56="NA",Q60="NA"),"NA",SUM(Q52,Q56,Q60)/((Q52&lt;&gt;"NA")*$H$52+(Q56&lt;&gt;"NA")*$H$56+(Q60&lt;&gt;"NA")*$H$60)*$H51)))</f>
        <v>?</v>
      </c>
      <c r="R51" s="87" t="str">
        <f aca="false">IF(OR(R52="ER",R56="ER",R60="ER"),"ER",IF(OR(R52="?",R56="?",R60="?"),"?",IF(AND(R52="NA",R56="NA",R60="NA"),"NA",SUM(R52,R56,R60)/((R52&lt;&gt;"NA")*$H$52+(R56&lt;&gt;"NA")*$H$56+(R60&lt;&gt;"NA")*$H$60)*$H51)))</f>
        <v>?</v>
      </c>
      <c r="S51" s="87" t="str">
        <f aca="false">IF(OR(S52="ER",S56="ER",S60="ER"),"ER",IF(OR(S52="?",S56="?",S60="?"),"?",IF(AND(S52="NA",S56="NA",S60="NA"),"NA",SUM(S52,S56,S60)/((S52&lt;&gt;"NA")*$H$52+(S56&lt;&gt;"NA")*$H$56+(S60&lt;&gt;"NA")*$H$60)*$H51)))</f>
        <v>?</v>
      </c>
      <c r="T51" s="87" t="str">
        <f aca="false">IF(OR(T52="ER",T56="ER",T60="ER"),"ER",IF(OR(T52="?",T56="?",T60="?"),"?",IF(AND(T52="NA",T56="NA",T60="NA"),"NA",SUM(T52,T56,T60)/((T52&lt;&gt;"NA")*$H$52+(T56&lt;&gt;"NA")*$H$56+(T60&lt;&gt;"NA")*$H$60)*$H51)))</f>
        <v>?</v>
      </c>
      <c r="U51" s="87" t="str">
        <f aca="false">IF(OR(U52="ER",U56="ER",U60="ER"),"ER",IF(OR(U52="?",U56="?",U60="?"),"?",IF(AND(U52="NA",U56="NA",U60="NA"),"NA",SUM(U52,U56,U60)/((U52&lt;&gt;"NA")*$H$52+(U56&lt;&gt;"NA")*$H$56+(U60&lt;&gt;"NA")*$H$60)*$H51)))</f>
        <v>?</v>
      </c>
      <c r="V51" s="87" t="str">
        <f aca="false">IF(OR(V52="ER",V56="ER",V60="ER"),"ER",IF(OR(V52="?",V56="?",V60="?"),"?",IF(AND(V52="NA",V56="NA",V60="NA"),"NA",SUM(V52,V56,V60)/((V52&lt;&gt;"NA")*$H$52+(V56&lt;&gt;"NA")*$H$56+(V60&lt;&gt;"NA")*$H$60)*$H51)))</f>
        <v>?</v>
      </c>
      <c r="W51" s="87" t="str">
        <f aca="false">IF(OR(W52="ER",W56="ER",W60="ER"),"ER",IF(OR(W52="?",W56="?",W60="?"),"?",IF(AND(W52="NA",W56="NA",W60="NA"),"NA",SUM(W52,W56,W60)/((W52&lt;&gt;"NA")*$H$52+(W56&lt;&gt;"NA")*$H$56+(W60&lt;&gt;"NA")*$H$60)*$H51)))</f>
        <v>?</v>
      </c>
      <c r="X51" s="87" t="str">
        <f aca="false">IF(OR(X52="ER",X56="ER",X60="ER"),"ER",IF(OR(X52="?",X56="?",X60="?"),"?",IF(AND(X52="NA",X56="NA",X60="NA"),"NA",SUM(X52,X56,X60)/((X52&lt;&gt;"NA")*$H$52+(X56&lt;&gt;"NA")*$H$56+(X60&lt;&gt;"NA")*$H$60)*$H51)))</f>
        <v>?</v>
      </c>
      <c r="Y51" s="87" t="str">
        <f aca="false">IF(OR(Y52="ER",Y56="ER",Y60="ER"),"ER",IF(OR(Y52="?",Y56="?",Y60="?"),"?",IF(AND(Y52="NA",Y56="NA",Y60="NA"),"NA",SUM(Y52,Y56,Y60)/((Y52&lt;&gt;"NA")*$H$52+(Y56&lt;&gt;"NA")*$H$56+(Y60&lt;&gt;"NA")*$H$60)*$H51)))</f>
        <v>?</v>
      </c>
      <c r="Z51" s="87" t="str">
        <f aca="false">IF(OR(Z52="ER",Z56="ER",Z60="ER"),"ER",IF(OR(Z52="?",Z56="?",Z60="?"),"?",IF(AND(Z52="NA",Z56="NA",Z60="NA"),"NA",SUM(Z52,Z56,Z60)/((Z52&lt;&gt;"NA")*$H$52+(Z56&lt;&gt;"NA")*$H$56+(Z60&lt;&gt;"NA")*$H$60)*$H51)))</f>
        <v>?</v>
      </c>
      <c r="AA51" s="87" t="str">
        <f aca="false">IF(OR(AA52="ER",AA56="ER",AA60="ER"),"ER",IF(OR(AA52="?",AA56="?",AA60="?"),"?",IF(AND(AA52="NA",AA56="NA",AA60="NA"),"NA",SUM(AA52,AA56,AA60)/((AA52&lt;&gt;"NA")*$H$52+(AA56&lt;&gt;"NA")*$H$56+(AA60&lt;&gt;"NA")*$H$60)*$H51)))</f>
        <v>?</v>
      </c>
      <c r="AB51" s="87" t="str">
        <f aca="false">IF(OR(AB52="ER",AB56="ER",AB60="ER"),"ER",IF(OR(AB52="?",AB56="?",AB60="?"),"?",IF(AND(AB52="NA",AB56="NA",AB60="NA"),"NA",SUM(AB52,AB56,AB60)/((AB52&lt;&gt;"NA")*$H$52+(AB56&lt;&gt;"NA")*$H$56+(AB60&lt;&gt;"NA")*$H$60)*$H51)))</f>
        <v>?</v>
      </c>
      <c r="AC51" s="87" t="str">
        <f aca="false">IF(OR(AC52="ER",AC56="ER",AC60="ER"),"ER",IF(OR(AC52="?",AC56="?",AC60="?"),"?",IF(AND(AC52="NA",AC56="NA",AC60="NA"),"NA",SUM(AC52,AC56,AC60)/((AC52&lt;&gt;"NA")*$H$52+(AC56&lt;&gt;"NA")*$H$56+(AC60&lt;&gt;"NA")*$H$60)*$H51)))</f>
        <v>?</v>
      </c>
      <c r="AD51" s="87" t="str">
        <f aca="false">IF(OR(AD52="ER",AD56="ER",AD60="ER"),"ER",IF(OR(AD52="?",AD56="?",AD60="?"),"?",IF(AND(AD52="NA",AD56="NA",AD60="NA"),"NA",SUM(AD52,AD56,AD60)/((AD52&lt;&gt;"NA")*$H$52+(AD56&lt;&gt;"NA")*$H$56+(AD60&lt;&gt;"NA")*$H$60)*$H51)))</f>
        <v>?</v>
      </c>
      <c r="AE51" s="87" t="str">
        <f aca="false">IF(OR(AE52="ER",AE56="ER",AE60="ER"),"ER",IF(OR(AE52="?",AE56="?",AE60="?"),"?",IF(AND(AE52="NA",AE56="NA",AE60="NA"),"NA",SUM(AE52,AE56,AE60)/((AE52&lt;&gt;"NA")*$H$52+(AE56&lt;&gt;"NA")*$H$56+(AE60&lt;&gt;"NA")*$H$60)*$H51)))</f>
        <v>?</v>
      </c>
      <c r="AF51" s="87" t="str">
        <f aca="false">IF(OR(AF52="ER",AF56="ER",AF60="ER"),"ER",IF(OR(AF52="?",AF56="?",AF60="?"),"?",IF(AND(AF52="NA",AF56="NA",AF60="NA"),"NA",SUM(AF52,AF56,AF60)/((AF52&lt;&gt;"NA")*$H$52+(AF56&lt;&gt;"NA")*$H$56+(AF60&lt;&gt;"NA")*$H$60)*$H51)))</f>
        <v>?</v>
      </c>
      <c r="AG51" s="87" t="str">
        <f aca="false">IF(OR(AG52="ER",AG56="ER",AG60="ER"),"ER",IF(OR(AG52="?",AG56="?",AG60="?"),"?",IF(AND(AG52="NA",AG56="NA",AG60="NA"),"NA",SUM(AG52,AG56,AG60)/((AG52&lt;&gt;"NA")*$H$52+(AG56&lt;&gt;"NA")*$H$56+(AG60&lt;&gt;"NA")*$H$60)*$H51)))</f>
        <v>?</v>
      </c>
      <c r="AH51" s="87" t="str">
        <f aca="false">IF(OR(AH52="ER",AH56="ER",AH60="ER"),"ER",IF(OR(AH52="?",AH56="?",AH60="?"),"?",IF(AND(AH52="NA",AH56="NA",AH60="NA"),"NA",SUM(AH52,AH56,AH60)/((AH52&lt;&gt;"NA")*$H$52+(AH56&lt;&gt;"NA")*$H$56+(AH60&lt;&gt;"NA")*$H$60)*$H51)))</f>
        <v>?</v>
      </c>
      <c r="AI51" s="87" t="str">
        <f aca="false">IF(OR(AI52="ER",AI56="ER",AI60="ER"),"ER",IF(OR(AI52="?",AI56="?",AI60="?"),"?",IF(AND(AI52="NA",AI56="NA",AI60="NA"),"NA",SUM(AI52,AI56,AI60)/((AI52&lt;&gt;"NA")*$H$52+(AI56&lt;&gt;"NA")*$H$56+(AI60&lt;&gt;"NA")*$H$60)*$H51)))</f>
        <v>?</v>
      </c>
      <c r="AJ51" s="87" t="str">
        <f aca="false">IF(OR(AJ52="ER",AJ56="ER",AJ60="ER"),"ER",IF(OR(AJ52="?",AJ56="?",AJ60="?"),"?",IF(AND(AJ52="NA",AJ56="NA",AJ60="NA"),"NA",SUM(AJ52,AJ56,AJ60)/((AJ52&lt;&gt;"NA")*$H$52+(AJ56&lt;&gt;"NA")*$H$56+(AJ60&lt;&gt;"NA")*$H$60)*$H51)))</f>
        <v>?</v>
      </c>
      <c r="AK51" s="87" t="str">
        <f aca="false">IF(OR(AK52="ER",AK56="ER",AK60="ER"),"ER",IF(OR(AK52="?",AK56="?",AK60="?"),"?",IF(AND(AK52="NA",AK56="NA",AK60="NA"),"NA",SUM(AK52,AK56,AK60)/((AK52&lt;&gt;"NA")*$H$52+(AK56&lt;&gt;"NA")*$H$56+(AK60&lt;&gt;"NA")*$H$60)*$H51)))</f>
        <v>?</v>
      </c>
    </row>
    <row r="52" customFormat="false" ht="14.25" hidden="false" customHeight="true" outlineLevel="0" collapsed="false">
      <c r="A52" s="83" t="s">
        <v>337</v>
      </c>
      <c r="B52" s="84" t="str">
        <f aca="false">IF(ISBLANK($A52),"NO_CODE",VLOOKUP($A52,'UPD Questions_290926 '!$E$1:$N$300,MATCH(B$1,'UPD Questions_290926 '!$E$1:$N$1,0),0)&amp;"")</f>
        <v>Implementation</v>
      </c>
      <c r="C52" s="84" t="str">
        <f aca="false">IF(ISBLANK($A52),"NO_CODE",VLOOKUP($A52,'UPD Questions_290926 '!$E$1:$N$300,MATCH(C$1,'UPD Questions_290926 '!$E$1:$N$1,0),0)&amp;"")</f>
        <v>Sectoral planning</v>
      </c>
      <c r="D52" s="84" t="str">
        <f aca="false">IF(ISBLANK($A52),"NO_CODE",VLOOKUP($A52,'UPD Questions_290926 '!$E$1:$N$300,MATCH(D$1,'UPD Questions_290926 '!$E$1:$N$1,0),0)&amp;"")</f>
        <v>Water supply and sewerage, sanitation, solid waste management </v>
      </c>
      <c r="E52" s="84" t="str">
        <f aca="false">IF(ISBLANK($A52),"NO_CODE",VLOOKUP($A52,'UPD Questions_290926 '!$E$1:$N$300,MATCH(E$1,'UPD Questions_290926 '!$E$1:$N$1,0),0)&amp;"")</f>
        <v>SQ</v>
      </c>
      <c r="F52" s="84" t="str">
        <f aca="false">IF(ISBLANK($A52),"NO_CODE",VLOOKUP($A52,'UPD Questions_290926 '!$E$1:$N$300,MATCH(F$1,'UPD Questions_290926 '!$E$1:$N$1,0),0)&amp;"")</f>
        <v>Does the city have a notified and active Plan?</v>
      </c>
      <c r="G52" s="84" t="str">
        <f aca="false">IF(ISBLANK($A52),"NO_CODE",VLOOKUP($A52,'UPD Questions_290926 '!$E$1:$N$300,MATCH(G$1,'UPD Questions_290926 '!$E$1:$N$1,0),0)&amp;"")</f>
        <v>Implementation</v>
      </c>
      <c r="H52" s="86" t="n">
        <f aca="false">IF(ISBLANK($A52),"NO_CODE",VLOOKUP($A52,'UPD Questions_290926 '!$E$1:$N$300,MATCH(H$1,'UPD Questions_290926 '!$E$1:$N$1,0),0))</f>
        <v>3.33</v>
      </c>
      <c r="I52" s="87" t="str">
        <f aca="true">IF($H52=0,"NA",IF($A52=INDIRECT("'"&amp;$A52&amp;"'!$B$1"),IF(VLOOKUP(I$1,INDIRECT("'"&amp;$A52&amp;"'!$A$12:$Z$41"),MATCH("Points (Auto-generate)",INDIRECT("'"&amp;$A52&amp;"'!$A$12:$Z$12"),0),0)="","?",VLOOKUP(I$1,INDIRECT("'"&amp;$A52&amp;"'!$A$12:$Z$41"),MATCH("Points (Auto-generate)",INDIRECT("'"&amp;$A52&amp;"'!$A$12:$Z$12"),0),0)),"ER"))</f>
        <v>?</v>
      </c>
      <c r="J52" s="87" t="n">
        <f aca="true">IF($H52=0,"NA",IF($A52=INDIRECT("'"&amp;$A52&amp;"'!$B$1"),IF(VLOOKUP(J$1,INDIRECT("'"&amp;$A52&amp;"'!$A$12:$Z$41"),MATCH("Points (Auto-generate)",INDIRECT("'"&amp;$A52&amp;"'!$A$12:$Z$12"),0),0)="","?",VLOOKUP(J$1,INDIRECT("'"&amp;$A52&amp;"'!$A$12:$Z$41"),MATCH("Points (Auto-generate)",INDIRECT("'"&amp;$A52&amp;"'!$A$12:$Z$12"),0),0)),"ER"))</f>
        <v>1.11</v>
      </c>
      <c r="K52" s="87" t="str">
        <f aca="true">IF($H52=0,"NA",IF($A52=INDIRECT("'"&amp;$A52&amp;"'!$B$1"),IF(VLOOKUP(K$1,INDIRECT("'"&amp;$A52&amp;"'!$A$12:$Z$41"),MATCH("Points (Auto-generate)",INDIRECT("'"&amp;$A52&amp;"'!$A$12:$Z$12"),0),0)="","?",VLOOKUP(K$1,INDIRECT("'"&amp;$A52&amp;"'!$A$12:$Z$41"),MATCH("Points (Auto-generate)",INDIRECT("'"&amp;$A52&amp;"'!$A$12:$Z$12"),0),0)),"ER"))</f>
        <v>?</v>
      </c>
      <c r="L52" s="87" t="str">
        <f aca="true">IF($H52=0,"NA",IF($A52=INDIRECT("'"&amp;$A52&amp;"'!$B$1"),IF(VLOOKUP(L$1,INDIRECT("'"&amp;$A52&amp;"'!$A$12:$Z$41"),MATCH("Points (Auto-generate)",INDIRECT("'"&amp;$A52&amp;"'!$A$12:$Z$12"),0),0)="","?",VLOOKUP(L$1,INDIRECT("'"&amp;$A52&amp;"'!$A$12:$Z$41"),MATCH("Points (Auto-generate)",INDIRECT("'"&amp;$A52&amp;"'!$A$12:$Z$12"),0),0)),"ER"))</f>
        <v>?</v>
      </c>
      <c r="M52" s="87" t="str">
        <f aca="true">IF($H52=0,"NA",IF($A52=INDIRECT("'"&amp;$A52&amp;"'!$B$1"),IF(VLOOKUP(M$1,INDIRECT("'"&amp;$A52&amp;"'!$A$12:$Z$41"),MATCH("Points (Auto-generate)",INDIRECT("'"&amp;$A52&amp;"'!$A$12:$Z$12"),0),0)="","?",VLOOKUP(M$1,INDIRECT("'"&amp;$A52&amp;"'!$A$12:$Z$41"),MATCH("Points (Auto-generate)",INDIRECT("'"&amp;$A52&amp;"'!$A$12:$Z$12"),0),0)),"ER"))</f>
        <v>?</v>
      </c>
      <c r="N52" s="87" t="str">
        <f aca="true">IF($H52=0,"NA",IF($A52=INDIRECT("'"&amp;$A52&amp;"'!$B$1"),IF(VLOOKUP(N$1,INDIRECT("'"&amp;$A52&amp;"'!$A$12:$Z$41"),MATCH("Points (Auto-generate)",INDIRECT("'"&amp;$A52&amp;"'!$A$12:$Z$12"),0),0)="","?",VLOOKUP(N$1,INDIRECT("'"&amp;$A52&amp;"'!$A$12:$Z$41"),MATCH("Points (Auto-generate)",INDIRECT("'"&amp;$A52&amp;"'!$A$12:$Z$12"),0),0)),"ER"))</f>
        <v>?</v>
      </c>
      <c r="O52" s="87" t="str">
        <f aca="true">IF($H52=0,"NA",IF($A52=INDIRECT("'"&amp;$A52&amp;"'!$B$1"),IF(VLOOKUP(O$1,INDIRECT("'"&amp;$A52&amp;"'!$A$12:$Z$41"),MATCH("Points (Auto-generate)",INDIRECT("'"&amp;$A52&amp;"'!$A$12:$Z$12"),0),0)="","?",VLOOKUP(O$1,INDIRECT("'"&amp;$A52&amp;"'!$A$12:$Z$41"),MATCH("Points (Auto-generate)",INDIRECT("'"&amp;$A52&amp;"'!$A$12:$Z$12"),0),0)),"ER"))</f>
        <v>?</v>
      </c>
      <c r="P52" s="87" t="str">
        <f aca="true">IF($H52=0,"NA",IF($A52=INDIRECT("'"&amp;$A52&amp;"'!$B$1"),IF(VLOOKUP(P$1,INDIRECT("'"&amp;$A52&amp;"'!$A$12:$Z$41"),MATCH("Points (Auto-generate)",INDIRECT("'"&amp;$A52&amp;"'!$A$12:$Z$12"),0),0)="","?",VLOOKUP(P$1,INDIRECT("'"&amp;$A52&amp;"'!$A$12:$Z$41"),MATCH("Points (Auto-generate)",INDIRECT("'"&amp;$A52&amp;"'!$A$12:$Z$12"),0),0)),"ER"))</f>
        <v>?</v>
      </c>
      <c r="Q52" s="87" t="str">
        <f aca="true">IF($H52=0,"NA",IF($A52=INDIRECT("'"&amp;$A52&amp;"'!$B$1"),IF(VLOOKUP(Q$1,INDIRECT("'"&amp;$A52&amp;"'!$A$12:$Z$41"),MATCH("Points (Auto-generate)",INDIRECT("'"&amp;$A52&amp;"'!$A$12:$Z$12"),0),0)="","?",VLOOKUP(Q$1,INDIRECT("'"&amp;$A52&amp;"'!$A$12:$Z$41"),MATCH("Points (Auto-generate)",INDIRECT("'"&amp;$A52&amp;"'!$A$12:$Z$12"),0),0)),"ER"))</f>
        <v>?</v>
      </c>
      <c r="R52" s="87" t="str">
        <f aca="true">IF($H52=0,"NA",IF($A52=INDIRECT("'"&amp;$A52&amp;"'!$B$1"),IF(VLOOKUP(R$1,INDIRECT("'"&amp;$A52&amp;"'!$A$12:$Z$41"),MATCH("Points (Auto-generate)",INDIRECT("'"&amp;$A52&amp;"'!$A$12:$Z$12"),0),0)="","?",VLOOKUP(R$1,INDIRECT("'"&amp;$A52&amp;"'!$A$12:$Z$41"),MATCH("Points (Auto-generate)",INDIRECT("'"&amp;$A52&amp;"'!$A$12:$Z$12"),0),0)),"ER"))</f>
        <v>?</v>
      </c>
      <c r="S52" s="87" t="str">
        <f aca="true">IF($H52=0,"NA",IF($A52=INDIRECT("'"&amp;$A52&amp;"'!$B$1"),IF(VLOOKUP(S$1,INDIRECT("'"&amp;$A52&amp;"'!$A$12:$Z$41"),MATCH("Points (Auto-generate)",INDIRECT("'"&amp;$A52&amp;"'!$A$12:$Z$12"),0),0)="","?",VLOOKUP(S$1,INDIRECT("'"&amp;$A52&amp;"'!$A$12:$Z$41"),MATCH("Points (Auto-generate)",INDIRECT("'"&amp;$A52&amp;"'!$A$12:$Z$12"),0),0)),"ER"))</f>
        <v>?</v>
      </c>
      <c r="T52" s="87" t="str">
        <f aca="true">IF($H52=0,"NA",IF($A52=INDIRECT("'"&amp;$A52&amp;"'!$B$1"),IF(VLOOKUP(T$1,INDIRECT("'"&amp;$A52&amp;"'!$A$12:$Z$41"),MATCH("Points (Auto-generate)",INDIRECT("'"&amp;$A52&amp;"'!$A$12:$Z$12"),0),0)="","?",VLOOKUP(T$1,INDIRECT("'"&amp;$A52&amp;"'!$A$12:$Z$41"),MATCH("Points (Auto-generate)",INDIRECT("'"&amp;$A52&amp;"'!$A$12:$Z$12"),0),0)),"ER"))</f>
        <v>?</v>
      </c>
      <c r="U52" s="87" t="str">
        <f aca="true">IF($H52=0,"NA",IF($A52=INDIRECT("'"&amp;$A52&amp;"'!$B$1"),IF(VLOOKUP(U$1,INDIRECT("'"&amp;$A52&amp;"'!$A$12:$Z$41"),MATCH("Points (Auto-generate)",INDIRECT("'"&amp;$A52&amp;"'!$A$12:$Z$12"),0),0)="","?",VLOOKUP(U$1,INDIRECT("'"&amp;$A52&amp;"'!$A$12:$Z$41"),MATCH("Points (Auto-generate)",INDIRECT("'"&amp;$A52&amp;"'!$A$12:$Z$12"),0),0)),"ER"))</f>
        <v>?</v>
      </c>
      <c r="V52" s="87" t="str">
        <f aca="true">IF($H52=0,"NA",IF($A52=INDIRECT("'"&amp;$A52&amp;"'!$B$1"),IF(VLOOKUP(V$1,INDIRECT("'"&amp;$A52&amp;"'!$A$12:$Z$41"),MATCH("Points (Auto-generate)",INDIRECT("'"&amp;$A52&amp;"'!$A$12:$Z$12"),0),0)="","?",VLOOKUP(V$1,INDIRECT("'"&amp;$A52&amp;"'!$A$12:$Z$41"),MATCH("Points (Auto-generate)",INDIRECT("'"&amp;$A52&amp;"'!$A$12:$Z$12"),0),0)),"ER"))</f>
        <v>?</v>
      </c>
      <c r="W52" s="87" t="str">
        <f aca="true">IF($H52=0,"NA",IF($A52=INDIRECT("'"&amp;$A52&amp;"'!$B$1"),IF(VLOOKUP(W$1,INDIRECT("'"&amp;$A52&amp;"'!$A$12:$Z$41"),MATCH("Points (Auto-generate)",INDIRECT("'"&amp;$A52&amp;"'!$A$12:$Z$12"),0),0)="","?",VLOOKUP(W$1,INDIRECT("'"&amp;$A52&amp;"'!$A$12:$Z$41"),MATCH("Points (Auto-generate)",INDIRECT("'"&amp;$A52&amp;"'!$A$12:$Z$12"),0),0)),"ER"))</f>
        <v>?</v>
      </c>
      <c r="X52" s="87" t="str">
        <f aca="true">IF($H52=0,"NA",IF($A52=INDIRECT("'"&amp;$A52&amp;"'!$B$1"),IF(VLOOKUP(X$1,INDIRECT("'"&amp;$A52&amp;"'!$A$12:$Z$41"),MATCH("Points (Auto-generate)",INDIRECT("'"&amp;$A52&amp;"'!$A$12:$Z$12"),0),0)="","?",VLOOKUP(X$1,INDIRECT("'"&amp;$A52&amp;"'!$A$12:$Z$41"),MATCH("Points (Auto-generate)",INDIRECT("'"&amp;$A52&amp;"'!$A$12:$Z$12"),0),0)),"ER"))</f>
        <v>?</v>
      </c>
      <c r="Y52" s="87" t="str">
        <f aca="true">IF($H52=0,"NA",IF($A52=INDIRECT("'"&amp;$A52&amp;"'!$B$1"),IF(VLOOKUP(Y$1,INDIRECT("'"&amp;$A52&amp;"'!$A$12:$Z$41"),MATCH("Points (Auto-generate)",INDIRECT("'"&amp;$A52&amp;"'!$A$12:$Z$12"),0),0)="","?",VLOOKUP(Y$1,INDIRECT("'"&amp;$A52&amp;"'!$A$12:$Z$41"),MATCH("Points (Auto-generate)",INDIRECT("'"&amp;$A52&amp;"'!$A$12:$Z$12"),0),0)),"ER"))</f>
        <v>?</v>
      </c>
      <c r="Z52" s="87" t="str">
        <f aca="true">IF($H52=0,"NA",IF($A52=INDIRECT("'"&amp;$A52&amp;"'!$B$1"),IF(VLOOKUP(Z$1,INDIRECT("'"&amp;$A52&amp;"'!$A$12:$Z$41"),MATCH("Points (Auto-generate)",INDIRECT("'"&amp;$A52&amp;"'!$A$12:$Z$12"),0),0)="","?",VLOOKUP(Z$1,INDIRECT("'"&amp;$A52&amp;"'!$A$12:$Z$41"),MATCH("Points (Auto-generate)",INDIRECT("'"&amp;$A52&amp;"'!$A$12:$Z$12"),0),0)),"ER"))</f>
        <v>?</v>
      </c>
      <c r="AA52" s="87" t="str">
        <f aca="true">IF($H52=0,"NA",IF($A52=INDIRECT("'"&amp;$A52&amp;"'!$B$1"),IF(VLOOKUP(AA$1,INDIRECT("'"&amp;$A52&amp;"'!$A$12:$Z$41"),MATCH("Points (Auto-generate)",INDIRECT("'"&amp;$A52&amp;"'!$A$12:$Z$12"),0),0)="","?",VLOOKUP(AA$1,INDIRECT("'"&amp;$A52&amp;"'!$A$12:$Z$41"),MATCH("Points (Auto-generate)",INDIRECT("'"&amp;$A52&amp;"'!$A$12:$Z$12"),0),0)),"ER"))</f>
        <v>?</v>
      </c>
      <c r="AB52" s="87" t="str">
        <f aca="true">IF($H52=0,"NA",IF($A52=INDIRECT("'"&amp;$A52&amp;"'!$B$1"),IF(VLOOKUP(AB$1,INDIRECT("'"&amp;$A52&amp;"'!$A$12:$Z$41"),MATCH("Points (Auto-generate)",INDIRECT("'"&amp;$A52&amp;"'!$A$12:$Z$12"),0),0)="","?",VLOOKUP(AB$1,INDIRECT("'"&amp;$A52&amp;"'!$A$12:$Z$41"),MATCH("Points (Auto-generate)",INDIRECT("'"&amp;$A52&amp;"'!$A$12:$Z$12"),0),0)),"ER"))</f>
        <v>?</v>
      </c>
      <c r="AC52" s="87" t="str">
        <f aca="true">IF($H52=0,"NA",IF($A52=INDIRECT("'"&amp;$A52&amp;"'!$B$1"),IF(VLOOKUP(AC$1,INDIRECT("'"&amp;$A52&amp;"'!$A$12:$Z$41"),MATCH("Points (Auto-generate)",INDIRECT("'"&amp;$A52&amp;"'!$A$12:$Z$12"),0),0)="","?",VLOOKUP(AC$1,INDIRECT("'"&amp;$A52&amp;"'!$A$12:$Z$41"),MATCH("Points (Auto-generate)",INDIRECT("'"&amp;$A52&amp;"'!$A$12:$Z$12"),0),0)),"ER"))</f>
        <v>?</v>
      </c>
      <c r="AD52" s="87" t="str">
        <f aca="true">IF($H52=0,"NA",IF($A52=INDIRECT("'"&amp;$A52&amp;"'!$B$1"),IF(VLOOKUP(AD$1,INDIRECT("'"&amp;$A52&amp;"'!$A$12:$Z$41"),MATCH("Points (Auto-generate)",INDIRECT("'"&amp;$A52&amp;"'!$A$12:$Z$12"),0),0)="","?",VLOOKUP(AD$1,INDIRECT("'"&amp;$A52&amp;"'!$A$12:$Z$41"),MATCH("Points (Auto-generate)",INDIRECT("'"&amp;$A52&amp;"'!$A$12:$Z$12"),0),0)),"ER"))</f>
        <v>?</v>
      </c>
      <c r="AE52" s="87" t="str">
        <f aca="true">IF($H52=0,"NA",IF($A52=INDIRECT("'"&amp;$A52&amp;"'!$B$1"),IF(VLOOKUP(AE$1,INDIRECT("'"&amp;$A52&amp;"'!$A$12:$Z$41"),MATCH("Points (Auto-generate)",INDIRECT("'"&amp;$A52&amp;"'!$A$12:$Z$12"),0),0)="","?",VLOOKUP(AE$1,INDIRECT("'"&amp;$A52&amp;"'!$A$12:$Z$41"),MATCH("Points (Auto-generate)",INDIRECT("'"&amp;$A52&amp;"'!$A$12:$Z$12"),0),0)),"ER"))</f>
        <v>?</v>
      </c>
      <c r="AF52" s="87" t="str">
        <f aca="true">IF($H52=0,"NA",IF($A52=INDIRECT("'"&amp;$A52&amp;"'!$B$1"),IF(VLOOKUP(AF$1,INDIRECT("'"&amp;$A52&amp;"'!$A$12:$Z$41"),MATCH("Points (Auto-generate)",INDIRECT("'"&amp;$A52&amp;"'!$A$12:$Z$12"),0),0)="","?",VLOOKUP(AF$1,INDIRECT("'"&amp;$A52&amp;"'!$A$12:$Z$41"),MATCH("Points (Auto-generate)",INDIRECT("'"&amp;$A52&amp;"'!$A$12:$Z$12"),0),0)),"ER"))</f>
        <v>?</v>
      </c>
      <c r="AG52" s="87" t="str">
        <f aca="true">IF($H52=0,"NA",IF($A52=INDIRECT("'"&amp;$A52&amp;"'!$B$1"),IF(VLOOKUP(AG$1,INDIRECT("'"&amp;$A52&amp;"'!$A$12:$Z$41"),MATCH("Points (Auto-generate)",INDIRECT("'"&amp;$A52&amp;"'!$A$12:$Z$12"),0),0)="","?",VLOOKUP(AG$1,INDIRECT("'"&amp;$A52&amp;"'!$A$12:$Z$41"),MATCH("Points (Auto-generate)",INDIRECT("'"&amp;$A52&amp;"'!$A$12:$Z$12"),0),0)),"ER"))</f>
        <v>?</v>
      </c>
      <c r="AH52" s="87" t="str">
        <f aca="true">IF($H52=0,"NA",IF($A52=INDIRECT("'"&amp;$A52&amp;"'!$B$1"),IF(VLOOKUP(AH$1,INDIRECT("'"&amp;$A52&amp;"'!$A$12:$Z$41"),MATCH("Points (Auto-generate)",INDIRECT("'"&amp;$A52&amp;"'!$A$12:$Z$12"),0),0)="","?",VLOOKUP(AH$1,INDIRECT("'"&amp;$A52&amp;"'!$A$12:$Z$41"),MATCH("Points (Auto-generate)",INDIRECT("'"&amp;$A52&amp;"'!$A$12:$Z$12"),0),0)),"ER"))</f>
        <v>?</v>
      </c>
      <c r="AI52" s="87" t="str">
        <f aca="true">IF($H52=0,"NA",IF($A52=INDIRECT("'"&amp;$A52&amp;"'!$B$1"),IF(VLOOKUP(AI$1,INDIRECT("'"&amp;$A52&amp;"'!$A$12:$Z$41"),MATCH("Points (Auto-generate)",INDIRECT("'"&amp;$A52&amp;"'!$A$12:$Z$12"),0),0)="","?",VLOOKUP(AI$1,INDIRECT("'"&amp;$A52&amp;"'!$A$12:$Z$41"),MATCH("Points (Auto-generate)",INDIRECT("'"&amp;$A52&amp;"'!$A$12:$Z$12"),0),0)),"ER"))</f>
        <v>?</v>
      </c>
      <c r="AJ52" s="87" t="str">
        <f aca="true">IF($H52=0,"NA",IF($A52=INDIRECT("'"&amp;$A52&amp;"'!$B$1"),IF(VLOOKUP(AJ$1,INDIRECT("'"&amp;$A52&amp;"'!$A$12:$Z$41"),MATCH("Points (Auto-generate)",INDIRECT("'"&amp;$A52&amp;"'!$A$12:$Z$12"),0),0)="","?",VLOOKUP(AJ$1,INDIRECT("'"&amp;$A52&amp;"'!$A$12:$Z$41"),MATCH("Points (Auto-generate)",INDIRECT("'"&amp;$A52&amp;"'!$A$12:$Z$12"),0),0)),"ER"))</f>
        <v>?</v>
      </c>
      <c r="AK52" s="87" t="str">
        <f aca="true">IF($H52=0,"NA",IF($A52=INDIRECT("'"&amp;$A52&amp;"'!$B$1"),IF(VLOOKUP(AK$1,INDIRECT("'"&amp;$A52&amp;"'!$A$12:$Z$41"),MATCH("Points (Auto-generate)",INDIRECT("'"&amp;$A52&amp;"'!$A$12:$Z$12"),0),0)="","?",VLOOKUP(AK$1,INDIRECT("'"&amp;$A52&amp;"'!$A$12:$Z$41"),MATCH("Points (Auto-generate)",INDIRECT("'"&amp;$A52&amp;"'!$A$12:$Z$12"),0),0)),"ER"))</f>
        <v>?</v>
      </c>
    </row>
    <row r="53" customFormat="false" ht="14.25" hidden="false" customHeight="true" outlineLevel="0" collapsed="false">
      <c r="A53" s="83" t="s">
        <v>816</v>
      </c>
      <c r="B53" s="84" t="str">
        <f aca="false">IF(ISBLANK($A53),"NO_CODE",VLOOKUP($A53,'UPD Questions_290926 '!$E$1:$N$300,MATCH(B$1,'UPD Questions_290926 '!$E$1:$N$1,0),0)&amp;"")</f>
        <v>Implementation</v>
      </c>
      <c r="C53" s="84" t="str">
        <f aca="false">IF(ISBLANK($A53),"NO_CODE",VLOOKUP($A53,'UPD Questions_290926 '!$E$1:$N$300,MATCH(C$1,'UPD Questions_290926 '!$E$1:$N$1,0),0)&amp;"")</f>
        <v>Sectoral planning</v>
      </c>
      <c r="D53" s="84" t="str">
        <f aca="false">IF(ISBLANK($A53),"NO_CODE",VLOOKUP($A53,'UPD Questions_290926 '!$E$1:$N$300,MATCH(D$1,'UPD Questions_290926 '!$E$1:$N$1,0),0)&amp;"")</f>
        <v>Water supply and sewerage, sanitation, solid waste management </v>
      </c>
      <c r="E53" s="84" t="str">
        <f aca="false">IF(ISBLANK($A53),"NO_CODE",VLOOKUP($A53,'UPD Questions_290926 '!$E$1:$N$300,MATCH(E$1,'UPD Questions_290926 '!$E$1:$N$1,0),0)&amp;"")</f>
        <v>SQ1</v>
      </c>
      <c r="F53" s="84" t="str">
        <f aca="false">IF(ISBLANK($A53),"NO_CODE",VLOOKUP($A53,'UPD Questions_290926 '!$E$1:$N$300,MATCH(F$1,'UPD Questions_290926 '!$E$1:$N$1,0),0)&amp;"")</f>
        <v>a) Water Supply and Sewerage Plan</v>
      </c>
      <c r="G53" s="84" t="str">
        <f aca="false">IF(ISBLANK($A53),"NO_CODE",VLOOKUP($A53,'UPD Questions_290926 '!$E$1:$N$300,MATCH(G$1,'UPD Questions_290926 '!$E$1:$N$1,0),0)&amp;"")</f>
        <v>Implementation</v>
      </c>
      <c r="H53" s="86" t="n">
        <f aca="false">IF(ISBLANK($A53),"NO_CODE",VLOOKUP($A53,'UPD Questions_290926 '!$E$1:$N$300,MATCH(H$1,'UPD Questions_290926 '!$E$1:$N$1,0),0))</f>
        <v>1.11</v>
      </c>
      <c r="I53" s="87" t="str">
        <f aca="true">IF(INDEX(INDIRECT("'"&amp;LEFT($A53,LEN($A53)-1)&amp;"'!$H$13:$J$41"),MATCH(I$1,INDIRECT("'"&amp;LEFT($A53,LEN($A53)-1)&amp;"'!$A$13:$A$41"),0),VALUE(RIGHT($A53,1)))="YES",$H53,IF(INDEX(INDIRECT("'"&amp;LEFT($A53,LEN($A53)-1)&amp;"'!$H$13:$J$41"),MATCH(I$1,INDIRECT("'"&amp;LEFT($A53,LEN($A53)-1)&amp;"'!$A$13:$A$41"),0),VALUE(RIGHT($A53,1)))="NO",0,"?"))</f>
        <v>?</v>
      </c>
      <c r="J53" s="87" t="n">
        <f aca="true">IF(INDEX(INDIRECT("'"&amp;LEFT($A53,LEN($A53)-1)&amp;"'!$H$13:$J$41"),MATCH(J$1,INDIRECT("'"&amp;LEFT($A53,LEN($A53)-1)&amp;"'!$A$13:$A$41"),0),VALUE(RIGHT($A53,1)))="YES",$H53,IF(INDEX(INDIRECT("'"&amp;LEFT($A53,LEN($A53)-1)&amp;"'!$H$13:$J$41"),MATCH(J$1,INDIRECT("'"&amp;LEFT($A53,LEN($A53)-1)&amp;"'!$A$13:$A$41"),0),VALUE(RIGHT($A53,1)))="NO",0,"?"))</f>
        <v>1.11</v>
      </c>
      <c r="K53" s="87" t="str">
        <f aca="true">IF(INDEX(INDIRECT("'"&amp;LEFT($A53,LEN($A53)-1)&amp;"'!$H$13:$J$41"),MATCH(K$1,INDIRECT("'"&amp;LEFT($A53,LEN($A53)-1)&amp;"'!$A$13:$A$41"),0),VALUE(RIGHT($A53,1)))="YES",$H53,IF(INDEX(INDIRECT("'"&amp;LEFT($A53,LEN($A53)-1)&amp;"'!$H$13:$J$41"),MATCH(K$1,INDIRECT("'"&amp;LEFT($A53,LEN($A53)-1)&amp;"'!$A$13:$A$41"),0),VALUE(RIGHT($A53,1)))="NO",0,"?"))</f>
        <v>?</v>
      </c>
      <c r="L53" s="87" t="str">
        <f aca="true">IF(INDEX(INDIRECT("'"&amp;LEFT($A53,LEN($A53)-1)&amp;"'!$H$13:$J$41"),MATCH(L$1,INDIRECT("'"&amp;LEFT($A53,LEN($A53)-1)&amp;"'!$A$13:$A$41"),0),VALUE(RIGHT($A53,1)))="YES",$H53,IF(INDEX(INDIRECT("'"&amp;LEFT($A53,LEN($A53)-1)&amp;"'!$H$13:$J$41"),MATCH(L$1,INDIRECT("'"&amp;LEFT($A53,LEN($A53)-1)&amp;"'!$A$13:$A$41"),0),VALUE(RIGHT($A53,1)))="NO",0,"?"))</f>
        <v>?</v>
      </c>
      <c r="M53" s="87" t="str">
        <f aca="true">IF(INDEX(INDIRECT("'"&amp;LEFT($A53,LEN($A53)-1)&amp;"'!$H$13:$J$41"),MATCH(M$1,INDIRECT("'"&amp;LEFT($A53,LEN($A53)-1)&amp;"'!$A$13:$A$41"),0),VALUE(RIGHT($A53,1)))="YES",$H53,IF(INDEX(INDIRECT("'"&amp;LEFT($A53,LEN($A53)-1)&amp;"'!$H$13:$J$41"),MATCH(M$1,INDIRECT("'"&amp;LEFT($A53,LEN($A53)-1)&amp;"'!$A$13:$A$41"),0),VALUE(RIGHT($A53,1)))="NO",0,"?"))</f>
        <v>?</v>
      </c>
      <c r="N53" s="87" t="str">
        <f aca="true">IF(INDEX(INDIRECT("'"&amp;LEFT($A53,LEN($A53)-1)&amp;"'!$H$13:$J$41"),MATCH(N$1,INDIRECT("'"&amp;LEFT($A53,LEN($A53)-1)&amp;"'!$A$13:$A$41"),0),VALUE(RIGHT($A53,1)))="YES",$H53,IF(INDEX(INDIRECT("'"&amp;LEFT($A53,LEN($A53)-1)&amp;"'!$H$13:$J$41"),MATCH(N$1,INDIRECT("'"&amp;LEFT($A53,LEN($A53)-1)&amp;"'!$A$13:$A$41"),0),VALUE(RIGHT($A53,1)))="NO",0,"?"))</f>
        <v>?</v>
      </c>
      <c r="O53" s="87" t="str">
        <f aca="true">IF(INDEX(INDIRECT("'"&amp;LEFT($A53,LEN($A53)-1)&amp;"'!$H$13:$J$41"),MATCH(O$1,INDIRECT("'"&amp;LEFT($A53,LEN($A53)-1)&amp;"'!$A$13:$A$41"),0),VALUE(RIGHT($A53,1)))="YES",$H53,IF(INDEX(INDIRECT("'"&amp;LEFT($A53,LEN($A53)-1)&amp;"'!$H$13:$J$41"),MATCH(O$1,INDIRECT("'"&amp;LEFT($A53,LEN($A53)-1)&amp;"'!$A$13:$A$41"),0),VALUE(RIGHT($A53,1)))="NO",0,"?"))</f>
        <v>?</v>
      </c>
      <c r="P53" s="87" t="str">
        <f aca="true">IF(INDEX(INDIRECT("'"&amp;LEFT($A53,LEN($A53)-1)&amp;"'!$H$13:$J$41"),MATCH(P$1,INDIRECT("'"&amp;LEFT($A53,LEN($A53)-1)&amp;"'!$A$13:$A$41"),0),VALUE(RIGHT($A53,1)))="YES",$H53,IF(INDEX(INDIRECT("'"&amp;LEFT($A53,LEN($A53)-1)&amp;"'!$H$13:$J$41"),MATCH(P$1,INDIRECT("'"&amp;LEFT($A53,LEN($A53)-1)&amp;"'!$A$13:$A$41"),0),VALUE(RIGHT($A53,1)))="NO",0,"?"))</f>
        <v>?</v>
      </c>
      <c r="Q53" s="87" t="str">
        <f aca="true">IF(INDEX(INDIRECT("'"&amp;LEFT($A53,LEN($A53)-1)&amp;"'!$H$13:$J$41"),MATCH(Q$1,INDIRECT("'"&amp;LEFT($A53,LEN($A53)-1)&amp;"'!$A$13:$A$41"),0),VALUE(RIGHT($A53,1)))="YES",$H53,IF(INDEX(INDIRECT("'"&amp;LEFT($A53,LEN($A53)-1)&amp;"'!$H$13:$J$41"),MATCH(Q$1,INDIRECT("'"&amp;LEFT($A53,LEN($A53)-1)&amp;"'!$A$13:$A$41"),0),VALUE(RIGHT($A53,1)))="NO",0,"?"))</f>
        <v>?</v>
      </c>
      <c r="R53" s="87" t="str">
        <f aca="true">IF(INDEX(INDIRECT("'"&amp;LEFT($A53,LEN($A53)-1)&amp;"'!$H$13:$J$41"),MATCH(R$1,INDIRECT("'"&amp;LEFT($A53,LEN($A53)-1)&amp;"'!$A$13:$A$41"),0),VALUE(RIGHT($A53,1)))="YES",$H53,IF(INDEX(INDIRECT("'"&amp;LEFT($A53,LEN($A53)-1)&amp;"'!$H$13:$J$41"),MATCH(R$1,INDIRECT("'"&amp;LEFT($A53,LEN($A53)-1)&amp;"'!$A$13:$A$41"),0),VALUE(RIGHT($A53,1)))="NO",0,"?"))</f>
        <v>?</v>
      </c>
      <c r="S53" s="87" t="str">
        <f aca="true">IF(INDEX(INDIRECT("'"&amp;LEFT($A53,LEN($A53)-1)&amp;"'!$H$13:$J$41"),MATCH(S$1,INDIRECT("'"&amp;LEFT($A53,LEN($A53)-1)&amp;"'!$A$13:$A$41"),0),VALUE(RIGHT($A53,1)))="YES",$H53,IF(INDEX(INDIRECT("'"&amp;LEFT($A53,LEN($A53)-1)&amp;"'!$H$13:$J$41"),MATCH(S$1,INDIRECT("'"&amp;LEFT($A53,LEN($A53)-1)&amp;"'!$A$13:$A$41"),0),VALUE(RIGHT($A53,1)))="NO",0,"?"))</f>
        <v>?</v>
      </c>
      <c r="T53" s="87" t="str">
        <f aca="true">IF(INDEX(INDIRECT("'"&amp;LEFT($A53,LEN($A53)-1)&amp;"'!$H$13:$J$41"),MATCH(T$1,INDIRECT("'"&amp;LEFT($A53,LEN($A53)-1)&amp;"'!$A$13:$A$41"),0),VALUE(RIGHT($A53,1)))="YES",$H53,IF(INDEX(INDIRECT("'"&amp;LEFT($A53,LEN($A53)-1)&amp;"'!$H$13:$J$41"),MATCH(T$1,INDIRECT("'"&amp;LEFT($A53,LEN($A53)-1)&amp;"'!$A$13:$A$41"),0),VALUE(RIGHT($A53,1)))="NO",0,"?"))</f>
        <v>?</v>
      </c>
      <c r="U53" s="87" t="str">
        <f aca="true">IF(INDEX(INDIRECT("'"&amp;LEFT($A53,LEN($A53)-1)&amp;"'!$H$13:$J$41"),MATCH(U$1,INDIRECT("'"&amp;LEFT($A53,LEN($A53)-1)&amp;"'!$A$13:$A$41"),0),VALUE(RIGHT($A53,1)))="YES",$H53,IF(INDEX(INDIRECT("'"&amp;LEFT($A53,LEN($A53)-1)&amp;"'!$H$13:$J$41"),MATCH(U$1,INDIRECT("'"&amp;LEFT($A53,LEN($A53)-1)&amp;"'!$A$13:$A$41"),0),VALUE(RIGHT($A53,1)))="NO",0,"?"))</f>
        <v>?</v>
      </c>
      <c r="V53" s="87" t="str">
        <f aca="true">IF(INDEX(INDIRECT("'"&amp;LEFT($A53,LEN($A53)-1)&amp;"'!$H$13:$J$41"),MATCH(V$1,INDIRECT("'"&amp;LEFT($A53,LEN($A53)-1)&amp;"'!$A$13:$A$41"),0),VALUE(RIGHT($A53,1)))="YES",$H53,IF(INDEX(INDIRECT("'"&amp;LEFT($A53,LEN($A53)-1)&amp;"'!$H$13:$J$41"),MATCH(V$1,INDIRECT("'"&amp;LEFT($A53,LEN($A53)-1)&amp;"'!$A$13:$A$41"),0),VALUE(RIGHT($A53,1)))="NO",0,"?"))</f>
        <v>?</v>
      </c>
      <c r="W53" s="87" t="str">
        <f aca="true">IF(INDEX(INDIRECT("'"&amp;LEFT($A53,LEN($A53)-1)&amp;"'!$H$13:$J$41"),MATCH(W$1,INDIRECT("'"&amp;LEFT($A53,LEN($A53)-1)&amp;"'!$A$13:$A$41"),0),VALUE(RIGHT($A53,1)))="YES",$H53,IF(INDEX(INDIRECT("'"&amp;LEFT($A53,LEN($A53)-1)&amp;"'!$H$13:$J$41"),MATCH(W$1,INDIRECT("'"&amp;LEFT($A53,LEN($A53)-1)&amp;"'!$A$13:$A$41"),0),VALUE(RIGHT($A53,1)))="NO",0,"?"))</f>
        <v>?</v>
      </c>
      <c r="X53" s="87" t="str">
        <f aca="true">IF(INDEX(INDIRECT("'"&amp;LEFT($A53,LEN($A53)-1)&amp;"'!$H$13:$J$41"),MATCH(X$1,INDIRECT("'"&amp;LEFT($A53,LEN($A53)-1)&amp;"'!$A$13:$A$41"),0),VALUE(RIGHT($A53,1)))="YES",$H53,IF(INDEX(INDIRECT("'"&amp;LEFT($A53,LEN($A53)-1)&amp;"'!$H$13:$J$41"),MATCH(X$1,INDIRECT("'"&amp;LEFT($A53,LEN($A53)-1)&amp;"'!$A$13:$A$41"),0),VALUE(RIGHT($A53,1)))="NO",0,"?"))</f>
        <v>?</v>
      </c>
      <c r="Y53" s="87" t="str">
        <f aca="true">IF(INDEX(INDIRECT("'"&amp;LEFT($A53,LEN($A53)-1)&amp;"'!$H$13:$J$41"),MATCH(Y$1,INDIRECT("'"&amp;LEFT($A53,LEN($A53)-1)&amp;"'!$A$13:$A$41"),0),VALUE(RIGHT($A53,1)))="YES",$H53,IF(INDEX(INDIRECT("'"&amp;LEFT($A53,LEN($A53)-1)&amp;"'!$H$13:$J$41"),MATCH(Y$1,INDIRECT("'"&amp;LEFT($A53,LEN($A53)-1)&amp;"'!$A$13:$A$41"),0),VALUE(RIGHT($A53,1)))="NO",0,"?"))</f>
        <v>?</v>
      </c>
      <c r="Z53" s="87" t="str">
        <f aca="true">IF(INDEX(INDIRECT("'"&amp;LEFT($A53,LEN($A53)-1)&amp;"'!$H$13:$J$41"),MATCH(Z$1,INDIRECT("'"&amp;LEFT($A53,LEN($A53)-1)&amp;"'!$A$13:$A$41"),0),VALUE(RIGHT($A53,1)))="YES",$H53,IF(INDEX(INDIRECT("'"&amp;LEFT($A53,LEN($A53)-1)&amp;"'!$H$13:$J$41"),MATCH(Z$1,INDIRECT("'"&amp;LEFT($A53,LEN($A53)-1)&amp;"'!$A$13:$A$41"),0),VALUE(RIGHT($A53,1)))="NO",0,"?"))</f>
        <v>?</v>
      </c>
      <c r="AA53" s="87" t="str">
        <f aca="true">IF(INDEX(INDIRECT("'"&amp;LEFT($A53,LEN($A53)-1)&amp;"'!$H$13:$J$41"),MATCH(AA$1,INDIRECT("'"&amp;LEFT($A53,LEN($A53)-1)&amp;"'!$A$13:$A$41"),0),VALUE(RIGHT($A53,1)))="YES",$H53,IF(INDEX(INDIRECT("'"&amp;LEFT($A53,LEN($A53)-1)&amp;"'!$H$13:$J$41"),MATCH(AA$1,INDIRECT("'"&amp;LEFT($A53,LEN($A53)-1)&amp;"'!$A$13:$A$41"),0),VALUE(RIGHT($A53,1)))="NO",0,"?"))</f>
        <v>?</v>
      </c>
      <c r="AB53" s="87" t="str">
        <f aca="true">IF(INDEX(INDIRECT("'"&amp;LEFT($A53,LEN($A53)-1)&amp;"'!$H$13:$J$41"),MATCH(AB$1,INDIRECT("'"&amp;LEFT($A53,LEN($A53)-1)&amp;"'!$A$13:$A$41"),0),VALUE(RIGHT($A53,1)))="YES",$H53,IF(INDEX(INDIRECT("'"&amp;LEFT($A53,LEN($A53)-1)&amp;"'!$H$13:$J$41"),MATCH(AB$1,INDIRECT("'"&amp;LEFT($A53,LEN($A53)-1)&amp;"'!$A$13:$A$41"),0),VALUE(RIGHT($A53,1)))="NO",0,"?"))</f>
        <v>?</v>
      </c>
      <c r="AC53" s="87" t="str">
        <f aca="true">IF(INDEX(INDIRECT("'"&amp;LEFT($A53,LEN($A53)-1)&amp;"'!$H$13:$J$41"),MATCH(AC$1,INDIRECT("'"&amp;LEFT($A53,LEN($A53)-1)&amp;"'!$A$13:$A$41"),0),VALUE(RIGHT($A53,1)))="YES",$H53,IF(INDEX(INDIRECT("'"&amp;LEFT($A53,LEN($A53)-1)&amp;"'!$H$13:$J$41"),MATCH(AC$1,INDIRECT("'"&amp;LEFT($A53,LEN($A53)-1)&amp;"'!$A$13:$A$41"),0),VALUE(RIGHT($A53,1)))="NO",0,"?"))</f>
        <v>?</v>
      </c>
      <c r="AD53" s="87" t="str">
        <f aca="true">IF(INDEX(INDIRECT("'"&amp;LEFT($A53,LEN($A53)-1)&amp;"'!$H$13:$J$41"),MATCH(AD$1,INDIRECT("'"&amp;LEFT($A53,LEN($A53)-1)&amp;"'!$A$13:$A$41"),0),VALUE(RIGHT($A53,1)))="YES",$H53,IF(INDEX(INDIRECT("'"&amp;LEFT($A53,LEN($A53)-1)&amp;"'!$H$13:$J$41"),MATCH(AD$1,INDIRECT("'"&amp;LEFT($A53,LEN($A53)-1)&amp;"'!$A$13:$A$41"),0),VALUE(RIGHT($A53,1)))="NO",0,"?"))</f>
        <v>?</v>
      </c>
      <c r="AE53" s="87" t="str">
        <f aca="true">IF(INDEX(INDIRECT("'"&amp;LEFT($A53,LEN($A53)-1)&amp;"'!$H$13:$J$41"),MATCH(AE$1,INDIRECT("'"&amp;LEFT($A53,LEN($A53)-1)&amp;"'!$A$13:$A$41"),0),VALUE(RIGHT($A53,1)))="YES",$H53,IF(INDEX(INDIRECT("'"&amp;LEFT($A53,LEN($A53)-1)&amp;"'!$H$13:$J$41"),MATCH(AE$1,INDIRECT("'"&amp;LEFT($A53,LEN($A53)-1)&amp;"'!$A$13:$A$41"),0),VALUE(RIGHT($A53,1)))="NO",0,"?"))</f>
        <v>?</v>
      </c>
      <c r="AF53" s="87" t="str">
        <f aca="true">IF(INDEX(INDIRECT("'"&amp;LEFT($A53,LEN($A53)-1)&amp;"'!$H$13:$J$41"),MATCH(AF$1,INDIRECT("'"&amp;LEFT($A53,LEN($A53)-1)&amp;"'!$A$13:$A$41"),0),VALUE(RIGHT($A53,1)))="YES",$H53,IF(INDEX(INDIRECT("'"&amp;LEFT($A53,LEN($A53)-1)&amp;"'!$H$13:$J$41"),MATCH(AF$1,INDIRECT("'"&amp;LEFT($A53,LEN($A53)-1)&amp;"'!$A$13:$A$41"),0),VALUE(RIGHT($A53,1)))="NO",0,"?"))</f>
        <v>?</v>
      </c>
      <c r="AG53" s="87" t="str">
        <f aca="true">IF(INDEX(INDIRECT("'"&amp;LEFT($A53,LEN($A53)-1)&amp;"'!$H$13:$J$41"),MATCH(AG$1,INDIRECT("'"&amp;LEFT($A53,LEN($A53)-1)&amp;"'!$A$13:$A$41"),0),VALUE(RIGHT($A53,1)))="YES",$H53,IF(INDEX(INDIRECT("'"&amp;LEFT($A53,LEN($A53)-1)&amp;"'!$H$13:$J$41"),MATCH(AG$1,INDIRECT("'"&amp;LEFT($A53,LEN($A53)-1)&amp;"'!$A$13:$A$41"),0),VALUE(RIGHT($A53,1)))="NO",0,"?"))</f>
        <v>?</v>
      </c>
      <c r="AH53" s="87" t="str">
        <f aca="true">IF(INDEX(INDIRECT("'"&amp;LEFT($A53,LEN($A53)-1)&amp;"'!$H$13:$J$41"),MATCH(AH$1,INDIRECT("'"&amp;LEFT($A53,LEN($A53)-1)&amp;"'!$A$13:$A$41"),0),VALUE(RIGHT($A53,1)))="YES",$H53,IF(INDEX(INDIRECT("'"&amp;LEFT($A53,LEN($A53)-1)&amp;"'!$H$13:$J$41"),MATCH(AH$1,INDIRECT("'"&amp;LEFT($A53,LEN($A53)-1)&amp;"'!$A$13:$A$41"),0),VALUE(RIGHT($A53,1)))="NO",0,"?"))</f>
        <v>?</v>
      </c>
      <c r="AI53" s="87" t="str">
        <f aca="true">IF(INDEX(INDIRECT("'"&amp;LEFT($A53,LEN($A53)-1)&amp;"'!$H$13:$J$41"),MATCH(AI$1,INDIRECT("'"&amp;LEFT($A53,LEN($A53)-1)&amp;"'!$A$13:$A$41"),0),VALUE(RIGHT($A53,1)))="YES",$H53,IF(INDEX(INDIRECT("'"&amp;LEFT($A53,LEN($A53)-1)&amp;"'!$H$13:$J$41"),MATCH(AI$1,INDIRECT("'"&amp;LEFT($A53,LEN($A53)-1)&amp;"'!$A$13:$A$41"),0),VALUE(RIGHT($A53,1)))="NO",0,"?"))</f>
        <v>?</v>
      </c>
      <c r="AJ53" s="87" t="str">
        <f aca="true">IF(INDEX(INDIRECT("'"&amp;LEFT($A53,LEN($A53)-1)&amp;"'!$H$13:$J$41"),MATCH(AJ$1,INDIRECT("'"&amp;LEFT($A53,LEN($A53)-1)&amp;"'!$A$13:$A$41"),0),VALUE(RIGHT($A53,1)))="YES",$H53,IF(INDEX(INDIRECT("'"&amp;LEFT($A53,LEN($A53)-1)&amp;"'!$H$13:$J$41"),MATCH(AJ$1,INDIRECT("'"&amp;LEFT($A53,LEN($A53)-1)&amp;"'!$A$13:$A$41"),0),VALUE(RIGHT($A53,1)))="NO",0,"?"))</f>
        <v>?</v>
      </c>
      <c r="AK53" s="87" t="str">
        <f aca="true">IF(INDEX(INDIRECT("'"&amp;LEFT($A53,LEN($A53)-1)&amp;"'!$H$13:$J$41"),MATCH(AK$1,INDIRECT("'"&amp;LEFT($A53,LEN($A53)-1)&amp;"'!$A$13:$A$41"),0),VALUE(RIGHT($A53,1)))="YES",$H53,IF(INDEX(INDIRECT("'"&amp;LEFT($A53,LEN($A53)-1)&amp;"'!$H$13:$J$41"),MATCH(AK$1,INDIRECT("'"&amp;LEFT($A53,LEN($A53)-1)&amp;"'!$A$13:$A$41"),0),VALUE(RIGHT($A53,1)))="NO",0,"?"))</f>
        <v>?</v>
      </c>
    </row>
    <row r="54" customFormat="false" ht="14.25" hidden="false" customHeight="true" outlineLevel="0" collapsed="false">
      <c r="A54" s="83" t="s">
        <v>821</v>
      </c>
      <c r="B54" s="84" t="str">
        <f aca="false">IF(ISBLANK($A54),"NO_CODE",VLOOKUP($A54,'UPD Questions_290926 '!$E$1:$N$300,MATCH(B$1,'UPD Questions_290926 '!$E$1:$N$1,0),0)&amp;"")</f>
        <v>Implementation</v>
      </c>
      <c r="C54" s="84" t="str">
        <f aca="false">IF(ISBLANK($A54),"NO_CODE",VLOOKUP($A54,'UPD Questions_290926 '!$E$1:$N$300,MATCH(C$1,'UPD Questions_290926 '!$E$1:$N$1,0),0)&amp;"")</f>
        <v>Sectoral planning</v>
      </c>
      <c r="D54" s="84" t="str">
        <f aca="false">IF(ISBLANK($A54),"NO_CODE",VLOOKUP($A54,'UPD Questions_290926 '!$E$1:$N$300,MATCH(D$1,'UPD Questions_290926 '!$E$1:$N$1,0),0)&amp;"")</f>
        <v>Water supply and sewerage, sanitation, solid waste management </v>
      </c>
      <c r="E54" s="84" t="str">
        <f aca="false">IF(ISBLANK($A54),"NO_CODE",VLOOKUP($A54,'UPD Questions_290926 '!$E$1:$N$300,MATCH(E$1,'UPD Questions_290926 '!$E$1:$N$1,0),0)&amp;"")</f>
        <v>SQ2</v>
      </c>
      <c r="F54" s="84" t="str">
        <f aca="false">IF(ISBLANK($A54),"NO_CODE",VLOOKUP($A54,'UPD Questions_290926 '!$E$1:$N$300,MATCH(F$1,'UPD Questions_290926 '!$E$1:$N$1,0),0)&amp;"")</f>
        <v>b) Solid Waste Management Plan </v>
      </c>
      <c r="G54" s="84" t="str">
        <f aca="false">IF(ISBLANK($A54),"NO_CODE",VLOOKUP($A54,'UPD Questions_290926 '!$E$1:$N$300,MATCH(G$1,'UPD Questions_290926 '!$E$1:$N$1,0),0)&amp;"")</f>
        <v>Implementation</v>
      </c>
      <c r="H54" s="86" t="n">
        <f aca="false">IF(ISBLANK($A54),"NO_CODE",VLOOKUP($A54,'UPD Questions_290926 '!$E$1:$N$300,MATCH(H$1,'UPD Questions_290926 '!$E$1:$N$1,0),0))</f>
        <v>1.11</v>
      </c>
      <c r="I54" s="87" t="str">
        <f aca="true">IF(INDEX(INDIRECT("'"&amp;LEFT($A54,LEN($A54)-1)&amp;"'!$H$13:$J$41"),MATCH(I$1,INDIRECT("'"&amp;LEFT($A54,LEN($A54)-1)&amp;"'!$A$13:$A$41"),0),VALUE(RIGHT($A54,1)))="YES",$H54,IF(INDEX(INDIRECT("'"&amp;LEFT($A54,LEN($A54)-1)&amp;"'!$H$13:$J$41"),MATCH(I$1,INDIRECT("'"&amp;LEFT($A54,LEN($A54)-1)&amp;"'!$A$13:$A$41"),0),VALUE(RIGHT($A54,1)))="NO",0,"?"))</f>
        <v>?</v>
      </c>
      <c r="J54" s="87" t="n">
        <f aca="true">IF(INDEX(INDIRECT("'"&amp;LEFT($A54,LEN($A54)-1)&amp;"'!$H$13:$J$41"),MATCH(J$1,INDIRECT("'"&amp;LEFT($A54,LEN($A54)-1)&amp;"'!$A$13:$A$41"),0),VALUE(RIGHT($A54,1)))="YES",$H54,IF(INDEX(INDIRECT("'"&amp;LEFT($A54,LEN($A54)-1)&amp;"'!$H$13:$J$41"),MATCH(J$1,INDIRECT("'"&amp;LEFT($A54,LEN($A54)-1)&amp;"'!$A$13:$A$41"),0),VALUE(RIGHT($A54,1)))="NO",0,"?"))</f>
        <v>0</v>
      </c>
      <c r="K54" s="87" t="str">
        <f aca="true">IF(INDEX(INDIRECT("'"&amp;LEFT($A54,LEN($A54)-1)&amp;"'!$H$13:$J$41"),MATCH(K$1,INDIRECT("'"&amp;LEFT($A54,LEN($A54)-1)&amp;"'!$A$13:$A$41"),0),VALUE(RIGHT($A54,1)))="YES",$H54,IF(INDEX(INDIRECT("'"&amp;LEFT($A54,LEN($A54)-1)&amp;"'!$H$13:$J$41"),MATCH(K$1,INDIRECT("'"&amp;LEFT($A54,LEN($A54)-1)&amp;"'!$A$13:$A$41"),0),VALUE(RIGHT($A54,1)))="NO",0,"?"))</f>
        <v>?</v>
      </c>
      <c r="L54" s="87" t="str">
        <f aca="true">IF(INDEX(INDIRECT("'"&amp;LEFT($A54,LEN($A54)-1)&amp;"'!$H$13:$J$41"),MATCH(L$1,INDIRECT("'"&amp;LEFT($A54,LEN($A54)-1)&amp;"'!$A$13:$A$41"),0),VALUE(RIGHT($A54,1)))="YES",$H54,IF(INDEX(INDIRECT("'"&amp;LEFT($A54,LEN($A54)-1)&amp;"'!$H$13:$J$41"),MATCH(L$1,INDIRECT("'"&amp;LEFT($A54,LEN($A54)-1)&amp;"'!$A$13:$A$41"),0),VALUE(RIGHT($A54,1)))="NO",0,"?"))</f>
        <v>?</v>
      </c>
      <c r="M54" s="87" t="str">
        <f aca="true">IF(INDEX(INDIRECT("'"&amp;LEFT($A54,LEN($A54)-1)&amp;"'!$H$13:$J$41"),MATCH(M$1,INDIRECT("'"&amp;LEFT($A54,LEN($A54)-1)&amp;"'!$A$13:$A$41"),0),VALUE(RIGHT($A54,1)))="YES",$H54,IF(INDEX(INDIRECT("'"&amp;LEFT($A54,LEN($A54)-1)&amp;"'!$H$13:$J$41"),MATCH(M$1,INDIRECT("'"&amp;LEFT($A54,LEN($A54)-1)&amp;"'!$A$13:$A$41"),0),VALUE(RIGHT($A54,1)))="NO",0,"?"))</f>
        <v>?</v>
      </c>
      <c r="N54" s="87" t="str">
        <f aca="true">IF(INDEX(INDIRECT("'"&amp;LEFT($A54,LEN($A54)-1)&amp;"'!$H$13:$J$41"),MATCH(N$1,INDIRECT("'"&amp;LEFT($A54,LEN($A54)-1)&amp;"'!$A$13:$A$41"),0),VALUE(RIGHT($A54,1)))="YES",$H54,IF(INDEX(INDIRECT("'"&amp;LEFT($A54,LEN($A54)-1)&amp;"'!$H$13:$J$41"),MATCH(N$1,INDIRECT("'"&amp;LEFT($A54,LEN($A54)-1)&amp;"'!$A$13:$A$41"),0),VALUE(RIGHT($A54,1)))="NO",0,"?"))</f>
        <v>?</v>
      </c>
      <c r="O54" s="87" t="str">
        <f aca="true">IF(INDEX(INDIRECT("'"&amp;LEFT($A54,LEN($A54)-1)&amp;"'!$H$13:$J$41"),MATCH(O$1,INDIRECT("'"&amp;LEFT($A54,LEN($A54)-1)&amp;"'!$A$13:$A$41"),0),VALUE(RIGHT($A54,1)))="YES",$H54,IF(INDEX(INDIRECT("'"&amp;LEFT($A54,LEN($A54)-1)&amp;"'!$H$13:$J$41"),MATCH(O$1,INDIRECT("'"&amp;LEFT($A54,LEN($A54)-1)&amp;"'!$A$13:$A$41"),0),VALUE(RIGHT($A54,1)))="NO",0,"?"))</f>
        <v>?</v>
      </c>
      <c r="P54" s="87" t="str">
        <f aca="true">IF(INDEX(INDIRECT("'"&amp;LEFT($A54,LEN($A54)-1)&amp;"'!$H$13:$J$41"),MATCH(P$1,INDIRECT("'"&amp;LEFT($A54,LEN($A54)-1)&amp;"'!$A$13:$A$41"),0),VALUE(RIGHT($A54,1)))="YES",$H54,IF(INDEX(INDIRECT("'"&amp;LEFT($A54,LEN($A54)-1)&amp;"'!$H$13:$J$41"),MATCH(P$1,INDIRECT("'"&amp;LEFT($A54,LEN($A54)-1)&amp;"'!$A$13:$A$41"),0),VALUE(RIGHT($A54,1)))="NO",0,"?"))</f>
        <v>?</v>
      </c>
      <c r="Q54" s="87" t="str">
        <f aca="true">IF(INDEX(INDIRECT("'"&amp;LEFT($A54,LEN($A54)-1)&amp;"'!$H$13:$J$41"),MATCH(Q$1,INDIRECT("'"&amp;LEFT($A54,LEN($A54)-1)&amp;"'!$A$13:$A$41"),0),VALUE(RIGHT($A54,1)))="YES",$H54,IF(INDEX(INDIRECT("'"&amp;LEFT($A54,LEN($A54)-1)&amp;"'!$H$13:$J$41"),MATCH(Q$1,INDIRECT("'"&amp;LEFT($A54,LEN($A54)-1)&amp;"'!$A$13:$A$41"),0),VALUE(RIGHT($A54,1)))="NO",0,"?"))</f>
        <v>?</v>
      </c>
      <c r="R54" s="87" t="str">
        <f aca="true">IF(INDEX(INDIRECT("'"&amp;LEFT($A54,LEN($A54)-1)&amp;"'!$H$13:$J$41"),MATCH(R$1,INDIRECT("'"&amp;LEFT($A54,LEN($A54)-1)&amp;"'!$A$13:$A$41"),0),VALUE(RIGHT($A54,1)))="YES",$H54,IF(INDEX(INDIRECT("'"&amp;LEFT($A54,LEN($A54)-1)&amp;"'!$H$13:$J$41"),MATCH(R$1,INDIRECT("'"&amp;LEFT($A54,LEN($A54)-1)&amp;"'!$A$13:$A$41"),0),VALUE(RIGHT($A54,1)))="NO",0,"?"))</f>
        <v>?</v>
      </c>
      <c r="S54" s="87" t="str">
        <f aca="true">IF(INDEX(INDIRECT("'"&amp;LEFT($A54,LEN($A54)-1)&amp;"'!$H$13:$J$41"),MATCH(S$1,INDIRECT("'"&amp;LEFT($A54,LEN($A54)-1)&amp;"'!$A$13:$A$41"),0),VALUE(RIGHT($A54,1)))="YES",$H54,IF(INDEX(INDIRECT("'"&amp;LEFT($A54,LEN($A54)-1)&amp;"'!$H$13:$J$41"),MATCH(S$1,INDIRECT("'"&amp;LEFT($A54,LEN($A54)-1)&amp;"'!$A$13:$A$41"),0),VALUE(RIGHT($A54,1)))="NO",0,"?"))</f>
        <v>?</v>
      </c>
      <c r="T54" s="87" t="str">
        <f aca="true">IF(INDEX(INDIRECT("'"&amp;LEFT($A54,LEN($A54)-1)&amp;"'!$H$13:$J$41"),MATCH(T$1,INDIRECT("'"&amp;LEFT($A54,LEN($A54)-1)&amp;"'!$A$13:$A$41"),0),VALUE(RIGHT($A54,1)))="YES",$H54,IF(INDEX(INDIRECT("'"&amp;LEFT($A54,LEN($A54)-1)&amp;"'!$H$13:$J$41"),MATCH(T$1,INDIRECT("'"&amp;LEFT($A54,LEN($A54)-1)&amp;"'!$A$13:$A$41"),0),VALUE(RIGHT($A54,1)))="NO",0,"?"))</f>
        <v>?</v>
      </c>
      <c r="U54" s="87" t="str">
        <f aca="true">IF(INDEX(INDIRECT("'"&amp;LEFT($A54,LEN($A54)-1)&amp;"'!$H$13:$J$41"),MATCH(U$1,INDIRECT("'"&amp;LEFT($A54,LEN($A54)-1)&amp;"'!$A$13:$A$41"),0),VALUE(RIGHT($A54,1)))="YES",$H54,IF(INDEX(INDIRECT("'"&amp;LEFT($A54,LEN($A54)-1)&amp;"'!$H$13:$J$41"),MATCH(U$1,INDIRECT("'"&amp;LEFT($A54,LEN($A54)-1)&amp;"'!$A$13:$A$41"),0),VALUE(RIGHT($A54,1)))="NO",0,"?"))</f>
        <v>?</v>
      </c>
      <c r="V54" s="87" t="str">
        <f aca="true">IF(INDEX(INDIRECT("'"&amp;LEFT($A54,LEN($A54)-1)&amp;"'!$H$13:$J$41"),MATCH(V$1,INDIRECT("'"&amp;LEFT($A54,LEN($A54)-1)&amp;"'!$A$13:$A$41"),0),VALUE(RIGHT($A54,1)))="YES",$H54,IF(INDEX(INDIRECT("'"&amp;LEFT($A54,LEN($A54)-1)&amp;"'!$H$13:$J$41"),MATCH(V$1,INDIRECT("'"&amp;LEFT($A54,LEN($A54)-1)&amp;"'!$A$13:$A$41"),0),VALUE(RIGHT($A54,1)))="NO",0,"?"))</f>
        <v>?</v>
      </c>
      <c r="W54" s="87" t="str">
        <f aca="true">IF(INDEX(INDIRECT("'"&amp;LEFT($A54,LEN($A54)-1)&amp;"'!$H$13:$J$41"),MATCH(W$1,INDIRECT("'"&amp;LEFT($A54,LEN($A54)-1)&amp;"'!$A$13:$A$41"),0),VALUE(RIGHT($A54,1)))="YES",$H54,IF(INDEX(INDIRECT("'"&amp;LEFT($A54,LEN($A54)-1)&amp;"'!$H$13:$J$41"),MATCH(W$1,INDIRECT("'"&amp;LEFT($A54,LEN($A54)-1)&amp;"'!$A$13:$A$41"),0),VALUE(RIGHT($A54,1)))="NO",0,"?"))</f>
        <v>?</v>
      </c>
      <c r="X54" s="87" t="str">
        <f aca="true">IF(INDEX(INDIRECT("'"&amp;LEFT($A54,LEN($A54)-1)&amp;"'!$H$13:$J$41"),MATCH(X$1,INDIRECT("'"&amp;LEFT($A54,LEN($A54)-1)&amp;"'!$A$13:$A$41"),0),VALUE(RIGHT($A54,1)))="YES",$H54,IF(INDEX(INDIRECT("'"&amp;LEFT($A54,LEN($A54)-1)&amp;"'!$H$13:$J$41"),MATCH(X$1,INDIRECT("'"&amp;LEFT($A54,LEN($A54)-1)&amp;"'!$A$13:$A$41"),0),VALUE(RIGHT($A54,1)))="NO",0,"?"))</f>
        <v>?</v>
      </c>
      <c r="Y54" s="87" t="str">
        <f aca="true">IF(INDEX(INDIRECT("'"&amp;LEFT($A54,LEN($A54)-1)&amp;"'!$H$13:$J$41"),MATCH(Y$1,INDIRECT("'"&amp;LEFT($A54,LEN($A54)-1)&amp;"'!$A$13:$A$41"),0),VALUE(RIGHT($A54,1)))="YES",$H54,IF(INDEX(INDIRECT("'"&amp;LEFT($A54,LEN($A54)-1)&amp;"'!$H$13:$J$41"),MATCH(Y$1,INDIRECT("'"&amp;LEFT($A54,LEN($A54)-1)&amp;"'!$A$13:$A$41"),0),VALUE(RIGHT($A54,1)))="NO",0,"?"))</f>
        <v>?</v>
      </c>
      <c r="Z54" s="87" t="str">
        <f aca="true">IF(INDEX(INDIRECT("'"&amp;LEFT($A54,LEN($A54)-1)&amp;"'!$H$13:$J$41"),MATCH(Z$1,INDIRECT("'"&amp;LEFT($A54,LEN($A54)-1)&amp;"'!$A$13:$A$41"),0),VALUE(RIGHT($A54,1)))="YES",$H54,IF(INDEX(INDIRECT("'"&amp;LEFT($A54,LEN($A54)-1)&amp;"'!$H$13:$J$41"),MATCH(Z$1,INDIRECT("'"&amp;LEFT($A54,LEN($A54)-1)&amp;"'!$A$13:$A$41"),0),VALUE(RIGHT($A54,1)))="NO",0,"?"))</f>
        <v>?</v>
      </c>
      <c r="AA54" s="87" t="str">
        <f aca="true">IF(INDEX(INDIRECT("'"&amp;LEFT($A54,LEN($A54)-1)&amp;"'!$H$13:$J$41"),MATCH(AA$1,INDIRECT("'"&amp;LEFT($A54,LEN($A54)-1)&amp;"'!$A$13:$A$41"),0),VALUE(RIGHT($A54,1)))="YES",$H54,IF(INDEX(INDIRECT("'"&amp;LEFT($A54,LEN($A54)-1)&amp;"'!$H$13:$J$41"),MATCH(AA$1,INDIRECT("'"&amp;LEFT($A54,LEN($A54)-1)&amp;"'!$A$13:$A$41"),0),VALUE(RIGHT($A54,1)))="NO",0,"?"))</f>
        <v>?</v>
      </c>
      <c r="AB54" s="87" t="str">
        <f aca="true">IF(INDEX(INDIRECT("'"&amp;LEFT($A54,LEN($A54)-1)&amp;"'!$H$13:$J$41"),MATCH(AB$1,INDIRECT("'"&amp;LEFT($A54,LEN($A54)-1)&amp;"'!$A$13:$A$41"),0),VALUE(RIGHT($A54,1)))="YES",$H54,IF(INDEX(INDIRECT("'"&amp;LEFT($A54,LEN($A54)-1)&amp;"'!$H$13:$J$41"),MATCH(AB$1,INDIRECT("'"&amp;LEFT($A54,LEN($A54)-1)&amp;"'!$A$13:$A$41"),0),VALUE(RIGHT($A54,1)))="NO",0,"?"))</f>
        <v>?</v>
      </c>
      <c r="AC54" s="87" t="str">
        <f aca="true">IF(INDEX(INDIRECT("'"&amp;LEFT($A54,LEN($A54)-1)&amp;"'!$H$13:$J$41"),MATCH(AC$1,INDIRECT("'"&amp;LEFT($A54,LEN($A54)-1)&amp;"'!$A$13:$A$41"),0),VALUE(RIGHT($A54,1)))="YES",$H54,IF(INDEX(INDIRECT("'"&amp;LEFT($A54,LEN($A54)-1)&amp;"'!$H$13:$J$41"),MATCH(AC$1,INDIRECT("'"&amp;LEFT($A54,LEN($A54)-1)&amp;"'!$A$13:$A$41"),0),VALUE(RIGHT($A54,1)))="NO",0,"?"))</f>
        <v>?</v>
      </c>
      <c r="AD54" s="87" t="str">
        <f aca="true">IF(INDEX(INDIRECT("'"&amp;LEFT($A54,LEN($A54)-1)&amp;"'!$H$13:$J$41"),MATCH(AD$1,INDIRECT("'"&amp;LEFT($A54,LEN($A54)-1)&amp;"'!$A$13:$A$41"),0),VALUE(RIGHT($A54,1)))="YES",$H54,IF(INDEX(INDIRECT("'"&amp;LEFT($A54,LEN($A54)-1)&amp;"'!$H$13:$J$41"),MATCH(AD$1,INDIRECT("'"&amp;LEFT($A54,LEN($A54)-1)&amp;"'!$A$13:$A$41"),0),VALUE(RIGHT($A54,1)))="NO",0,"?"))</f>
        <v>?</v>
      </c>
      <c r="AE54" s="87" t="str">
        <f aca="true">IF(INDEX(INDIRECT("'"&amp;LEFT($A54,LEN($A54)-1)&amp;"'!$H$13:$J$41"),MATCH(AE$1,INDIRECT("'"&amp;LEFT($A54,LEN($A54)-1)&amp;"'!$A$13:$A$41"),0),VALUE(RIGHT($A54,1)))="YES",$H54,IF(INDEX(INDIRECT("'"&amp;LEFT($A54,LEN($A54)-1)&amp;"'!$H$13:$J$41"),MATCH(AE$1,INDIRECT("'"&amp;LEFT($A54,LEN($A54)-1)&amp;"'!$A$13:$A$41"),0),VALUE(RIGHT($A54,1)))="NO",0,"?"))</f>
        <v>?</v>
      </c>
      <c r="AF54" s="87" t="str">
        <f aca="true">IF(INDEX(INDIRECT("'"&amp;LEFT($A54,LEN($A54)-1)&amp;"'!$H$13:$J$41"),MATCH(AF$1,INDIRECT("'"&amp;LEFT($A54,LEN($A54)-1)&amp;"'!$A$13:$A$41"),0),VALUE(RIGHT($A54,1)))="YES",$H54,IF(INDEX(INDIRECT("'"&amp;LEFT($A54,LEN($A54)-1)&amp;"'!$H$13:$J$41"),MATCH(AF$1,INDIRECT("'"&amp;LEFT($A54,LEN($A54)-1)&amp;"'!$A$13:$A$41"),0),VALUE(RIGHT($A54,1)))="NO",0,"?"))</f>
        <v>?</v>
      </c>
      <c r="AG54" s="87" t="str">
        <f aca="true">IF(INDEX(INDIRECT("'"&amp;LEFT($A54,LEN($A54)-1)&amp;"'!$H$13:$J$41"),MATCH(AG$1,INDIRECT("'"&amp;LEFT($A54,LEN($A54)-1)&amp;"'!$A$13:$A$41"),0),VALUE(RIGHT($A54,1)))="YES",$H54,IF(INDEX(INDIRECT("'"&amp;LEFT($A54,LEN($A54)-1)&amp;"'!$H$13:$J$41"),MATCH(AG$1,INDIRECT("'"&amp;LEFT($A54,LEN($A54)-1)&amp;"'!$A$13:$A$41"),0),VALUE(RIGHT($A54,1)))="NO",0,"?"))</f>
        <v>?</v>
      </c>
      <c r="AH54" s="87" t="str">
        <f aca="true">IF(INDEX(INDIRECT("'"&amp;LEFT($A54,LEN($A54)-1)&amp;"'!$H$13:$J$41"),MATCH(AH$1,INDIRECT("'"&amp;LEFT($A54,LEN($A54)-1)&amp;"'!$A$13:$A$41"),0),VALUE(RIGHT($A54,1)))="YES",$H54,IF(INDEX(INDIRECT("'"&amp;LEFT($A54,LEN($A54)-1)&amp;"'!$H$13:$J$41"),MATCH(AH$1,INDIRECT("'"&amp;LEFT($A54,LEN($A54)-1)&amp;"'!$A$13:$A$41"),0),VALUE(RIGHT($A54,1)))="NO",0,"?"))</f>
        <v>?</v>
      </c>
      <c r="AI54" s="87" t="str">
        <f aca="true">IF(INDEX(INDIRECT("'"&amp;LEFT($A54,LEN($A54)-1)&amp;"'!$H$13:$J$41"),MATCH(AI$1,INDIRECT("'"&amp;LEFT($A54,LEN($A54)-1)&amp;"'!$A$13:$A$41"),0),VALUE(RIGHT($A54,1)))="YES",$H54,IF(INDEX(INDIRECT("'"&amp;LEFT($A54,LEN($A54)-1)&amp;"'!$H$13:$J$41"),MATCH(AI$1,INDIRECT("'"&amp;LEFT($A54,LEN($A54)-1)&amp;"'!$A$13:$A$41"),0),VALUE(RIGHT($A54,1)))="NO",0,"?"))</f>
        <v>?</v>
      </c>
      <c r="AJ54" s="87" t="str">
        <f aca="true">IF(INDEX(INDIRECT("'"&amp;LEFT($A54,LEN($A54)-1)&amp;"'!$H$13:$J$41"),MATCH(AJ$1,INDIRECT("'"&amp;LEFT($A54,LEN($A54)-1)&amp;"'!$A$13:$A$41"),0),VALUE(RIGHT($A54,1)))="YES",$H54,IF(INDEX(INDIRECT("'"&amp;LEFT($A54,LEN($A54)-1)&amp;"'!$H$13:$J$41"),MATCH(AJ$1,INDIRECT("'"&amp;LEFT($A54,LEN($A54)-1)&amp;"'!$A$13:$A$41"),0),VALUE(RIGHT($A54,1)))="NO",0,"?"))</f>
        <v>?</v>
      </c>
      <c r="AK54" s="87" t="str">
        <f aca="true">IF(INDEX(INDIRECT("'"&amp;LEFT($A54,LEN($A54)-1)&amp;"'!$H$13:$J$41"),MATCH(AK$1,INDIRECT("'"&amp;LEFT($A54,LEN($A54)-1)&amp;"'!$A$13:$A$41"),0),VALUE(RIGHT($A54,1)))="YES",$H54,IF(INDEX(INDIRECT("'"&amp;LEFT($A54,LEN($A54)-1)&amp;"'!$H$13:$J$41"),MATCH(AK$1,INDIRECT("'"&amp;LEFT($A54,LEN($A54)-1)&amp;"'!$A$13:$A$41"),0),VALUE(RIGHT($A54,1)))="NO",0,"?"))</f>
        <v>?</v>
      </c>
    </row>
    <row r="55" customFormat="false" ht="14.25" hidden="false" customHeight="true" outlineLevel="0" collapsed="false">
      <c r="A55" s="83" t="s">
        <v>825</v>
      </c>
      <c r="B55" s="84" t="str">
        <f aca="false">IF(ISBLANK($A55),"NO_CODE",VLOOKUP($A55,'UPD Questions_290926 '!$E$1:$N$300,MATCH(B$1,'UPD Questions_290926 '!$E$1:$N$1,0),0)&amp;"")</f>
        <v>Implementation</v>
      </c>
      <c r="C55" s="84" t="str">
        <f aca="false">IF(ISBLANK($A55),"NO_CODE",VLOOKUP($A55,'UPD Questions_290926 '!$E$1:$N$300,MATCH(C$1,'UPD Questions_290926 '!$E$1:$N$1,0),0)&amp;"")</f>
        <v>Sectoral planning</v>
      </c>
      <c r="D55" s="84" t="str">
        <f aca="false">IF(ISBLANK($A55),"NO_CODE",VLOOKUP($A55,'UPD Questions_290926 '!$E$1:$N$300,MATCH(D$1,'UPD Questions_290926 '!$E$1:$N$1,0),0)&amp;"")</f>
        <v>Water supply and sewerage, sanitation, solid waste management </v>
      </c>
      <c r="E55" s="84" t="str">
        <f aca="false">IF(ISBLANK($A55),"NO_CODE",VLOOKUP($A55,'UPD Questions_290926 '!$E$1:$N$300,MATCH(E$1,'UPD Questions_290926 '!$E$1:$N$1,0),0)&amp;"")</f>
        <v>SQ3</v>
      </c>
      <c r="F55" s="84" t="str">
        <f aca="false">IF(ISBLANK($A55),"NO_CODE",VLOOKUP($A55,'UPD Questions_290926 '!$E$1:$N$300,MATCH(F$1,'UPD Questions_290926 '!$E$1:$N$1,0),0)&amp;"")</f>
        <v>c)  City Sanitation Plan</v>
      </c>
      <c r="G55" s="84" t="str">
        <f aca="false">IF(ISBLANK($A55),"NO_CODE",VLOOKUP($A55,'UPD Questions_290926 '!$E$1:$N$300,MATCH(G$1,'UPD Questions_290926 '!$E$1:$N$1,0),0)&amp;"")</f>
        <v>Implementation</v>
      </c>
      <c r="H55" s="86" t="n">
        <f aca="false">IF(ISBLANK($A55),"NO_CODE",VLOOKUP($A55,'UPD Questions_290926 '!$E$1:$N$300,MATCH(H$1,'UPD Questions_290926 '!$E$1:$N$1,0),0))</f>
        <v>1.11</v>
      </c>
      <c r="I55" s="87" t="str">
        <f aca="true">IF(INDEX(INDIRECT("'"&amp;LEFT($A55,LEN($A55)-1)&amp;"'!$H$13:$J$41"),MATCH(I$1,INDIRECT("'"&amp;LEFT($A55,LEN($A55)-1)&amp;"'!$A$13:$A$41"),0),VALUE(RIGHT($A55,1)))="YES",$H55,IF(INDEX(INDIRECT("'"&amp;LEFT($A55,LEN($A55)-1)&amp;"'!$H$13:$J$41"),MATCH(I$1,INDIRECT("'"&amp;LEFT($A55,LEN($A55)-1)&amp;"'!$A$13:$A$41"),0),VALUE(RIGHT($A55,1)))="NO",0,"?"))</f>
        <v>?</v>
      </c>
      <c r="J55" s="87" t="n">
        <f aca="true">IF(INDEX(INDIRECT("'"&amp;LEFT($A55,LEN($A55)-1)&amp;"'!$H$13:$J$41"),MATCH(J$1,INDIRECT("'"&amp;LEFT($A55,LEN($A55)-1)&amp;"'!$A$13:$A$41"),0),VALUE(RIGHT($A55,1)))="YES",$H55,IF(INDEX(INDIRECT("'"&amp;LEFT($A55,LEN($A55)-1)&amp;"'!$H$13:$J$41"),MATCH(J$1,INDIRECT("'"&amp;LEFT($A55,LEN($A55)-1)&amp;"'!$A$13:$A$41"),0),VALUE(RIGHT($A55,1)))="NO",0,"?"))</f>
        <v>0</v>
      </c>
      <c r="K55" s="87" t="str">
        <f aca="true">IF(INDEX(INDIRECT("'"&amp;LEFT($A55,LEN($A55)-1)&amp;"'!$H$13:$J$41"),MATCH(K$1,INDIRECT("'"&amp;LEFT($A55,LEN($A55)-1)&amp;"'!$A$13:$A$41"),0),VALUE(RIGHT($A55,1)))="YES",$H55,IF(INDEX(INDIRECT("'"&amp;LEFT($A55,LEN($A55)-1)&amp;"'!$H$13:$J$41"),MATCH(K$1,INDIRECT("'"&amp;LEFT($A55,LEN($A55)-1)&amp;"'!$A$13:$A$41"),0),VALUE(RIGHT($A55,1)))="NO",0,"?"))</f>
        <v>?</v>
      </c>
      <c r="L55" s="87" t="str">
        <f aca="true">IF(INDEX(INDIRECT("'"&amp;LEFT($A55,LEN($A55)-1)&amp;"'!$H$13:$J$41"),MATCH(L$1,INDIRECT("'"&amp;LEFT($A55,LEN($A55)-1)&amp;"'!$A$13:$A$41"),0),VALUE(RIGHT($A55,1)))="YES",$H55,IF(INDEX(INDIRECT("'"&amp;LEFT($A55,LEN($A55)-1)&amp;"'!$H$13:$J$41"),MATCH(L$1,INDIRECT("'"&amp;LEFT($A55,LEN($A55)-1)&amp;"'!$A$13:$A$41"),0),VALUE(RIGHT($A55,1)))="NO",0,"?"))</f>
        <v>?</v>
      </c>
      <c r="M55" s="87" t="str">
        <f aca="true">IF(INDEX(INDIRECT("'"&amp;LEFT($A55,LEN($A55)-1)&amp;"'!$H$13:$J$41"),MATCH(M$1,INDIRECT("'"&amp;LEFT($A55,LEN($A55)-1)&amp;"'!$A$13:$A$41"),0),VALUE(RIGHT($A55,1)))="YES",$H55,IF(INDEX(INDIRECT("'"&amp;LEFT($A55,LEN($A55)-1)&amp;"'!$H$13:$J$41"),MATCH(M$1,INDIRECT("'"&amp;LEFT($A55,LEN($A55)-1)&amp;"'!$A$13:$A$41"),0),VALUE(RIGHT($A55,1)))="NO",0,"?"))</f>
        <v>?</v>
      </c>
      <c r="N55" s="87" t="str">
        <f aca="true">IF(INDEX(INDIRECT("'"&amp;LEFT($A55,LEN($A55)-1)&amp;"'!$H$13:$J$41"),MATCH(N$1,INDIRECT("'"&amp;LEFT($A55,LEN($A55)-1)&amp;"'!$A$13:$A$41"),0),VALUE(RIGHT($A55,1)))="YES",$H55,IF(INDEX(INDIRECT("'"&amp;LEFT($A55,LEN($A55)-1)&amp;"'!$H$13:$J$41"),MATCH(N$1,INDIRECT("'"&amp;LEFT($A55,LEN($A55)-1)&amp;"'!$A$13:$A$41"),0),VALUE(RIGHT($A55,1)))="NO",0,"?"))</f>
        <v>?</v>
      </c>
      <c r="O55" s="87" t="str">
        <f aca="true">IF(INDEX(INDIRECT("'"&amp;LEFT($A55,LEN($A55)-1)&amp;"'!$H$13:$J$41"),MATCH(O$1,INDIRECT("'"&amp;LEFT($A55,LEN($A55)-1)&amp;"'!$A$13:$A$41"),0),VALUE(RIGHT($A55,1)))="YES",$H55,IF(INDEX(INDIRECT("'"&amp;LEFT($A55,LEN($A55)-1)&amp;"'!$H$13:$J$41"),MATCH(O$1,INDIRECT("'"&amp;LEFT($A55,LEN($A55)-1)&amp;"'!$A$13:$A$41"),0),VALUE(RIGHT($A55,1)))="NO",0,"?"))</f>
        <v>?</v>
      </c>
      <c r="P55" s="87" t="str">
        <f aca="true">IF(INDEX(INDIRECT("'"&amp;LEFT($A55,LEN($A55)-1)&amp;"'!$H$13:$J$41"),MATCH(P$1,INDIRECT("'"&amp;LEFT($A55,LEN($A55)-1)&amp;"'!$A$13:$A$41"),0),VALUE(RIGHT($A55,1)))="YES",$H55,IF(INDEX(INDIRECT("'"&amp;LEFT($A55,LEN($A55)-1)&amp;"'!$H$13:$J$41"),MATCH(P$1,INDIRECT("'"&amp;LEFT($A55,LEN($A55)-1)&amp;"'!$A$13:$A$41"),0),VALUE(RIGHT($A55,1)))="NO",0,"?"))</f>
        <v>?</v>
      </c>
      <c r="Q55" s="87" t="str">
        <f aca="true">IF(INDEX(INDIRECT("'"&amp;LEFT($A55,LEN($A55)-1)&amp;"'!$H$13:$J$41"),MATCH(Q$1,INDIRECT("'"&amp;LEFT($A55,LEN($A55)-1)&amp;"'!$A$13:$A$41"),0),VALUE(RIGHT($A55,1)))="YES",$H55,IF(INDEX(INDIRECT("'"&amp;LEFT($A55,LEN($A55)-1)&amp;"'!$H$13:$J$41"),MATCH(Q$1,INDIRECT("'"&amp;LEFT($A55,LEN($A55)-1)&amp;"'!$A$13:$A$41"),0),VALUE(RIGHT($A55,1)))="NO",0,"?"))</f>
        <v>?</v>
      </c>
      <c r="R55" s="87" t="str">
        <f aca="true">IF(INDEX(INDIRECT("'"&amp;LEFT($A55,LEN($A55)-1)&amp;"'!$H$13:$J$41"),MATCH(R$1,INDIRECT("'"&amp;LEFT($A55,LEN($A55)-1)&amp;"'!$A$13:$A$41"),0),VALUE(RIGHT($A55,1)))="YES",$H55,IF(INDEX(INDIRECT("'"&amp;LEFT($A55,LEN($A55)-1)&amp;"'!$H$13:$J$41"),MATCH(R$1,INDIRECT("'"&amp;LEFT($A55,LEN($A55)-1)&amp;"'!$A$13:$A$41"),0),VALUE(RIGHT($A55,1)))="NO",0,"?"))</f>
        <v>?</v>
      </c>
      <c r="S55" s="87" t="str">
        <f aca="true">IF(INDEX(INDIRECT("'"&amp;LEFT($A55,LEN($A55)-1)&amp;"'!$H$13:$J$41"),MATCH(S$1,INDIRECT("'"&amp;LEFT($A55,LEN($A55)-1)&amp;"'!$A$13:$A$41"),0),VALUE(RIGHT($A55,1)))="YES",$H55,IF(INDEX(INDIRECT("'"&amp;LEFT($A55,LEN($A55)-1)&amp;"'!$H$13:$J$41"),MATCH(S$1,INDIRECT("'"&amp;LEFT($A55,LEN($A55)-1)&amp;"'!$A$13:$A$41"),0),VALUE(RIGHT($A55,1)))="NO",0,"?"))</f>
        <v>?</v>
      </c>
      <c r="T55" s="87" t="str">
        <f aca="true">IF(INDEX(INDIRECT("'"&amp;LEFT($A55,LEN($A55)-1)&amp;"'!$H$13:$J$41"),MATCH(T$1,INDIRECT("'"&amp;LEFT($A55,LEN($A55)-1)&amp;"'!$A$13:$A$41"),0),VALUE(RIGHT($A55,1)))="YES",$H55,IF(INDEX(INDIRECT("'"&amp;LEFT($A55,LEN($A55)-1)&amp;"'!$H$13:$J$41"),MATCH(T$1,INDIRECT("'"&amp;LEFT($A55,LEN($A55)-1)&amp;"'!$A$13:$A$41"),0),VALUE(RIGHT($A55,1)))="NO",0,"?"))</f>
        <v>?</v>
      </c>
      <c r="U55" s="87" t="str">
        <f aca="true">IF(INDEX(INDIRECT("'"&amp;LEFT($A55,LEN($A55)-1)&amp;"'!$H$13:$J$41"),MATCH(U$1,INDIRECT("'"&amp;LEFT($A55,LEN($A55)-1)&amp;"'!$A$13:$A$41"),0),VALUE(RIGHT($A55,1)))="YES",$H55,IF(INDEX(INDIRECT("'"&amp;LEFT($A55,LEN($A55)-1)&amp;"'!$H$13:$J$41"),MATCH(U$1,INDIRECT("'"&amp;LEFT($A55,LEN($A55)-1)&amp;"'!$A$13:$A$41"),0),VALUE(RIGHT($A55,1)))="NO",0,"?"))</f>
        <v>?</v>
      </c>
      <c r="V55" s="87" t="str">
        <f aca="true">IF(INDEX(INDIRECT("'"&amp;LEFT($A55,LEN($A55)-1)&amp;"'!$H$13:$J$41"),MATCH(V$1,INDIRECT("'"&amp;LEFT($A55,LEN($A55)-1)&amp;"'!$A$13:$A$41"),0),VALUE(RIGHT($A55,1)))="YES",$H55,IF(INDEX(INDIRECT("'"&amp;LEFT($A55,LEN($A55)-1)&amp;"'!$H$13:$J$41"),MATCH(V$1,INDIRECT("'"&amp;LEFT($A55,LEN($A55)-1)&amp;"'!$A$13:$A$41"),0),VALUE(RIGHT($A55,1)))="NO",0,"?"))</f>
        <v>?</v>
      </c>
      <c r="W55" s="87" t="str">
        <f aca="true">IF(INDEX(INDIRECT("'"&amp;LEFT($A55,LEN($A55)-1)&amp;"'!$H$13:$J$41"),MATCH(W$1,INDIRECT("'"&amp;LEFT($A55,LEN($A55)-1)&amp;"'!$A$13:$A$41"),0),VALUE(RIGHT($A55,1)))="YES",$H55,IF(INDEX(INDIRECT("'"&amp;LEFT($A55,LEN($A55)-1)&amp;"'!$H$13:$J$41"),MATCH(W$1,INDIRECT("'"&amp;LEFT($A55,LEN($A55)-1)&amp;"'!$A$13:$A$41"),0),VALUE(RIGHT($A55,1)))="NO",0,"?"))</f>
        <v>?</v>
      </c>
      <c r="X55" s="87" t="str">
        <f aca="true">IF(INDEX(INDIRECT("'"&amp;LEFT($A55,LEN($A55)-1)&amp;"'!$H$13:$J$41"),MATCH(X$1,INDIRECT("'"&amp;LEFT($A55,LEN($A55)-1)&amp;"'!$A$13:$A$41"),0),VALUE(RIGHT($A55,1)))="YES",$H55,IF(INDEX(INDIRECT("'"&amp;LEFT($A55,LEN($A55)-1)&amp;"'!$H$13:$J$41"),MATCH(X$1,INDIRECT("'"&amp;LEFT($A55,LEN($A55)-1)&amp;"'!$A$13:$A$41"),0),VALUE(RIGHT($A55,1)))="NO",0,"?"))</f>
        <v>?</v>
      </c>
      <c r="Y55" s="87" t="str">
        <f aca="true">IF(INDEX(INDIRECT("'"&amp;LEFT($A55,LEN($A55)-1)&amp;"'!$H$13:$J$41"),MATCH(Y$1,INDIRECT("'"&amp;LEFT($A55,LEN($A55)-1)&amp;"'!$A$13:$A$41"),0),VALUE(RIGHT($A55,1)))="YES",$H55,IF(INDEX(INDIRECT("'"&amp;LEFT($A55,LEN($A55)-1)&amp;"'!$H$13:$J$41"),MATCH(Y$1,INDIRECT("'"&amp;LEFT($A55,LEN($A55)-1)&amp;"'!$A$13:$A$41"),0),VALUE(RIGHT($A55,1)))="NO",0,"?"))</f>
        <v>?</v>
      </c>
      <c r="Z55" s="87" t="str">
        <f aca="true">IF(INDEX(INDIRECT("'"&amp;LEFT($A55,LEN($A55)-1)&amp;"'!$H$13:$J$41"),MATCH(Z$1,INDIRECT("'"&amp;LEFT($A55,LEN($A55)-1)&amp;"'!$A$13:$A$41"),0),VALUE(RIGHT($A55,1)))="YES",$H55,IF(INDEX(INDIRECT("'"&amp;LEFT($A55,LEN($A55)-1)&amp;"'!$H$13:$J$41"),MATCH(Z$1,INDIRECT("'"&amp;LEFT($A55,LEN($A55)-1)&amp;"'!$A$13:$A$41"),0),VALUE(RIGHT($A55,1)))="NO",0,"?"))</f>
        <v>?</v>
      </c>
      <c r="AA55" s="87" t="str">
        <f aca="true">IF(INDEX(INDIRECT("'"&amp;LEFT($A55,LEN($A55)-1)&amp;"'!$H$13:$J$41"),MATCH(AA$1,INDIRECT("'"&amp;LEFT($A55,LEN($A55)-1)&amp;"'!$A$13:$A$41"),0),VALUE(RIGHT($A55,1)))="YES",$H55,IF(INDEX(INDIRECT("'"&amp;LEFT($A55,LEN($A55)-1)&amp;"'!$H$13:$J$41"),MATCH(AA$1,INDIRECT("'"&amp;LEFT($A55,LEN($A55)-1)&amp;"'!$A$13:$A$41"),0),VALUE(RIGHT($A55,1)))="NO",0,"?"))</f>
        <v>?</v>
      </c>
      <c r="AB55" s="87" t="str">
        <f aca="true">IF(INDEX(INDIRECT("'"&amp;LEFT($A55,LEN($A55)-1)&amp;"'!$H$13:$J$41"),MATCH(AB$1,INDIRECT("'"&amp;LEFT($A55,LEN($A55)-1)&amp;"'!$A$13:$A$41"),0),VALUE(RIGHT($A55,1)))="YES",$H55,IF(INDEX(INDIRECT("'"&amp;LEFT($A55,LEN($A55)-1)&amp;"'!$H$13:$J$41"),MATCH(AB$1,INDIRECT("'"&amp;LEFT($A55,LEN($A55)-1)&amp;"'!$A$13:$A$41"),0),VALUE(RIGHT($A55,1)))="NO",0,"?"))</f>
        <v>?</v>
      </c>
      <c r="AC55" s="87" t="str">
        <f aca="true">IF(INDEX(INDIRECT("'"&amp;LEFT($A55,LEN($A55)-1)&amp;"'!$H$13:$J$41"),MATCH(AC$1,INDIRECT("'"&amp;LEFT($A55,LEN($A55)-1)&amp;"'!$A$13:$A$41"),0),VALUE(RIGHT($A55,1)))="YES",$H55,IF(INDEX(INDIRECT("'"&amp;LEFT($A55,LEN($A55)-1)&amp;"'!$H$13:$J$41"),MATCH(AC$1,INDIRECT("'"&amp;LEFT($A55,LEN($A55)-1)&amp;"'!$A$13:$A$41"),0),VALUE(RIGHT($A55,1)))="NO",0,"?"))</f>
        <v>?</v>
      </c>
      <c r="AD55" s="87" t="str">
        <f aca="true">IF(INDEX(INDIRECT("'"&amp;LEFT($A55,LEN($A55)-1)&amp;"'!$H$13:$J$41"),MATCH(AD$1,INDIRECT("'"&amp;LEFT($A55,LEN($A55)-1)&amp;"'!$A$13:$A$41"),0),VALUE(RIGHT($A55,1)))="YES",$H55,IF(INDEX(INDIRECT("'"&amp;LEFT($A55,LEN($A55)-1)&amp;"'!$H$13:$J$41"),MATCH(AD$1,INDIRECT("'"&amp;LEFT($A55,LEN($A55)-1)&amp;"'!$A$13:$A$41"),0),VALUE(RIGHT($A55,1)))="NO",0,"?"))</f>
        <v>?</v>
      </c>
      <c r="AE55" s="87" t="str">
        <f aca="true">IF(INDEX(INDIRECT("'"&amp;LEFT($A55,LEN($A55)-1)&amp;"'!$H$13:$J$41"),MATCH(AE$1,INDIRECT("'"&amp;LEFT($A55,LEN($A55)-1)&amp;"'!$A$13:$A$41"),0),VALUE(RIGHT($A55,1)))="YES",$H55,IF(INDEX(INDIRECT("'"&amp;LEFT($A55,LEN($A55)-1)&amp;"'!$H$13:$J$41"),MATCH(AE$1,INDIRECT("'"&amp;LEFT($A55,LEN($A55)-1)&amp;"'!$A$13:$A$41"),0),VALUE(RIGHT($A55,1)))="NO",0,"?"))</f>
        <v>?</v>
      </c>
      <c r="AF55" s="87" t="str">
        <f aca="true">IF(INDEX(INDIRECT("'"&amp;LEFT($A55,LEN($A55)-1)&amp;"'!$H$13:$J$41"),MATCH(AF$1,INDIRECT("'"&amp;LEFT($A55,LEN($A55)-1)&amp;"'!$A$13:$A$41"),0),VALUE(RIGHT($A55,1)))="YES",$H55,IF(INDEX(INDIRECT("'"&amp;LEFT($A55,LEN($A55)-1)&amp;"'!$H$13:$J$41"),MATCH(AF$1,INDIRECT("'"&amp;LEFT($A55,LEN($A55)-1)&amp;"'!$A$13:$A$41"),0),VALUE(RIGHT($A55,1)))="NO",0,"?"))</f>
        <v>?</v>
      </c>
      <c r="AG55" s="87" t="str">
        <f aca="true">IF(INDEX(INDIRECT("'"&amp;LEFT($A55,LEN($A55)-1)&amp;"'!$H$13:$J$41"),MATCH(AG$1,INDIRECT("'"&amp;LEFT($A55,LEN($A55)-1)&amp;"'!$A$13:$A$41"),0),VALUE(RIGHT($A55,1)))="YES",$H55,IF(INDEX(INDIRECT("'"&amp;LEFT($A55,LEN($A55)-1)&amp;"'!$H$13:$J$41"),MATCH(AG$1,INDIRECT("'"&amp;LEFT($A55,LEN($A55)-1)&amp;"'!$A$13:$A$41"),0),VALUE(RIGHT($A55,1)))="NO",0,"?"))</f>
        <v>?</v>
      </c>
      <c r="AH55" s="87" t="str">
        <f aca="true">IF(INDEX(INDIRECT("'"&amp;LEFT($A55,LEN($A55)-1)&amp;"'!$H$13:$J$41"),MATCH(AH$1,INDIRECT("'"&amp;LEFT($A55,LEN($A55)-1)&amp;"'!$A$13:$A$41"),0),VALUE(RIGHT($A55,1)))="YES",$H55,IF(INDEX(INDIRECT("'"&amp;LEFT($A55,LEN($A55)-1)&amp;"'!$H$13:$J$41"),MATCH(AH$1,INDIRECT("'"&amp;LEFT($A55,LEN($A55)-1)&amp;"'!$A$13:$A$41"),0),VALUE(RIGHT($A55,1)))="NO",0,"?"))</f>
        <v>?</v>
      </c>
      <c r="AI55" s="87" t="str">
        <f aca="true">IF(INDEX(INDIRECT("'"&amp;LEFT($A55,LEN($A55)-1)&amp;"'!$H$13:$J$41"),MATCH(AI$1,INDIRECT("'"&amp;LEFT($A55,LEN($A55)-1)&amp;"'!$A$13:$A$41"),0),VALUE(RIGHT($A55,1)))="YES",$H55,IF(INDEX(INDIRECT("'"&amp;LEFT($A55,LEN($A55)-1)&amp;"'!$H$13:$J$41"),MATCH(AI$1,INDIRECT("'"&amp;LEFT($A55,LEN($A55)-1)&amp;"'!$A$13:$A$41"),0),VALUE(RIGHT($A55,1)))="NO",0,"?"))</f>
        <v>?</v>
      </c>
      <c r="AJ55" s="87" t="str">
        <f aca="true">IF(INDEX(INDIRECT("'"&amp;LEFT($A55,LEN($A55)-1)&amp;"'!$H$13:$J$41"),MATCH(AJ$1,INDIRECT("'"&amp;LEFT($A55,LEN($A55)-1)&amp;"'!$A$13:$A$41"),0),VALUE(RIGHT($A55,1)))="YES",$H55,IF(INDEX(INDIRECT("'"&amp;LEFT($A55,LEN($A55)-1)&amp;"'!$H$13:$J$41"),MATCH(AJ$1,INDIRECT("'"&amp;LEFT($A55,LEN($A55)-1)&amp;"'!$A$13:$A$41"),0),VALUE(RIGHT($A55,1)))="NO",0,"?"))</f>
        <v>?</v>
      </c>
      <c r="AK55" s="87" t="str">
        <f aca="true">IF(INDEX(INDIRECT("'"&amp;LEFT($A55,LEN($A55)-1)&amp;"'!$H$13:$J$41"),MATCH(AK$1,INDIRECT("'"&amp;LEFT($A55,LEN($A55)-1)&amp;"'!$A$13:$A$41"),0),VALUE(RIGHT($A55,1)))="YES",$H55,IF(INDEX(INDIRECT("'"&amp;LEFT($A55,LEN($A55)-1)&amp;"'!$H$13:$J$41"),MATCH(AK$1,INDIRECT("'"&amp;LEFT($A55,LEN($A55)-1)&amp;"'!$A$13:$A$41"),0),VALUE(RIGHT($A55,1)))="NO",0,"?"))</f>
        <v>?</v>
      </c>
    </row>
    <row r="56" customFormat="false" ht="14.25" hidden="false" customHeight="true" outlineLevel="0" collapsed="false">
      <c r="A56" s="83" t="s">
        <v>341</v>
      </c>
      <c r="B56" s="84" t="str">
        <f aca="false">IF(ISBLANK($A56),"NO_CODE",VLOOKUP($A56,'UPD Questions_290926 '!$E$1:$N$300,MATCH(B$1,'UPD Questions_290926 '!$E$1:$N$1,0),0)&amp;"")</f>
        <v>Implementation</v>
      </c>
      <c r="C56" s="84" t="str">
        <f aca="false">IF(ISBLANK($A56),"NO_CODE",VLOOKUP($A56,'UPD Questions_290926 '!$E$1:$N$300,MATCH(C$1,'UPD Questions_290926 '!$E$1:$N$1,0),0)&amp;"")</f>
        <v>Sectoral planning</v>
      </c>
      <c r="D56" s="84" t="str">
        <f aca="false">IF(ISBLANK($A56),"NO_CODE",VLOOKUP($A56,'UPD Questions_290926 '!$E$1:$N$300,MATCH(D$1,'UPD Questions_290926 '!$E$1:$N$1,0),0)&amp;"")</f>
        <v>Water supply and sewerage, sanitation, solid waste management </v>
      </c>
      <c r="E56" s="84" t="str">
        <f aca="false">IF(ISBLANK($A56),"NO_CODE",VLOOKUP($A56,'UPD Questions_290926 '!$E$1:$N$300,MATCH(E$1,'UPD Questions_290926 '!$E$1:$N$1,0),0)&amp;"")</f>
        <v>SQ</v>
      </c>
      <c r="F56" s="84" t="str">
        <f aca="false">IF(ISBLANK($A56),"NO_CODE",VLOOKUP($A56,'UPD Questions_290926 '!$E$1:$N$300,MATCH(F$1,'UPD Questions_290926 '!$E$1:$N$1,0),0)&amp;"")</f>
        <v>Does the plan have development priorities and measureable objectives?</v>
      </c>
      <c r="G56" s="84" t="str">
        <f aca="false">IF(ISBLANK($A56),"NO_CODE",VLOOKUP($A56,'UPD Questions_290926 '!$E$1:$N$300,MATCH(G$1,'UPD Questions_290926 '!$E$1:$N$1,0),0)&amp;"")</f>
        <v>Implementation</v>
      </c>
      <c r="H56" s="86" t="n">
        <f aca="false">IF(ISBLANK($A56),"NO_CODE",VLOOKUP($A56,'UPD Questions_290926 '!$E$1:$N$300,MATCH(H$1,'UPD Questions_290926 '!$E$1:$N$1,0),0))</f>
        <v>3.33</v>
      </c>
      <c r="I56" s="87" t="str">
        <f aca="true">IF($H56=0,"NA",IF($A56=INDIRECT("'"&amp;$A56&amp;"'!$B$1"),IF(VLOOKUP(I$1,INDIRECT("'"&amp;$A56&amp;"'!$A$12:$Z$41"),MATCH("Points (Auto-generate)",INDIRECT("'"&amp;$A56&amp;"'!$A$12:$Z$12"),0),0)="","?",VLOOKUP(I$1,INDIRECT("'"&amp;$A56&amp;"'!$A$12:$Z$41"),MATCH("Points (Auto-generate)",INDIRECT("'"&amp;$A56&amp;"'!$A$12:$Z$12"),0),0)),"ER"))</f>
        <v>?</v>
      </c>
      <c r="J56" s="87" t="n">
        <f aca="true">IF($H56=0,"NA",IF($A56=INDIRECT("'"&amp;$A56&amp;"'!$B$1"),IF(VLOOKUP(J$1,INDIRECT("'"&amp;$A56&amp;"'!$A$12:$Z$41"),MATCH("Points (Auto-generate)",INDIRECT("'"&amp;$A56&amp;"'!$A$12:$Z$12"),0),0)="","?",VLOOKUP(J$1,INDIRECT("'"&amp;$A56&amp;"'!$A$12:$Z$41"),MATCH("Points (Auto-generate)",INDIRECT("'"&amp;$A56&amp;"'!$A$12:$Z$12"),0),0)),"ER"))</f>
        <v>1.11</v>
      </c>
      <c r="K56" s="87" t="str">
        <f aca="true">IF($H56=0,"NA",IF($A56=INDIRECT("'"&amp;$A56&amp;"'!$B$1"),IF(VLOOKUP(K$1,INDIRECT("'"&amp;$A56&amp;"'!$A$12:$Z$41"),MATCH("Points (Auto-generate)",INDIRECT("'"&amp;$A56&amp;"'!$A$12:$Z$12"),0),0)="","?",VLOOKUP(K$1,INDIRECT("'"&amp;$A56&amp;"'!$A$12:$Z$41"),MATCH("Points (Auto-generate)",INDIRECT("'"&amp;$A56&amp;"'!$A$12:$Z$12"),0),0)),"ER"))</f>
        <v>?</v>
      </c>
      <c r="L56" s="87" t="str">
        <f aca="true">IF($H56=0,"NA",IF($A56=INDIRECT("'"&amp;$A56&amp;"'!$B$1"),IF(VLOOKUP(L$1,INDIRECT("'"&amp;$A56&amp;"'!$A$12:$Z$41"),MATCH("Points (Auto-generate)",INDIRECT("'"&amp;$A56&amp;"'!$A$12:$Z$12"),0),0)="","?",VLOOKUP(L$1,INDIRECT("'"&amp;$A56&amp;"'!$A$12:$Z$41"),MATCH("Points (Auto-generate)",INDIRECT("'"&amp;$A56&amp;"'!$A$12:$Z$12"),0),0)),"ER"))</f>
        <v>?</v>
      </c>
      <c r="M56" s="87" t="str">
        <f aca="true">IF($H56=0,"NA",IF($A56=INDIRECT("'"&amp;$A56&amp;"'!$B$1"),IF(VLOOKUP(M$1,INDIRECT("'"&amp;$A56&amp;"'!$A$12:$Z$41"),MATCH("Points (Auto-generate)",INDIRECT("'"&amp;$A56&amp;"'!$A$12:$Z$12"),0),0)="","?",VLOOKUP(M$1,INDIRECT("'"&amp;$A56&amp;"'!$A$12:$Z$41"),MATCH("Points (Auto-generate)",INDIRECT("'"&amp;$A56&amp;"'!$A$12:$Z$12"),0),0)),"ER"))</f>
        <v>?</v>
      </c>
      <c r="N56" s="87" t="str">
        <f aca="true">IF($H56=0,"NA",IF($A56=INDIRECT("'"&amp;$A56&amp;"'!$B$1"),IF(VLOOKUP(N$1,INDIRECT("'"&amp;$A56&amp;"'!$A$12:$Z$41"),MATCH("Points (Auto-generate)",INDIRECT("'"&amp;$A56&amp;"'!$A$12:$Z$12"),0),0)="","?",VLOOKUP(N$1,INDIRECT("'"&amp;$A56&amp;"'!$A$12:$Z$41"),MATCH("Points (Auto-generate)",INDIRECT("'"&amp;$A56&amp;"'!$A$12:$Z$12"),0),0)),"ER"))</f>
        <v>?</v>
      </c>
      <c r="O56" s="87" t="str">
        <f aca="true">IF($H56=0,"NA",IF($A56=INDIRECT("'"&amp;$A56&amp;"'!$B$1"),IF(VLOOKUP(O$1,INDIRECT("'"&amp;$A56&amp;"'!$A$12:$Z$41"),MATCH("Points (Auto-generate)",INDIRECT("'"&amp;$A56&amp;"'!$A$12:$Z$12"),0),0)="","?",VLOOKUP(O$1,INDIRECT("'"&amp;$A56&amp;"'!$A$12:$Z$41"),MATCH("Points (Auto-generate)",INDIRECT("'"&amp;$A56&amp;"'!$A$12:$Z$12"),0),0)),"ER"))</f>
        <v>?</v>
      </c>
      <c r="P56" s="87" t="str">
        <f aca="true">IF($H56=0,"NA",IF($A56=INDIRECT("'"&amp;$A56&amp;"'!$B$1"),IF(VLOOKUP(P$1,INDIRECT("'"&amp;$A56&amp;"'!$A$12:$Z$41"),MATCH("Points (Auto-generate)",INDIRECT("'"&amp;$A56&amp;"'!$A$12:$Z$12"),0),0)="","?",VLOOKUP(P$1,INDIRECT("'"&amp;$A56&amp;"'!$A$12:$Z$41"),MATCH("Points (Auto-generate)",INDIRECT("'"&amp;$A56&amp;"'!$A$12:$Z$12"),0),0)),"ER"))</f>
        <v>?</v>
      </c>
      <c r="Q56" s="87" t="str">
        <f aca="true">IF($H56=0,"NA",IF($A56=INDIRECT("'"&amp;$A56&amp;"'!$B$1"),IF(VLOOKUP(Q$1,INDIRECT("'"&amp;$A56&amp;"'!$A$12:$Z$41"),MATCH("Points (Auto-generate)",INDIRECT("'"&amp;$A56&amp;"'!$A$12:$Z$12"),0),0)="","?",VLOOKUP(Q$1,INDIRECT("'"&amp;$A56&amp;"'!$A$12:$Z$41"),MATCH("Points (Auto-generate)",INDIRECT("'"&amp;$A56&amp;"'!$A$12:$Z$12"),0),0)),"ER"))</f>
        <v>?</v>
      </c>
      <c r="R56" s="87" t="str">
        <f aca="true">IF($H56=0,"NA",IF($A56=INDIRECT("'"&amp;$A56&amp;"'!$B$1"),IF(VLOOKUP(R$1,INDIRECT("'"&amp;$A56&amp;"'!$A$12:$Z$41"),MATCH("Points (Auto-generate)",INDIRECT("'"&amp;$A56&amp;"'!$A$12:$Z$12"),0),0)="","?",VLOOKUP(R$1,INDIRECT("'"&amp;$A56&amp;"'!$A$12:$Z$41"),MATCH("Points (Auto-generate)",INDIRECT("'"&amp;$A56&amp;"'!$A$12:$Z$12"),0),0)),"ER"))</f>
        <v>?</v>
      </c>
      <c r="S56" s="87" t="str">
        <f aca="true">IF($H56=0,"NA",IF($A56=INDIRECT("'"&amp;$A56&amp;"'!$B$1"),IF(VLOOKUP(S$1,INDIRECT("'"&amp;$A56&amp;"'!$A$12:$Z$41"),MATCH("Points (Auto-generate)",INDIRECT("'"&amp;$A56&amp;"'!$A$12:$Z$12"),0),0)="","?",VLOOKUP(S$1,INDIRECT("'"&amp;$A56&amp;"'!$A$12:$Z$41"),MATCH("Points (Auto-generate)",INDIRECT("'"&amp;$A56&amp;"'!$A$12:$Z$12"),0),0)),"ER"))</f>
        <v>?</v>
      </c>
      <c r="T56" s="87" t="str">
        <f aca="true">IF($H56=0,"NA",IF($A56=INDIRECT("'"&amp;$A56&amp;"'!$B$1"),IF(VLOOKUP(T$1,INDIRECT("'"&amp;$A56&amp;"'!$A$12:$Z$41"),MATCH("Points (Auto-generate)",INDIRECT("'"&amp;$A56&amp;"'!$A$12:$Z$12"),0),0)="","?",VLOOKUP(T$1,INDIRECT("'"&amp;$A56&amp;"'!$A$12:$Z$41"),MATCH("Points (Auto-generate)",INDIRECT("'"&amp;$A56&amp;"'!$A$12:$Z$12"),0),0)),"ER"))</f>
        <v>?</v>
      </c>
      <c r="U56" s="87" t="str">
        <f aca="true">IF($H56=0,"NA",IF($A56=INDIRECT("'"&amp;$A56&amp;"'!$B$1"),IF(VLOOKUP(U$1,INDIRECT("'"&amp;$A56&amp;"'!$A$12:$Z$41"),MATCH("Points (Auto-generate)",INDIRECT("'"&amp;$A56&amp;"'!$A$12:$Z$12"),0),0)="","?",VLOOKUP(U$1,INDIRECT("'"&amp;$A56&amp;"'!$A$12:$Z$41"),MATCH("Points (Auto-generate)",INDIRECT("'"&amp;$A56&amp;"'!$A$12:$Z$12"),0),0)),"ER"))</f>
        <v>?</v>
      </c>
      <c r="V56" s="87" t="str">
        <f aca="true">IF($H56=0,"NA",IF($A56=INDIRECT("'"&amp;$A56&amp;"'!$B$1"),IF(VLOOKUP(V$1,INDIRECT("'"&amp;$A56&amp;"'!$A$12:$Z$41"),MATCH("Points (Auto-generate)",INDIRECT("'"&amp;$A56&amp;"'!$A$12:$Z$12"),0),0)="","?",VLOOKUP(V$1,INDIRECT("'"&amp;$A56&amp;"'!$A$12:$Z$41"),MATCH("Points (Auto-generate)",INDIRECT("'"&amp;$A56&amp;"'!$A$12:$Z$12"),0),0)),"ER"))</f>
        <v>?</v>
      </c>
      <c r="W56" s="87" t="str">
        <f aca="true">IF($H56=0,"NA",IF($A56=INDIRECT("'"&amp;$A56&amp;"'!$B$1"),IF(VLOOKUP(W$1,INDIRECT("'"&amp;$A56&amp;"'!$A$12:$Z$41"),MATCH("Points (Auto-generate)",INDIRECT("'"&amp;$A56&amp;"'!$A$12:$Z$12"),0),0)="","?",VLOOKUP(W$1,INDIRECT("'"&amp;$A56&amp;"'!$A$12:$Z$41"),MATCH("Points (Auto-generate)",INDIRECT("'"&amp;$A56&amp;"'!$A$12:$Z$12"),0),0)),"ER"))</f>
        <v>?</v>
      </c>
      <c r="X56" s="87" t="str">
        <f aca="true">IF($H56=0,"NA",IF($A56=INDIRECT("'"&amp;$A56&amp;"'!$B$1"),IF(VLOOKUP(X$1,INDIRECT("'"&amp;$A56&amp;"'!$A$12:$Z$41"),MATCH("Points (Auto-generate)",INDIRECT("'"&amp;$A56&amp;"'!$A$12:$Z$12"),0),0)="","?",VLOOKUP(X$1,INDIRECT("'"&amp;$A56&amp;"'!$A$12:$Z$41"),MATCH("Points (Auto-generate)",INDIRECT("'"&amp;$A56&amp;"'!$A$12:$Z$12"),0),0)),"ER"))</f>
        <v>?</v>
      </c>
      <c r="Y56" s="87" t="str">
        <f aca="true">IF($H56=0,"NA",IF($A56=INDIRECT("'"&amp;$A56&amp;"'!$B$1"),IF(VLOOKUP(Y$1,INDIRECT("'"&amp;$A56&amp;"'!$A$12:$Z$41"),MATCH("Points (Auto-generate)",INDIRECT("'"&amp;$A56&amp;"'!$A$12:$Z$12"),0),0)="","?",VLOOKUP(Y$1,INDIRECT("'"&amp;$A56&amp;"'!$A$12:$Z$41"),MATCH("Points (Auto-generate)",INDIRECT("'"&amp;$A56&amp;"'!$A$12:$Z$12"),0),0)),"ER"))</f>
        <v>?</v>
      </c>
      <c r="Z56" s="87" t="str">
        <f aca="true">IF($H56=0,"NA",IF($A56=INDIRECT("'"&amp;$A56&amp;"'!$B$1"),IF(VLOOKUP(Z$1,INDIRECT("'"&amp;$A56&amp;"'!$A$12:$Z$41"),MATCH("Points (Auto-generate)",INDIRECT("'"&amp;$A56&amp;"'!$A$12:$Z$12"),0),0)="","?",VLOOKUP(Z$1,INDIRECT("'"&amp;$A56&amp;"'!$A$12:$Z$41"),MATCH("Points (Auto-generate)",INDIRECT("'"&amp;$A56&amp;"'!$A$12:$Z$12"),0),0)),"ER"))</f>
        <v>?</v>
      </c>
      <c r="AA56" s="87" t="str">
        <f aca="true">IF($H56=0,"NA",IF($A56=INDIRECT("'"&amp;$A56&amp;"'!$B$1"),IF(VLOOKUP(AA$1,INDIRECT("'"&amp;$A56&amp;"'!$A$12:$Z$41"),MATCH("Points (Auto-generate)",INDIRECT("'"&amp;$A56&amp;"'!$A$12:$Z$12"),0),0)="","?",VLOOKUP(AA$1,INDIRECT("'"&amp;$A56&amp;"'!$A$12:$Z$41"),MATCH("Points (Auto-generate)",INDIRECT("'"&amp;$A56&amp;"'!$A$12:$Z$12"),0),0)),"ER"))</f>
        <v>?</v>
      </c>
      <c r="AB56" s="87" t="str">
        <f aca="true">IF($H56=0,"NA",IF($A56=INDIRECT("'"&amp;$A56&amp;"'!$B$1"),IF(VLOOKUP(AB$1,INDIRECT("'"&amp;$A56&amp;"'!$A$12:$Z$41"),MATCH("Points (Auto-generate)",INDIRECT("'"&amp;$A56&amp;"'!$A$12:$Z$12"),0),0)="","?",VLOOKUP(AB$1,INDIRECT("'"&amp;$A56&amp;"'!$A$12:$Z$41"),MATCH("Points (Auto-generate)",INDIRECT("'"&amp;$A56&amp;"'!$A$12:$Z$12"),0),0)),"ER"))</f>
        <v>?</v>
      </c>
      <c r="AC56" s="87" t="str">
        <f aca="true">IF($H56=0,"NA",IF($A56=INDIRECT("'"&amp;$A56&amp;"'!$B$1"),IF(VLOOKUP(AC$1,INDIRECT("'"&amp;$A56&amp;"'!$A$12:$Z$41"),MATCH("Points (Auto-generate)",INDIRECT("'"&amp;$A56&amp;"'!$A$12:$Z$12"),0),0)="","?",VLOOKUP(AC$1,INDIRECT("'"&amp;$A56&amp;"'!$A$12:$Z$41"),MATCH("Points (Auto-generate)",INDIRECT("'"&amp;$A56&amp;"'!$A$12:$Z$12"),0),0)),"ER"))</f>
        <v>?</v>
      </c>
      <c r="AD56" s="87" t="str">
        <f aca="true">IF($H56=0,"NA",IF($A56=INDIRECT("'"&amp;$A56&amp;"'!$B$1"),IF(VLOOKUP(AD$1,INDIRECT("'"&amp;$A56&amp;"'!$A$12:$Z$41"),MATCH("Points (Auto-generate)",INDIRECT("'"&amp;$A56&amp;"'!$A$12:$Z$12"),0),0)="","?",VLOOKUP(AD$1,INDIRECT("'"&amp;$A56&amp;"'!$A$12:$Z$41"),MATCH("Points (Auto-generate)",INDIRECT("'"&amp;$A56&amp;"'!$A$12:$Z$12"),0),0)),"ER"))</f>
        <v>?</v>
      </c>
      <c r="AE56" s="87" t="str">
        <f aca="true">IF($H56=0,"NA",IF($A56=INDIRECT("'"&amp;$A56&amp;"'!$B$1"),IF(VLOOKUP(AE$1,INDIRECT("'"&amp;$A56&amp;"'!$A$12:$Z$41"),MATCH("Points (Auto-generate)",INDIRECT("'"&amp;$A56&amp;"'!$A$12:$Z$12"),0),0)="","?",VLOOKUP(AE$1,INDIRECT("'"&amp;$A56&amp;"'!$A$12:$Z$41"),MATCH("Points (Auto-generate)",INDIRECT("'"&amp;$A56&amp;"'!$A$12:$Z$12"),0),0)),"ER"))</f>
        <v>?</v>
      </c>
      <c r="AF56" s="87" t="str">
        <f aca="true">IF($H56=0,"NA",IF($A56=INDIRECT("'"&amp;$A56&amp;"'!$B$1"),IF(VLOOKUP(AF$1,INDIRECT("'"&amp;$A56&amp;"'!$A$12:$Z$41"),MATCH("Points (Auto-generate)",INDIRECT("'"&amp;$A56&amp;"'!$A$12:$Z$12"),0),0)="","?",VLOOKUP(AF$1,INDIRECT("'"&amp;$A56&amp;"'!$A$12:$Z$41"),MATCH("Points (Auto-generate)",INDIRECT("'"&amp;$A56&amp;"'!$A$12:$Z$12"),0),0)),"ER"))</f>
        <v>?</v>
      </c>
      <c r="AG56" s="87" t="str">
        <f aca="true">IF($H56=0,"NA",IF($A56=INDIRECT("'"&amp;$A56&amp;"'!$B$1"),IF(VLOOKUP(AG$1,INDIRECT("'"&amp;$A56&amp;"'!$A$12:$Z$41"),MATCH("Points (Auto-generate)",INDIRECT("'"&amp;$A56&amp;"'!$A$12:$Z$12"),0),0)="","?",VLOOKUP(AG$1,INDIRECT("'"&amp;$A56&amp;"'!$A$12:$Z$41"),MATCH("Points (Auto-generate)",INDIRECT("'"&amp;$A56&amp;"'!$A$12:$Z$12"),0),0)),"ER"))</f>
        <v>?</v>
      </c>
      <c r="AH56" s="87" t="str">
        <f aca="true">IF($H56=0,"NA",IF($A56=INDIRECT("'"&amp;$A56&amp;"'!$B$1"),IF(VLOOKUP(AH$1,INDIRECT("'"&amp;$A56&amp;"'!$A$12:$Z$41"),MATCH("Points (Auto-generate)",INDIRECT("'"&amp;$A56&amp;"'!$A$12:$Z$12"),0),0)="","?",VLOOKUP(AH$1,INDIRECT("'"&amp;$A56&amp;"'!$A$12:$Z$41"),MATCH("Points (Auto-generate)",INDIRECT("'"&amp;$A56&amp;"'!$A$12:$Z$12"),0),0)),"ER"))</f>
        <v>?</v>
      </c>
      <c r="AI56" s="87" t="str">
        <f aca="true">IF($H56=0,"NA",IF($A56=INDIRECT("'"&amp;$A56&amp;"'!$B$1"),IF(VLOOKUP(AI$1,INDIRECT("'"&amp;$A56&amp;"'!$A$12:$Z$41"),MATCH("Points (Auto-generate)",INDIRECT("'"&amp;$A56&amp;"'!$A$12:$Z$12"),0),0)="","?",VLOOKUP(AI$1,INDIRECT("'"&amp;$A56&amp;"'!$A$12:$Z$41"),MATCH("Points (Auto-generate)",INDIRECT("'"&amp;$A56&amp;"'!$A$12:$Z$12"),0),0)),"ER"))</f>
        <v>?</v>
      </c>
      <c r="AJ56" s="87" t="str">
        <f aca="true">IF($H56=0,"NA",IF($A56=INDIRECT("'"&amp;$A56&amp;"'!$B$1"),IF(VLOOKUP(AJ$1,INDIRECT("'"&amp;$A56&amp;"'!$A$12:$Z$41"),MATCH("Points (Auto-generate)",INDIRECT("'"&amp;$A56&amp;"'!$A$12:$Z$12"),0),0)="","?",VLOOKUP(AJ$1,INDIRECT("'"&amp;$A56&amp;"'!$A$12:$Z$41"),MATCH("Points (Auto-generate)",INDIRECT("'"&amp;$A56&amp;"'!$A$12:$Z$12"),0),0)),"ER"))</f>
        <v>?</v>
      </c>
      <c r="AK56" s="87" t="str">
        <f aca="true">IF($H56=0,"NA",IF($A56=INDIRECT("'"&amp;$A56&amp;"'!$B$1"),IF(VLOOKUP(AK$1,INDIRECT("'"&amp;$A56&amp;"'!$A$12:$Z$41"),MATCH("Points (Auto-generate)",INDIRECT("'"&amp;$A56&amp;"'!$A$12:$Z$12"),0),0)="","?",VLOOKUP(AK$1,INDIRECT("'"&amp;$A56&amp;"'!$A$12:$Z$41"),MATCH("Points (Auto-generate)",INDIRECT("'"&amp;$A56&amp;"'!$A$12:$Z$12"),0),0)),"ER"))</f>
        <v>?</v>
      </c>
    </row>
    <row r="57" customFormat="false" ht="14.25" hidden="false" customHeight="true" outlineLevel="0" collapsed="false">
      <c r="A57" s="83" t="s">
        <v>832</v>
      </c>
      <c r="B57" s="84" t="str">
        <f aca="false">IF(ISBLANK($A57),"NO_CODE",VLOOKUP($A57,'UPD Questions_290926 '!$E$1:$N$300,MATCH(B$1,'UPD Questions_290926 '!$E$1:$N$1,0),0)&amp;"")</f>
        <v>Implementation</v>
      </c>
      <c r="C57" s="84" t="str">
        <f aca="false">IF(ISBLANK($A57),"NO_CODE",VLOOKUP($A57,'UPD Questions_290926 '!$E$1:$N$300,MATCH(C$1,'UPD Questions_290926 '!$E$1:$N$1,0),0)&amp;"")</f>
        <v>Sectoral planning</v>
      </c>
      <c r="D57" s="84" t="str">
        <f aca="false">IF(ISBLANK($A57),"NO_CODE",VLOOKUP($A57,'UPD Questions_290926 '!$E$1:$N$300,MATCH(D$1,'UPD Questions_290926 '!$E$1:$N$1,0),0)&amp;"")</f>
        <v>Water supply and sewerage, sanitation, solid waste management </v>
      </c>
      <c r="E57" s="84" t="str">
        <f aca="false">IF(ISBLANK($A57),"NO_CODE",VLOOKUP($A57,'UPD Questions_290926 '!$E$1:$N$300,MATCH(E$1,'UPD Questions_290926 '!$E$1:$N$1,0),0)&amp;"")</f>
        <v>SQ1</v>
      </c>
      <c r="F57" s="84" t="str">
        <f aca="false">IF(ISBLANK($A57),"NO_CODE",VLOOKUP($A57,'UPD Questions_290926 '!$E$1:$N$300,MATCH(F$1,'UPD Questions_290926 '!$E$1:$N$1,0),0)&amp;"")</f>
        <v>a) Water Supply and Sewerage Plan</v>
      </c>
      <c r="G57" s="84" t="str">
        <f aca="false">IF(ISBLANK($A57),"NO_CODE",VLOOKUP($A57,'UPD Questions_290926 '!$E$1:$N$300,MATCH(G$1,'UPD Questions_290926 '!$E$1:$N$1,0),0)&amp;"")</f>
        <v>Implementation</v>
      </c>
      <c r="H57" s="86" t="n">
        <f aca="false">IF(ISBLANK($A57),"NO_CODE",VLOOKUP($A57,'UPD Questions_290926 '!$E$1:$N$300,MATCH(H$1,'UPD Questions_290926 '!$E$1:$N$1,0),0))</f>
        <v>1.11</v>
      </c>
      <c r="I57" s="87" t="str">
        <f aca="true">IF(INDEX(INDIRECT("'"&amp;LEFT($A57,LEN($A57)-1)&amp;"'!$H$13:$J$41"),MATCH(I$1,INDIRECT("'"&amp;LEFT($A57,LEN($A57)-1)&amp;"'!$A$13:$A$41"),0),VALUE(RIGHT($A57,1)))="YES",$H57,IF(INDEX(INDIRECT("'"&amp;LEFT($A57,LEN($A57)-1)&amp;"'!$H$13:$J$41"),MATCH(I$1,INDIRECT("'"&amp;LEFT($A57,LEN($A57)-1)&amp;"'!$A$13:$A$41"),0),VALUE(RIGHT($A57,1)))="NO",0,"?"))</f>
        <v>?</v>
      </c>
      <c r="J57" s="87" t="n">
        <f aca="true">IF(INDEX(INDIRECT("'"&amp;LEFT($A57,LEN($A57)-1)&amp;"'!$H$13:$J$41"),MATCH(J$1,INDIRECT("'"&amp;LEFT($A57,LEN($A57)-1)&amp;"'!$A$13:$A$41"),0),VALUE(RIGHT($A57,1)))="YES",$H57,IF(INDEX(INDIRECT("'"&amp;LEFT($A57,LEN($A57)-1)&amp;"'!$H$13:$J$41"),MATCH(J$1,INDIRECT("'"&amp;LEFT($A57,LEN($A57)-1)&amp;"'!$A$13:$A$41"),0),VALUE(RIGHT($A57,1)))="NO",0,"?"))</f>
        <v>1.11</v>
      </c>
      <c r="K57" s="87" t="str">
        <f aca="true">IF(INDEX(INDIRECT("'"&amp;LEFT($A57,LEN($A57)-1)&amp;"'!$H$13:$J$41"),MATCH(K$1,INDIRECT("'"&amp;LEFT($A57,LEN($A57)-1)&amp;"'!$A$13:$A$41"),0),VALUE(RIGHT($A57,1)))="YES",$H57,IF(INDEX(INDIRECT("'"&amp;LEFT($A57,LEN($A57)-1)&amp;"'!$H$13:$J$41"),MATCH(K$1,INDIRECT("'"&amp;LEFT($A57,LEN($A57)-1)&amp;"'!$A$13:$A$41"),0),VALUE(RIGHT($A57,1)))="NO",0,"?"))</f>
        <v>?</v>
      </c>
      <c r="L57" s="87" t="str">
        <f aca="true">IF(INDEX(INDIRECT("'"&amp;LEFT($A57,LEN($A57)-1)&amp;"'!$H$13:$J$41"),MATCH(L$1,INDIRECT("'"&amp;LEFT($A57,LEN($A57)-1)&amp;"'!$A$13:$A$41"),0),VALUE(RIGHT($A57,1)))="YES",$H57,IF(INDEX(INDIRECT("'"&amp;LEFT($A57,LEN($A57)-1)&amp;"'!$H$13:$J$41"),MATCH(L$1,INDIRECT("'"&amp;LEFT($A57,LEN($A57)-1)&amp;"'!$A$13:$A$41"),0),VALUE(RIGHT($A57,1)))="NO",0,"?"))</f>
        <v>?</v>
      </c>
      <c r="M57" s="87" t="str">
        <f aca="true">IF(INDEX(INDIRECT("'"&amp;LEFT($A57,LEN($A57)-1)&amp;"'!$H$13:$J$41"),MATCH(M$1,INDIRECT("'"&amp;LEFT($A57,LEN($A57)-1)&amp;"'!$A$13:$A$41"),0),VALUE(RIGHT($A57,1)))="YES",$H57,IF(INDEX(INDIRECT("'"&amp;LEFT($A57,LEN($A57)-1)&amp;"'!$H$13:$J$41"),MATCH(M$1,INDIRECT("'"&amp;LEFT($A57,LEN($A57)-1)&amp;"'!$A$13:$A$41"),0),VALUE(RIGHT($A57,1)))="NO",0,"?"))</f>
        <v>?</v>
      </c>
      <c r="N57" s="87" t="str">
        <f aca="true">IF(INDEX(INDIRECT("'"&amp;LEFT($A57,LEN($A57)-1)&amp;"'!$H$13:$J$41"),MATCH(N$1,INDIRECT("'"&amp;LEFT($A57,LEN($A57)-1)&amp;"'!$A$13:$A$41"),0),VALUE(RIGHT($A57,1)))="YES",$H57,IF(INDEX(INDIRECT("'"&amp;LEFT($A57,LEN($A57)-1)&amp;"'!$H$13:$J$41"),MATCH(N$1,INDIRECT("'"&amp;LEFT($A57,LEN($A57)-1)&amp;"'!$A$13:$A$41"),0),VALUE(RIGHT($A57,1)))="NO",0,"?"))</f>
        <v>?</v>
      </c>
      <c r="O57" s="87" t="str">
        <f aca="true">IF(INDEX(INDIRECT("'"&amp;LEFT($A57,LEN($A57)-1)&amp;"'!$H$13:$J$41"),MATCH(O$1,INDIRECT("'"&amp;LEFT($A57,LEN($A57)-1)&amp;"'!$A$13:$A$41"),0),VALUE(RIGHT($A57,1)))="YES",$H57,IF(INDEX(INDIRECT("'"&amp;LEFT($A57,LEN($A57)-1)&amp;"'!$H$13:$J$41"),MATCH(O$1,INDIRECT("'"&amp;LEFT($A57,LEN($A57)-1)&amp;"'!$A$13:$A$41"),0),VALUE(RIGHT($A57,1)))="NO",0,"?"))</f>
        <v>?</v>
      </c>
      <c r="P57" s="87" t="str">
        <f aca="true">IF(INDEX(INDIRECT("'"&amp;LEFT($A57,LEN($A57)-1)&amp;"'!$H$13:$J$41"),MATCH(P$1,INDIRECT("'"&amp;LEFT($A57,LEN($A57)-1)&amp;"'!$A$13:$A$41"),0),VALUE(RIGHT($A57,1)))="YES",$H57,IF(INDEX(INDIRECT("'"&amp;LEFT($A57,LEN($A57)-1)&amp;"'!$H$13:$J$41"),MATCH(P$1,INDIRECT("'"&amp;LEFT($A57,LEN($A57)-1)&amp;"'!$A$13:$A$41"),0),VALUE(RIGHT($A57,1)))="NO",0,"?"))</f>
        <v>?</v>
      </c>
      <c r="Q57" s="87" t="str">
        <f aca="true">IF(INDEX(INDIRECT("'"&amp;LEFT($A57,LEN($A57)-1)&amp;"'!$H$13:$J$41"),MATCH(Q$1,INDIRECT("'"&amp;LEFT($A57,LEN($A57)-1)&amp;"'!$A$13:$A$41"),0),VALUE(RIGHT($A57,1)))="YES",$H57,IF(INDEX(INDIRECT("'"&amp;LEFT($A57,LEN($A57)-1)&amp;"'!$H$13:$J$41"),MATCH(Q$1,INDIRECT("'"&amp;LEFT($A57,LEN($A57)-1)&amp;"'!$A$13:$A$41"),0),VALUE(RIGHT($A57,1)))="NO",0,"?"))</f>
        <v>?</v>
      </c>
      <c r="R57" s="87" t="str">
        <f aca="true">IF(INDEX(INDIRECT("'"&amp;LEFT($A57,LEN($A57)-1)&amp;"'!$H$13:$J$41"),MATCH(R$1,INDIRECT("'"&amp;LEFT($A57,LEN($A57)-1)&amp;"'!$A$13:$A$41"),0),VALUE(RIGHT($A57,1)))="YES",$H57,IF(INDEX(INDIRECT("'"&amp;LEFT($A57,LEN($A57)-1)&amp;"'!$H$13:$J$41"),MATCH(R$1,INDIRECT("'"&amp;LEFT($A57,LEN($A57)-1)&amp;"'!$A$13:$A$41"),0),VALUE(RIGHT($A57,1)))="NO",0,"?"))</f>
        <v>?</v>
      </c>
      <c r="S57" s="87" t="str">
        <f aca="true">IF(INDEX(INDIRECT("'"&amp;LEFT($A57,LEN($A57)-1)&amp;"'!$H$13:$J$41"),MATCH(S$1,INDIRECT("'"&amp;LEFT($A57,LEN($A57)-1)&amp;"'!$A$13:$A$41"),0),VALUE(RIGHT($A57,1)))="YES",$H57,IF(INDEX(INDIRECT("'"&amp;LEFT($A57,LEN($A57)-1)&amp;"'!$H$13:$J$41"),MATCH(S$1,INDIRECT("'"&amp;LEFT($A57,LEN($A57)-1)&amp;"'!$A$13:$A$41"),0),VALUE(RIGHT($A57,1)))="NO",0,"?"))</f>
        <v>?</v>
      </c>
      <c r="T57" s="87" t="str">
        <f aca="true">IF(INDEX(INDIRECT("'"&amp;LEFT($A57,LEN($A57)-1)&amp;"'!$H$13:$J$41"),MATCH(T$1,INDIRECT("'"&amp;LEFT($A57,LEN($A57)-1)&amp;"'!$A$13:$A$41"),0),VALUE(RIGHT($A57,1)))="YES",$H57,IF(INDEX(INDIRECT("'"&amp;LEFT($A57,LEN($A57)-1)&amp;"'!$H$13:$J$41"),MATCH(T$1,INDIRECT("'"&amp;LEFT($A57,LEN($A57)-1)&amp;"'!$A$13:$A$41"),0),VALUE(RIGHT($A57,1)))="NO",0,"?"))</f>
        <v>?</v>
      </c>
      <c r="U57" s="87" t="str">
        <f aca="true">IF(INDEX(INDIRECT("'"&amp;LEFT($A57,LEN($A57)-1)&amp;"'!$H$13:$J$41"),MATCH(U$1,INDIRECT("'"&amp;LEFT($A57,LEN($A57)-1)&amp;"'!$A$13:$A$41"),0),VALUE(RIGHT($A57,1)))="YES",$H57,IF(INDEX(INDIRECT("'"&amp;LEFT($A57,LEN($A57)-1)&amp;"'!$H$13:$J$41"),MATCH(U$1,INDIRECT("'"&amp;LEFT($A57,LEN($A57)-1)&amp;"'!$A$13:$A$41"),0),VALUE(RIGHT($A57,1)))="NO",0,"?"))</f>
        <v>?</v>
      </c>
      <c r="V57" s="87" t="str">
        <f aca="true">IF(INDEX(INDIRECT("'"&amp;LEFT($A57,LEN($A57)-1)&amp;"'!$H$13:$J$41"),MATCH(V$1,INDIRECT("'"&amp;LEFT($A57,LEN($A57)-1)&amp;"'!$A$13:$A$41"),0),VALUE(RIGHT($A57,1)))="YES",$H57,IF(INDEX(INDIRECT("'"&amp;LEFT($A57,LEN($A57)-1)&amp;"'!$H$13:$J$41"),MATCH(V$1,INDIRECT("'"&amp;LEFT($A57,LEN($A57)-1)&amp;"'!$A$13:$A$41"),0),VALUE(RIGHT($A57,1)))="NO",0,"?"))</f>
        <v>?</v>
      </c>
      <c r="W57" s="87" t="str">
        <f aca="true">IF(INDEX(INDIRECT("'"&amp;LEFT($A57,LEN($A57)-1)&amp;"'!$H$13:$J$41"),MATCH(W$1,INDIRECT("'"&amp;LEFT($A57,LEN($A57)-1)&amp;"'!$A$13:$A$41"),0),VALUE(RIGHT($A57,1)))="YES",$H57,IF(INDEX(INDIRECT("'"&amp;LEFT($A57,LEN($A57)-1)&amp;"'!$H$13:$J$41"),MATCH(W$1,INDIRECT("'"&amp;LEFT($A57,LEN($A57)-1)&amp;"'!$A$13:$A$41"),0),VALUE(RIGHT($A57,1)))="NO",0,"?"))</f>
        <v>?</v>
      </c>
      <c r="X57" s="87" t="str">
        <f aca="true">IF(INDEX(INDIRECT("'"&amp;LEFT($A57,LEN($A57)-1)&amp;"'!$H$13:$J$41"),MATCH(X$1,INDIRECT("'"&amp;LEFT($A57,LEN($A57)-1)&amp;"'!$A$13:$A$41"),0),VALUE(RIGHT($A57,1)))="YES",$H57,IF(INDEX(INDIRECT("'"&amp;LEFT($A57,LEN($A57)-1)&amp;"'!$H$13:$J$41"),MATCH(X$1,INDIRECT("'"&amp;LEFT($A57,LEN($A57)-1)&amp;"'!$A$13:$A$41"),0),VALUE(RIGHT($A57,1)))="NO",0,"?"))</f>
        <v>?</v>
      </c>
      <c r="Y57" s="87" t="str">
        <f aca="true">IF(INDEX(INDIRECT("'"&amp;LEFT($A57,LEN($A57)-1)&amp;"'!$H$13:$J$41"),MATCH(Y$1,INDIRECT("'"&amp;LEFT($A57,LEN($A57)-1)&amp;"'!$A$13:$A$41"),0),VALUE(RIGHT($A57,1)))="YES",$H57,IF(INDEX(INDIRECT("'"&amp;LEFT($A57,LEN($A57)-1)&amp;"'!$H$13:$J$41"),MATCH(Y$1,INDIRECT("'"&amp;LEFT($A57,LEN($A57)-1)&amp;"'!$A$13:$A$41"),0),VALUE(RIGHT($A57,1)))="NO",0,"?"))</f>
        <v>?</v>
      </c>
      <c r="Z57" s="87" t="str">
        <f aca="true">IF(INDEX(INDIRECT("'"&amp;LEFT($A57,LEN($A57)-1)&amp;"'!$H$13:$J$41"),MATCH(Z$1,INDIRECT("'"&amp;LEFT($A57,LEN($A57)-1)&amp;"'!$A$13:$A$41"),0),VALUE(RIGHT($A57,1)))="YES",$H57,IF(INDEX(INDIRECT("'"&amp;LEFT($A57,LEN($A57)-1)&amp;"'!$H$13:$J$41"),MATCH(Z$1,INDIRECT("'"&amp;LEFT($A57,LEN($A57)-1)&amp;"'!$A$13:$A$41"),0),VALUE(RIGHT($A57,1)))="NO",0,"?"))</f>
        <v>?</v>
      </c>
      <c r="AA57" s="87" t="str">
        <f aca="true">IF(INDEX(INDIRECT("'"&amp;LEFT($A57,LEN($A57)-1)&amp;"'!$H$13:$J$41"),MATCH(AA$1,INDIRECT("'"&amp;LEFT($A57,LEN($A57)-1)&amp;"'!$A$13:$A$41"),0),VALUE(RIGHT($A57,1)))="YES",$H57,IF(INDEX(INDIRECT("'"&amp;LEFT($A57,LEN($A57)-1)&amp;"'!$H$13:$J$41"),MATCH(AA$1,INDIRECT("'"&amp;LEFT($A57,LEN($A57)-1)&amp;"'!$A$13:$A$41"),0),VALUE(RIGHT($A57,1)))="NO",0,"?"))</f>
        <v>?</v>
      </c>
      <c r="AB57" s="87" t="str">
        <f aca="true">IF(INDEX(INDIRECT("'"&amp;LEFT($A57,LEN($A57)-1)&amp;"'!$H$13:$J$41"),MATCH(AB$1,INDIRECT("'"&amp;LEFT($A57,LEN($A57)-1)&amp;"'!$A$13:$A$41"),0),VALUE(RIGHT($A57,1)))="YES",$H57,IF(INDEX(INDIRECT("'"&amp;LEFT($A57,LEN($A57)-1)&amp;"'!$H$13:$J$41"),MATCH(AB$1,INDIRECT("'"&amp;LEFT($A57,LEN($A57)-1)&amp;"'!$A$13:$A$41"),0),VALUE(RIGHT($A57,1)))="NO",0,"?"))</f>
        <v>?</v>
      </c>
      <c r="AC57" s="87" t="str">
        <f aca="true">IF(INDEX(INDIRECT("'"&amp;LEFT($A57,LEN($A57)-1)&amp;"'!$H$13:$J$41"),MATCH(AC$1,INDIRECT("'"&amp;LEFT($A57,LEN($A57)-1)&amp;"'!$A$13:$A$41"),0),VALUE(RIGHT($A57,1)))="YES",$H57,IF(INDEX(INDIRECT("'"&amp;LEFT($A57,LEN($A57)-1)&amp;"'!$H$13:$J$41"),MATCH(AC$1,INDIRECT("'"&amp;LEFT($A57,LEN($A57)-1)&amp;"'!$A$13:$A$41"),0),VALUE(RIGHT($A57,1)))="NO",0,"?"))</f>
        <v>?</v>
      </c>
      <c r="AD57" s="87" t="str">
        <f aca="true">IF(INDEX(INDIRECT("'"&amp;LEFT($A57,LEN($A57)-1)&amp;"'!$H$13:$J$41"),MATCH(AD$1,INDIRECT("'"&amp;LEFT($A57,LEN($A57)-1)&amp;"'!$A$13:$A$41"),0),VALUE(RIGHT($A57,1)))="YES",$H57,IF(INDEX(INDIRECT("'"&amp;LEFT($A57,LEN($A57)-1)&amp;"'!$H$13:$J$41"),MATCH(AD$1,INDIRECT("'"&amp;LEFT($A57,LEN($A57)-1)&amp;"'!$A$13:$A$41"),0),VALUE(RIGHT($A57,1)))="NO",0,"?"))</f>
        <v>?</v>
      </c>
      <c r="AE57" s="87" t="str">
        <f aca="true">IF(INDEX(INDIRECT("'"&amp;LEFT($A57,LEN($A57)-1)&amp;"'!$H$13:$J$41"),MATCH(AE$1,INDIRECT("'"&amp;LEFT($A57,LEN($A57)-1)&amp;"'!$A$13:$A$41"),0),VALUE(RIGHT($A57,1)))="YES",$H57,IF(INDEX(INDIRECT("'"&amp;LEFT($A57,LEN($A57)-1)&amp;"'!$H$13:$J$41"),MATCH(AE$1,INDIRECT("'"&amp;LEFT($A57,LEN($A57)-1)&amp;"'!$A$13:$A$41"),0),VALUE(RIGHT($A57,1)))="NO",0,"?"))</f>
        <v>?</v>
      </c>
      <c r="AF57" s="87" t="str">
        <f aca="true">IF(INDEX(INDIRECT("'"&amp;LEFT($A57,LEN($A57)-1)&amp;"'!$H$13:$J$41"),MATCH(AF$1,INDIRECT("'"&amp;LEFT($A57,LEN($A57)-1)&amp;"'!$A$13:$A$41"),0),VALUE(RIGHT($A57,1)))="YES",$H57,IF(INDEX(INDIRECT("'"&amp;LEFT($A57,LEN($A57)-1)&amp;"'!$H$13:$J$41"),MATCH(AF$1,INDIRECT("'"&amp;LEFT($A57,LEN($A57)-1)&amp;"'!$A$13:$A$41"),0),VALUE(RIGHT($A57,1)))="NO",0,"?"))</f>
        <v>?</v>
      </c>
      <c r="AG57" s="87" t="str">
        <f aca="true">IF(INDEX(INDIRECT("'"&amp;LEFT($A57,LEN($A57)-1)&amp;"'!$H$13:$J$41"),MATCH(AG$1,INDIRECT("'"&amp;LEFT($A57,LEN($A57)-1)&amp;"'!$A$13:$A$41"),0),VALUE(RIGHT($A57,1)))="YES",$H57,IF(INDEX(INDIRECT("'"&amp;LEFT($A57,LEN($A57)-1)&amp;"'!$H$13:$J$41"),MATCH(AG$1,INDIRECT("'"&amp;LEFT($A57,LEN($A57)-1)&amp;"'!$A$13:$A$41"),0),VALUE(RIGHT($A57,1)))="NO",0,"?"))</f>
        <v>?</v>
      </c>
      <c r="AH57" s="87" t="str">
        <f aca="true">IF(INDEX(INDIRECT("'"&amp;LEFT($A57,LEN($A57)-1)&amp;"'!$H$13:$J$41"),MATCH(AH$1,INDIRECT("'"&amp;LEFT($A57,LEN($A57)-1)&amp;"'!$A$13:$A$41"),0),VALUE(RIGHT($A57,1)))="YES",$H57,IF(INDEX(INDIRECT("'"&amp;LEFT($A57,LEN($A57)-1)&amp;"'!$H$13:$J$41"),MATCH(AH$1,INDIRECT("'"&amp;LEFT($A57,LEN($A57)-1)&amp;"'!$A$13:$A$41"),0),VALUE(RIGHT($A57,1)))="NO",0,"?"))</f>
        <v>?</v>
      </c>
      <c r="AI57" s="87" t="str">
        <f aca="true">IF(INDEX(INDIRECT("'"&amp;LEFT($A57,LEN($A57)-1)&amp;"'!$H$13:$J$41"),MATCH(AI$1,INDIRECT("'"&amp;LEFT($A57,LEN($A57)-1)&amp;"'!$A$13:$A$41"),0),VALUE(RIGHT($A57,1)))="YES",$H57,IF(INDEX(INDIRECT("'"&amp;LEFT($A57,LEN($A57)-1)&amp;"'!$H$13:$J$41"),MATCH(AI$1,INDIRECT("'"&amp;LEFT($A57,LEN($A57)-1)&amp;"'!$A$13:$A$41"),0),VALUE(RIGHT($A57,1)))="NO",0,"?"))</f>
        <v>?</v>
      </c>
      <c r="AJ57" s="87" t="str">
        <f aca="true">IF(INDEX(INDIRECT("'"&amp;LEFT($A57,LEN($A57)-1)&amp;"'!$H$13:$J$41"),MATCH(AJ$1,INDIRECT("'"&amp;LEFT($A57,LEN($A57)-1)&amp;"'!$A$13:$A$41"),0),VALUE(RIGHT($A57,1)))="YES",$H57,IF(INDEX(INDIRECT("'"&amp;LEFT($A57,LEN($A57)-1)&amp;"'!$H$13:$J$41"),MATCH(AJ$1,INDIRECT("'"&amp;LEFT($A57,LEN($A57)-1)&amp;"'!$A$13:$A$41"),0),VALUE(RIGHT($A57,1)))="NO",0,"?"))</f>
        <v>?</v>
      </c>
      <c r="AK57" s="87" t="str">
        <f aca="true">IF(INDEX(INDIRECT("'"&amp;LEFT($A57,LEN($A57)-1)&amp;"'!$H$13:$J$41"),MATCH(AK$1,INDIRECT("'"&amp;LEFT($A57,LEN($A57)-1)&amp;"'!$A$13:$A$41"),0),VALUE(RIGHT($A57,1)))="YES",$H57,IF(INDEX(INDIRECT("'"&amp;LEFT($A57,LEN($A57)-1)&amp;"'!$H$13:$J$41"),MATCH(AK$1,INDIRECT("'"&amp;LEFT($A57,LEN($A57)-1)&amp;"'!$A$13:$A$41"),0),VALUE(RIGHT($A57,1)))="NO",0,"?"))</f>
        <v>?</v>
      </c>
    </row>
    <row r="58" customFormat="false" ht="14.25" hidden="false" customHeight="true" outlineLevel="0" collapsed="false">
      <c r="A58" s="83" t="s">
        <v>834</v>
      </c>
      <c r="B58" s="84" t="str">
        <f aca="false">IF(ISBLANK($A58),"NO_CODE",VLOOKUP($A58,'UPD Questions_290926 '!$E$1:$N$300,MATCH(B$1,'UPD Questions_290926 '!$E$1:$N$1,0),0)&amp;"")</f>
        <v>Implementation</v>
      </c>
      <c r="C58" s="84" t="str">
        <f aca="false">IF(ISBLANK($A58),"NO_CODE",VLOOKUP($A58,'UPD Questions_290926 '!$E$1:$N$300,MATCH(C$1,'UPD Questions_290926 '!$E$1:$N$1,0),0)&amp;"")</f>
        <v>Sectoral planning</v>
      </c>
      <c r="D58" s="84" t="str">
        <f aca="false">IF(ISBLANK($A58),"NO_CODE",VLOOKUP($A58,'UPD Questions_290926 '!$E$1:$N$300,MATCH(D$1,'UPD Questions_290926 '!$E$1:$N$1,0),0)&amp;"")</f>
        <v>Water supply and sewerage, sanitation, solid waste management </v>
      </c>
      <c r="E58" s="84" t="str">
        <f aca="false">IF(ISBLANK($A58),"NO_CODE",VLOOKUP($A58,'UPD Questions_290926 '!$E$1:$N$300,MATCH(E$1,'UPD Questions_290926 '!$E$1:$N$1,0),0)&amp;"")</f>
        <v>SQ2</v>
      </c>
      <c r="F58" s="84" t="str">
        <f aca="false">IF(ISBLANK($A58),"NO_CODE",VLOOKUP($A58,'UPD Questions_290926 '!$E$1:$N$300,MATCH(F$1,'UPD Questions_290926 '!$E$1:$N$1,0),0)&amp;"")</f>
        <v>b) Solid Waste Management Plan </v>
      </c>
      <c r="G58" s="84" t="str">
        <f aca="false">IF(ISBLANK($A58),"NO_CODE",VLOOKUP($A58,'UPD Questions_290926 '!$E$1:$N$300,MATCH(G$1,'UPD Questions_290926 '!$E$1:$N$1,0),0)&amp;"")</f>
        <v>Implementation</v>
      </c>
      <c r="H58" s="86" t="n">
        <f aca="false">IF(ISBLANK($A58),"NO_CODE",VLOOKUP($A58,'UPD Questions_290926 '!$E$1:$N$300,MATCH(H$1,'UPD Questions_290926 '!$E$1:$N$1,0),0))</f>
        <v>1.11</v>
      </c>
      <c r="I58" s="87" t="str">
        <f aca="true">IF(INDEX(INDIRECT("'"&amp;LEFT($A58,LEN($A58)-1)&amp;"'!$H$13:$J$41"),MATCH(I$1,INDIRECT("'"&amp;LEFT($A58,LEN($A58)-1)&amp;"'!$A$13:$A$41"),0),VALUE(RIGHT($A58,1)))="YES",$H58,IF(INDEX(INDIRECT("'"&amp;LEFT($A58,LEN($A58)-1)&amp;"'!$H$13:$J$41"),MATCH(I$1,INDIRECT("'"&amp;LEFT($A58,LEN($A58)-1)&amp;"'!$A$13:$A$41"),0),VALUE(RIGHT($A58,1)))="NO",0,"?"))</f>
        <v>?</v>
      </c>
      <c r="J58" s="87" t="n">
        <f aca="true">IF(INDEX(INDIRECT("'"&amp;LEFT($A58,LEN($A58)-1)&amp;"'!$H$13:$J$41"),MATCH(J$1,INDIRECT("'"&amp;LEFT($A58,LEN($A58)-1)&amp;"'!$A$13:$A$41"),0),VALUE(RIGHT($A58,1)))="YES",$H58,IF(INDEX(INDIRECT("'"&amp;LEFT($A58,LEN($A58)-1)&amp;"'!$H$13:$J$41"),MATCH(J$1,INDIRECT("'"&amp;LEFT($A58,LEN($A58)-1)&amp;"'!$A$13:$A$41"),0),VALUE(RIGHT($A58,1)))="NO",0,"?"))</f>
        <v>0</v>
      </c>
      <c r="K58" s="87" t="str">
        <f aca="true">IF(INDEX(INDIRECT("'"&amp;LEFT($A58,LEN($A58)-1)&amp;"'!$H$13:$J$41"),MATCH(K$1,INDIRECT("'"&amp;LEFT($A58,LEN($A58)-1)&amp;"'!$A$13:$A$41"),0),VALUE(RIGHT($A58,1)))="YES",$H58,IF(INDEX(INDIRECT("'"&amp;LEFT($A58,LEN($A58)-1)&amp;"'!$H$13:$J$41"),MATCH(K$1,INDIRECT("'"&amp;LEFT($A58,LEN($A58)-1)&amp;"'!$A$13:$A$41"),0),VALUE(RIGHT($A58,1)))="NO",0,"?"))</f>
        <v>?</v>
      </c>
      <c r="L58" s="87" t="str">
        <f aca="true">IF(INDEX(INDIRECT("'"&amp;LEFT($A58,LEN($A58)-1)&amp;"'!$H$13:$J$41"),MATCH(L$1,INDIRECT("'"&amp;LEFT($A58,LEN($A58)-1)&amp;"'!$A$13:$A$41"),0),VALUE(RIGHT($A58,1)))="YES",$H58,IF(INDEX(INDIRECT("'"&amp;LEFT($A58,LEN($A58)-1)&amp;"'!$H$13:$J$41"),MATCH(L$1,INDIRECT("'"&amp;LEFT($A58,LEN($A58)-1)&amp;"'!$A$13:$A$41"),0),VALUE(RIGHT($A58,1)))="NO",0,"?"))</f>
        <v>?</v>
      </c>
      <c r="M58" s="87" t="str">
        <f aca="true">IF(INDEX(INDIRECT("'"&amp;LEFT($A58,LEN($A58)-1)&amp;"'!$H$13:$J$41"),MATCH(M$1,INDIRECT("'"&amp;LEFT($A58,LEN($A58)-1)&amp;"'!$A$13:$A$41"),0),VALUE(RIGHT($A58,1)))="YES",$H58,IF(INDEX(INDIRECT("'"&amp;LEFT($A58,LEN($A58)-1)&amp;"'!$H$13:$J$41"),MATCH(M$1,INDIRECT("'"&amp;LEFT($A58,LEN($A58)-1)&amp;"'!$A$13:$A$41"),0),VALUE(RIGHT($A58,1)))="NO",0,"?"))</f>
        <v>?</v>
      </c>
      <c r="N58" s="87" t="str">
        <f aca="true">IF(INDEX(INDIRECT("'"&amp;LEFT($A58,LEN($A58)-1)&amp;"'!$H$13:$J$41"),MATCH(N$1,INDIRECT("'"&amp;LEFT($A58,LEN($A58)-1)&amp;"'!$A$13:$A$41"),0),VALUE(RIGHT($A58,1)))="YES",$H58,IF(INDEX(INDIRECT("'"&amp;LEFT($A58,LEN($A58)-1)&amp;"'!$H$13:$J$41"),MATCH(N$1,INDIRECT("'"&amp;LEFT($A58,LEN($A58)-1)&amp;"'!$A$13:$A$41"),0),VALUE(RIGHT($A58,1)))="NO",0,"?"))</f>
        <v>?</v>
      </c>
      <c r="O58" s="87" t="str">
        <f aca="true">IF(INDEX(INDIRECT("'"&amp;LEFT($A58,LEN($A58)-1)&amp;"'!$H$13:$J$41"),MATCH(O$1,INDIRECT("'"&amp;LEFT($A58,LEN($A58)-1)&amp;"'!$A$13:$A$41"),0),VALUE(RIGHT($A58,1)))="YES",$H58,IF(INDEX(INDIRECT("'"&amp;LEFT($A58,LEN($A58)-1)&amp;"'!$H$13:$J$41"),MATCH(O$1,INDIRECT("'"&amp;LEFT($A58,LEN($A58)-1)&amp;"'!$A$13:$A$41"),0),VALUE(RIGHT($A58,1)))="NO",0,"?"))</f>
        <v>?</v>
      </c>
      <c r="P58" s="87" t="str">
        <f aca="true">IF(INDEX(INDIRECT("'"&amp;LEFT($A58,LEN($A58)-1)&amp;"'!$H$13:$J$41"),MATCH(P$1,INDIRECT("'"&amp;LEFT($A58,LEN($A58)-1)&amp;"'!$A$13:$A$41"),0),VALUE(RIGHT($A58,1)))="YES",$H58,IF(INDEX(INDIRECT("'"&amp;LEFT($A58,LEN($A58)-1)&amp;"'!$H$13:$J$41"),MATCH(P$1,INDIRECT("'"&amp;LEFT($A58,LEN($A58)-1)&amp;"'!$A$13:$A$41"),0),VALUE(RIGHT($A58,1)))="NO",0,"?"))</f>
        <v>?</v>
      </c>
      <c r="Q58" s="87" t="str">
        <f aca="true">IF(INDEX(INDIRECT("'"&amp;LEFT($A58,LEN($A58)-1)&amp;"'!$H$13:$J$41"),MATCH(Q$1,INDIRECT("'"&amp;LEFT($A58,LEN($A58)-1)&amp;"'!$A$13:$A$41"),0),VALUE(RIGHT($A58,1)))="YES",$H58,IF(INDEX(INDIRECT("'"&amp;LEFT($A58,LEN($A58)-1)&amp;"'!$H$13:$J$41"),MATCH(Q$1,INDIRECT("'"&amp;LEFT($A58,LEN($A58)-1)&amp;"'!$A$13:$A$41"),0),VALUE(RIGHT($A58,1)))="NO",0,"?"))</f>
        <v>?</v>
      </c>
      <c r="R58" s="87" t="str">
        <f aca="true">IF(INDEX(INDIRECT("'"&amp;LEFT($A58,LEN($A58)-1)&amp;"'!$H$13:$J$41"),MATCH(R$1,INDIRECT("'"&amp;LEFT($A58,LEN($A58)-1)&amp;"'!$A$13:$A$41"),0),VALUE(RIGHT($A58,1)))="YES",$H58,IF(INDEX(INDIRECT("'"&amp;LEFT($A58,LEN($A58)-1)&amp;"'!$H$13:$J$41"),MATCH(R$1,INDIRECT("'"&amp;LEFT($A58,LEN($A58)-1)&amp;"'!$A$13:$A$41"),0),VALUE(RIGHT($A58,1)))="NO",0,"?"))</f>
        <v>?</v>
      </c>
      <c r="S58" s="87" t="str">
        <f aca="true">IF(INDEX(INDIRECT("'"&amp;LEFT($A58,LEN($A58)-1)&amp;"'!$H$13:$J$41"),MATCH(S$1,INDIRECT("'"&amp;LEFT($A58,LEN($A58)-1)&amp;"'!$A$13:$A$41"),0),VALUE(RIGHT($A58,1)))="YES",$H58,IF(INDEX(INDIRECT("'"&amp;LEFT($A58,LEN($A58)-1)&amp;"'!$H$13:$J$41"),MATCH(S$1,INDIRECT("'"&amp;LEFT($A58,LEN($A58)-1)&amp;"'!$A$13:$A$41"),0),VALUE(RIGHT($A58,1)))="NO",0,"?"))</f>
        <v>?</v>
      </c>
      <c r="T58" s="87" t="str">
        <f aca="true">IF(INDEX(INDIRECT("'"&amp;LEFT($A58,LEN($A58)-1)&amp;"'!$H$13:$J$41"),MATCH(T$1,INDIRECT("'"&amp;LEFT($A58,LEN($A58)-1)&amp;"'!$A$13:$A$41"),0),VALUE(RIGHT($A58,1)))="YES",$H58,IF(INDEX(INDIRECT("'"&amp;LEFT($A58,LEN($A58)-1)&amp;"'!$H$13:$J$41"),MATCH(T$1,INDIRECT("'"&amp;LEFT($A58,LEN($A58)-1)&amp;"'!$A$13:$A$41"),0),VALUE(RIGHT($A58,1)))="NO",0,"?"))</f>
        <v>?</v>
      </c>
      <c r="U58" s="87" t="str">
        <f aca="true">IF(INDEX(INDIRECT("'"&amp;LEFT($A58,LEN($A58)-1)&amp;"'!$H$13:$J$41"),MATCH(U$1,INDIRECT("'"&amp;LEFT($A58,LEN($A58)-1)&amp;"'!$A$13:$A$41"),0),VALUE(RIGHT($A58,1)))="YES",$H58,IF(INDEX(INDIRECT("'"&amp;LEFT($A58,LEN($A58)-1)&amp;"'!$H$13:$J$41"),MATCH(U$1,INDIRECT("'"&amp;LEFT($A58,LEN($A58)-1)&amp;"'!$A$13:$A$41"),0),VALUE(RIGHT($A58,1)))="NO",0,"?"))</f>
        <v>?</v>
      </c>
      <c r="V58" s="87" t="str">
        <f aca="true">IF(INDEX(INDIRECT("'"&amp;LEFT($A58,LEN($A58)-1)&amp;"'!$H$13:$J$41"),MATCH(V$1,INDIRECT("'"&amp;LEFT($A58,LEN($A58)-1)&amp;"'!$A$13:$A$41"),0),VALUE(RIGHT($A58,1)))="YES",$H58,IF(INDEX(INDIRECT("'"&amp;LEFT($A58,LEN($A58)-1)&amp;"'!$H$13:$J$41"),MATCH(V$1,INDIRECT("'"&amp;LEFT($A58,LEN($A58)-1)&amp;"'!$A$13:$A$41"),0),VALUE(RIGHT($A58,1)))="NO",0,"?"))</f>
        <v>?</v>
      </c>
      <c r="W58" s="87" t="str">
        <f aca="true">IF(INDEX(INDIRECT("'"&amp;LEFT($A58,LEN($A58)-1)&amp;"'!$H$13:$J$41"),MATCH(W$1,INDIRECT("'"&amp;LEFT($A58,LEN($A58)-1)&amp;"'!$A$13:$A$41"),0),VALUE(RIGHT($A58,1)))="YES",$H58,IF(INDEX(INDIRECT("'"&amp;LEFT($A58,LEN($A58)-1)&amp;"'!$H$13:$J$41"),MATCH(W$1,INDIRECT("'"&amp;LEFT($A58,LEN($A58)-1)&amp;"'!$A$13:$A$41"),0),VALUE(RIGHT($A58,1)))="NO",0,"?"))</f>
        <v>?</v>
      </c>
      <c r="X58" s="87" t="str">
        <f aca="true">IF(INDEX(INDIRECT("'"&amp;LEFT($A58,LEN($A58)-1)&amp;"'!$H$13:$J$41"),MATCH(X$1,INDIRECT("'"&amp;LEFT($A58,LEN($A58)-1)&amp;"'!$A$13:$A$41"),0),VALUE(RIGHT($A58,1)))="YES",$H58,IF(INDEX(INDIRECT("'"&amp;LEFT($A58,LEN($A58)-1)&amp;"'!$H$13:$J$41"),MATCH(X$1,INDIRECT("'"&amp;LEFT($A58,LEN($A58)-1)&amp;"'!$A$13:$A$41"),0),VALUE(RIGHT($A58,1)))="NO",0,"?"))</f>
        <v>?</v>
      </c>
      <c r="Y58" s="87" t="str">
        <f aca="true">IF(INDEX(INDIRECT("'"&amp;LEFT($A58,LEN($A58)-1)&amp;"'!$H$13:$J$41"),MATCH(Y$1,INDIRECT("'"&amp;LEFT($A58,LEN($A58)-1)&amp;"'!$A$13:$A$41"),0),VALUE(RIGHT($A58,1)))="YES",$H58,IF(INDEX(INDIRECT("'"&amp;LEFT($A58,LEN($A58)-1)&amp;"'!$H$13:$J$41"),MATCH(Y$1,INDIRECT("'"&amp;LEFT($A58,LEN($A58)-1)&amp;"'!$A$13:$A$41"),0),VALUE(RIGHT($A58,1)))="NO",0,"?"))</f>
        <v>?</v>
      </c>
      <c r="Z58" s="87" t="str">
        <f aca="true">IF(INDEX(INDIRECT("'"&amp;LEFT($A58,LEN($A58)-1)&amp;"'!$H$13:$J$41"),MATCH(Z$1,INDIRECT("'"&amp;LEFT($A58,LEN($A58)-1)&amp;"'!$A$13:$A$41"),0),VALUE(RIGHT($A58,1)))="YES",$H58,IF(INDEX(INDIRECT("'"&amp;LEFT($A58,LEN($A58)-1)&amp;"'!$H$13:$J$41"),MATCH(Z$1,INDIRECT("'"&amp;LEFT($A58,LEN($A58)-1)&amp;"'!$A$13:$A$41"),0),VALUE(RIGHT($A58,1)))="NO",0,"?"))</f>
        <v>?</v>
      </c>
      <c r="AA58" s="87" t="str">
        <f aca="true">IF(INDEX(INDIRECT("'"&amp;LEFT($A58,LEN($A58)-1)&amp;"'!$H$13:$J$41"),MATCH(AA$1,INDIRECT("'"&amp;LEFT($A58,LEN($A58)-1)&amp;"'!$A$13:$A$41"),0),VALUE(RIGHT($A58,1)))="YES",$H58,IF(INDEX(INDIRECT("'"&amp;LEFT($A58,LEN($A58)-1)&amp;"'!$H$13:$J$41"),MATCH(AA$1,INDIRECT("'"&amp;LEFT($A58,LEN($A58)-1)&amp;"'!$A$13:$A$41"),0),VALUE(RIGHT($A58,1)))="NO",0,"?"))</f>
        <v>?</v>
      </c>
      <c r="AB58" s="87" t="str">
        <f aca="true">IF(INDEX(INDIRECT("'"&amp;LEFT($A58,LEN($A58)-1)&amp;"'!$H$13:$J$41"),MATCH(AB$1,INDIRECT("'"&amp;LEFT($A58,LEN($A58)-1)&amp;"'!$A$13:$A$41"),0),VALUE(RIGHT($A58,1)))="YES",$H58,IF(INDEX(INDIRECT("'"&amp;LEFT($A58,LEN($A58)-1)&amp;"'!$H$13:$J$41"),MATCH(AB$1,INDIRECT("'"&amp;LEFT($A58,LEN($A58)-1)&amp;"'!$A$13:$A$41"),0),VALUE(RIGHT($A58,1)))="NO",0,"?"))</f>
        <v>?</v>
      </c>
      <c r="AC58" s="87" t="str">
        <f aca="true">IF(INDEX(INDIRECT("'"&amp;LEFT($A58,LEN($A58)-1)&amp;"'!$H$13:$J$41"),MATCH(AC$1,INDIRECT("'"&amp;LEFT($A58,LEN($A58)-1)&amp;"'!$A$13:$A$41"),0),VALUE(RIGHT($A58,1)))="YES",$H58,IF(INDEX(INDIRECT("'"&amp;LEFT($A58,LEN($A58)-1)&amp;"'!$H$13:$J$41"),MATCH(AC$1,INDIRECT("'"&amp;LEFT($A58,LEN($A58)-1)&amp;"'!$A$13:$A$41"),0),VALUE(RIGHT($A58,1)))="NO",0,"?"))</f>
        <v>?</v>
      </c>
      <c r="AD58" s="87" t="str">
        <f aca="true">IF(INDEX(INDIRECT("'"&amp;LEFT($A58,LEN($A58)-1)&amp;"'!$H$13:$J$41"),MATCH(AD$1,INDIRECT("'"&amp;LEFT($A58,LEN($A58)-1)&amp;"'!$A$13:$A$41"),0),VALUE(RIGHT($A58,1)))="YES",$H58,IF(INDEX(INDIRECT("'"&amp;LEFT($A58,LEN($A58)-1)&amp;"'!$H$13:$J$41"),MATCH(AD$1,INDIRECT("'"&amp;LEFT($A58,LEN($A58)-1)&amp;"'!$A$13:$A$41"),0),VALUE(RIGHT($A58,1)))="NO",0,"?"))</f>
        <v>?</v>
      </c>
      <c r="AE58" s="87" t="str">
        <f aca="true">IF(INDEX(INDIRECT("'"&amp;LEFT($A58,LEN($A58)-1)&amp;"'!$H$13:$J$41"),MATCH(AE$1,INDIRECT("'"&amp;LEFT($A58,LEN($A58)-1)&amp;"'!$A$13:$A$41"),0),VALUE(RIGHT($A58,1)))="YES",$H58,IF(INDEX(INDIRECT("'"&amp;LEFT($A58,LEN($A58)-1)&amp;"'!$H$13:$J$41"),MATCH(AE$1,INDIRECT("'"&amp;LEFT($A58,LEN($A58)-1)&amp;"'!$A$13:$A$41"),0),VALUE(RIGHT($A58,1)))="NO",0,"?"))</f>
        <v>?</v>
      </c>
      <c r="AF58" s="87" t="str">
        <f aca="true">IF(INDEX(INDIRECT("'"&amp;LEFT($A58,LEN($A58)-1)&amp;"'!$H$13:$J$41"),MATCH(AF$1,INDIRECT("'"&amp;LEFT($A58,LEN($A58)-1)&amp;"'!$A$13:$A$41"),0),VALUE(RIGHT($A58,1)))="YES",$H58,IF(INDEX(INDIRECT("'"&amp;LEFT($A58,LEN($A58)-1)&amp;"'!$H$13:$J$41"),MATCH(AF$1,INDIRECT("'"&amp;LEFT($A58,LEN($A58)-1)&amp;"'!$A$13:$A$41"),0),VALUE(RIGHT($A58,1)))="NO",0,"?"))</f>
        <v>?</v>
      </c>
      <c r="AG58" s="87" t="str">
        <f aca="true">IF(INDEX(INDIRECT("'"&amp;LEFT($A58,LEN($A58)-1)&amp;"'!$H$13:$J$41"),MATCH(AG$1,INDIRECT("'"&amp;LEFT($A58,LEN($A58)-1)&amp;"'!$A$13:$A$41"),0),VALUE(RIGHT($A58,1)))="YES",$H58,IF(INDEX(INDIRECT("'"&amp;LEFT($A58,LEN($A58)-1)&amp;"'!$H$13:$J$41"),MATCH(AG$1,INDIRECT("'"&amp;LEFT($A58,LEN($A58)-1)&amp;"'!$A$13:$A$41"),0),VALUE(RIGHT($A58,1)))="NO",0,"?"))</f>
        <v>?</v>
      </c>
      <c r="AH58" s="87" t="str">
        <f aca="true">IF(INDEX(INDIRECT("'"&amp;LEFT($A58,LEN($A58)-1)&amp;"'!$H$13:$J$41"),MATCH(AH$1,INDIRECT("'"&amp;LEFT($A58,LEN($A58)-1)&amp;"'!$A$13:$A$41"),0),VALUE(RIGHT($A58,1)))="YES",$H58,IF(INDEX(INDIRECT("'"&amp;LEFT($A58,LEN($A58)-1)&amp;"'!$H$13:$J$41"),MATCH(AH$1,INDIRECT("'"&amp;LEFT($A58,LEN($A58)-1)&amp;"'!$A$13:$A$41"),0),VALUE(RIGHT($A58,1)))="NO",0,"?"))</f>
        <v>?</v>
      </c>
      <c r="AI58" s="87" t="str">
        <f aca="true">IF(INDEX(INDIRECT("'"&amp;LEFT($A58,LEN($A58)-1)&amp;"'!$H$13:$J$41"),MATCH(AI$1,INDIRECT("'"&amp;LEFT($A58,LEN($A58)-1)&amp;"'!$A$13:$A$41"),0),VALUE(RIGHT($A58,1)))="YES",$H58,IF(INDEX(INDIRECT("'"&amp;LEFT($A58,LEN($A58)-1)&amp;"'!$H$13:$J$41"),MATCH(AI$1,INDIRECT("'"&amp;LEFT($A58,LEN($A58)-1)&amp;"'!$A$13:$A$41"),0),VALUE(RIGHT($A58,1)))="NO",0,"?"))</f>
        <v>?</v>
      </c>
      <c r="AJ58" s="87" t="str">
        <f aca="true">IF(INDEX(INDIRECT("'"&amp;LEFT($A58,LEN($A58)-1)&amp;"'!$H$13:$J$41"),MATCH(AJ$1,INDIRECT("'"&amp;LEFT($A58,LEN($A58)-1)&amp;"'!$A$13:$A$41"),0),VALUE(RIGHT($A58,1)))="YES",$H58,IF(INDEX(INDIRECT("'"&amp;LEFT($A58,LEN($A58)-1)&amp;"'!$H$13:$J$41"),MATCH(AJ$1,INDIRECT("'"&amp;LEFT($A58,LEN($A58)-1)&amp;"'!$A$13:$A$41"),0),VALUE(RIGHT($A58,1)))="NO",0,"?"))</f>
        <v>?</v>
      </c>
      <c r="AK58" s="87" t="str">
        <f aca="true">IF(INDEX(INDIRECT("'"&amp;LEFT($A58,LEN($A58)-1)&amp;"'!$H$13:$J$41"),MATCH(AK$1,INDIRECT("'"&amp;LEFT($A58,LEN($A58)-1)&amp;"'!$A$13:$A$41"),0),VALUE(RIGHT($A58,1)))="YES",$H58,IF(INDEX(INDIRECT("'"&amp;LEFT($A58,LEN($A58)-1)&amp;"'!$H$13:$J$41"),MATCH(AK$1,INDIRECT("'"&amp;LEFT($A58,LEN($A58)-1)&amp;"'!$A$13:$A$41"),0),VALUE(RIGHT($A58,1)))="NO",0,"?"))</f>
        <v>?</v>
      </c>
    </row>
    <row r="59" customFormat="false" ht="14.25" hidden="false" customHeight="true" outlineLevel="0" collapsed="false">
      <c r="A59" s="83" t="s">
        <v>836</v>
      </c>
      <c r="B59" s="84" t="str">
        <f aca="false">IF(ISBLANK($A59),"NO_CODE",VLOOKUP($A59,'UPD Questions_290926 '!$E$1:$N$300,MATCH(B$1,'UPD Questions_290926 '!$E$1:$N$1,0),0)&amp;"")</f>
        <v>Implementation</v>
      </c>
      <c r="C59" s="84" t="str">
        <f aca="false">IF(ISBLANK($A59),"NO_CODE",VLOOKUP($A59,'UPD Questions_290926 '!$E$1:$N$300,MATCH(C$1,'UPD Questions_290926 '!$E$1:$N$1,0),0)&amp;"")</f>
        <v>Sectoral planning</v>
      </c>
      <c r="D59" s="84" t="str">
        <f aca="false">IF(ISBLANK($A59),"NO_CODE",VLOOKUP($A59,'UPD Questions_290926 '!$E$1:$N$300,MATCH(D$1,'UPD Questions_290926 '!$E$1:$N$1,0),0)&amp;"")</f>
        <v>Water supply and sewerage, sanitation, solid waste management </v>
      </c>
      <c r="E59" s="84" t="str">
        <f aca="false">IF(ISBLANK($A59),"NO_CODE",VLOOKUP($A59,'UPD Questions_290926 '!$E$1:$N$300,MATCH(E$1,'UPD Questions_290926 '!$E$1:$N$1,0),0)&amp;"")</f>
        <v>SQ3</v>
      </c>
      <c r="F59" s="84" t="str">
        <f aca="false">IF(ISBLANK($A59),"NO_CODE",VLOOKUP($A59,'UPD Questions_290926 '!$E$1:$N$300,MATCH(F$1,'UPD Questions_290926 '!$E$1:$N$1,0),0)&amp;"")</f>
        <v>c)  City Sanitation Plan</v>
      </c>
      <c r="G59" s="84" t="str">
        <f aca="false">IF(ISBLANK($A59),"NO_CODE",VLOOKUP($A59,'UPD Questions_290926 '!$E$1:$N$300,MATCH(G$1,'UPD Questions_290926 '!$E$1:$N$1,0),0)&amp;"")</f>
        <v>Implementation</v>
      </c>
      <c r="H59" s="86" t="n">
        <f aca="false">IF(ISBLANK($A59),"NO_CODE",VLOOKUP($A59,'UPD Questions_290926 '!$E$1:$N$300,MATCH(H$1,'UPD Questions_290926 '!$E$1:$N$1,0),0))</f>
        <v>1.11</v>
      </c>
      <c r="I59" s="87" t="str">
        <f aca="true">IF(INDEX(INDIRECT("'"&amp;LEFT($A59,LEN($A59)-1)&amp;"'!$H$13:$J$41"),MATCH(I$1,INDIRECT("'"&amp;LEFT($A59,LEN($A59)-1)&amp;"'!$A$13:$A$41"),0),VALUE(RIGHT($A59,1)))="YES",$H59,IF(INDEX(INDIRECT("'"&amp;LEFT($A59,LEN($A59)-1)&amp;"'!$H$13:$J$41"),MATCH(I$1,INDIRECT("'"&amp;LEFT($A59,LEN($A59)-1)&amp;"'!$A$13:$A$41"),0),VALUE(RIGHT($A59,1)))="NO",0,"?"))</f>
        <v>?</v>
      </c>
      <c r="J59" s="87" t="n">
        <f aca="true">IF(INDEX(INDIRECT("'"&amp;LEFT($A59,LEN($A59)-1)&amp;"'!$H$13:$J$41"),MATCH(J$1,INDIRECT("'"&amp;LEFT($A59,LEN($A59)-1)&amp;"'!$A$13:$A$41"),0),VALUE(RIGHT($A59,1)))="YES",$H59,IF(INDEX(INDIRECT("'"&amp;LEFT($A59,LEN($A59)-1)&amp;"'!$H$13:$J$41"),MATCH(J$1,INDIRECT("'"&amp;LEFT($A59,LEN($A59)-1)&amp;"'!$A$13:$A$41"),0),VALUE(RIGHT($A59,1)))="NO",0,"?"))</f>
        <v>0</v>
      </c>
      <c r="K59" s="87" t="str">
        <f aca="true">IF(INDEX(INDIRECT("'"&amp;LEFT($A59,LEN($A59)-1)&amp;"'!$H$13:$J$41"),MATCH(K$1,INDIRECT("'"&amp;LEFT($A59,LEN($A59)-1)&amp;"'!$A$13:$A$41"),0),VALUE(RIGHT($A59,1)))="YES",$H59,IF(INDEX(INDIRECT("'"&amp;LEFT($A59,LEN($A59)-1)&amp;"'!$H$13:$J$41"),MATCH(K$1,INDIRECT("'"&amp;LEFT($A59,LEN($A59)-1)&amp;"'!$A$13:$A$41"),0),VALUE(RIGHT($A59,1)))="NO",0,"?"))</f>
        <v>?</v>
      </c>
      <c r="L59" s="87" t="str">
        <f aca="true">IF(INDEX(INDIRECT("'"&amp;LEFT($A59,LEN($A59)-1)&amp;"'!$H$13:$J$41"),MATCH(L$1,INDIRECT("'"&amp;LEFT($A59,LEN($A59)-1)&amp;"'!$A$13:$A$41"),0),VALUE(RIGHT($A59,1)))="YES",$H59,IF(INDEX(INDIRECT("'"&amp;LEFT($A59,LEN($A59)-1)&amp;"'!$H$13:$J$41"),MATCH(L$1,INDIRECT("'"&amp;LEFT($A59,LEN($A59)-1)&amp;"'!$A$13:$A$41"),0),VALUE(RIGHT($A59,1)))="NO",0,"?"))</f>
        <v>?</v>
      </c>
      <c r="M59" s="87" t="str">
        <f aca="true">IF(INDEX(INDIRECT("'"&amp;LEFT($A59,LEN($A59)-1)&amp;"'!$H$13:$J$41"),MATCH(M$1,INDIRECT("'"&amp;LEFT($A59,LEN($A59)-1)&amp;"'!$A$13:$A$41"),0),VALUE(RIGHT($A59,1)))="YES",$H59,IF(INDEX(INDIRECT("'"&amp;LEFT($A59,LEN($A59)-1)&amp;"'!$H$13:$J$41"),MATCH(M$1,INDIRECT("'"&amp;LEFT($A59,LEN($A59)-1)&amp;"'!$A$13:$A$41"),0),VALUE(RIGHT($A59,1)))="NO",0,"?"))</f>
        <v>?</v>
      </c>
      <c r="N59" s="87" t="str">
        <f aca="true">IF(INDEX(INDIRECT("'"&amp;LEFT($A59,LEN($A59)-1)&amp;"'!$H$13:$J$41"),MATCH(N$1,INDIRECT("'"&amp;LEFT($A59,LEN($A59)-1)&amp;"'!$A$13:$A$41"),0),VALUE(RIGHT($A59,1)))="YES",$H59,IF(INDEX(INDIRECT("'"&amp;LEFT($A59,LEN($A59)-1)&amp;"'!$H$13:$J$41"),MATCH(N$1,INDIRECT("'"&amp;LEFT($A59,LEN($A59)-1)&amp;"'!$A$13:$A$41"),0),VALUE(RIGHT($A59,1)))="NO",0,"?"))</f>
        <v>?</v>
      </c>
      <c r="O59" s="87" t="str">
        <f aca="true">IF(INDEX(INDIRECT("'"&amp;LEFT($A59,LEN($A59)-1)&amp;"'!$H$13:$J$41"),MATCH(O$1,INDIRECT("'"&amp;LEFT($A59,LEN($A59)-1)&amp;"'!$A$13:$A$41"),0),VALUE(RIGHT($A59,1)))="YES",$H59,IF(INDEX(INDIRECT("'"&amp;LEFT($A59,LEN($A59)-1)&amp;"'!$H$13:$J$41"),MATCH(O$1,INDIRECT("'"&amp;LEFT($A59,LEN($A59)-1)&amp;"'!$A$13:$A$41"),0),VALUE(RIGHT($A59,1)))="NO",0,"?"))</f>
        <v>?</v>
      </c>
      <c r="P59" s="87" t="str">
        <f aca="true">IF(INDEX(INDIRECT("'"&amp;LEFT($A59,LEN($A59)-1)&amp;"'!$H$13:$J$41"),MATCH(P$1,INDIRECT("'"&amp;LEFT($A59,LEN($A59)-1)&amp;"'!$A$13:$A$41"),0),VALUE(RIGHT($A59,1)))="YES",$H59,IF(INDEX(INDIRECT("'"&amp;LEFT($A59,LEN($A59)-1)&amp;"'!$H$13:$J$41"),MATCH(P$1,INDIRECT("'"&amp;LEFT($A59,LEN($A59)-1)&amp;"'!$A$13:$A$41"),0),VALUE(RIGHT($A59,1)))="NO",0,"?"))</f>
        <v>?</v>
      </c>
      <c r="Q59" s="87" t="str">
        <f aca="true">IF(INDEX(INDIRECT("'"&amp;LEFT($A59,LEN($A59)-1)&amp;"'!$H$13:$J$41"),MATCH(Q$1,INDIRECT("'"&amp;LEFT($A59,LEN($A59)-1)&amp;"'!$A$13:$A$41"),0),VALUE(RIGHT($A59,1)))="YES",$H59,IF(INDEX(INDIRECT("'"&amp;LEFT($A59,LEN($A59)-1)&amp;"'!$H$13:$J$41"),MATCH(Q$1,INDIRECT("'"&amp;LEFT($A59,LEN($A59)-1)&amp;"'!$A$13:$A$41"),0),VALUE(RIGHT($A59,1)))="NO",0,"?"))</f>
        <v>?</v>
      </c>
      <c r="R59" s="87" t="str">
        <f aca="true">IF(INDEX(INDIRECT("'"&amp;LEFT($A59,LEN($A59)-1)&amp;"'!$H$13:$J$41"),MATCH(R$1,INDIRECT("'"&amp;LEFT($A59,LEN($A59)-1)&amp;"'!$A$13:$A$41"),0),VALUE(RIGHT($A59,1)))="YES",$H59,IF(INDEX(INDIRECT("'"&amp;LEFT($A59,LEN($A59)-1)&amp;"'!$H$13:$J$41"),MATCH(R$1,INDIRECT("'"&amp;LEFT($A59,LEN($A59)-1)&amp;"'!$A$13:$A$41"),0),VALUE(RIGHT($A59,1)))="NO",0,"?"))</f>
        <v>?</v>
      </c>
      <c r="S59" s="87" t="str">
        <f aca="true">IF(INDEX(INDIRECT("'"&amp;LEFT($A59,LEN($A59)-1)&amp;"'!$H$13:$J$41"),MATCH(S$1,INDIRECT("'"&amp;LEFT($A59,LEN($A59)-1)&amp;"'!$A$13:$A$41"),0),VALUE(RIGHT($A59,1)))="YES",$H59,IF(INDEX(INDIRECT("'"&amp;LEFT($A59,LEN($A59)-1)&amp;"'!$H$13:$J$41"),MATCH(S$1,INDIRECT("'"&amp;LEFT($A59,LEN($A59)-1)&amp;"'!$A$13:$A$41"),0),VALUE(RIGHT($A59,1)))="NO",0,"?"))</f>
        <v>?</v>
      </c>
      <c r="T59" s="87" t="str">
        <f aca="true">IF(INDEX(INDIRECT("'"&amp;LEFT($A59,LEN($A59)-1)&amp;"'!$H$13:$J$41"),MATCH(T$1,INDIRECT("'"&amp;LEFT($A59,LEN($A59)-1)&amp;"'!$A$13:$A$41"),0),VALUE(RIGHT($A59,1)))="YES",$H59,IF(INDEX(INDIRECT("'"&amp;LEFT($A59,LEN($A59)-1)&amp;"'!$H$13:$J$41"),MATCH(T$1,INDIRECT("'"&amp;LEFT($A59,LEN($A59)-1)&amp;"'!$A$13:$A$41"),0),VALUE(RIGHT($A59,1)))="NO",0,"?"))</f>
        <v>?</v>
      </c>
      <c r="U59" s="87" t="str">
        <f aca="true">IF(INDEX(INDIRECT("'"&amp;LEFT($A59,LEN($A59)-1)&amp;"'!$H$13:$J$41"),MATCH(U$1,INDIRECT("'"&amp;LEFT($A59,LEN($A59)-1)&amp;"'!$A$13:$A$41"),0),VALUE(RIGHT($A59,1)))="YES",$H59,IF(INDEX(INDIRECT("'"&amp;LEFT($A59,LEN($A59)-1)&amp;"'!$H$13:$J$41"),MATCH(U$1,INDIRECT("'"&amp;LEFT($A59,LEN($A59)-1)&amp;"'!$A$13:$A$41"),0),VALUE(RIGHT($A59,1)))="NO",0,"?"))</f>
        <v>?</v>
      </c>
      <c r="V59" s="87" t="str">
        <f aca="true">IF(INDEX(INDIRECT("'"&amp;LEFT($A59,LEN($A59)-1)&amp;"'!$H$13:$J$41"),MATCH(V$1,INDIRECT("'"&amp;LEFT($A59,LEN($A59)-1)&amp;"'!$A$13:$A$41"),0),VALUE(RIGHT($A59,1)))="YES",$H59,IF(INDEX(INDIRECT("'"&amp;LEFT($A59,LEN($A59)-1)&amp;"'!$H$13:$J$41"),MATCH(V$1,INDIRECT("'"&amp;LEFT($A59,LEN($A59)-1)&amp;"'!$A$13:$A$41"),0),VALUE(RIGHT($A59,1)))="NO",0,"?"))</f>
        <v>?</v>
      </c>
      <c r="W59" s="87" t="str">
        <f aca="true">IF(INDEX(INDIRECT("'"&amp;LEFT($A59,LEN($A59)-1)&amp;"'!$H$13:$J$41"),MATCH(W$1,INDIRECT("'"&amp;LEFT($A59,LEN($A59)-1)&amp;"'!$A$13:$A$41"),0),VALUE(RIGHT($A59,1)))="YES",$H59,IF(INDEX(INDIRECT("'"&amp;LEFT($A59,LEN($A59)-1)&amp;"'!$H$13:$J$41"),MATCH(W$1,INDIRECT("'"&amp;LEFT($A59,LEN($A59)-1)&amp;"'!$A$13:$A$41"),0),VALUE(RIGHT($A59,1)))="NO",0,"?"))</f>
        <v>?</v>
      </c>
      <c r="X59" s="87" t="str">
        <f aca="true">IF(INDEX(INDIRECT("'"&amp;LEFT($A59,LEN($A59)-1)&amp;"'!$H$13:$J$41"),MATCH(X$1,INDIRECT("'"&amp;LEFT($A59,LEN($A59)-1)&amp;"'!$A$13:$A$41"),0),VALUE(RIGHT($A59,1)))="YES",$H59,IF(INDEX(INDIRECT("'"&amp;LEFT($A59,LEN($A59)-1)&amp;"'!$H$13:$J$41"),MATCH(X$1,INDIRECT("'"&amp;LEFT($A59,LEN($A59)-1)&amp;"'!$A$13:$A$41"),0),VALUE(RIGHT($A59,1)))="NO",0,"?"))</f>
        <v>?</v>
      </c>
      <c r="Y59" s="87" t="str">
        <f aca="true">IF(INDEX(INDIRECT("'"&amp;LEFT($A59,LEN($A59)-1)&amp;"'!$H$13:$J$41"),MATCH(Y$1,INDIRECT("'"&amp;LEFT($A59,LEN($A59)-1)&amp;"'!$A$13:$A$41"),0),VALUE(RIGHT($A59,1)))="YES",$H59,IF(INDEX(INDIRECT("'"&amp;LEFT($A59,LEN($A59)-1)&amp;"'!$H$13:$J$41"),MATCH(Y$1,INDIRECT("'"&amp;LEFT($A59,LEN($A59)-1)&amp;"'!$A$13:$A$41"),0),VALUE(RIGHT($A59,1)))="NO",0,"?"))</f>
        <v>?</v>
      </c>
      <c r="Z59" s="87" t="str">
        <f aca="true">IF(INDEX(INDIRECT("'"&amp;LEFT($A59,LEN($A59)-1)&amp;"'!$H$13:$J$41"),MATCH(Z$1,INDIRECT("'"&amp;LEFT($A59,LEN($A59)-1)&amp;"'!$A$13:$A$41"),0),VALUE(RIGHT($A59,1)))="YES",$H59,IF(INDEX(INDIRECT("'"&amp;LEFT($A59,LEN($A59)-1)&amp;"'!$H$13:$J$41"),MATCH(Z$1,INDIRECT("'"&amp;LEFT($A59,LEN($A59)-1)&amp;"'!$A$13:$A$41"),0),VALUE(RIGHT($A59,1)))="NO",0,"?"))</f>
        <v>?</v>
      </c>
      <c r="AA59" s="87" t="str">
        <f aca="true">IF(INDEX(INDIRECT("'"&amp;LEFT($A59,LEN($A59)-1)&amp;"'!$H$13:$J$41"),MATCH(AA$1,INDIRECT("'"&amp;LEFT($A59,LEN($A59)-1)&amp;"'!$A$13:$A$41"),0),VALUE(RIGHT($A59,1)))="YES",$H59,IF(INDEX(INDIRECT("'"&amp;LEFT($A59,LEN($A59)-1)&amp;"'!$H$13:$J$41"),MATCH(AA$1,INDIRECT("'"&amp;LEFT($A59,LEN($A59)-1)&amp;"'!$A$13:$A$41"),0),VALUE(RIGHT($A59,1)))="NO",0,"?"))</f>
        <v>?</v>
      </c>
      <c r="AB59" s="87" t="str">
        <f aca="true">IF(INDEX(INDIRECT("'"&amp;LEFT($A59,LEN($A59)-1)&amp;"'!$H$13:$J$41"),MATCH(AB$1,INDIRECT("'"&amp;LEFT($A59,LEN($A59)-1)&amp;"'!$A$13:$A$41"),0),VALUE(RIGHT($A59,1)))="YES",$H59,IF(INDEX(INDIRECT("'"&amp;LEFT($A59,LEN($A59)-1)&amp;"'!$H$13:$J$41"),MATCH(AB$1,INDIRECT("'"&amp;LEFT($A59,LEN($A59)-1)&amp;"'!$A$13:$A$41"),0),VALUE(RIGHT($A59,1)))="NO",0,"?"))</f>
        <v>?</v>
      </c>
      <c r="AC59" s="87" t="str">
        <f aca="true">IF(INDEX(INDIRECT("'"&amp;LEFT($A59,LEN($A59)-1)&amp;"'!$H$13:$J$41"),MATCH(AC$1,INDIRECT("'"&amp;LEFT($A59,LEN($A59)-1)&amp;"'!$A$13:$A$41"),0),VALUE(RIGHT($A59,1)))="YES",$H59,IF(INDEX(INDIRECT("'"&amp;LEFT($A59,LEN($A59)-1)&amp;"'!$H$13:$J$41"),MATCH(AC$1,INDIRECT("'"&amp;LEFT($A59,LEN($A59)-1)&amp;"'!$A$13:$A$41"),0),VALUE(RIGHT($A59,1)))="NO",0,"?"))</f>
        <v>?</v>
      </c>
      <c r="AD59" s="87" t="str">
        <f aca="true">IF(INDEX(INDIRECT("'"&amp;LEFT($A59,LEN($A59)-1)&amp;"'!$H$13:$J$41"),MATCH(AD$1,INDIRECT("'"&amp;LEFT($A59,LEN($A59)-1)&amp;"'!$A$13:$A$41"),0),VALUE(RIGHT($A59,1)))="YES",$H59,IF(INDEX(INDIRECT("'"&amp;LEFT($A59,LEN($A59)-1)&amp;"'!$H$13:$J$41"),MATCH(AD$1,INDIRECT("'"&amp;LEFT($A59,LEN($A59)-1)&amp;"'!$A$13:$A$41"),0),VALUE(RIGHT($A59,1)))="NO",0,"?"))</f>
        <v>?</v>
      </c>
      <c r="AE59" s="87" t="str">
        <f aca="true">IF(INDEX(INDIRECT("'"&amp;LEFT($A59,LEN($A59)-1)&amp;"'!$H$13:$J$41"),MATCH(AE$1,INDIRECT("'"&amp;LEFT($A59,LEN($A59)-1)&amp;"'!$A$13:$A$41"),0),VALUE(RIGHT($A59,1)))="YES",$H59,IF(INDEX(INDIRECT("'"&amp;LEFT($A59,LEN($A59)-1)&amp;"'!$H$13:$J$41"),MATCH(AE$1,INDIRECT("'"&amp;LEFT($A59,LEN($A59)-1)&amp;"'!$A$13:$A$41"),0),VALUE(RIGHT($A59,1)))="NO",0,"?"))</f>
        <v>?</v>
      </c>
      <c r="AF59" s="87" t="str">
        <f aca="true">IF(INDEX(INDIRECT("'"&amp;LEFT($A59,LEN($A59)-1)&amp;"'!$H$13:$J$41"),MATCH(AF$1,INDIRECT("'"&amp;LEFT($A59,LEN($A59)-1)&amp;"'!$A$13:$A$41"),0),VALUE(RIGHT($A59,1)))="YES",$H59,IF(INDEX(INDIRECT("'"&amp;LEFT($A59,LEN($A59)-1)&amp;"'!$H$13:$J$41"),MATCH(AF$1,INDIRECT("'"&amp;LEFT($A59,LEN($A59)-1)&amp;"'!$A$13:$A$41"),0),VALUE(RIGHT($A59,1)))="NO",0,"?"))</f>
        <v>?</v>
      </c>
      <c r="AG59" s="87" t="str">
        <f aca="true">IF(INDEX(INDIRECT("'"&amp;LEFT($A59,LEN($A59)-1)&amp;"'!$H$13:$J$41"),MATCH(AG$1,INDIRECT("'"&amp;LEFT($A59,LEN($A59)-1)&amp;"'!$A$13:$A$41"),0),VALUE(RIGHT($A59,1)))="YES",$H59,IF(INDEX(INDIRECT("'"&amp;LEFT($A59,LEN($A59)-1)&amp;"'!$H$13:$J$41"),MATCH(AG$1,INDIRECT("'"&amp;LEFT($A59,LEN($A59)-1)&amp;"'!$A$13:$A$41"),0),VALUE(RIGHT($A59,1)))="NO",0,"?"))</f>
        <v>?</v>
      </c>
      <c r="AH59" s="87" t="str">
        <f aca="true">IF(INDEX(INDIRECT("'"&amp;LEFT($A59,LEN($A59)-1)&amp;"'!$H$13:$J$41"),MATCH(AH$1,INDIRECT("'"&amp;LEFT($A59,LEN($A59)-1)&amp;"'!$A$13:$A$41"),0),VALUE(RIGHT($A59,1)))="YES",$H59,IF(INDEX(INDIRECT("'"&amp;LEFT($A59,LEN($A59)-1)&amp;"'!$H$13:$J$41"),MATCH(AH$1,INDIRECT("'"&amp;LEFT($A59,LEN($A59)-1)&amp;"'!$A$13:$A$41"),0),VALUE(RIGHT($A59,1)))="NO",0,"?"))</f>
        <v>?</v>
      </c>
      <c r="AI59" s="87" t="str">
        <f aca="true">IF(INDEX(INDIRECT("'"&amp;LEFT($A59,LEN($A59)-1)&amp;"'!$H$13:$J$41"),MATCH(AI$1,INDIRECT("'"&amp;LEFT($A59,LEN($A59)-1)&amp;"'!$A$13:$A$41"),0),VALUE(RIGHT($A59,1)))="YES",$H59,IF(INDEX(INDIRECT("'"&amp;LEFT($A59,LEN($A59)-1)&amp;"'!$H$13:$J$41"),MATCH(AI$1,INDIRECT("'"&amp;LEFT($A59,LEN($A59)-1)&amp;"'!$A$13:$A$41"),0),VALUE(RIGHT($A59,1)))="NO",0,"?"))</f>
        <v>?</v>
      </c>
      <c r="AJ59" s="87" t="str">
        <f aca="true">IF(INDEX(INDIRECT("'"&amp;LEFT($A59,LEN($A59)-1)&amp;"'!$H$13:$J$41"),MATCH(AJ$1,INDIRECT("'"&amp;LEFT($A59,LEN($A59)-1)&amp;"'!$A$13:$A$41"),0),VALUE(RIGHT($A59,1)))="YES",$H59,IF(INDEX(INDIRECT("'"&amp;LEFT($A59,LEN($A59)-1)&amp;"'!$H$13:$J$41"),MATCH(AJ$1,INDIRECT("'"&amp;LEFT($A59,LEN($A59)-1)&amp;"'!$A$13:$A$41"),0),VALUE(RIGHT($A59,1)))="NO",0,"?"))</f>
        <v>?</v>
      </c>
      <c r="AK59" s="87" t="str">
        <f aca="true">IF(INDEX(INDIRECT("'"&amp;LEFT($A59,LEN($A59)-1)&amp;"'!$H$13:$J$41"),MATCH(AK$1,INDIRECT("'"&amp;LEFT($A59,LEN($A59)-1)&amp;"'!$A$13:$A$41"),0),VALUE(RIGHT($A59,1)))="YES",$H59,IF(INDEX(INDIRECT("'"&amp;LEFT($A59,LEN($A59)-1)&amp;"'!$H$13:$J$41"),MATCH(AK$1,INDIRECT("'"&amp;LEFT($A59,LEN($A59)-1)&amp;"'!$A$13:$A$41"),0),VALUE(RIGHT($A59,1)))="NO",0,"?"))</f>
        <v>?</v>
      </c>
    </row>
    <row r="60" customFormat="false" ht="14.25" hidden="false" customHeight="true" outlineLevel="0" collapsed="false">
      <c r="A60" s="83" t="s">
        <v>348</v>
      </c>
      <c r="B60" s="84" t="str">
        <f aca="false">IF(ISBLANK($A60),"NO_CODE",VLOOKUP($A60,'UPD Questions_290926 '!$E$1:$N$300,MATCH(B$1,'UPD Questions_290926 '!$E$1:$N$1,0),0)&amp;"")</f>
        <v>Implementation</v>
      </c>
      <c r="C60" s="84" t="str">
        <f aca="false">IF(ISBLANK($A60),"NO_CODE",VLOOKUP($A60,'UPD Questions_290926 '!$E$1:$N$300,MATCH(C$1,'UPD Questions_290926 '!$E$1:$N$1,0),0)&amp;"")</f>
        <v>Sectoral planning</v>
      </c>
      <c r="D60" s="84" t="str">
        <f aca="false">IF(ISBLANK($A60),"NO_CODE",VLOOKUP($A60,'UPD Questions_290926 '!$E$1:$N$300,MATCH(D$1,'UPD Questions_290926 '!$E$1:$N$1,0),0)&amp;"")</f>
        <v>Water supply and sewerage, sanitation, solid waste management </v>
      </c>
      <c r="E60" s="84" t="str">
        <f aca="false">IF(ISBLANK($A60),"NO_CODE",VLOOKUP($A60,'UPD Questions_290926 '!$E$1:$N$300,MATCH(E$1,'UPD Questions_290926 '!$E$1:$N$1,0),0)&amp;"")</f>
        <v>SQ</v>
      </c>
      <c r="F60" s="84" t="str">
        <f aca="false">IF(ISBLANK($A60),"NO_CODE",VLOOKUP($A60,'UPD Questions_290926 '!$E$1:$N$300,MATCH(F$1,'UPD Questions_290926 '!$E$1:$N$1,0),0)&amp;"")</f>
        <v>Does the plan clearly articulate the role of the ULG?</v>
      </c>
      <c r="G60" s="84" t="str">
        <f aca="false">IF(ISBLANK($A60),"NO_CODE",VLOOKUP($A60,'UPD Questions_290926 '!$E$1:$N$300,MATCH(G$1,'UPD Questions_290926 '!$E$1:$N$1,0),0)&amp;"")</f>
        <v>Implementation</v>
      </c>
      <c r="H60" s="86" t="n">
        <f aca="false">IF(ISBLANK($A60),"NO_CODE",VLOOKUP($A60,'UPD Questions_290926 '!$E$1:$N$300,MATCH(H$1,'UPD Questions_290926 '!$E$1:$N$1,0),0))</f>
        <v>3.33</v>
      </c>
      <c r="I60" s="87" t="str">
        <f aca="true">IF($H60=0,"NA",IF($A60=INDIRECT("'"&amp;$A60&amp;"'!$B$1"),IF(VLOOKUP(I$1,INDIRECT("'"&amp;$A60&amp;"'!$A$12:$Z$41"),MATCH("Points (Auto-generate)",INDIRECT("'"&amp;$A60&amp;"'!$A$12:$Z$12"),0),0)="","?",VLOOKUP(I$1,INDIRECT("'"&amp;$A60&amp;"'!$A$12:$Z$41"),MATCH("Points (Auto-generate)",INDIRECT("'"&amp;$A60&amp;"'!$A$12:$Z$12"),0),0)),"ER"))</f>
        <v>?</v>
      </c>
      <c r="J60" s="87" t="n">
        <f aca="true">IF($H60=0,"NA",IF($A60=INDIRECT("'"&amp;$A60&amp;"'!$B$1"),IF(VLOOKUP(J$1,INDIRECT("'"&amp;$A60&amp;"'!$A$12:$Z$41"),MATCH("Points (Auto-generate)",INDIRECT("'"&amp;$A60&amp;"'!$A$12:$Z$12"),0),0)="","?",VLOOKUP(J$1,INDIRECT("'"&amp;$A60&amp;"'!$A$12:$Z$41"),MATCH("Points (Auto-generate)",INDIRECT("'"&amp;$A60&amp;"'!$A$12:$Z$12"),0),0)),"ER"))</f>
        <v>0</v>
      </c>
      <c r="K60" s="87" t="str">
        <f aca="true">IF($H60=0,"NA",IF($A60=INDIRECT("'"&amp;$A60&amp;"'!$B$1"),IF(VLOOKUP(K$1,INDIRECT("'"&amp;$A60&amp;"'!$A$12:$Z$41"),MATCH("Points (Auto-generate)",INDIRECT("'"&amp;$A60&amp;"'!$A$12:$Z$12"),0),0)="","?",VLOOKUP(K$1,INDIRECT("'"&amp;$A60&amp;"'!$A$12:$Z$41"),MATCH("Points (Auto-generate)",INDIRECT("'"&amp;$A60&amp;"'!$A$12:$Z$12"),0),0)),"ER"))</f>
        <v>?</v>
      </c>
      <c r="L60" s="87" t="str">
        <f aca="true">IF($H60=0,"NA",IF($A60=INDIRECT("'"&amp;$A60&amp;"'!$B$1"),IF(VLOOKUP(L$1,INDIRECT("'"&amp;$A60&amp;"'!$A$12:$Z$41"),MATCH("Points (Auto-generate)",INDIRECT("'"&amp;$A60&amp;"'!$A$12:$Z$12"),0),0)="","?",VLOOKUP(L$1,INDIRECT("'"&amp;$A60&amp;"'!$A$12:$Z$41"),MATCH("Points (Auto-generate)",INDIRECT("'"&amp;$A60&amp;"'!$A$12:$Z$12"),0),0)),"ER"))</f>
        <v>?</v>
      </c>
      <c r="M60" s="87" t="str">
        <f aca="true">IF($H60=0,"NA",IF($A60=INDIRECT("'"&amp;$A60&amp;"'!$B$1"),IF(VLOOKUP(M$1,INDIRECT("'"&amp;$A60&amp;"'!$A$12:$Z$41"),MATCH("Points (Auto-generate)",INDIRECT("'"&amp;$A60&amp;"'!$A$12:$Z$12"),0),0)="","?",VLOOKUP(M$1,INDIRECT("'"&amp;$A60&amp;"'!$A$12:$Z$41"),MATCH("Points (Auto-generate)",INDIRECT("'"&amp;$A60&amp;"'!$A$12:$Z$12"),0),0)),"ER"))</f>
        <v>?</v>
      </c>
      <c r="N60" s="87" t="str">
        <f aca="true">IF($H60=0,"NA",IF($A60=INDIRECT("'"&amp;$A60&amp;"'!$B$1"),IF(VLOOKUP(N$1,INDIRECT("'"&amp;$A60&amp;"'!$A$12:$Z$41"),MATCH("Points (Auto-generate)",INDIRECT("'"&amp;$A60&amp;"'!$A$12:$Z$12"),0),0)="","?",VLOOKUP(N$1,INDIRECT("'"&amp;$A60&amp;"'!$A$12:$Z$41"),MATCH("Points (Auto-generate)",INDIRECT("'"&amp;$A60&amp;"'!$A$12:$Z$12"),0),0)),"ER"))</f>
        <v>?</v>
      </c>
      <c r="O60" s="87" t="str">
        <f aca="true">IF($H60=0,"NA",IF($A60=INDIRECT("'"&amp;$A60&amp;"'!$B$1"),IF(VLOOKUP(O$1,INDIRECT("'"&amp;$A60&amp;"'!$A$12:$Z$41"),MATCH("Points (Auto-generate)",INDIRECT("'"&amp;$A60&amp;"'!$A$12:$Z$12"),0),0)="","?",VLOOKUP(O$1,INDIRECT("'"&amp;$A60&amp;"'!$A$12:$Z$41"),MATCH("Points (Auto-generate)",INDIRECT("'"&amp;$A60&amp;"'!$A$12:$Z$12"),0),0)),"ER"))</f>
        <v>?</v>
      </c>
      <c r="P60" s="87" t="str">
        <f aca="true">IF($H60=0,"NA",IF($A60=INDIRECT("'"&amp;$A60&amp;"'!$B$1"),IF(VLOOKUP(P$1,INDIRECT("'"&amp;$A60&amp;"'!$A$12:$Z$41"),MATCH("Points (Auto-generate)",INDIRECT("'"&amp;$A60&amp;"'!$A$12:$Z$12"),0),0)="","?",VLOOKUP(P$1,INDIRECT("'"&amp;$A60&amp;"'!$A$12:$Z$41"),MATCH("Points (Auto-generate)",INDIRECT("'"&amp;$A60&amp;"'!$A$12:$Z$12"),0),0)),"ER"))</f>
        <v>?</v>
      </c>
      <c r="Q60" s="87" t="str">
        <f aca="true">IF($H60=0,"NA",IF($A60=INDIRECT("'"&amp;$A60&amp;"'!$B$1"),IF(VLOOKUP(Q$1,INDIRECT("'"&amp;$A60&amp;"'!$A$12:$Z$41"),MATCH("Points (Auto-generate)",INDIRECT("'"&amp;$A60&amp;"'!$A$12:$Z$12"),0),0)="","?",VLOOKUP(Q$1,INDIRECT("'"&amp;$A60&amp;"'!$A$12:$Z$41"),MATCH("Points (Auto-generate)",INDIRECT("'"&amp;$A60&amp;"'!$A$12:$Z$12"),0),0)),"ER"))</f>
        <v>?</v>
      </c>
      <c r="R60" s="87" t="str">
        <f aca="true">IF($H60=0,"NA",IF($A60=INDIRECT("'"&amp;$A60&amp;"'!$B$1"),IF(VLOOKUP(R$1,INDIRECT("'"&amp;$A60&amp;"'!$A$12:$Z$41"),MATCH("Points (Auto-generate)",INDIRECT("'"&amp;$A60&amp;"'!$A$12:$Z$12"),0),0)="","?",VLOOKUP(R$1,INDIRECT("'"&amp;$A60&amp;"'!$A$12:$Z$41"),MATCH("Points (Auto-generate)",INDIRECT("'"&amp;$A60&amp;"'!$A$12:$Z$12"),0),0)),"ER"))</f>
        <v>?</v>
      </c>
      <c r="S60" s="87" t="str">
        <f aca="true">IF($H60=0,"NA",IF($A60=INDIRECT("'"&amp;$A60&amp;"'!$B$1"),IF(VLOOKUP(S$1,INDIRECT("'"&amp;$A60&amp;"'!$A$12:$Z$41"),MATCH("Points (Auto-generate)",INDIRECT("'"&amp;$A60&amp;"'!$A$12:$Z$12"),0),0)="","?",VLOOKUP(S$1,INDIRECT("'"&amp;$A60&amp;"'!$A$12:$Z$41"),MATCH("Points (Auto-generate)",INDIRECT("'"&amp;$A60&amp;"'!$A$12:$Z$12"),0),0)),"ER"))</f>
        <v>?</v>
      </c>
      <c r="T60" s="87" t="str">
        <f aca="true">IF($H60=0,"NA",IF($A60=INDIRECT("'"&amp;$A60&amp;"'!$B$1"),IF(VLOOKUP(T$1,INDIRECT("'"&amp;$A60&amp;"'!$A$12:$Z$41"),MATCH("Points (Auto-generate)",INDIRECT("'"&amp;$A60&amp;"'!$A$12:$Z$12"),0),0)="","?",VLOOKUP(T$1,INDIRECT("'"&amp;$A60&amp;"'!$A$12:$Z$41"),MATCH("Points (Auto-generate)",INDIRECT("'"&amp;$A60&amp;"'!$A$12:$Z$12"),0),0)),"ER"))</f>
        <v>?</v>
      </c>
      <c r="U60" s="87" t="str">
        <f aca="true">IF($H60=0,"NA",IF($A60=INDIRECT("'"&amp;$A60&amp;"'!$B$1"),IF(VLOOKUP(U$1,INDIRECT("'"&amp;$A60&amp;"'!$A$12:$Z$41"),MATCH("Points (Auto-generate)",INDIRECT("'"&amp;$A60&amp;"'!$A$12:$Z$12"),0),0)="","?",VLOOKUP(U$1,INDIRECT("'"&amp;$A60&amp;"'!$A$12:$Z$41"),MATCH("Points (Auto-generate)",INDIRECT("'"&amp;$A60&amp;"'!$A$12:$Z$12"),0),0)),"ER"))</f>
        <v>?</v>
      </c>
      <c r="V60" s="87" t="str">
        <f aca="true">IF($H60=0,"NA",IF($A60=INDIRECT("'"&amp;$A60&amp;"'!$B$1"),IF(VLOOKUP(V$1,INDIRECT("'"&amp;$A60&amp;"'!$A$12:$Z$41"),MATCH("Points (Auto-generate)",INDIRECT("'"&amp;$A60&amp;"'!$A$12:$Z$12"),0),0)="","?",VLOOKUP(V$1,INDIRECT("'"&amp;$A60&amp;"'!$A$12:$Z$41"),MATCH("Points (Auto-generate)",INDIRECT("'"&amp;$A60&amp;"'!$A$12:$Z$12"),0),0)),"ER"))</f>
        <v>?</v>
      </c>
      <c r="W60" s="87" t="str">
        <f aca="true">IF($H60=0,"NA",IF($A60=INDIRECT("'"&amp;$A60&amp;"'!$B$1"),IF(VLOOKUP(W$1,INDIRECT("'"&amp;$A60&amp;"'!$A$12:$Z$41"),MATCH("Points (Auto-generate)",INDIRECT("'"&amp;$A60&amp;"'!$A$12:$Z$12"),0),0)="","?",VLOOKUP(W$1,INDIRECT("'"&amp;$A60&amp;"'!$A$12:$Z$41"),MATCH("Points (Auto-generate)",INDIRECT("'"&amp;$A60&amp;"'!$A$12:$Z$12"),0),0)),"ER"))</f>
        <v>?</v>
      </c>
      <c r="X60" s="87" t="str">
        <f aca="true">IF($H60=0,"NA",IF($A60=INDIRECT("'"&amp;$A60&amp;"'!$B$1"),IF(VLOOKUP(X$1,INDIRECT("'"&amp;$A60&amp;"'!$A$12:$Z$41"),MATCH("Points (Auto-generate)",INDIRECT("'"&amp;$A60&amp;"'!$A$12:$Z$12"),0),0)="","?",VLOOKUP(X$1,INDIRECT("'"&amp;$A60&amp;"'!$A$12:$Z$41"),MATCH("Points (Auto-generate)",INDIRECT("'"&amp;$A60&amp;"'!$A$12:$Z$12"),0),0)),"ER"))</f>
        <v>?</v>
      </c>
      <c r="Y60" s="87" t="str">
        <f aca="true">IF($H60=0,"NA",IF($A60=INDIRECT("'"&amp;$A60&amp;"'!$B$1"),IF(VLOOKUP(Y$1,INDIRECT("'"&amp;$A60&amp;"'!$A$12:$Z$41"),MATCH("Points (Auto-generate)",INDIRECT("'"&amp;$A60&amp;"'!$A$12:$Z$12"),0),0)="","?",VLOOKUP(Y$1,INDIRECT("'"&amp;$A60&amp;"'!$A$12:$Z$41"),MATCH("Points (Auto-generate)",INDIRECT("'"&amp;$A60&amp;"'!$A$12:$Z$12"),0),0)),"ER"))</f>
        <v>?</v>
      </c>
      <c r="Z60" s="87" t="str">
        <f aca="true">IF($H60=0,"NA",IF($A60=INDIRECT("'"&amp;$A60&amp;"'!$B$1"),IF(VLOOKUP(Z$1,INDIRECT("'"&amp;$A60&amp;"'!$A$12:$Z$41"),MATCH("Points (Auto-generate)",INDIRECT("'"&amp;$A60&amp;"'!$A$12:$Z$12"),0),0)="","?",VLOOKUP(Z$1,INDIRECT("'"&amp;$A60&amp;"'!$A$12:$Z$41"),MATCH("Points (Auto-generate)",INDIRECT("'"&amp;$A60&amp;"'!$A$12:$Z$12"),0),0)),"ER"))</f>
        <v>?</v>
      </c>
      <c r="AA60" s="87" t="str">
        <f aca="true">IF($H60=0,"NA",IF($A60=INDIRECT("'"&amp;$A60&amp;"'!$B$1"),IF(VLOOKUP(AA$1,INDIRECT("'"&amp;$A60&amp;"'!$A$12:$Z$41"),MATCH("Points (Auto-generate)",INDIRECT("'"&amp;$A60&amp;"'!$A$12:$Z$12"),0),0)="","?",VLOOKUP(AA$1,INDIRECT("'"&amp;$A60&amp;"'!$A$12:$Z$41"),MATCH("Points (Auto-generate)",INDIRECT("'"&amp;$A60&amp;"'!$A$12:$Z$12"),0),0)),"ER"))</f>
        <v>?</v>
      </c>
      <c r="AB60" s="87" t="str">
        <f aca="true">IF($H60=0,"NA",IF($A60=INDIRECT("'"&amp;$A60&amp;"'!$B$1"),IF(VLOOKUP(AB$1,INDIRECT("'"&amp;$A60&amp;"'!$A$12:$Z$41"),MATCH("Points (Auto-generate)",INDIRECT("'"&amp;$A60&amp;"'!$A$12:$Z$12"),0),0)="","?",VLOOKUP(AB$1,INDIRECT("'"&amp;$A60&amp;"'!$A$12:$Z$41"),MATCH("Points (Auto-generate)",INDIRECT("'"&amp;$A60&amp;"'!$A$12:$Z$12"),0),0)),"ER"))</f>
        <v>?</v>
      </c>
      <c r="AC60" s="87" t="str">
        <f aca="true">IF($H60=0,"NA",IF($A60=INDIRECT("'"&amp;$A60&amp;"'!$B$1"),IF(VLOOKUP(AC$1,INDIRECT("'"&amp;$A60&amp;"'!$A$12:$Z$41"),MATCH("Points (Auto-generate)",INDIRECT("'"&amp;$A60&amp;"'!$A$12:$Z$12"),0),0)="","?",VLOOKUP(AC$1,INDIRECT("'"&amp;$A60&amp;"'!$A$12:$Z$41"),MATCH("Points (Auto-generate)",INDIRECT("'"&amp;$A60&amp;"'!$A$12:$Z$12"),0),0)),"ER"))</f>
        <v>?</v>
      </c>
      <c r="AD60" s="87" t="str">
        <f aca="true">IF($H60=0,"NA",IF($A60=INDIRECT("'"&amp;$A60&amp;"'!$B$1"),IF(VLOOKUP(AD$1,INDIRECT("'"&amp;$A60&amp;"'!$A$12:$Z$41"),MATCH("Points (Auto-generate)",INDIRECT("'"&amp;$A60&amp;"'!$A$12:$Z$12"),0),0)="","?",VLOOKUP(AD$1,INDIRECT("'"&amp;$A60&amp;"'!$A$12:$Z$41"),MATCH("Points (Auto-generate)",INDIRECT("'"&amp;$A60&amp;"'!$A$12:$Z$12"),0),0)),"ER"))</f>
        <v>?</v>
      </c>
      <c r="AE60" s="87" t="str">
        <f aca="true">IF($H60=0,"NA",IF($A60=INDIRECT("'"&amp;$A60&amp;"'!$B$1"),IF(VLOOKUP(AE$1,INDIRECT("'"&amp;$A60&amp;"'!$A$12:$Z$41"),MATCH("Points (Auto-generate)",INDIRECT("'"&amp;$A60&amp;"'!$A$12:$Z$12"),0),0)="","?",VLOOKUP(AE$1,INDIRECT("'"&amp;$A60&amp;"'!$A$12:$Z$41"),MATCH("Points (Auto-generate)",INDIRECT("'"&amp;$A60&amp;"'!$A$12:$Z$12"),0),0)),"ER"))</f>
        <v>?</v>
      </c>
      <c r="AF60" s="87" t="str">
        <f aca="true">IF($H60=0,"NA",IF($A60=INDIRECT("'"&amp;$A60&amp;"'!$B$1"),IF(VLOOKUP(AF$1,INDIRECT("'"&amp;$A60&amp;"'!$A$12:$Z$41"),MATCH("Points (Auto-generate)",INDIRECT("'"&amp;$A60&amp;"'!$A$12:$Z$12"),0),0)="","?",VLOOKUP(AF$1,INDIRECT("'"&amp;$A60&amp;"'!$A$12:$Z$41"),MATCH("Points (Auto-generate)",INDIRECT("'"&amp;$A60&amp;"'!$A$12:$Z$12"),0),0)),"ER"))</f>
        <v>?</v>
      </c>
      <c r="AG60" s="87" t="str">
        <f aca="true">IF($H60=0,"NA",IF($A60=INDIRECT("'"&amp;$A60&amp;"'!$B$1"),IF(VLOOKUP(AG$1,INDIRECT("'"&amp;$A60&amp;"'!$A$12:$Z$41"),MATCH("Points (Auto-generate)",INDIRECT("'"&amp;$A60&amp;"'!$A$12:$Z$12"),0),0)="","?",VLOOKUP(AG$1,INDIRECT("'"&amp;$A60&amp;"'!$A$12:$Z$41"),MATCH("Points (Auto-generate)",INDIRECT("'"&amp;$A60&amp;"'!$A$12:$Z$12"),0),0)),"ER"))</f>
        <v>?</v>
      </c>
      <c r="AH60" s="87" t="str">
        <f aca="true">IF($H60=0,"NA",IF($A60=INDIRECT("'"&amp;$A60&amp;"'!$B$1"),IF(VLOOKUP(AH$1,INDIRECT("'"&amp;$A60&amp;"'!$A$12:$Z$41"),MATCH("Points (Auto-generate)",INDIRECT("'"&amp;$A60&amp;"'!$A$12:$Z$12"),0),0)="","?",VLOOKUP(AH$1,INDIRECT("'"&amp;$A60&amp;"'!$A$12:$Z$41"),MATCH("Points (Auto-generate)",INDIRECT("'"&amp;$A60&amp;"'!$A$12:$Z$12"),0),0)),"ER"))</f>
        <v>?</v>
      </c>
      <c r="AI60" s="87" t="str">
        <f aca="true">IF($H60=0,"NA",IF($A60=INDIRECT("'"&amp;$A60&amp;"'!$B$1"),IF(VLOOKUP(AI$1,INDIRECT("'"&amp;$A60&amp;"'!$A$12:$Z$41"),MATCH("Points (Auto-generate)",INDIRECT("'"&amp;$A60&amp;"'!$A$12:$Z$12"),0),0)="","?",VLOOKUP(AI$1,INDIRECT("'"&amp;$A60&amp;"'!$A$12:$Z$41"),MATCH("Points (Auto-generate)",INDIRECT("'"&amp;$A60&amp;"'!$A$12:$Z$12"),0),0)),"ER"))</f>
        <v>?</v>
      </c>
      <c r="AJ60" s="87" t="str">
        <f aca="true">IF($H60=0,"NA",IF($A60=INDIRECT("'"&amp;$A60&amp;"'!$B$1"),IF(VLOOKUP(AJ$1,INDIRECT("'"&amp;$A60&amp;"'!$A$12:$Z$41"),MATCH("Points (Auto-generate)",INDIRECT("'"&amp;$A60&amp;"'!$A$12:$Z$12"),0),0)="","?",VLOOKUP(AJ$1,INDIRECT("'"&amp;$A60&amp;"'!$A$12:$Z$41"),MATCH("Points (Auto-generate)",INDIRECT("'"&amp;$A60&amp;"'!$A$12:$Z$12"),0),0)),"ER"))</f>
        <v>?</v>
      </c>
      <c r="AK60" s="87" t="str">
        <f aca="true">IF($H60=0,"NA",IF($A60=INDIRECT("'"&amp;$A60&amp;"'!$B$1"),IF(VLOOKUP(AK$1,INDIRECT("'"&amp;$A60&amp;"'!$A$12:$Z$41"),MATCH("Points (Auto-generate)",INDIRECT("'"&amp;$A60&amp;"'!$A$12:$Z$12"),0),0)="","?",VLOOKUP(AK$1,INDIRECT("'"&amp;$A60&amp;"'!$A$12:$Z$41"),MATCH("Points (Auto-generate)",INDIRECT("'"&amp;$A60&amp;"'!$A$12:$Z$12"),0),0)),"ER"))</f>
        <v>?</v>
      </c>
    </row>
    <row r="61" customFormat="false" ht="14.25" hidden="false" customHeight="true" outlineLevel="0" collapsed="false">
      <c r="A61" s="83" t="s">
        <v>841</v>
      </c>
      <c r="B61" s="84" t="str">
        <f aca="false">IF(ISBLANK($A61),"NO_CODE",VLOOKUP($A61,'UPD Questions_290926 '!$E$1:$N$300,MATCH(B$1,'UPD Questions_290926 '!$E$1:$N$1,0),0)&amp;"")</f>
        <v>Implementation</v>
      </c>
      <c r="C61" s="84" t="str">
        <f aca="false">IF(ISBLANK($A61),"NO_CODE",VLOOKUP($A61,'UPD Questions_290926 '!$E$1:$N$300,MATCH(C$1,'UPD Questions_290926 '!$E$1:$N$1,0),0)&amp;"")</f>
        <v>Sectoral planning</v>
      </c>
      <c r="D61" s="84" t="str">
        <f aca="false">IF(ISBLANK($A61),"NO_CODE",VLOOKUP($A61,'UPD Questions_290926 '!$E$1:$N$300,MATCH(D$1,'UPD Questions_290926 '!$E$1:$N$1,0),0)&amp;"")</f>
        <v>Water supply and sewerage, sanitation, solid waste management </v>
      </c>
      <c r="E61" s="84" t="str">
        <f aca="false">IF(ISBLANK($A61),"NO_CODE",VLOOKUP($A61,'UPD Questions_290926 '!$E$1:$N$300,MATCH(E$1,'UPD Questions_290926 '!$E$1:$N$1,0),0)&amp;"")</f>
        <v>SQ1</v>
      </c>
      <c r="F61" s="84" t="str">
        <f aca="false">IF(ISBLANK($A61),"NO_CODE",VLOOKUP($A61,'UPD Questions_290926 '!$E$1:$N$300,MATCH(F$1,'UPD Questions_290926 '!$E$1:$N$1,0),0)&amp;"")</f>
        <v>a) Water Supply and Sewerage Plan</v>
      </c>
      <c r="G61" s="84" t="str">
        <f aca="false">IF(ISBLANK($A61),"NO_CODE",VLOOKUP($A61,'UPD Questions_290926 '!$E$1:$N$300,MATCH(G$1,'UPD Questions_290926 '!$E$1:$N$1,0),0)&amp;"")</f>
        <v>Implementation</v>
      </c>
      <c r="H61" s="86" t="n">
        <f aca="false">IF(ISBLANK($A61),"NO_CODE",VLOOKUP($A61,'UPD Questions_290926 '!$E$1:$N$300,MATCH(H$1,'UPD Questions_290926 '!$E$1:$N$1,0),0))</f>
        <v>1.11</v>
      </c>
      <c r="I61" s="87" t="str">
        <f aca="true">IF(INDEX(INDIRECT("'"&amp;LEFT($A61,LEN($A61)-1)&amp;"'!$H$13:$J$41"),MATCH(I$1,INDIRECT("'"&amp;LEFT($A61,LEN($A61)-1)&amp;"'!$A$13:$A$41"),0),VALUE(RIGHT($A61,1)))="YES",$H61,IF(INDEX(INDIRECT("'"&amp;LEFT($A61,LEN($A61)-1)&amp;"'!$H$13:$J$41"),MATCH(I$1,INDIRECT("'"&amp;LEFT($A61,LEN($A61)-1)&amp;"'!$A$13:$A$41"),0),VALUE(RIGHT($A61,1)))="NO",0,"?"))</f>
        <v>?</v>
      </c>
      <c r="J61" s="87" t="n">
        <f aca="true">IF(INDEX(INDIRECT("'"&amp;LEFT($A61,LEN($A61)-1)&amp;"'!$H$13:$J$41"),MATCH(J$1,INDIRECT("'"&amp;LEFT($A61,LEN($A61)-1)&amp;"'!$A$13:$A$41"),0),VALUE(RIGHT($A61,1)))="YES",$H61,IF(INDEX(INDIRECT("'"&amp;LEFT($A61,LEN($A61)-1)&amp;"'!$H$13:$J$41"),MATCH(J$1,INDIRECT("'"&amp;LEFT($A61,LEN($A61)-1)&amp;"'!$A$13:$A$41"),0),VALUE(RIGHT($A61,1)))="NO",0,"?"))</f>
        <v>0</v>
      </c>
      <c r="K61" s="87" t="str">
        <f aca="true">IF(INDEX(INDIRECT("'"&amp;LEFT($A61,LEN($A61)-1)&amp;"'!$H$13:$J$41"),MATCH(K$1,INDIRECT("'"&amp;LEFT($A61,LEN($A61)-1)&amp;"'!$A$13:$A$41"),0),VALUE(RIGHT($A61,1)))="YES",$H61,IF(INDEX(INDIRECT("'"&amp;LEFT($A61,LEN($A61)-1)&amp;"'!$H$13:$J$41"),MATCH(K$1,INDIRECT("'"&amp;LEFT($A61,LEN($A61)-1)&amp;"'!$A$13:$A$41"),0),VALUE(RIGHT($A61,1)))="NO",0,"?"))</f>
        <v>?</v>
      </c>
      <c r="L61" s="87" t="str">
        <f aca="true">IF(INDEX(INDIRECT("'"&amp;LEFT($A61,LEN($A61)-1)&amp;"'!$H$13:$J$41"),MATCH(L$1,INDIRECT("'"&amp;LEFT($A61,LEN($A61)-1)&amp;"'!$A$13:$A$41"),0),VALUE(RIGHT($A61,1)))="YES",$H61,IF(INDEX(INDIRECT("'"&amp;LEFT($A61,LEN($A61)-1)&amp;"'!$H$13:$J$41"),MATCH(L$1,INDIRECT("'"&amp;LEFT($A61,LEN($A61)-1)&amp;"'!$A$13:$A$41"),0),VALUE(RIGHT($A61,1)))="NO",0,"?"))</f>
        <v>?</v>
      </c>
      <c r="M61" s="87" t="str">
        <f aca="true">IF(INDEX(INDIRECT("'"&amp;LEFT($A61,LEN($A61)-1)&amp;"'!$H$13:$J$41"),MATCH(M$1,INDIRECT("'"&amp;LEFT($A61,LEN($A61)-1)&amp;"'!$A$13:$A$41"),0),VALUE(RIGHT($A61,1)))="YES",$H61,IF(INDEX(INDIRECT("'"&amp;LEFT($A61,LEN($A61)-1)&amp;"'!$H$13:$J$41"),MATCH(M$1,INDIRECT("'"&amp;LEFT($A61,LEN($A61)-1)&amp;"'!$A$13:$A$41"),0),VALUE(RIGHT($A61,1)))="NO",0,"?"))</f>
        <v>?</v>
      </c>
      <c r="N61" s="87" t="str">
        <f aca="true">IF(INDEX(INDIRECT("'"&amp;LEFT($A61,LEN($A61)-1)&amp;"'!$H$13:$J$41"),MATCH(N$1,INDIRECT("'"&amp;LEFT($A61,LEN($A61)-1)&amp;"'!$A$13:$A$41"),0),VALUE(RIGHT($A61,1)))="YES",$H61,IF(INDEX(INDIRECT("'"&amp;LEFT($A61,LEN($A61)-1)&amp;"'!$H$13:$J$41"),MATCH(N$1,INDIRECT("'"&amp;LEFT($A61,LEN($A61)-1)&amp;"'!$A$13:$A$41"),0),VALUE(RIGHT($A61,1)))="NO",0,"?"))</f>
        <v>?</v>
      </c>
      <c r="O61" s="87" t="str">
        <f aca="true">IF(INDEX(INDIRECT("'"&amp;LEFT($A61,LEN($A61)-1)&amp;"'!$H$13:$J$41"),MATCH(O$1,INDIRECT("'"&amp;LEFT($A61,LEN($A61)-1)&amp;"'!$A$13:$A$41"),0),VALUE(RIGHT($A61,1)))="YES",$H61,IF(INDEX(INDIRECT("'"&amp;LEFT($A61,LEN($A61)-1)&amp;"'!$H$13:$J$41"),MATCH(O$1,INDIRECT("'"&amp;LEFT($A61,LEN($A61)-1)&amp;"'!$A$13:$A$41"),0),VALUE(RIGHT($A61,1)))="NO",0,"?"))</f>
        <v>?</v>
      </c>
      <c r="P61" s="87" t="str">
        <f aca="true">IF(INDEX(INDIRECT("'"&amp;LEFT($A61,LEN($A61)-1)&amp;"'!$H$13:$J$41"),MATCH(P$1,INDIRECT("'"&amp;LEFT($A61,LEN($A61)-1)&amp;"'!$A$13:$A$41"),0),VALUE(RIGHT($A61,1)))="YES",$H61,IF(INDEX(INDIRECT("'"&amp;LEFT($A61,LEN($A61)-1)&amp;"'!$H$13:$J$41"),MATCH(P$1,INDIRECT("'"&amp;LEFT($A61,LEN($A61)-1)&amp;"'!$A$13:$A$41"),0),VALUE(RIGHT($A61,1)))="NO",0,"?"))</f>
        <v>?</v>
      </c>
      <c r="Q61" s="87" t="str">
        <f aca="true">IF(INDEX(INDIRECT("'"&amp;LEFT($A61,LEN($A61)-1)&amp;"'!$H$13:$J$41"),MATCH(Q$1,INDIRECT("'"&amp;LEFT($A61,LEN($A61)-1)&amp;"'!$A$13:$A$41"),0),VALUE(RIGHT($A61,1)))="YES",$H61,IF(INDEX(INDIRECT("'"&amp;LEFT($A61,LEN($A61)-1)&amp;"'!$H$13:$J$41"),MATCH(Q$1,INDIRECT("'"&amp;LEFT($A61,LEN($A61)-1)&amp;"'!$A$13:$A$41"),0),VALUE(RIGHT($A61,1)))="NO",0,"?"))</f>
        <v>?</v>
      </c>
      <c r="R61" s="87" t="str">
        <f aca="true">IF(INDEX(INDIRECT("'"&amp;LEFT($A61,LEN($A61)-1)&amp;"'!$H$13:$J$41"),MATCH(R$1,INDIRECT("'"&amp;LEFT($A61,LEN($A61)-1)&amp;"'!$A$13:$A$41"),0),VALUE(RIGHT($A61,1)))="YES",$H61,IF(INDEX(INDIRECT("'"&amp;LEFT($A61,LEN($A61)-1)&amp;"'!$H$13:$J$41"),MATCH(R$1,INDIRECT("'"&amp;LEFT($A61,LEN($A61)-1)&amp;"'!$A$13:$A$41"),0),VALUE(RIGHT($A61,1)))="NO",0,"?"))</f>
        <v>?</v>
      </c>
      <c r="S61" s="87" t="str">
        <f aca="true">IF(INDEX(INDIRECT("'"&amp;LEFT($A61,LEN($A61)-1)&amp;"'!$H$13:$J$41"),MATCH(S$1,INDIRECT("'"&amp;LEFT($A61,LEN($A61)-1)&amp;"'!$A$13:$A$41"),0),VALUE(RIGHT($A61,1)))="YES",$H61,IF(INDEX(INDIRECT("'"&amp;LEFT($A61,LEN($A61)-1)&amp;"'!$H$13:$J$41"),MATCH(S$1,INDIRECT("'"&amp;LEFT($A61,LEN($A61)-1)&amp;"'!$A$13:$A$41"),0),VALUE(RIGHT($A61,1)))="NO",0,"?"))</f>
        <v>?</v>
      </c>
      <c r="T61" s="87" t="str">
        <f aca="true">IF(INDEX(INDIRECT("'"&amp;LEFT($A61,LEN($A61)-1)&amp;"'!$H$13:$J$41"),MATCH(T$1,INDIRECT("'"&amp;LEFT($A61,LEN($A61)-1)&amp;"'!$A$13:$A$41"),0),VALUE(RIGHT($A61,1)))="YES",$H61,IF(INDEX(INDIRECT("'"&amp;LEFT($A61,LEN($A61)-1)&amp;"'!$H$13:$J$41"),MATCH(T$1,INDIRECT("'"&amp;LEFT($A61,LEN($A61)-1)&amp;"'!$A$13:$A$41"),0),VALUE(RIGHT($A61,1)))="NO",0,"?"))</f>
        <v>?</v>
      </c>
      <c r="U61" s="87" t="str">
        <f aca="true">IF(INDEX(INDIRECT("'"&amp;LEFT($A61,LEN($A61)-1)&amp;"'!$H$13:$J$41"),MATCH(U$1,INDIRECT("'"&amp;LEFT($A61,LEN($A61)-1)&amp;"'!$A$13:$A$41"),0),VALUE(RIGHT($A61,1)))="YES",$H61,IF(INDEX(INDIRECT("'"&amp;LEFT($A61,LEN($A61)-1)&amp;"'!$H$13:$J$41"),MATCH(U$1,INDIRECT("'"&amp;LEFT($A61,LEN($A61)-1)&amp;"'!$A$13:$A$41"),0),VALUE(RIGHT($A61,1)))="NO",0,"?"))</f>
        <v>?</v>
      </c>
      <c r="V61" s="87" t="str">
        <f aca="true">IF(INDEX(INDIRECT("'"&amp;LEFT($A61,LEN($A61)-1)&amp;"'!$H$13:$J$41"),MATCH(V$1,INDIRECT("'"&amp;LEFT($A61,LEN($A61)-1)&amp;"'!$A$13:$A$41"),0),VALUE(RIGHT($A61,1)))="YES",$H61,IF(INDEX(INDIRECT("'"&amp;LEFT($A61,LEN($A61)-1)&amp;"'!$H$13:$J$41"),MATCH(V$1,INDIRECT("'"&amp;LEFT($A61,LEN($A61)-1)&amp;"'!$A$13:$A$41"),0),VALUE(RIGHT($A61,1)))="NO",0,"?"))</f>
        <v>?</v>
      </c>
      <c r="W61" s="87" t="str">
        <f aca="true">IF(INDEX(INDIRECT("'"&amp;LEFT($A61,LEN($A61)-1)&amp;"'!$H$13:$J$41"),MATCH(W$1,INDIRECT("'"&amp;LEFT($A61,LEN($A61)-1)&amp;"'!$A$13:$A$41"),0),VALUE(RIGHT($A61,1)))="YES",$H61,IF(INDEX(INDIRECT("'"&amp;LEFT($A61,LEN($A61)-1)&amp;"'!$H$13:$J$41"),MATCH(W$1,INDIRECT("'"&amp;LEFT($A61,LEN($A61)-1)&amp;"'!$A$13:$A$41"),0),VALUE(RIGHT($A61,1)))="NO",0,"?"))</f>
        <v>?</v>
      </c>
      <c r="X61" s="87" t="str">
        <f aca="true">IF(INDEX(INDIRECT("'"&amp;LEFT($A61,LEN($A61)-1)&amp;"'!$H$13:$J$41"),MATCH(X$1,INDIRECT("'"&amp;LEFT($A61,LEN($A61)-1)&amp;"'!$A$13:$A$41"),0),VALUE(RIGHT($A61,1)))="YES",$H61,IF(INDEX(INDIRECT("'"&amp;LEFT($A61,LEN($A61)-1)&amp;"'!$H$13:$J$41"),MATCH(X$1,INDIRECT("'"&amp;LEFT($A61,LEN($A61)-1)&amp;"'!$A$13:$A$41"),0),VALUE(RIGHT($A61,1)))="NO",0,"?"))</f>
        <v>?</v>
      </c>
      <c r="Y61" s="87" t="str">
        <f aca="true">IF(INDEX(INDIRECT("'"&amp;LEFT($A61,LEN($A61)-1)&amp;"'!$H$13:$J$41"),MATCH(Y$1,INDIRECT("'"&amp;LEFT($A61,LEN($A61)-1)&amp;"'!$A$13:$A$41"),0),VALUE(RIGHT($A61,1)))="YES",$H61,IF(INDEX(INDIRECT("'"&amp;LEFT($A61,LEN($A61)-1)&amp;"'!$H$13:$J$41"),MATCH(Y$1,INDIRECT("'"&amp;LEFT($A61,LEN($A61)-1)&amp;"'!$A$13:$A$41"),0),VALUE(RIGHT($A61,1)))="NO",0,"?"))</f>
        <v>?</v>
      </c>
      <c r="Z61" s="87" t="str">
        <f aca="true">IF(INDEX(INDIRECT("'"&amp;LEFT($A61,LEN($A61)-1)&amp;"'!$H$13:$J$41"),MATCH(Z$1,INDIRECT("'"&amp;LEFT($A61,LEN($A61)-1)&amp;"'!$A$13:$A$41"),0),VALUE(RIGHT($A61,1)))="YES",$H61,IF(INDEX(INDIRECT("'"&amp;LEFT($A61,LEN($A61)-1)&amp;"'!$H$13:$J$41"),MATCH(Z$1,INDIRECT("'"&amp;LEFT($A61,LEN($A61)-1)&amp;"'!$A$13:$A$41"),0),VALUE(RIGHT($A61,1)))="NO",0,"?"))</f>
        <v>?</v>
      </c>
      <c r="AA61" s="87" t="str">
        <f aca="true">IF(INDEX(INDIRECT("'"&amp;LEFT($A61,LEN($A61)-1)&amp;"'!$H$13:$J$41"),MATCH(AA$1,INDIRECT("'"&amp;LEFT($A61,LEN($A61)-1)&amp;"'!$A$13:$A$41"),0),VALUE(RIGHT($A61,1)))="YES",$H61,IF(INDEX(INDIRECT("'"&amp;LEFT($A61,LEN($A61)-1)&amp;"'!$H$13:$J$41"),MATCH(AA$1,INDIRECT("'"&amp;LEFT($A61,LEN($A61)-1)&amp;"'!$A$13:$A$41"),0),VALUE(RIGHT($A61,1)))="NO",0,"?"))</f>
        <v>?</v>
      </c>
      <c r="AB61" s="87" t="str">
        <f aca="true">IF(INDEX(INDIRECT("'"&amp;LEFT($A61,LEN($A61)-1)&amp;"'!$H$13:$J$41"),MATCH(AB$1,INDIRECT("'"&amp;LEFT($A61,LEN($A61)-1)&amp;"'!$A$13:$A$41"),0),VALUE(RIGHT($A61,1)))="YES",$H61,IF(INDEX(INDIRECT("'"&amp;LEFT($A61,LEN($A61)-1)&amp;"'!$H$13:$J$41"),MATCH(AB$1,INDIRECT("'"&amp;LEFT($A61,LEN($A61)-1)&amp;"'!$A$13:$A$41"),0),VALUE(RIGHT($A61,1)))="NO",0,"?"))</f>
        <v>?</v>
      </c>
      <c r="AC61" s="87" t="str">
        <f aca="true">IF(INDEX(INDIRECT("'"&amp;LEFT($A61,LEN($A61)-1)&amp;"'!$H$13:$J$41"),MATCH(AC$1,INDIRECT("'"&amp;LEFT($A61,LEN($A61)-1)&amp;"'!$A$13:$A$41"),0),VALUE(RIGHT($A61,1)))="YES",$H61,IF(INDEX(INDIRECT("'"&amp;LEFT($A61,LEN($A61)-1)&amp;"'!$H$13:$J$41"),MATCH(AC$1,INDIRECT("'"&amp;LEFT($A61,LEN($A61)-1)&amp;"'!$A$13:$A$41"),0),VALUE(RIGHT($A61,1)))="NO",0,"?"))</f>
        <v>?</v>
      </c>
      <c r="AD61" s="87" t="str">
        <f aca="true">IF(INDEX(INDIRECT("'"&amp;LEFT($A61,LEN($A61)-1)&amp;"'!$H$13:$J$41"),MATCH(AD$1,INDIRECT("'"&amp;LEFT($A61,LEN($A61)-1)&amp;"'!$A$13:$A$41"),0),VALUE(RIGHT($A61,1)))="YES",$H61,IF(INDEX(INDIRECT("'"&amp;LEFT($A61,LEN($A61)-1)&amp;"'!$H$13:$J$41"),MATCH(AD$1,INDIRECT("'"&amp;LEFT($A61,LEN($A61)-1)&amp;"'!$A$13:$A$41"),0),VALUE(RIGHT($A61,1)))="NO",0,"?"))</f>
        <v>?</v>
      </c>
      <c r="AE61" s="87" t="str">
        <f aca="true">IF(INDEX(INDIRECT("'"&amp;LEFT($A61,LEN($A61)-1)&amp;"'!$H$13:$J$41"),MATCH(AE$1,INDIRECT("'"&amp;LEFT($A61,LEN($A61)-1)&amp;"'!$A$13:$A$41"),0),VALUE(RIGHT($A61,1)))="YES",$H61,IF(INDEX(INDIRECT("'"&amp;LEFT($A61,LEN($A61)-1)&amp;"'!$H$13:$J$41"),MATCH(AE$1,INDIRECT("'"&amp;LEFT($A61,LEN($A61)-1)&amp;"'!$A$13:$A$41"),0),VALUE(RIGHT($A61,1)))="NO",0,"?"))</f>
        <v>?</v>
      </c>
      <c r="AF61" s="87" t="str">
        <f aca="true">IF(INDEX(INDIRECT("'"&amp;LEFT($A61,LEN($A61)-1)&amp;"'!$H$13:$J$41"),MATCH(AF$1,INDIRECT("'"&amp;LEFT($A61,LEN($A61)-1)&amp;"'!$A$13:$A$41"),0),VALUE(RIGHT($A61,1)))="YES",$H61,IF(INDEX(INDIRECT("'"&amp;LEFT($A61,LEN($A61)-1)&amp;"'!$H$13:$J$41"),MATCH(AF$1,INDIRECT("'"&amp;LEFT($A61,LEN($A61)-1)&amp;"'!$A$13:$A$41"),0),VALUE(RIGHT($A61,1)))="NO",0,"?"))</f>
        <v>?</v>
      </c>
      <c r="AG61" s="87" t="str">
        <f aca="true">IF(INDEX(INDIRECT("'"&amp;LEFT($A61,LEN($A61)-1)&amp;"'!$H$13:$J$41"),MATCH(AG$1,INDIRECT("'"&amp;LEFT($A61,LEN($A61)-1)&amp;"'!$A$13:$A$41"),0),VALUE(RIGHT($A61,1)))="YES",$H61,IF(INDEX(INDIRECT("'"&amp;LEFT($A61,LEN($A61)-1)&amp;"'!$H$13:$J$41"),MATCH(AG$1,INDIRECT("'"&amp;LEFT($A61,LEN($A61)-1)&amp;"'!$A$13:$A$41"),0),VALUE(RIGHT($A61,1)))="NO",0,"?"))</f>
        <v>?</v>
      </c>
      <c r="AH61" s="87" t="str">
        <f aca="true">IF(INDEX(INDIRECT("'"&amp;LEFT($A61,LEN($A61)-1)&amp;"'!$H$13:$J$41"),MATCH(AH$1,INDIRECT("'"&amp;LEFT($A61,LEN($A61)-1)&amp;"'!$A$13:$A$41"),0),VALUE(RIGHT($A61,1)))="YES",$H61,IF(INDEX(INDIRECT("'"&amp;LEFT($A61,LEN($A61)-1)&amp;"'!$H$13:$J$41"),MATCH(AH$1,INDIRECT("'"&amp;LEFT($A61,LEN($A61)-1)&amp;"'!$A$13:$A$41"),0),VALUE(RIGHT($A61,1)))="NO",0,"?"))</f>
        <v>?</v>
      </c>
      <c r="AI61" s="87" t="str">
        <f aca="true">IF(INDEX(INDIRECT("'"&amp;LEFT($A61,LEN($A61)-1)&amp;"'!$H$13:$J$41"),MATCH(AI$1,INDIRECT("'"&amp;LEFT($A61,LEN($A61)-1)&amp;"'!$A$13:$A$41"),0),VALUE(RIGHT($A61,1)))="YES",$H61,IF(INDEX(INDIRECT("'"&amp;LEFT($A61,LEN($A61)-1)&amp;"'!$H$13:$J$41"),MATCH(AI$1,INDIRECT("'"&amp;LEFT($A61,LEN($A61)-1)&amp;"'!$A$13:$A$41"),0),VALUE(RIGHT($A61,1)))="NO",0,"?"))</f>
        <v>?</v>
      </c>
      <c r="AJ61" s="87" t="str">
        <f aca="true">IF(INDEX(INDIRECT("'"&amp;LEFT($A61,LEN($A61)-1)&amp;"'!$H$13:$J$41"),MATCH(AJ$1,INDIRECT("'"&amp;LEFT($A61,LEN($A61)-1)&amp;"'!$A$13:$A$41"),0),VALUE(RIGHT($A61,1)))="YES",$H61,IF(INDEX(INDIRECT("'"&amp;LEFT($A61,LEN($A61)-1)&amp;"'!$H$13:$J$41"),MATCH(AJ$1,INDIRECT("'"&amp;LEFT($A61,LEN($A61)-1)&amp;"'!$A$13:$A$41"),0),VALUE(RIGHT($A61,1)))="NO",0,"?"))</f>
        <v>?</v>
      </c>
      <c r="AK61" s="87" t="str">
        <f aca="true">IF(INDEX(INDIRECT("'"&amp;LEFT($A61,LEN($A61)-1)&amp;"'!$H$13:$J$41"),MATCH(AK$1,INDIRECT("'"&amp;LEFT($A61,LEN($A61)-1)&amp;"'!$A$13:$A$41"),0),VALUE(RIGHT($A61,1)))="YES",$H61,IF(INDEX(INDIRECT("'"&amp;LEFT($A61,LEN($A61)-1)&amp;"'!$H$13:$J$41"),MATCH(AK$1,INDIRECT("'"&amp;LEFT($A61,LEN($A61)-1)&amp;"'!$A$13:$A$41"),0),VALUE(RIGHT($A61,1)))="NO",0,"?"))</f>
        <v>?</v>
      </c>
    </row>
    <row r="62" customFormat="false" ht="14.25" hidden="false" customHeight="true" outlineLevel="0" collapsed="false">
      <c r="A62" s="83" t="s">
        <v>843</v>
      </c>
      <c r="B62" s="84" t="str">
        <f aca="false">IF(ISBLANK($A62),"NO_CODE",VLOOKUP($A62,'UPD Questions_290926 '!$E$1:$N$300,MATCH(B$1,'UPD Questions_290926 '!$E$1:$N$1,0),0)&amp;"")</f>
        <v>Implementation</v>
      </c>
      <c r="C62" s="84" t="str">
        <f aca="false">IF(ISBLANK($A62),"NO_CODE",VLOOKUP($A62,'UPD Questions_290926 '!$E$1:$N$300,MATCH(C$1,'UPD Questions_290926 '!$E$1:$N$1,0),0)&amp;"")</f>
        <v>Sectoral planning</v>
      </c>
      <c r="D62" s="84" t="str">
        <f aca="false">IF(ISBLANK($A62),"NO_CODE",VLOOKUP($A62,'UPD Questions_290926 '!$E$1:$N$300,MATCH(D$1,'UPD Questions_290926 '!$E$1:$N$1,0),0)&amp;"")</f>
        <v>Water supply and sewerage, sanitation, solid waste management </v>
      </c>
      <c r="E62" s="84" t="str">
        <f aca="false">IF(ISBLANK($A62),"NO_CODE",VLOOKUP($A62,'UPD Questions_290926 '!$E$1:$N$300,MATCH(E$1,'UPD Questions_290926 '!$E$1:$N$1,0),0)&amp;"")</f>
        <v>SQ2</v>
      </c>
      <c r="F62" s="84" t="str">
        <f aca="false">IF(ISBLANK($A62),"NO_CODE",VLOOKUP($A62,'UPD Questions_290926 '!$E$1:$N$300,MATCH(F$1,'UPD Questions_290926 '!$E$1:$N$1,0),0)&amp;"")</f>
        <v>b) Solid Waste Management Plan </v>
      </c>
      <c r="G62" s="84" t="str">
        <f aca="false">IF(ISBLANK($A62),"NO_CODE",VLOOKUP($A62,'UPD Questions_290926 '!$E$1:$N$300,MATCH(G$1,'UPD Questions_290926 '!$E$1:$N$1,0),0)&amp;"")</f>
        <v>Implementation</v>
      </c>
      <c r="H62" s="86" t="n">
        <f aca="false">IF(ISBLANK($A62),"NO_CODE",VLOOKUP($A62,'UPD Questions_290926 '!$E$1:$N$300,MATCH(H$1,'UPD Questions_290926 '!$E$1:$N$1,0),0))</f>
        <v>1.11</v>
      </c>
      <c r="I62" s="87" t="str">
        <f aca="true">IF(INDEX(INDIRECT("'"&amp;LEFT($A62,LEN($A62)-1)&amp;"'!$H$13:$J$41"),MATCH(I$1,INDIRECT("'"&amp;LEFT($A62,LEN($A62)-1)&amp;"'!$A$13:$A$41"),0),VALUE(RIGHT($A62,1)))="YES",$H62,IF(INDEX(INDIRECT("'"&amp;LEFT($A62,LEN($A62)-1)&amp;"'!$H$13:$J$41"),MATCH(I$1,INDIRECT("'"&amp;LEFT($A62,LEN($A62)-1)&amp;"'!$A$13:$A$41"),0),VALUE(RIGHT($A62,1)))="NO",0,"?"))</f>
        <v>?</v>
      </c>
      <c r="J62" s="87" t="n">
        <f aca="true">IF(INDEX(INDIRECT("'"&amp;LEFT($A62,LEN($A62)-1)&amp;"'!$H$13:$J$41"),MATCH(J$1,INDIRECT("'"&amp;LEFT($A62,LEN($A62)-1)&amp;"'!$A$13:$A$41"),0),VALUE(RIGHT($A62,1)))="YES",$H62,IF(INDEX(INDIRECT("'"&amp;LEFT($A62,LEN($A62)-1)&amp;"'!$H$13:$J$41"),MATCH(J$1,INDIRECT("'"&amp;LEFT($A62,LEN($A62)-1)&amp;"'!$A$13:$A$41"),0),VALUE(RIGHT($A62,1)))="NO",0,"?"))</f>
        <v>0</v>
      </c>
      <c r="K62" s="87" t="str">
        <f aca="true">IF(INDEX(INDIRECT("'"&amp;LEFT($A62,LEN($A62)-1)&amp;"'!$H$13:$J$41"),MATCH(K$1,INDIRECT("'"&amp;LEFT($A62,LEN($A62)-1)&amp;"'!$A$13:$A$41"),0),VALUE(RIGHT($A62,1)))="YES",$H62,IF(INDEX(INDIRECT("'"&amp;LEFT($A62,LEN($A62)-1)&amp;"'!$H$13:$J$41"),MATCH(K$1,INDIRECT("'"&amp;LEFT($A62,LEN($A62)-1)&amp;"'!$A$13:$A$41"),0),VALUE(RIGHT($A62,1)))="NO",0,"?"))</f>
        <v>?</v>
      </c>
      <c r="L62" s="87" t="str">
        <f aca="true">IF(INDEX(INDIRECT("'"&amp;LEFT($A62,LEN($A62)-1)&amp;"'!$H$13:$J$41"),MATCH(L$1,INDIRECT("'"&amp;LEFT($A62,LEN($A62)-1)&amp;"'!$A$13:$A$41"),0),VALUE(RIGHT($A62,1)))="YES",$H62,IF(INDEX(INDIRECT("'"&amp;LEFT($A62,LEN($A62)-1)&amp;"'!$H$13:$J$41"),MATCH(L$1,INDIRECT("'"&amp;LEFT($A62,LEN($A62)-1)&amp;"'!$A$13:$A$41"),0),VALUE(RIGHT($A62,1)))="NO",0,"?"))</f>
        <v>?</v>
      </c>
      <c r="M62" s="87" t="str">
        <f aca="true">IF(INDEX(INDIRECT("'"&amp;LEFT($A62,LEN($A62)-1)&amp;"'!$H$13:$J$41"),MATCH(M$1,INDIRECT("'"&amp;LEFT($A62,LEN($A62)-1)&amp;"'!$A$13:$A$41"),0),VALUE(RIGHT($A62,1)))="YES",$H62,IF(INDEX(INDIRECT("'"&amp;LEFT($A62,LEN($A62)-1)&amp;"'!$H$13:$J$41"),MATCH(M$1,INDIRECT("'"&amp;LEFT($A62,LEN($A62)-1)&amp;"'!$A$13:$A$41"),0),VALUE(RIGHT($A62,1)))="NO",0,"?"))</f>
        <v>?</v>
      </c>
      <c r="N62" s="87" t="str">
        <f aca="true">IF(INDEX(INDIRECT("'"&amp;LEFT($A62,LEN($A62)-1)&amp;"'!$H$13:$J$41"),MATCH(N$1,INDIRECT("'"&amp;LEFT($A62,LEN($A62)-1)&amp;"'!$A$13:$A$41"),0),VALUE(RIGHT($A62,1)))="YES",$H62,IF(INDEX(INDIRECT("'"&amp;LEFT($A62,LEN($A62)-1)&amp;"'!$H$13:$J$41"),MATCH(N$1,INDIRECT("'"&amp;LEFT($A62,LEN($A62)-1)&amp;"'!$A$13:$A$41"),0),VALUE(RIGHT($A62,1)))="NO",0,"?"))</f>
        <v>?</v>
      </c>
      <c r="O62" s="87" t="str">
        <f aca="true">IF(INDEX(INDIRECT("'"&amp;LEFT($A62,LEN($A62)-1)&amp;"'!$H$13:$J$41"),MATCH(O$1,INDIRECT("'"&amp;LEFT($A62,LEN($A62)-1)&amp;"'!$A$13:$A$41"),0),VALUE(RIGHT($A62,1)))="YES",$H62,IF(INDEX(INDIRECT("'"&amp;LEFT($A62,LEN($A62)-1)&amp;"'!$H$13:$J$41"),MATCH(O$1,INDIRECT("'"&amp;LEFT($A62,LEN($A62)-1)&amp;"'!$A$13:$A$41"),0),VALUE(RIGHT($A62,1)))="NO",0,"?"))</f>
        <v>?</v>
      </c>
      <c r="P62" s="87" t="str">
        <f aca="true">IF(INDEX(INDIRECT("'"&amp;LEFT($A62,LEN($A62)-1)&amp;"'!$H$13:$J$41"),MATCH(P$1,INDIRECT("'"&amp;LEFT($A62,LEN($A62)-1)&amp;"'!$A$13:$A$41"),0),VALUE(RIGHT($A62,1)))="YES",$H62,IF(INDEX(INDIRECT("'"&amp;LEFT($A62,LEN($A62)-1)&amp;"'!$H$13:$J$41"),MATCH(P$1,INDIRECT("'"&amp;LEFT($A62,LEN($A62)-1)&amp;"'!$A$13:$A$41"),0),VALUE(RIGHT($A62,1)))="NO",0,"?"))</f>
        <v>?</v>
      </c>
      <c r="Q62" s="87" t="str">
        <f aca="true">IF(INDEX(INDIRECT("'"&amp;LEFT($A62,LEN($A62)-1)&amp;"'!$H$13:$J$41"),MATCH(Q$1,INDIRECT("'"&amp;LEFT($A62,LEN($A62)-1)&amp;"'!$A$13:$A$41"),0),VALUE(RIGHT($A62,1)))="YES",$H62,IF(INDEX(INDIRECT("'"&amp;LEFT($A62,LEN($A62)-1)&amp;"'!$H$13:$J$41"),MATCH(Q$1,INDIRECT("'"&amp;LEFT($A62,LEN($A62)-1)&amp;"'!$A$13:$A$41"),0),VALUE(RIGHT($A62,1)))="NO",0,"?"))</f>
        <v>?</v>
      </c>
      <c r="R62" s="87" t="str">
        <f aca="true">IF(INDEX(INDIRECT("'"&amp;LEFT($A62,LEN($A62)-1)&amp;"'!$H$13:$J$41"),MATCH(R$1,INDIRECT("'"&amp;LEFT($A62,LEN($A62)-1)&amp;"'!$A$13:$A$41"),0),VALUE(RIGHT($A62,1)))="YES",$H62,IF(INDEX(INDIRECT("'"&amp;LEFT($A62,LEN($A62)-1)&amp;"'!$H$13:$J$41"),MATCH(R$1,INDIRECT("'"&amp;LEFT($A62,LEN($A62)-1)&amp;"'!$A$13:$A$41"),0),VALUE(RIGHT($A62,1)))="NO",0,"?"))</f>
        <v>?</v>
      </c>
      <c r="S62" s="87" t="str">
        <f aca="true">IF(INDEX(INDIRECT("'"&amp;LEFT($A62,LEN($A62)-1)&amp;"'!$H$13:$J$41"),MATCH(S$1,INDIRECT("'"&amp;LEFT($A62,LEN($A62)-1)&amp;"'!$A$13:$A$41"),0),VALUE(RIGHT($A62,1)))="YES",$H62,IF(INDEX(INDIRECT("'"&amp;LEFT($A62,LEN($A62)-1)&amp;"'!$H$13:$J$41"),MATCH(S$1,INDIRECT("'"&amp;LEFT($A62,LEN($A62)-1)&amp;"'!$A$13:$A$41"),0),VALUE(RIGHT($A62,1)))="NO",0,"?"))</f>
        <v>?</v>
      </c>
      <c r="T62" s="87" t="str">
        <f aca="true">IF(INDEX(INDIRECT("'"&amp;LEFT($A62,LEN($A62)-1)&amp;"'!$H$13:$J$41"),MATCH(T$1,INDIRECT("'"&amp;LEFT($A62,LEN($A62)-1)&amp;"'!$A$13:$A$41"),0),VALUE(RIGHT($A62,1)))="YES",$H62,IF(INDEX(INDIRECT("'"&amp;LEFT($A62,LEN($A62)-1)&amp;"'!$H$13:$J$41"),MATCH(T$1,INDIRECT("'"&amp;LEFT($A62,LEN($A62)-1)&amp;"'!$A$13:$A$41"),0),VALUE(RIGHT($A62,1)))="NO",0,"?"))</f>
        <v>?</v>
      </c>
      <c r="U62" s="87" t="str">
        <f aca="true">IF(INDEX(INDIRECT("'"&amp;LEFT($A62,LEN($A62)-1)&amp;"'!$H$13:$J$41"),MATCH(U$1,INDIRECT("'"&amp;LEFT($A62,LEN($A62)-1)&amp;"'!$A$13:$A$41"),0),VALUE(RIGHT($A62,1)))="YES",$H62,IF(INDEX(INDIRECT("'"&amp;LEFT($A62,LEN($A62)-1)&amp;"'!$H$13:$J$41"),MATCH(U$1,INDIRECT("'"&amp;LEFT($A62,LEN($A62)-1)&amp;"'!$A$13:$A$41"),0),VALUE(RIGHT($A62,1)))="NO",0,"?"))</f>
        <v>?</v>
      </c>
      <c r="V62" s="87" t="str">
        <f aca="true">IF(INDEX(INDIRECT("'"&amp;LEFT($A62,LEN($A62)-1)&amp;"'!$H$13:$J$41"),MATCH(V$1,INDIRECT("'"&amp;LEFT($A62,LEN($A62)-1)&amp;"'!$A$13:$A$41"),0),VALUE(RIGHT($A62,1)))="YES",$H62,IF(INDEX(INDIRECT("'"&amp;LEFT($A62,LEN($A62)-1)&amp;"'!$H$13:$J$41"),MATCH(V$1,INDIRECT("'"&amp;LEFT($A62,LEN($A62)-1)&amp;"'!$A$13:$A$41"),0),VALUE(RIGHT($A62,1)))="NO",0,"?"))</f>
        <v>?</v>
      </c>
      <c r="W62" s="87" t="str">
        <f aca="true">IF(INDEX(INDIRECT("'"&amp;LEFT($A62,LEN($A62)-1)&amp;"'!$H$13:$J$41"),MATCH(W$1,INDIRECT("'"&amp;LEFT($A62,LEN($A62)-1)&amp;"'!$A$13:$A$41"),0),VALUE(RIGHT($A62,1)))="YES",$H62,IF(INDEX(INDIRECT("'"&amp;LEFT($A62,LEN($A62)-1)&amp;"'!$H$13:$J$41"),MATCH(W$1,INDIRECT("'"&amp;LEFT($A62,LEN($A62)-1)&amp;"'!$A$13:$A$41"),0),VALUE(RIGHT($A62,1)))="NO",0,"?"))</f>
        <v>?</v>
      </c>
      <c r="X62" s="87" t="str">
        <f aca="true">IF(INDEX(INDIRECT("'"&amp;LEFT($A62,LEN($A62)-1)&amp;"'!$H$13:$J$41"),MATCH(X$1,INDIRECT("'"&amp;LEFT($A62,LEN($A62)-1)&amp;"'!$A$13:$A$41"),0),VALUE(RIGHT($A62,1)))="YES",$H62,IF(INDEX(INDIRECT("'"&amp;LEFT($A62,LEN($A62)-1)&amp;"'!$H$13:$J$41"),MATCH(X$1,INDIRECT("'"&amp;LEFT($A62,LEN($A62)-1)&amp;"'!$A$13:$A$41"),0),VALUE(RIGHT($A62,1)))="NO",0,"?"))</f>
        <v>?</v>
      </c>
      <c r="Y62" s="87" t="str">
        <f aca="true">IF(INDEX(INDIRECT("'"&amp;LEFT($A62,LEN($A62)-1)&amp;"'!$H$13:$J$41"),MATCH(Y$1,INDIRECT("'"&amp;LEFT($A62,LEN($A62)-1)&amp;"'!$A$13:$A$41"),0),VALUE(RIGHT($A62,1)))="YES",$H62,IF(INDEX(INDIRECT("'"&amp;LEFT($A62,LEN($A62)-1)&amp;"'!$H$13:$J$41"),MATCH(Y$1,INDIRECT("'"&amp;LEFT($A62,LEN($A62)-1)&amp;"'!$A$13:$A$41"),0),VALUE(RIGHT($A62,1)))="NO",0,"?"))</f>
        <v>?</v>
      </c>
      <c r="Z62" s="87" t="str">
        <f aca="true">IF(INDEX(INDIRECT("'"&amp;LEFT($A62,LEN($A62)-1)&amp;"'!$H$13:$J$41"),MATCH(Z$1,INDIRECT("'"&amp;LEFT($A62,LEN($A62)-1)&amp;"'!$A$13:$A$41"),0),VALUE(RIGHT($A62,1)))="YES",$H62,IF(INDEX(INDIRECT("'"&amp;LEFT($A62,LEN($A62)-1)&amp;"'!$H$13:$J$41"),MATCH(Z$1,INDIRECT("'"&amp;LEFT($A62,LEN($A62)-1)&amp;"'!$A$13:$A$41"),0),VALUE(RIGHT($A62,1)))="NO",0,"?"))</f>
        <v>?</v>
      </c>
      <c r="AA62" s="87" t="str">
        <f aca="true">IF(INDEX(INDIRECT("'"&amp;LEFT($A62,LEN($A62)-1)&amp;"'!$H$13:$J$41"),MATCH(AA$1,INDIRECT("'"&amp;LEFT($A62,LEN($A62)-1)&amp;"'!$A$13:$A$41"),0),VALUE(RIGHT($A62,1)))="YES",$H62,IF(INDEX(INDIRECT("'"&amp;LEFT($A62,LEN($A62)-1)&amp;"'!$H$13:$J$41"),MATCH(AA$1,INDIRECT("'"&amp;LEFT($A62,LEN($A62)-1)&amp;"'!$A$13:$A$41"),0),VALUE(RIGHT($A62,1)))="NO",0,"?"))</f>
        <v>?</v>
      </c>
      <c r="AB62" s="87" t="str">
        <f aca="true">IF(INDEX(INDIRECT("'"&amp;LEFT($A62,LEN($A62)-1)&amp;"'!$H$13:$J$41"),MATCH(AB$1,INDIRECT("'"&amp;LEFT($A62,LEN($A62)-1)&amp;"'!$A$13:$A$41"),0),VALUE(RIGHT($A62,1)))="YES",$H62,IF(INDEX(INDIRECT("'"&amp;LEFT($A62,LEN($A62)-1)&amp;"'!$H$13:$J$41"),MATCH(AB$1,INDIRECT("'"&amp;LEFT($A62,LEN($A62)-1)&amp;"'!$A$13:$A$41"),0),VALUE(RIGHT($A62,1)))="NO",0,"?"))</f>
        <v>?</v>
      </c>
      <c r="AC62" s="87" t="str">
        <f aca="true">IF(INDEX(INDIRECT("'"&amp;LEFT($A62,LEN($A62)-1)&amp;"'!$H$13:$J$41"),MATCH(AC$1,INDIRECT("'"&amp;LEFT($A62,LEN($A62)-1)&amp;"'!$A$13:$A$41"),0),VALUE(RIGHT($A62,1)))="YES",$H62,IF(INDEX(INDIRECT("'"&amp;LEFT($A62,LEN($A62)-1)&amp;"'!$H$13:$J$41"),MATCH(AC$1,INDIRECT("'"&amp;LEFT($A62,LEN($A62)-1)&amp;"'!$A$13:$A$41"),0),VALUE(RIGHT($A62,1)))="NO",0,"?"))</f>
        <v>?</v>
      </c>
      <c r="AD62" s="87" t="str">
        <f aca="true">IF(INDEX(INDIRECT("'"&amp;LEFT($A62,LEN($A62)-1)&amp;"'!$H$13:$J$41"),MATCH(AD$1,INDIRECT("'"&amp;LEFT($A62,LEN($A62)-1)&amp;"'!$A$13:$A$41"),0),VALUE(RIGHT($A62,1)))="YES",$H62,IF(INDEX(INDIRECT("'"&amp;LEFT($A62,LEN($A62)-1)&amp;"'!$H$13:$J$41"),MATCH(AD$1,INDIRECT("'"&amp;LEFT($A62,LEN($A62)-1)&amp;"'!$A$13:$A$41"),0),VALUE(RIGHT($A62,1)))="NO",0,"?"))</f>
        <v>?</v>
      </c>
      <c r="AE62" s="87" t="str">
        <f aca="true">IF(INDEX(INDIRECT("'"&amp;LEFT($A62,LEN($A62)-1)&amp;"'!$H$13:$J$41"),MATCH(AE$1,INDIRECT("'"&amp;LEFT($A62,LEN($A62)-1)&amp;"'!$A$13:$A$41"),0),VALUE(RIGHT($A62,1)))="YES",$H62,IF(INDEX(INDIRECT("'"&amp;LEFT($A62,LEN($A62)-1)&amp;"'!$H$13:$J$41"),MATCH(AE$1,INDIRECT("'"&amp;LEFT($A62,LEN($A62)-1)&amp;"'!$A$13:$A$41"),0),VALUE(RIGHT($A62,1)))="NO",0,"?"))</f>
        <v>?</v>
      </c>
      <c r="AF62" s="87" t="str">
        <f aca="true">IF(INDEX(INDIRECT("'"&amp;LEFT($A62,LEN($A62)-1)&amp;"'!$H$13:$J$41"),MATCH(AF$1,INDIRECT("'"&amp;LEFT($A62,LEN($A62)-1)&amp;"'!$A$13:$A$41"),0),VALUE(RIGHT($A62,1)))="YES",$H62,IF(INDEX(INDIRECT("'"&amp;LEFT($A62,LEN($A62)-1)&amp;"'!$H$13:$J$41"),MATCH(AF$1,INDIRECT("'"&amp;LEFT($A62,LEN($A62)-1)&amp;"'!$A$13:$A$41"),0),VALUE(RIGHT($A62,1)))="NO",0,"?"))</f>
        <v>?</v>
      </c>
      <c r="AG62" s="87" t="str">
        <f aca="true">IF(INDEX(INDIRECT("'"&amp;LEFT($A62,LEN($A62)-1)&amp;"'!$H$13:$J$41"),MATCH(AG$1,INDIRECT("'"&amp;LEFT($A62,LEN($A62)-1)&amp;"'!$A$13:$A$41"),0),VALUE(RIGHT($A62,1)))="YES",$H62,IF(INDEX(INDIRECT("'"&amp;LEFT($A62,LEN($A62)-1)&amp;"'!$H$13:$J$41"),MATCH(AG$1,INDIRECT("'"&amp;LEFT($A62,LEN($A62)-1)&amp;"'!$A$13:$A$41"),0),VALUE(RIGHT($A62,1)))="NO",0,"?"))</f>
        <v>?</v>
      </c>
      <c r="AH62" s="87" t="str">
        <f aca="true">IF(INDEX(INDIRECT("'"&amp;LEFT($A62,LEN($A62)-1)&amp;"'!$H$13:$J$41"),MATCH(AH$1,INDIRECT("'"&amp;LEFT($A62,LEN($A62)-1)&amp;"'!$A$13:$A$41"),0),VALUE(RIGHT($A62,1)))="YES",$H62,IF(INDEX(INDIRECT("'"&amp;LEFT($A62,LEN($A62)-1)&amp;"'!$H$13:$J$41"),MATCH(AH$1,INDIRECT("'"&amp;LEFT($A62,LEN($A62)-1)&amp;"'!$A$13:$A$41"),0),VALUE(RIGHT($A62,1)))="NO",0,"?"))</f>
        <v>?</v>
      </c>
      <c r="AI62" s="87" t="str">
        <f aca="true">IF(INDEX(INDIRECT("'"&amp;LEFT($A62,LEN($A62)-1)&amp;"'!$H$13:$J$41"),MATCH(AI$1,INDIRECT("'"&amp;LEFT($A62,LEN($A62)-1)&amp;"'!$A$13:$A$41"),0),VALUE(RIGHT($A62,1)))="YES",$H62,IF(INDEX(INDIRECT("'"&amp;LEFT($A62,LEN($A62)-1)&amp;"'!$H$13:$J$41"),MATCH(AI$1,INDIRECT("'"&amp;LEFT($A62,LEN($A62)-1)&amp;"'!$A$13:$A$41"),0),VALUE(RIGHT($A62,1)))="NO",0,"?"))</f>
        <v>?</v>
      </c>
      <c r="AJ62" s="87" t="str">
        <f aca="true">IF(INDEX(INDIRECT("'"&amp;LEFT($A62,LEN($A62)-1)&amp;"'!$H$13:$J$41"),MATCH(AJ$1,INDIRECT("'"&amp;LEFT($A62,LEN($A62)-1)&amp;"'!$A$13:$A$41"),0),VALUE(RIGHT($A62,1)))="YES",$H62,IF(INDEX(INDIRECT("'"&amp;LEFT($A62,LEN($A62)-1)&amp;"'!$H$13:$J$41"),MATCH(AJ$1,INDIRECT("'"&amp;LEFT($A62,LEN($A62)-1)&amp;"'!$A$13:$A$41"),0),VALUE(RIGHT($A62,1)))="NO",0,"?"))</f>
        <v>?</v>
      </c>
      <c r="AK62" s="87" t="str">
        <f aca="true">IF(INDEX(INDIRECT("'"&amp;LEFT($A62,LEN($A62)-1)&amp;"'!$H$13:$J$41"),MATCH(AK$1,INDIRECT("'"&amp;LEFT($A62,LEN($A62)-1)&amp;"'!$A$13:$A$41"),0),VALUE(RIGHT($A62,1)))="YES",$H62,IF(INDEX(INDIRECT("'"&amp;LEFT($A62,LEN($A62)-1)&amp;"'!$H$13:$J$41"),MATCH(AK$1,INDIRECT("'"&amp;LEFT($A62,LEN($A62)-1)&amp;"'!$A$13:$A$41"),0),VALUE(RIGHT($A62,1)))="NO",0,"?"))</f>
        <v>?</v>
      </c>
    </row>
    <row r="63" customFormat="false" ht="14.25" hidden="false" customHeight="true" outlineLevel="0" collapsed="false">
      <c r="A63" s="83" t="s">
        <v>845</v>
      </c>
      <c r="B63" s="84" t="str">
        <f aca="false">IF(ISBLANK($A63),"NO_CODE",VLOOKUP($A63,'UPD Questions_290926 '!$E$1:$N$300,MATCH(B$1,'UPD Questions_290926 '!$E$1:$N$1,0),0)&amp;"")</f>
        <v>Implementation</v>
      </c>
      <c r="C63" s="84" t="str">
        <f aca="false">IF(ISBLANK($A63),"NO_CODE",VLOOKUP($A63,'UPD Questions_290926 '!$E$1:$N$300,MATCH(C$1,'UPD Questions_290926 '!$E$1:$N$1,0),0)&amp;"")</f>
        <v>Sectoral planning</v>
      </c>
      <c r="D63" s="84" t="str">
        <f aca="false">IF(ISBLANK($A63),"NO_CODE",VLOOKUP($A63,'UPD Questions_290926 '!$E$1:$N$300,MATCH(D$1,'UPD Questions_290926 '!$E$1:$N$1,0),0)&amp;"")</f>
        <v>Water supply and sewerage, sanitation, solid waste management </v>
      </c>
      <c r="E63" s="84" t="str">
        <f aca="false">IF(ISBLANK($A63),"NO_CODE",VLOOKUP($A63,'UPD Questions_290926 '!$E$1:$N$300,MATCH(E$1,'UPD Questions_290926 '!$E$1:$N$1,0),0)&amp;"")</f>
        <v>SQ3</v>
      </c>
      <c r="F63" s="84" t="str">
        <f aca="false">IF(ISBLANK($A63),"NO_CODE",VLOOKUP($A63,'UPD Questions_290926 '!$E$1:$N$300,MATCH(F$1,'UPD Questions_290926 '!$E$1:$N$1,0),0)&amp;"")</f>
        <v>c)  City Sanitation Plan</v>
      </c>
      <c r="G63" s="84" t="str">
        <f aca="false">IF(ISBLANK($A63),"NO_CODE",VLOOKUP($A63,'UPD Questions_290926 '!$E$1:$N$300,MATCH(G$1,'UPD Questions_290926 '!$E$1:$N$1,0),0)&amp;"")</f>
        <v>Implementation</v>
      </c>
      <c r="H63" s="86" t="n">
        <f aca="false">IF(ISBLANK($A63),"NO_CODE",VLOOKUP($A63,'UPD Questions_290926 '!$E$1:$N$300,MATCH(H$1,'UPD Questions_290926 '!$E$1:$N$1,0),0))</f>
        <v>1.11</v>
      </c>
      <c r="I63" s="87" t="str">
        <f aca="true">IF(INDEX(INDIRECT("'"&amp;LEFT($A63,LEN($A63)-1)&amp;"'!$H$13:$J$41"),MATCH(I$1,INDIRECT("'"&amp;LEFT($A63,LEN($A63)-1)&amp;"'!$A$13:$A$41"),0),VALUE(RIGHT($A63,1)))="YES",$H63,IF(INDEX(INDIRECT("'"&amp;LEFT($A63,LEN($A63)-1)&amp;"'!$H$13:$J$41"),MATCH(I$1,INDIRECT("'"&amp;LEFT($A63,LEN($A63)-1)&amp;"'!$A$13:$A$41"),0),VALUE(RIGHT($A63,1)))="NO",0,"?"))</f>
        <v>?</v>
      </c>
      <c r="J63" s="87" t="n">
        <f aca="true">IF(INDEX(INDIRECT("'"&amp;LEFT($A63,LEN($A63)-1)&amp;"'!$H$13:$J$41"),MATCH(J$1,INDIRECT("'"&amp;LEFT($A63,LEN($A63)-1)&amp;"'!$A$13:$A$41"),0),VALUE(RIGHT($A63,1)))="YES",$H63,IF(INDEX(INDIRECT("'"&amp;LEFT($A63,LEN($A63)-1)&amp;"'!$H$13:$J$41"),MATCH(J$1,INDIRECT("'"&amp;LEFT($A63,LEN($A63)-1)&amp;"'!$A$13:$A$41"),0),VALUE(RIGHT($A63,1)))="NO",0,"?"))</f>
        <v>0</v>
      </c>
      <c r="K63" s="87" t="str">
        <f aca="true">IF(INDEX(INDIRECT("'"&amp;LEFT($A63,LEN($A63)-1)&amp;"'!$H$13:$J$41"),MATCH(K$1,INDIRECT("'"&amp;LEFT($A63,LEN($A63)-1)&amp;"'!$A$13:$A$41"),0),VALUE(RIGHT($A63,1)))="YES",$H63,IF(INDEX(INDIRECT("'"&amp;LEFT($A63,LEN($A63)-1)&amp;"'!$H$13:$J$41"),MATCH(K$1,INDIRECT("'"&amp;LEFT($A63,LEN($A63)-1)&amp;"'!$A$13:$A$41"),0),VALUE(RIGHT($A63,1)))="NO",0,"?"))</f>
        <v>?</v>
      </c>
      <c r="L63" s="87" t="str">
        <f aca="true">IF(INDEX(INDIRECT("'"&amp;LEFT($A63,LEN($A63)-1)&amp;"'!$H$13:$J$41"),MATCH(L$1,INDIRECT("'"&amp;LEFT($A63,LEN($A63)-1)&amp;"'!$A$13:$A$41"),0),VALUE(RIGHT($A63,1)))="YES",$H63,IF(INDEX(INDIRECT("'"&amp;LEFT($A63,LEN($A63)-1)&amp;"'!$H$13:$J$41"),MATCH(L$1,INDIRECT("'"&amp;LEFT($A63,LEN($A63)-1)&amp;"'!$A$13:$A$41"),0),VALUE(RIGHT($A63,1)))="NO",0,"?"))</f>
        <v>?</v>
      </c>
      <c r="M63" s="87" t="str">
        <f aca="true">IF(INDEX(INDIRECT("'"&amp;LEFT($A63,LEN($A63)-1)&amp;"'!$H$13:$J$41"),MATCH(M$1,INDIRECT("'"&amp;LEFT($A63,LEN($A63)-1)&amp;"'!$A$13:$A$41"),0),VALUE(RIGHT($A63,1)))="YES",$H63,IF(INDEX(INDIRECT("'"&amp;LEFT($A63,LEN($A63)-1)&amp;"'!$H$13:$J$41"),MATCH(M$1,INDIRECT("'"&amp;LEFT($A63,LEN($A63)-1)&amp;"'!$A$13:$A$41"),0),VALUE(RIGHT($A63,1)))="NO",0,"?"))</f>
        <v>?</v>
      </c>
      <c r="N63" s="87" t="str">
        <f aca="true">IF(INDEX(INDIRECT("'"&amp;LEFT($A63,LEN($A63)-1)&amp;"'!$H$13:$J$41"),MATCH(N$1,INDIRECT("'"&amp;LEFT($A63,LEN($A63)-1)&amp;"'!$A$13:$A$41"),0),VALUE(RIGHT($A63,1)))="YES",$H63,IF(INDEX(INDIRECT("'"&amp;LEFT($A63,LEN($A63)-1)&amp;"'!$H$13:$J$41"),MATCH(N$1,INDIRECT("'"&amp;LEFT($A63,LEN($A63)-1)&amp;"'!$A$13:$A$41"),0),VALUE(RIGHT($A63,1)))="NO",0,"?"))</f>
        <v>?</v>
      </c>
      <c r="O63" s="87" t="str">
        <f aca="true">IF(INDEX(INDIRECT("'"&amp;LEFT($A63,LEN($A63)-1)&amp;"'!$H$13:$J$41"),MATCH(O$1,INDIRECT("'"&amp;LEFT($A63,LEN($A63)-1)&amp;"'!$A$13:$A$41"),0),VALUE(RIGHT($A63,1)))="YES",$H63,IF(INDEX(INDIRECT("'"&amp;LEFT($A63,LEN($A63)-1)&amp;"'!$H$13:$J$41"),MATCH(O$1,INDIRECT("'"&amp;LEFT($A63,LEN($A63)-1)&amp;"'!$A$13:$A$41"),0),VALUE(RIGHT($A63,1)))="NO",0,"?"))</f>
        <v>?</v>
      </c>
      <c r="P63" s="87" t="str">
        <f aca="true">IF(INDEX(INDIRECT("'"&amp;LEFT($A63,LEN($A63)-1)&amp;"'!$H$13:$J$41"),MATCH(P$1,INDIRECT("'"&amp;LEFT($A63,LEN($A63)-1)&amp;"'!$A$13:$A$41"),0),VALUE(RIGHT($A63,1)))="YES",$H63,IF(INDEX(INDIRECT("'"&amp;LEFT($A63,LEN($A63)-1)&amp;"'!$H$13:$J$41"),MATCH(P$1,INDIRECT("'"&amp;LEFT($A63,LEN($A63)-1)&amp;"'!$A$13:$A$41"),0),VALUE(RIGHT($A63,1)))="NO",0,"?"))</f>
        <v>?</v>
      </c>
      <c r="Q63" s="87" t="str">
        <f aca="true">IF(INDEX(INDIRECT("'"&amp;LEFT($A63,LEN($A63)-1)&amp;"'!$H$13:$J$41"),MATCH(Q$1,INDIRECT("'"&amp;LEFT($A63,LEN($A63)-1)&amp;"'!$A$13:$A$41"),0),VALUE(RIGHT($A63,1)))="YES",$H63,IF(INDEX(INDIRECT("'"&amp;LEFT($A63,LEN($A63)-1)&amp;"'!$H$13:$J$41"),MATCH(Q$1,INDIRECT("'"&amp;LEFT($A63,LEN($A63)-1)&amp;"'!$A$13:$A$41"),0),VALUE(RIGHT($A63,1)))="NO",0,"?"))</f>
        <v>?</v>
      </c>
      <c r="R63" s="87" t="str">
        <f aca="true">IF(INDEX(INDIRECT("'"&amp;LEFT($A63,LEN($A63)-1)&amp;"'!$H$13:$J$41"),MATCH(R$1,INDIRECT("'"&amp;LEFT($A63,LEN($A63)-1)&amp;"'!$A$13:$A$41"),0),VALUE(RIGHT($A63,1)))="YES",$H63,IF(INDEX(INDIRECT("'"&amp;LEFT($A63,LEN($A63)-1)&amp;"'!$H$13:$J$41"),MATCH(R$1,INDIRECT("'"&amp;LEFT($A63,LEN($A63)-1)&amp;"'!$A$13:$A$41"),0),VALUE(RIGHT($A63,1)))="NO",0,"?"))</f>
        <v>?</v>
      </c>
      <c r="S63" s="87" t="str">
        <f aca="true">IF(INDEX(INDIRECT("'"&amp;LEFT($A63,LEN($A63)-1)&amp;"'!$H$13:$J$41"),MATCH(S$1,INDIRECT("'"&amp;LEFT($A63,LEN($A63)-1)&amp;"'!$A$13:$A$41"),0),VALUE(RIGHT($A63,1)))="YES",$H63,IF(INDEX(INDIRECT("'"&amp;LEFT($A63,LEN($A63)-1)&amp;"'!$H$13:$J$41"),MATCH(S$1,INDIRECT("'"&amp;LEFT($A63,LEN($A63)-1)&amp;"'!$A$13:$A$41"),0),VALUE(RIGHT($A63,1)))="NO",0,"?"))</f>
        <v>?</v>
      </c>
      <c r="T63" s="87" t="str">
        <f aca="true">IF(INDEX(INDIRECT("'"&amp;LEFT($A63,LEN($A63)-1)&amp;"'!$H$13:$J$41"),MATCH(T$1,INDIRECT("'"&amp;LEFT($A63,LEN($A63)-1)&amp;"'!$A$13:$A$41"),0),VALUE(RIGHT($A63,1)))="YES",$H63,IF(INDEX(INDIRECT("'"&amp;LEFT($A63,LEN($A63)-1)&amp;"'!$H$13:$J$41"),MATCH(T$1,INDIRECT("'"&amp;LEFT($A63,LEN($A63)-1)&amp;"'!$A$13:$A$41"),0),VALUE(RIGHT($A63,1)))="NO",0,"?"))</f>
        <v>?</v>
      </c>
      <c r="U63" s="87" t="str">
        <f aca="true">IF(INDEX(INDIRECT("'"&amp;LEFT($A63,LEN($A63)-1)&amp;"'!$H$13:$J$41"),MATCH(U$1,INDIRECT("'"&amp;LEFT($A63,LEN($A63)-1)&amp;"'!$A$13:$A$41"),0),VALUE(RIGHT($A63,1)))="YES",$H63,IF(INDEX(INDIRECT("'"&amp;LEFT($A63,LEN($A63)-1)&amp;"'!$H$13:$J$41"),MATCH(U$1,INDIRECT("'"&amp;LEFT($A63,LEN($A63)-1)&amp;"'!$A$13:$A$41"),0),VALUE(RIGHT($A63,1)))="NO",0,"?"))</f>
        <v>?</v>
      </c>
      <c r="V63" s="87" t="str">
        <f aca="true">IF(INDEX(INDIRECT("'"&amp;LEFT($A63,LEN($A63)-1)&amp;"'!$H$13:$J$41"),MATCH(V$1,INDIRECT("'"&amp;LEFT($A63,LEN($A63)-1)&amp;"'!$A$13:$A$41"),0),VALUE(RIGHT($A63,1)))="YES",$H63,IF(INDEX(INDIRECT("'"&amp;LEFT($A63,LEN($A63)-1)&amp;"'!$H$13:$J$41"),MATCH(V$1,INDIRECT("'"&amp;LEFT($A63,LEN($A63)-1)&amp;"'!$A$13:$A$41"),0),VALUE(RIGHT($A63,1)))="NO",0,"?"))</f>
        <v>?</v>
      </c>
      <c r="W63" s="87" t="str">
        <f aca="true">IF(INDEX(INDIRECT("'"&amp;LEFT($A63,LEN($A63)-1)&amp;"'!$H$13:$J$41"),MATCH(W$1,INDIRECT("'"&amp;LEFT($A63,LEN($A63)-1)&amp;"'!$A$13:$A$41"),0),VALUE(RIGHT($A63,1)))="YES",$H63,IF(INDEX(INDIRECT("'"&amp;LEFT($A63,LEN($A63)-1)&amp;"'!$H$13:$J$41"),MATCH(W$1,INDIRECT("'"&amp;LEFT($A63,LEN($A63)-1)&amp;"'!$A$13:$A$41"),0),VALUE(RIGHT($A63,1)))="NO",0,"?"))</f>
        <v>?</v>
      </c>
      <c r="X63" s="87" t="str">
        <f aca="true">IF(INDEX(INDIRECT("'"&amp;LEFT($A63,LEN($A63)-1)&amp;"'!$H$13:$J$41"),MATCH(X$1,INDIRECT("'"&amp;LEFT($A63,LEN($A63)-1)&amp;"'!$A$13:$A$41"),0),VALUE(RIGHT($A63,1)))="YES",$H63,IF(INDEX(INDIRECT("'"&amp;LEFT($A63,LEN($A63)-1)&amp;"'!$H$13:$J$41"),MATCH(X$1,INDIRECT("'"&amp;LEFT($A63,LEN($A63)-1)&amp;"'!$A$13:$A$41"),0),VALUE(RIGHT($A63,1)))="NO",0,"?"))</f>
        <v>?</v>
      </c>
      <c r="Y63" s="87" t="str">
        <f aca="true">IF(INDEX(INDIRECT("'"&amp;LEFT($A63,LEN($A63)-1)&amp;"'!$H$13:$J$41"),MATCH(Y$1,INDIRECT("'"&amp;LEFT($A63,LEN($A63)-1)&amp;"'!$A$13:$A$41"),0),VALUE(RIGHT($A63,1)))="YES",$H63,IF(INDEX(INDIRECT("'"&amp;LEFT($A63,LEN($A63)-1)&amp;"'!$H$13:$J$41"),MATCH(Y$1,INDIRECT("'"&amp;LEFT($A63,LEN($A63)-1)&amp;"'!$A$13:$A$41"),0),VALUE(RIGHT($A63,1)))="NO",0,"?"))</f>
        <v>?</v>
      </c>
      <c r="Z63" s="87" t="str">
        <f aca="true">IF(INDEX(INDIRECT("'"&amp;LEFT($A63,LEN($A63)-1)&amp;"'!$H$13:$J$41"),MATCH(Z$1,INDIRECT("'"&amp;LEFT($A63,LEN($A63)-1)&amp;"'!$A$13:$A$41"),0),VALUE(RIGHT($A63,1)))="YES",$H63,IF(INDEX(INDIRECT("'"&amp;LEFT($A63,LEN($A63)-1)&amp;"'!$H$13:$J$41"),MATCH(Z$1,INDIRECT("'"&amp;LEFT($A63,LEN($A63)-1)&amp;"'!$A$13:$A$41"),0),VALUE(RIGHT($A63,1)))="NO",0,"?"))</f>
        <v>?</v>
      </c>
      <c r="AA63" s="87" t="str">
        <f aca="true">IF(INDEX(INDIRECT("'"&amp;LEFT($A63,LEN($A63)-1)&amp;"'!$H$13:$J$41"),MATCH(AA$1,INDIRECT("'"&amp;LEFT($A63,LEN($A63)-1)&amp;"'!$A$13:$A$41"),0),VALUE(RIGHT($A63,1)))="YES",$H63,IF(INDEX(INDIRECT("'"&amp;LEFT($A63,LEN($A63)-1)&amp;"'!$H$13:$J$41"),MATCH(AA$1,INDIRECT("'"&amp;LEFT($A63,LEN($A63)-1)&amp;"'!$A$13:$A$41"),0),VALUE(RIGHT($A63,1)))="NO",0,"?"))</f>
        <v>?</v>
      </c>
      <c r="AB63" s="87" t="str">
        <f aca="true">IF(INDEX(INDIRECT("'"&amp;LEFT($A63,LEN($A63)-1)&amp;"'!$H$13:$J$41"),MATCH(AB$1,INDIRECT("'"&amp;LEFT($A63,LEN($A63)-1)&amp;"'!$A$13:$A$41"),0),VALUE(RIGHT($A63,1)))="YES",$H63,IF(INDEX(INDIRECT("'"&amp;LEFT($A63,LEN($A63)-1)&amp;"'!$H$13:$J$41"),MATCH(AB$1,INDIRECT("'"&amp;LEFT($A63,LEN($A63)-1)&amp;"'!$A$13:$A$41"),0),VALUE(RIGHT($A63,1)))="NO",0,"?"))</f>
        <v>?</v>
      </c>
      <c r="AC63" s="87" t="str">
        <f aca="true">IF(INDEX(INDIRECT("'"&amp;LEFT($A63,LEN($A63)-1)&amp;"'!$H$13:$J$41"),MATCH(AC$1,INDIRECT("'"&amp;LEFT($A63,LEN($A63)-1)&amp;"'!$A$13:$A$41"),0),VALUE(RIGHT($A63,1)))="YES",$H63,IF(INDEX(INDIRECT("'"&amp;LEFT($A63,LEN($A63)-1)&amp;"'!$H$13:$J$41"),MATCH(AC$1,INDIRECT("'"&amp;LEFT($A63,LEN($A63)-1)&amp;"'!$A$13:$A$41"),0),VALUE(RIGHT($A63,1)))="NO",0,"?"))</f>
        <v>?</v>
      </c>
      <c r="AD63" s="87" t="str">
        <f aca="true">IF(INDEX(INDIRECT("'"&amp;LEFT($A63,LEN($A63)-1)&amp;"'!$H$13:$J$41"),MATCH(AD$1,INDIRECT("'"&amp;LEFT($A63,LEN($A63)-1)&amp;"'!$A$13:$A$41"),0),VALUE(RIGHT($A63,1)))="YES",$H63,IF(INDEX(INDIRECT("'"&amp;LEFT($A63,LEN($A63)-1)&amp;"'!$H$13:$J$41"),MATCH(AD$1,INDIRECT("'"&amp;LEFT($A63,LEN($A63)-1)&amp;"'!$A$13:$A$41"),0),VALUE(RIGHT($A63,1)))="NO",0,"?"))</f>
        <v>?</v>
      </c>
      <c r="AE63" s="87" t="str">
        <f aca="true">IF(INDEX(INDIRECT("'"&amp;LEFT($A63,LEN($A63)-1)&amp;"'!$H$13:$J$41"),MATCH(AE$1,INDIRECT("'"&amp;LEFT($A63,LEN($A63)-1)&amp;"'!$A$13:$A$41"),0),VALUE(RIGHT($A63,1)))="YES",$H63,IF(INDEX(INDIRECT("'"&amp;LEFT($A63,LEN($A63)-1)&amp;"'!$H$13:$J$41"),MATCH(AE$1,INDIRECT("'"&amp;LEFT($A63,LEN($A63)-1)&amp;"'!$A$13:$A$41"),0),VALUE(RIGHT($A63,1)))="NO",0,"?"))</f>
        <v>?</v>
      </c>
      <c r="AF63" s="87" t="str">
        <f aca="true">IF(INDEX(INDIRECT("'"&amp;LEFT($A63,LEN($A63)-1)&amp;"'!$H$13:$J$41"),MATCH(AF$1,INDIRECT("'"&amp;LEFT($A63,LEN($A63)-1)&amp;"'!$A$13:$A$41"),0),VALUE(RIGHT($A63,1)))="YES",$H63,IF(INDEX(INDIRECT("'"&amp;LEFT($A63,LEN($A63)-1)&amp;"'!$H$13:$J$41"),MATCH(AF$1,INDIRECT("'"&amp;LEFT($A63,LEN($A63)-1)&amp;"'!$A$13:$A$41"),0),VALUE(RIGHT($A63,1)))="NO",0,"?"))</f>
        <v>?</v>
      </c>
      <c r="AG63" s="87" t="str">
        <f aca="true">IF(INDEX(INDIRECT("'"&amp;LEFT($A63,LEN($A63)-1)&amp;"'!$H$13:$J$41"),MATCH(AG$1,INDIRECT("'"&amp;LEFT($A63,LEN($A63)-1)&amp;"'!$A$13:$A$41"),0),VALUE(RIGHT($A63,1)))="YES",$H63,IF(INDEX(INDIRECT("'"&amp;LEFT($A63,LEN($A63)-1)&amp;"'!$H$13:$J$41"),MATCH(AG$1,INDIRECT("'"&amp;LEFT($A63,LEN($A63)-1)&amp;"'!$A$13:$A$41"),0),VALUE(RIGHT($A63,1)))="NO",0,"?"))</f>
        <v>?</v>
      </c>
      <c r="AH63" s="87" t="str">
        <f aca="true">IF(INDEX(INDIRECT("'"&amp;LEFT($A63,LEN($A63)-1)&amp;"'!$H$13:$J$41"),MATCH(AH$1,INDIRECT("'"&amp;LEFT($A63,LEN($A63)-1)&amp;"'!$A$13:$A$41"),0),VALUE(RIGHT($A63,1)))="YES",$H63,IF(INDEX(INDIRECT("'"&amp;LEFT($A63,LEN($A63)-1)&amp;"'!$H$13:$J$41"),MATCH(AH$1,INDIRECT("'"&amp;LEFT($A63,LEN($A63)-1)&amp;"'!$A$13:$A$41"),0),VALUE(RIGHT($A63,1)))="NO",0,"?"))</f>
        <v>?</v>
      </c>
      <c r="AI63" s="87" t="str">
        <f aca="true">IF(INDEX(INDIRECT("'"&amp;LEFT($A63,LEN($A63)-1)&amp;"'!$H$13:$J$41"),MATCH(AI$1,INDIRECT("'"&amp;LEFT($A63,LEN($A63)-1)&amp;"'!$A$13:$A$41"),0),VALUE(RIGHT($A63,1)))="YES",$H63,IF(INDEX(INDIRECT("'"&amp;LEFT($A63,LEN($A63)-1)&amp;"'!$H$13:$J$41"),MATCH(AI$1,INDIRECT("'"&amp;LEFT($A63,LEN($A63)-1)&amp;"'!$A$13:$A$41"),0),VALUE(RIGHT($A63,1)))="NO",0,"?"))</f>
        <v>?</v>
      </c>
      <c r="AJ63" s="87" t="str">
        <f aca="true">IF(INDEX(INDIRECT("'"&amp;LEFT($A63,LEN($A63)-1)&amp;"'!$H$13:$J$41"),MATCH(AJ$1,INDIRECT("'"&amp;LEFT($A63,LEN($A63)-1)&amp;"'!$A$13:$A$41"),0),VALUE(RIGHT($A63,1)))="YES",$H63,IF(INDEX(INDIRECT("'"&amp;LEFT($A63,LEN($A63)-1)&amp;"'!$H$13:$J$41"),MATCH(AJ$1,INDIRECT("'"&amp;LEFT($A63,LEN($A63)-1)&amp;"'!$A$13:$A$41"),0),VALUE(RIGHT($A63,1)))="NO",0,"?"))</f>
        <v>?</v>
      </c>
      <c r="AK63" s="87" t="str">
        <f aca="true">IF(INDEX(INDIRECT("'"&amp;LEFT($A63,LEN($A63)-1)&amp;"'!$H$13:$J$41"),MATCH(AK$1,INDIRECT("'"&amp;LEFT($A63,LEN($A63)-1)&amp;"'!$A$13:$A$41"),0),VALUE(RIGHT($A63,1)))="YES",$H63,IF(INDEX(INDIRECT("'"&amp;LEFT($A63,LEN($A63)-1)&amp;"'!$H$13:$J$41"),MATCH(AK$1,INDIRECT("'"&amp;LEFT($A63,LEN($A63)-1)&amp;"'!$A$13:$A$41"),0),VALUE(RIGHT($A63,1)))="NO",0,"?"))</f>
        <v>?</v>
      </c>
    </row>
    <row r="64" customFormat="false" ht="14.25" hidden="false" customHeight="true" outlineLevel="0" collapsed="false">
      <c r="A64" s="83" t="s">
        <v>847</v>
      </c>
      <c r="B64" s="84" t="str">
        <f aca="false">IF(ISBLANK($A64),"NO_CODE",VLOOKUP($A64,'UPD Questions_290926 '!$E$1:$N$300,MATCH(B$1,'UPD Questions_290926 '!$E$1:$N$1,0),0)&amp;"")</f>
        <v>Implementation</v>
      </c>
      <c r="C64" s="84" t="str">
        <f aca="false">IF(ISBLANK($A64),"NO_CODE",VLOOKUP($A64,'UPD Questions_290926 '!$E$1:$N$300,MATCH(C$1,'UPD Questions_290926 '!$E$1:$N$1,0),0)&amp;"")</f>
        <v>Sectoral planning</v>
      </c>
      <c r="D64" s="84" t="str">
        <f aca="false">IF(ISBLANK($A64),"NO_CODE",VLOOKUP($A64,'UPD Questions_290926 '!$E$1:$N$300,MATCH(D$1,'UPD Questions_290926 '!$E$1:$N$1,0),0)&amp;"")</f>
        <v>Sustainability, resilience and climate action</v>
      </c>
      <c r="E64" s="84" t="str">
        <f aca="false">IF(ISBLANK($A64),"NO_CODE",VLOOKUP($A64,'UPD Questions_290926 '!$E$1:$N$300,MATCH(E$1,'UPD Questions_290926 '!$E$1:$N$1,0),0)&amp;"")</f>
        <v>MQ</v>
      </c>
      <c r="F64" s="84" t="str">
        <f aca="false">IF(ISBLANK($A64),"NO_CODE",VLOOKUP($A64,'UPD Questions_290926 '!$E$1:$N$300,MATCH(F$1,'UPD Questions_290926 '!$E$1:$N$1,0),0)&amp;"")</f>
        <v>Does your city have a Sustainability/ Resilience Strategy/Climate Action Plan that clearly articulates development priorities, measurable objectives, and the roles and responsibilities of the ULG?</v>
      </c>
      <c r="G64" s="84" t="str">
        <f aca="false">IF(ISBLANK($A64),"NO_CODE",VLOOKUP($A64,'UPD Questions_290926 '!$E$1:$N$300,MATCH(G$1,'UPD Questions_290926 '!$E$1:$N$1,0),0)&amp;"")</f>
        <v>Implementation</v>
      </c>
      <c r="H64" s="86" t="n">
        <f aca="false">IF(ISBLANK($A64),"NO_CODE",VLOOKUP($A64,'UPD Questions_290926 '!$E$1:$N$300,MATCH(H$1,'UPD Questions_290926 '!$E$1:$N$1,0),0))</f>
        <v>10</v>
      </c>
      <c r="I64" s="87" t="str">
        <f aca="false">IF(OR(I65="ER",I66="ER",I67="ER"),"ER",IF(OR(I65="?",I66="?",I67="?"),"?",IF(AND(I65="NA",I66="NA",I67="NA"),"NA",SUM(I65,I66,I67)/((I65&lt;&gt;"NA")*$H$65+(I66&lt;&gt;"NA")*$H$66+(I67&lt;&gt;"NA")*$H$67)*$H64)))</f>
        <v>?</v>
      </c>
      <c r="J64" s="87" t="n">
        <f aca="false">IF(OR(J65="ER",J66="ER",J67="ER"),"ER",IF(OR(J65="?",J66="?",J67="?"),"?",IF(AND(J65="NA",J66="NA",J67="NA"),"NA",SUM(J65,J66,J67)/((J65&lt;&gt;"NA")*$H$65+(J66&lt;&gt;"NA")*$H$66+(J67&lt;&gt;"NA")*$H$67)*$H64)))</f>
        <v>10</v>
      </c>
      <c r="K64" s="87" t="str">
        <f aca="false">IF(OR(K65="ER",K66="ER",K67="ER"),"ER",IF(OR(K65="?",K66="?",K67="?"),"?",IF(AND(K65="NA",K66="NA",K67="NA"),"NA",SUM(K65,K66,K67)/((K65&lt;&gt;"NA")*$H$65+(K66&lt;&gt;"NA")*$H$66+(K67&lt;&gt;"NA")*$H$67)*$H64)))</f>
        <v>?</v>
      </c>
      <c r="L64" s="87" t="str">
        <f aca="false">IF(OR(L65="ER",L66="ER",L67="ER"),"ER",IF(OR(L65="?",L66="?",L67="?"),"?",IF(AND(L65="NA",L66="NA",L67="NA"),"NA",SUM(L65,L66,L67)/((L65&lt;&gt;"NA")*$H$65+(L66&lt;&gt;"NA")*$H$66+(L67&lt;&gt;"NA")*$H$67)*$H64)))</f>
        <v>?</v>
      </c>
      <c r="M64" s="87" t="str">
        <f aca="false">IF(OR(M65="ER",M66="ER",M67="ER"),"ER",IF(OR(M65="?",M66="?",M67="?"),"?",IF(AND(M65="NA",M66="NA",M67="NA"),"NA",SUM(M65,M66,M67)/((M65&lt;&gt;"NA")*$H$65+(M66&lt;&gt;"NA")*$H$66+(M67&lt;&gt;"NA")*$H$67)*$H64)))</f>
        <v>?</v>
      </c>
      <c r="N64" s="87" t="str">
        <f aca="false">IF(OR(N65="ER",N66="ER",N67="ER"),"ER",IF(OR(N65="?",N66="?",N67="?"),"?",IF(AND(N65="NA",N66="NA",N67="NA"),"NA",SUM(N65,N66,N67)/((N65&lt;&gt;"NA")*$H$65+(N66&lt;&gt;"NA")*$H$66+(N67&lt;&gt;"NA")*$H$67)*$H64)))</f>
        <v>?</v>
      </c>
      <c r="O64" s="87" t="str">
        <f aca="false">IF(OR(O65="ER",O66="ER",O67="ER"),"ER",IF(OR(O65="?",O66="?",O67="?"),"?",IF(AND(O65="NA",O66="NA",O67="NA"),"NA",SUM(O65,O66,O67)/((O65&lt;&gt;"NA")*$H$65+(O66&lt;&gt;"NA")*$H$66+(O67&lt;&gt;"NA")*$H$67)*$H64)))</f>
        <v>?</v>
      </c>
      <c r="P64" s="87" t="str">
        <f aca="false">IF(OR(P65="ER",P66="ER",P67="ER"),"ER",IF(OR(P65="?",P66="?",P67="?"),"?",IF(AND(P65="NA",P66="NA",P67="NA"),"NA",SUM(P65,P66,P67)/((P65&lt;&gt;"NA")*$H$65+(P66&lt;&gt;"NA")*$H$66+(P67&lt;&gt;"NA")*$H$67)*$H64)))</f>
        <v>?</v>
      </c>
      <c r="Q64" s="87" t="str">
        <f aca="false">IF(OR(Q65="ER",Q66="ER",Q67="ER"),"ER",IF(OR(Q65="?",Q66="?",Q67="?"),"?",IF(AND(Q65="NA",Q66="NA",Q67="NA"),"NA",SUM(Q65,Q66,Q67)/((Q65&lt;&gt;"NA")*$H$65+(Q66&lt;&gt;"NA")*$H$66+(Q67&lt;&gt;"NA")*$H$67)*$H64)))</f>
        <v>?</v>
      </c>
      <c r="R64" s="87" t="str">
        <f aca="false">IF(OR(R65="ER",R66="ER",R67="ER"),"ER",IF(OR(R65="?",R66="?",R67="?"),"?",IF(AND(R65="NA",R66="NA",R67="NA"),"NA",SUM(R65,R66,R67)/((R65&lt;&gt;"NA")*$H$65+(R66&lt;&gt;"NA")*$H$66+(R67&lt;&gt;"NA")*$H$67)*$H64)))</f>
        <v>?</v>
      </c>
      <c r="S64" s="87" t="str">
        <f aca="false">IF(OR(S65="ER",S66="ER",S67="ER"),"ER",IF(OR(S65="?",S66="?",S67="?"),"?",IF(AND(S65="NA",S66="NA",S67="NA"),"NA",SUM(S65,S66,S67)/((S65&lt;&gt;"NA")*$H$65+(S66&lt;&gt;"NA")*$H$66+(S67&lt;&gt;"NA")*$H$67)*$H64)))</f>
        <v>?</v>
      </c>
      <c r="T64" s="87" t="str">
        <f aca="false">IF(OR(T65="ER",T66="ER",T67="ER"),"ER",IF(OR(T65="?",T66="?",T67="?"),"?",IF(AND(T65="NA",T66="NA",T67="NA"),"NA",SUM(T65,T66,T67)/((T65&lt;&gt;"NA")*$H$65+(T66&lt;&gt;"NA")*$H$66+(T67&lt;&gt;"NA")*$H$67)*$H64)))</f>
        <v>?</v>
      </c>
      <c r="U64" s="87" t="str">
        <f aca="false">IF(OR(U65="ER",U66="ER",U67="ER"),"ER",IF(OR(U65="?",U66="?",U67="?"),"?",IF(AND(U65="NA",U66="NA",U67="NA"),"NA",SUM(U65,U66,U67)/((U65&lt;&gt;"NA")*$H$65+(U66&lt;&gt;"NA")*$H$66+(U67&lt;&gt;"NA")*$H$67)*$H64)))</f>
        <v>?</v>
      </c>
      <c r="V64" s="87" t="str">
        <f aca="false">IF(OR(V65="ER",V66="ER",V67="ER"),"ER",IF(OR(V65="?",V66="?",V67="?"),"?",IF(AND(V65="NA",V66="NA",V67="NA"),"NA",SUM(V65,V66,V67)/((V65&lt;&gt;"NA")*$H$65+(V66&lt;&gt;"NA")*$H$66+(V67&lt;&gt;"NA")*$H$67)*$H64)))</f>
        <v>?</v>
      </c>
      <c r="W64" s="87" t="str">
        <f aca="false">IF(OR(W65="ER",W66="ER",W67="ER"),"ER",IF(OR(W65="?",W66="?",W67="?"),"?",IF(AND(W65="NA",W66="NA",W67="NA"),"NA",SUM(W65,W66,W67)/((W65&lt;&gt;"NA")*$H$65+(W66&lt;&gt;"NA")*$H$66+(W67&lt;&gt;"NA")*$H$67)*$H64)))</f>
        <v>?</v>
      </c>
      <c r="X64" s="87" t="str">
        <f aca="false">IF(OR(X65="ER",X66="ER",X67="ER"),"ER",IF(OR(X65="?",X66="?",X67="?"),"?",IF(AND(X65="NA",X66="NA",X67="NA"),"NA",SUM(X65,X66,X67)/((X65&lt;&gt;"NA")*$H$65+(X66&lt;&gt;"NA")*$H$66+(X67&lt;&gt;"NA")*$H$67)*$H64)))</f>
        <v>?</v>
      </c>
      <c r="Y64" s="87" t="str">
        <f aca="false">IF(OR(Y65="ER",Y66="ER",Y67="ER"),"ER",IF(OR(Y65="?",Y66="?",Y67="?"),"?",IF(AND(Y65="NA",Y66="NA",Y67="NA"),"NA",SUM(Y65,Y66,Y67)/((Y65&lt;&gt;"NA")*$H$65+(Y66&lt;&gt;"NA")*$H$66+(Y67&lt;&gt;"NA")*$H$67)*$H64)))</f>
        <v>?</v>
      </c>
      <c r="Z64" s="87" t="str">
        <f aca="false">IF(OR(Z65="ER",Z66="ER",Z67="ER"),"ER",IF(OR(Z65="?",Z66="?",Z67="?"),"?",IF(AND(Z65="NA",Z66="NA",Z67="NA"),"NA",SUM(Z65,Z66,Z67)/((Z65&lt;&gt;"NA")*$H$65+(Z66&lt;&gt;"NA")*$H$66+(Z67&lt;&gt;"NA")*$H$67)*$H64)))</f>
        <v>?</v>
      </c>
      <c r="AA64" s="87" t="str">
        <f aca="false">IF(OR(AA65="ER",AA66="ER",AA67="ER"),"ER",IF(OR(AA65="?",AA66="?",AA67="?"),"?",IF(AND(AA65="NA",AA66="NA",AA67="NA"),"NA",SUM(AA65,AA66,AA67)/((AA65&lt;&gt;"NA")*$H$65+(AA66&lt;&gt;"NA")*$H$66+(AA67&lt;&gt;"NA")*$H$67)*$H64)))</f>
        <v>?</v>
      </c>
      <c r="AB64" s="87" t="str">
        <f aca="false">IF(OR(AB65="ER",AB66="ER",AB67="ER"),"ER",IF(OR(AB65="?",AB66="?",AB67="?"),"?",IF(AND(AB65="NA",AB66="NA",AB67="NA"),"NA",SUM(AB65,AB66,AB67)/((AB65&lt;&gt;"NA")*$H$65+(AB66&lt;&gt;"NA")*$H$66+(AB67&lt;&gt;"NA")*$H$67)*$H64)))</f>
        <v>?</v>
      </c>
      <c r="AC64" s="87" t="n">
        <f aca="false">IF(OR(AC65="ER",AC66="ER",AC67="ER"),"ER",IF(OR(AC65="?",AC66="?",AC67="?"),"?",IF(AND(AC65="NA",AC66="NA",AC67="NA"),"NA",SUM(AC65,AC66,AC67)/((AC65&lt;&gt;"NA")*$H$65+(AC66&lt;&gt;"NA")*$H$66+(AC67&lt;&gt;"NA")*$H$67)*$H64)))</f>
        <v>10</v>
      </c>
      <c r="AD64" s="87" t="str">
        <f aca="false">IF(OR(AD65="ER",AD66="ER",AD67="ER"),"ER",IF(OR(AD65="?",AD66="?",AD67="?"),"?",IF(AND(AD65="NA",AD66="NA",AD67="NA"),"NA",SUM(AD65,AD66,AD67)/((AD65&lt;&gt;"NA")*$H$65+(AD66&lt;&gt;"NA")*$H$66+(AD67&lt;&gt;"NA")*$H$67)*$H64)))</f>
        <v>?</v>
      </c>
      <c r="AE64" s="87" t="str">
        <f aca="false">IF(OR(AE65="ER",AE66="ER",AE67="ER"),"ER",IF(OR(AE65="?",AE66="?",AE67="?"),"?",IF(AND(AE65="NA",AE66="NA",AE67="NA"),"NA",SUM(AE65,AE66,AE67)/((AE65&lt;&gt;"NA")*$H$65+(AE66&lt;&gt;"NA")*$H$66+(AE67&lt;&gt;"NA")*$H$67)*$H64)))</f>
        <v>?</v>
      </c>
      <c r="AF64" s="87" t="str">
        <f aca="false">IF(OR(AF65="ER",AF66="ER",AF67="ER"),"ER",IF(OR(AF65="?",AF66="?",AF67="?"),"?",IF(AND(AF65="NA",AF66="NA",AF67="NA"),"NA",SUM(AF65,AF66,AF67)/((AF65&lt;&gt;"NA")*$H$65+(AF66&lt;&gt;"NA")*$H$66+(AF67&lt;&gt;"NA")*$H$67)*$H64)))</f>
        <v>?</v>
      </c>
      <c r="AG64" s="87" t="str">
        <f aca="false">IF(OR(AG65="ER",AG66="ER",AG67="ER"),"ER",IF(OR(AG65="?",AG66="?",AG67="?"),"?",IF(AND(AG65="NA",AG66="NA",AG67="NA"),"NA",SUM(AG65,AG66,AG67)/((AG65&lt;&gt;"NA")*$H$65+(AG66&lt;&gt;"NA")*$H$66+(AG67&lt;&gt;"NA")*$H$67)*$H64)))</f>
        <v>?</v>
      </c>
      <c r="AH64" s="87" t="str">
        <f aca="false">IF(OR(AH65="ER",AH66="ER",AH67="ER"),"ER",IF(OR(AH65="?",AH66="?",AH67="?"),"?",IF(AND(AH65="NA",AH66="NA",AH67="NA"),"NA",SUM(AH65,AH66,AH67)/((AH65&lt;&gt;"NA")*$H$65+(AH66&lt;&gt;"NA")*$H$66+(AH67&lt;&gt;"NA")*$H$67)*$H64)))</f>
        <v>?</v>
      </c>
      <c r="AI64" s="87" t="str">
        <f aca="false">IF(OR(AI65="ER",AI66="ER",AI67="ER"),"ER",IF(OR(AI65="?",AI66="?",AI67="?"),"?",IF(AND(AI65="NA",AI66="NA",AI67="NA"),"NA",SUM(AI65,AI66,AI67)/((AI65&lt;&gt;"NA")*$H$65+(AI66&lt;&gt;"NA")*$H$66+(AI67&lt;&gt;"NA")*$H$67)*$H64)))</f>
        <v>?</v>
      </c>
      <c r="AJ64" s="87" t="str">
        <f aca="false">IF(OR(AJ65="ER",AJ66="ER",AJ67="ER"),"ER",IF(OR(AJ65="?",AJ66="?",AJ67="?"),"?",IF(AND(AJ65="NA",AJ66="NA",AJ67="NA"),"NA",SUM(AJ65,AJ66,AJ67)/((AJ65&lt;&gt;"NA")*$H$65+(AJ66&lt;&gt;"NA")*$H$66+(AJ67&lt;&gt;"NA")*$H$67)*$H64)))</f>
        <v>?</v>
      </c>
      <c r="AK64" s="87" t="str">
        <f aca="false">IF(OR(AK65="ER",AK66="ER",AK67="ER"),"ER",IF(OR(AK65="?",AK66="?",AK67="?"),"?",IF(AND(AK65="NA",AK66="NA",AK67="NA"),"NA",SUM(AK65,AK66,AK67)/((AK65&lt;&gt;"NA")*$H$65+(AK66&lt;&gt;"NA")*$H$66+(AK67&lt;&gt;"NA")*$H$67)*$H64)))</f>
        <v>?</v>
      </c>
    </row>
    <row r="65" customFormat="false" ht="14.25" hidden="false" customHeight="true" outlineLevel="0" collapsed="false">
      <c r="A65" s="83" t="s">
        <v>352</v>
      </c>
      <c r="B65" s="84" t="str">
        <f aca="false">IF(ISBLANK($A65),"NO_CODE",VLOOKUP($A65,'UPD Questions_290926 '!$E$1:$N$300,MATCH(B$1,'UPD Questions_290926 '!$E$1:$N$1,0),0)&amp;"")</f>
        <v>Implementation</v>
      </c>
      <c r="C65" s="84" t="str">
        <f aca="false">IF(ISBLANK($A65),"NO_CODE",VLOOKUP($A65,'UPD Questions_290926 '!$E$1:$N$300,MATCH(C$1,'UPD Questions_290926 '!$E$1:$N$1,0),0)&amp;"")</f>
        <v>Sectoral planning</v>
      </c>
      <c r="D65" s="84" t="str">
        <f aca="false">IF(ISBLANK($A65),"NO_CODE",VLOOKUP($A65,'UPD Questions_290926 '!$E$1:$N$300,MATCH(D$1,'UPD Questions_290926 '!$E$1:$N$1,0),0)&amp;"")</f>
        <v>Sustainability, resilience and climate action</v>
      </c>
      <c r="E65" s="84" t="str">
        <f aca="false">IF(ISBLANK($A65),"NO_CODE",VLOOKUP($A65,'UPD Questions_290926 '!$E$1:$N$300,MATCH(E$1,'UPD Questions_290926 '!$E$1:$N$1,0),0)&amp;"")</f>
        <v>SQ</v>
      </c>
      <c r="F65" s="84" t="str">
        <f aca="false">IF(ISBLANK($A65),"NO_CODE",VLOOKUP($A65,'UPD Questions_290926 '!$E$1:$N$300,MATCH(F$1,'UPD Questions_290926 '!$E$1:$N$1,0),0)&amp;"")</f>
        <v>Does the city have a notified and active Sustainability/Resilience Strategy?</v>
      </c>
      <c r="G65" s="84" t="str">
        <f aca="false">IF(ISBLANK($A65),"NO_CODE",VLOOKUP($A65,'UPD Questions_290926 '!$E$1:$N$300,MATCH(G$1,'UPD Questions_290926 '!$E$1:$N$1,0),0)&amp;"")</f>
        <v>Implementation</v>
      </c>
      <c r="H65" s="86" t="n">
        <f aca="false">IF(ISBLANK($A65),"NO_CODE",VLOOKUP($A65,'UPD Questions_290926 '!$E$1:$N$300,MATCH(H$1,'UPD Questions_290926 '!$E$1:$N$1,0),0))</f>
        <v>3.33</v>
      </c>
      <c r="I65" s="87" t="str">
        <f aca="true">IF($H65=0,"NA",IF($A65=INDIRECT("'"&amp;$A65&amp;"'!$B$1"),IF(VLOOKUP(I$1,INDIRECT("'"&amp;$A65&amp;"'!$A$12:$Z$41"),MATCH("Points (Auto-generate)",INDIRECT("'"&amp;$A65&amp;"'!$A$12:$Z$12"),0),0)="","?",VLOOKUP(I$1,INDIRECT("'"&amp;$A65&amp;"'!$A$12:$Z$41"),MATCH("Points (Auto-generate)",INDIRECT("'"&amp;$A65&amp;"'!$A$12:$Z$12"),0),0)),"ER"))</f>
        <v>?</v>
      </c>
      <c r="J65" s="87" t="n">
        <f aca="true">IF($H65=0,"NA",IF($A65=INDIRECT("'"&amp;$A65&amp;"'!$B$1"),IF(VLOOKUP(J$1,INDIRECT("'"&amp;$A65&amp;"'!$A$12:$Z$41"),MATCH("Points (Auto-generate)",INDIRECT("'"&amp;$A65&amp;"'!$A$12:$Z$12"),0),0)="","?",VLOOKUP(J$1,INDIRECT("'"&amp;$A65&amp;"'!$A$12:$Z$41"),MATCH("Points (Auto-generate)",INDIRECT("'"&amp;$A65&amp;"'!$A$12:$Z$12"),0),0)),"ER"))</f>
        <v>3.33</v>
      </c>
      <c r="K65" s="87" t="str">
        <f aca="true">IF($H65=0,"NA",IF($A65=INDIRECT("'"&amp;$A65&amp;"'!$B$1"),IF(VLOOKUP(K$1,INDIRECT("'"&amp;$A65&amp;"'!$A$12:$Z$41"),MATCH("Points (Auto-generate)",INDIRECT("'"&amp;$A65&amp;"'!$A$12:$Z$12"),0),0)="","?",VLOOKUP(K$1,INDIRECT("'"&amp;$A65&amp;"'!$A$12:$Z$41"),MATCH("Points (Auto-generate)",INDIRECT("'"&amp;$A65&amp;"'!$A$12:$Z$12"),0),0)),"ER"))</f>
        <v>?</v>
      </c>
      <c r="L65" s="87" t="str">
        <f aca="true">IF($H65=0,"NA",IF($A65=INDIRECT("'"&amp;$A65&amp;"'!$B$1"),IF(VLOOKUP(L$1,INDIRECT("'"&amp;$A65&amp;"'!$A$12:$Z$41"),MATCH("Points (Auto-generate)",INDIRECT("'"&amp;$A65&amp;"'!$A$12:$Z$12"),0),0)="","?",VLOOKUP(L$1,INDIRECT("'"&amp;$A65&amp;"'!$A$12:$Z$41"),MATCH("Points (Auto-generate)",INDIRECT("'"&amp;$A65&amp;"'!$A$12:$Z$12"),0),0)),"ER"))</f>
        <v>?</v>
      </c>
      <c r="M65" s="87" t="str">
        <f aca="true">IF($H65=0,"NA",IF($A65=INDIRECT("'"&amp;$A65&amp;"'!$B$1"),IF(VLOOKUP(M$1,INDIRECT("'"&amp;$A65&amp;"'!$A$12:$Z$41"),MATCH("Points (Auto-generate)",INDIRECT("'"&amp;$A65&amp;"'!$A$12:$Z$12"),0),0)="","?",VLOOKUP(M$1,INDIRECT("'"&amp;$A65&amp;"'!$A$12:$Z$41"),MATCH("Points (Auto-generate)",INDIRECT("'"&amp;$A65&amp;"'!$A$12:$Z$12"),0),0)),"ER"))</f>
        <v>?</v>
      </c>
      <c r="N65" s="87" t="str">
        <f aca="true">IF($H65=0,"NA",IF($A65=INDIRECT("'"&amp;$A65&amp;"'!$B$1"),IF(VLOOKUP(N$1,INDIRECT("'"&amp;$A65&amp;"'!$A$12:$Z$41"),MATCH("Points (Auto-generate)",INDIRECT("'"&amp;$A65&amp;"'!$A$12:$Z$12"),0),0)="","?",VLOOKUP(N$1,INDIRECT("'"&amp;$A65&amp;"'!$A$12:$Z$41"),MATCH("Points (Auto-generate)",INDIRECT("'"&amp;$A65&amp;"'!$A$12:$Z$12"),0),0)),"ER"))</f>
        <v>?</v>
      </c>
      <c r="O65" s="87" t="str">
        <f aca="true">IF($H65=0,"NA",IF($A65=INDIRECT("'"&amp;$A65&amp;"'!$B$1"),IF(VLOOKUP(O$1,INDIRECT("'"&amp;$A65&amp;"'!$A$12:$Z$41"),MATCH("Points (Auto-generate)",INDIRECT("'"&amp;$A65&amp;"'!$A$12:$Z$12"),0),0)="","?",VLOOKUP(O$1,INDIRECT("'"&amp;$A65&amp;"'!$A$12:$Z$41"),MATCH("Points (Auto-generate)",INDIRECT("'"&amp;$A65&amp;"'!$A$12:$Z$12"),0),0)),"ER"))</f>
        <v>?</v>
      </c>
      <c r="P65" s="87" t="str">
        <f aca="true">IF($H65=0,"NA",IF($A65=INDIRECT("'"&amp;$A65&amp;"'!$B$1"),IF(VLOOKUP(P$1,INDIRECT("'"&amp;$A65&amp;"'!$A$12:$Z$41"),MATCH("Points (Auto-generate)",INDIRECT("'"&amp;$A65&amp;"'!$A$12:$Z$12"),0),0)="","?",VLOOKUP(P$1,INDIRECT("'"&amp;$A65&amp;"'!$A$12:$Z$41"),MATCH("Points (Auto-generate)",INDIRECT("'"&amp;$A65&amp;"'!$A$12:$Z$12"),0),0)),"ER"))</f>
        <v>?</v>
      </c>
      <c r="Q65" s="87" t="str">
        <f aca="true">IF($H65=0,"NA",IF($A65=INDIRECT("'"&amp;$A65&amp;"'!$B$1"),IF(VLOOKUP(Q$1,INDIRECT("'"&amp;$A65&amp;"'!$A$12:$Z$41"),MATCH("Points (Auto-generate)",INDIRECT("'"&amp;$A65&amp;"'!$A$12:$Z$12"),0),0)="","?",VLOOKUP(Q$1,INDIRECT("'"&amp;$A65&amp;"'!$A$12:$Z$41"),MATCH("Points (Auto-generate)",INDIRECT("'"&amp;$A65&amp;"'!$A$12:$Z$12"),0),0)),"ER"))</f>
        <v>?</v>
      </c>
      <c r="R65" s="87" t="str">
        <f aca="true">IF($H65=0,"NA",IF($A65=INDIRECT("'"&amp;$A65&amp;"'!$B$1"),IF(VLOOKUP(R$1,INDIRECT("'"&amp;$A65&amp;"'!$A$12:$Z$41"),MATCH("Points (Auto-generate)",INDIRECT("'"&amp;$A65&amp;"'!$A$12:$Z$12"),0),0)="","?",VLOOKUP(R$1,INDIRECT("'"&amp;$A65&amp;"'!$A$12:$Z$41"),MATCH("Points (Auto-generate)",INDIRECT("'"&amp;$A65&amp;"'!$A$12:$Z$12"),0),0)),"ER"))</f>
        <v>?</v>
      </c>
      <c r="S65" s="87" t="str">
        <f aca="true">IF($H65=0,"NA",IF($A65=INDIRECT("'"&amp;$A65&amp;"'!$B$1"),IF(VLOOKUP(S$1,INDIRECT("'"&amp;$A65&amp;"'!$A$12:$Z$41"),MATCH("Points (Auto-generate)",INDIRECT("'"&amp;$A65&amp;"'!$A$12:$Z$12"),0),0)="","?",VLOOKUP(S$1,INDIRECT("'"&amp;$A65&amp;"'!$A$12:$Z$41"),MATCH("Points (Auto-generate)",INDIRECT("'"&amp;$A65&amp;"'!$A$12:$Z$12"),0),0)),"ER"))</f>
        <v>?</v>
      </c>
      <c r="T65" s="87" t="str">
        <f aca="true">IF($H65=0,"NA",IF($A65=INDIRECT("'"&amp;$A65&amp;"'!$B$1"),IF(VLOOKUP(T$1,INDIRECT("'"&amp;$A65&amp;"'!$A$12:$Z$41"),MATCH("Points (Auto-generate)",INDIRECT("'"&amp;$A65&amp;"'!$A$12:$Z$12"),0),0)="","?",VLOOKUP(T$1,INDIRECT("'"&amp;$A65&amp;"'!$A$12:$Z$41"),MATCH("Points (Auto-generate)",INDIRECT("'"&amp;$A65&amp;"'!$A$12:$Z$12"),0),0)),"ER"))</f>
        <v>?</v>
      </c>
      <c r="U65" s="87" t="str">
        <f aca="true">IF($H65=0,"NA",IF($A65=INDIRECT("'"&amp;$A65&amp;"'!$B$1"),IF(VLOOKUP(U$1,INDIRECT("'"&amp;$A65&amp;"'!$A$12:$Z$41"),MATCH("Points (Auto-generate)",INDIRECT("'"&amp;$A65&amp;"'!$A$12:$Z$12"),0),0)="","?",VLOOKUP(U$1,INDIRECT("'"&amp;$A65&amp;"'!$A$12:$Z$41"),MATCH("Points (Auto-generate)",INDIRECT("'"&amp;$A65&amp;"'!$A$12:$Z$12"),0),0)),"ER"))</f>
        <v>?</v>
      </c>
      <c r="V65" s="87" t="str">
        <f aca="true">IF($H65=0,"NA",IF($A65=INDIRECT("'"&amp;$A65&amp;"'!$B$1"),IF(VLOOKUP(V$1,INDIRECT("'"&amp;$A65&amp;"'!$A$12:$Z$41"),MATCH("Points (Auto-generate)",INDIRECT("'"&amp;$A65&amp;"'!$A$12:$Z$12"),0),0)="","?",VLOOKUP(V$1,INDIRECT("'"&amp;$A65&amp;"'!$A$12:$Z$41"),MATCH("Points (Auto-generate)",INDIRECT("'"&amp;$A65&amp;"'!$A$12:$Z$12"),0),0)),"ER"))</f>
        <v>?</v>
      </c>
      <c r="W65" s="87" t="str">
        <f aca="true">IF($H65=0,"NA",IF($A65=INDIRECT("'"&amp;$A65&amp;"'!$B$1"),IF(VLOOKUP(W$1,INDIRECT("'"&amp;$A65&amp;"'!$A$12:$Z$41"),MATCH("Points (Auto-generate)",INDIRECT("'"&amp;$A65&amp;"'!$A$12:$Z$12"),0),0)="","?",VLOOKUP(W$1,INDIRECT("'"&amp;$A65&amp;"'!$A$12:$Z$41"),MATCH("Points (Auto-generate)",INDIRECT("'"&amp;$A65&amp;"'!$A$12:$Z$12"),0),0)),"ER"))</f>
        <v>?</v>
      </c>
      <c r="X65" s="87" t="str">
        <f aca="true">IF($H65=0,"NA",IF($A65=INDIRECT("'"&amp;$A65&amp;"'!$B$1"),IF(VLOOKUP(X$1,INDIRECT("'"&amp;$A65&amp;"'!$A$12:$Z$41"),MATCH("Points (Auto-generate)",INDIRECT("'"&amp;$A65&amp;"'!$A$12:$Z$12"),0),0)="","?",VLOOKUP(X$1,INDIRECT("'"&amp;$A65&amp;"'!$A$12:$Z$41"),MATCH("Points (Auto-generate)",INDIRECT("'"&amp;$A65&amp;"'!$A$12:$Z$12"),0),0)),"ER"))</f>
        <v>?</v>
      </c>
      <c r="Y65" s="87" t="str">
        <f aca="true">IF($H65=0,"NA",IF($A65=INDIRECT("'"&amp;$A65&amp;"'!$B$1"),IF(VLOOKUP(Y$1,INDIRECT("'"&amp;$A65&amp;"'!$A$12:$Z$41"),MATCH("Points (Auto-generate)",INDIRECT("'"&amp;$A65&amp;"'!$A$12:$Z$12"),0),0)="","?",VLOOKUP(Y$1,INDIRECT("'"&amp;$A65&amp;"'!$A$12:$Z$41"),MATCH("Points (Auto-generate)",INDIRECT("'"&amp;$A65&amp;"'!$A$12:$Z$12"),0),0)),"ER"))</f>
        <v>?</v>
      </c>
      <c r="Z65" s="87" t="str">
        <f aca="true">IF($H65=0,"NA",IF($A65=INDIRECT("'"&amp;$A65&amp;"'!$B$1"),IF(VLOOKUP(Z$1,INDIRECT("'"&amp;$A65&amp;"'!$A$12:$Z$41"),MATCH("Points (Auto-generate)",INDIRECT("'"&amp;$A65&amp;"'!$A$12:$Z$12"),0),0)="","?",VLOOKUP(Z$1,INDIRECT("'"&amp;$A65&amp;"'!$A$12:$Z$41"),MATCH("Points (Auto-generate)",INDIRECT("'"&amp;$A65&amp;"'!$A$12:$Z$12"),0),0)),"ER"))</f>
        <v>?</v>
      </c>
      <c r="AA65" s="87" t="str">
        <f aca="true">IF($H65=0,"NA",IF($A65=INDIRECT("'"&amp;$A65&amp;"'!$B$1"),IF(VLOOKUP(AA$1,INDIRECT("'"&amp;$A65&amp;"'!$A$12:$Z$41"),MATCH("Points (Auto-generate)",INDIRECT("'"&amp;$A65&amp;"'!$A$12:$Z$12"),0),0)="","?",VLOOKUP(AA$1,INDIRECT("'"&amp;$A65&amp;"'!$A$12:$Z$41"),MATCH("Points (Auto-generate)",INDIRECT("'"&amp;$A65&amp;"'!$A$12:$Z$12"),0),0)),"ER"))</f>
        <v>?</v>
      </c>
      <c r="AB65" s="87" t="str">
        <f aca="true">IF($H65=0,"NA",IF($A65=INDIRECT("'"&amp;$A65&amp;"'!$B$1"),IF(VLOOKUP(AB$1,INDIRECT("'"&amp;$A65&amp;"'!$A$12:$Z$41"),MATCH("Points (Auto-generate)",INDIRECT("'"&amp;$A65&amp;"'!$A$12:$Z$12"),0),0)="","?",VLOOKUP(AB$1,INDIRECT("'"&amp;$A65&amp;"'!$A$12:$Z$41"),MATCH("Points (Auto-generate)",INDIRECT("'"&amp;$A65&amp;"'!$A$12:$Z$12"),0),0)),"ER"))</f>
        <v>?</v>
      </c>
      <c r="AC65" s="87" t="n">
        <f aca="true">IF($H65=0,"NA",IF($A65=INDIRECT("'"&amp;$A65&amp;"'!$B$1"),IF(VLOOKUP(AC$1,INDIRECT("'"&amp;$A65&amp;"'!$A$12:$Z$41"),MATCH("Points (Auto-generate)",INDIRECT("'"&amp;$A65&amp;"'!$A$12:$Z$12"),0),0)="","?",VLOOKUP(AC$1,INDIRECT("'"&amp;$A65&amp;"'!$A$12:$Z$41"),MATCH("Points (Auto-generate)",INDIRECT("'"&amp;$A65&amp;"'!$A$12:$Z$12"),0),0)),"ER"))</f>
        <v>3.33</v>
      </c>
      <c r="AD65" s="87" t="str">
        <f aca="true">IF($H65=0,"NA",IF($A65=INDIRECT("'"&amp;$A65&amp;"'!$B$1"),IF(VLOOKUP(AD$1,INDIRECT("'"&amp;$A65&amp;"'!$A$12:$Z$41"),MATCH("Points (Auto-generate)",INDIRECT("'"&amp;$A65&amp;"'!$A$12:$Z$12"),0),0)="","?",VLOOKUP(AD$1,INDIRECT("'"&amp;$A65&amp;"'!$A$12:$Z$41"),MATCH("Points (Auto-generate)",INDIRECT("'"&amp;$A65&amp;"'!$A$12:$Z$12"),0),0)),"ER"))</f>
        <v>?</v>
      </c>
      <c r="AE65" s="87" t="str">
        <f aca="true">IF($H65=0,"NA",IF($A65=INDIRECT("'"&amp;$A65&amp;"'!$B$1"),IF(VLOOKUP(AE$1,INDIRECT("'"&amp;$A65&amp;"'!$A$12:$Z$41"),MATCH("Points (Auto-generate)",INDIRECT("'"&amp;$A65&amp;"'!$A$12:$Z$12"),0),0)="","?",VLOOKUP(AE$1,INDIRECT("'"&amp;$A65&amp;"'!$A$12:$Z$41"),MATCH("Points (Auto-generate)",INDIRECT("'"&amp;$A65&amp;"'!$A$12:$Z$12"),0),0)),"ER"))</f>
        <v>?</v>
      </c>
      <c r="AF65" s="87" t="str">
        <f aca="true">IF($H65=0,"NA",IF($A65=INDIRECT("'"&amp;$A65&amp;"'!$B$1"),IF(VLOOKUP(AF$1,INDIRECT("'"&amp;$A65&amp;"'!$A$12:$Z$41"),MATCH("Points (Auto-generate)",INDIRECT("'"&amp;$A65&amp;"'!$A$12:$Z$12"),0),0)="","?",VLOOKUP(AF$1,INDIRECT("'"&amp;$A65&amp;"'!$A$12:$Z$41"),MATCH("Points (Auto-generate)",INDIRECT("'"&amp;$A65&amp;"'!$A$12:$Z$12"),0),0)),"ER"))</f>
        <v>?</v>
      </c>
      <c r="AG65" s="87" t="str">
        <f aca="true">IF($H65=0,"NA",IF($A65=INDIRECT("'"&amp;$A65&amp;"'!$B$1"),IF(VLOOKUP(AG$1,INDIRECT("'"&amp;$A65&amp;"'!$A$12:$Z$41"),MATCH("Points (Auto-generate)",INDIRECT("'"&amp;$A65&amp;"'!$A$12:$Z$12"),0),0)="","?",VLOOKUP(AG$1,INDIRECT("'"&amp;$A65&amp;"'!$A$12:$Z$41"),MATCH("Points (Auto-generate)",INDIRECT("'"&amp;$A65&amp;"'!$A$12:$Z$12"),0),0)),"ER"))</f>
        <v>?</v>
      </c>
      <c r="AH65" s="87" t="str">
        <f aca="true">IF($H65=0,"NA",IF($A65=INDIRECT("'"&amp;$A65&amp;"'!$B$1"),IF(VLOOKUP(AH$1,INDIRECT("'"&amp;$A65&amp;"'!$A$12:$Z$41"),MATCH("Points (Auto-generate)",INDIRECT("'"&amp;$A65&amp;"'!$A$12:$Z$12"),0),0)="","?",VLOOKUP(AH$1,INDIRECT("'"&amp;$A65&amp;"'!$A$12:$Z$41"),MATCH("Points (Auto-generate)",INDIRECT("'"&amp;$A65&amp;"'!$A$12:$Z$12"),0),0)),"ER"))</f>
        <v>?</v>
      </c>
      <c r="AI65" s="87" t="str">
        <f aca="true">IF($H65=0,"NA",IF($A65=INDIRECT("'"&amp;$A65&amp;"'!$B$1"),IF(VLOOKUP(AI$1,INDIRECT("'"&amp;$A65&amp;"'!$A$12:$Z$41"),MATCH("Points (Auto-generate)",INDIRECT("'"&amp;$A65&amp;"'!$A$12:$Z$12"),0),0)="","?",VLOOKUP(AI$1,INDIRECT("'"&amp;$A65&amp;"'!$A$12:$Z$41"),MATCH("Points (Auto-generate)",INDIRECT("'"&amp;$A65&amp;"'!$A$12:$Z$12"),0),0)),"ER"))</f>
        <v>?</v>
      </c>
      <c r="AJ65" s="87" t="str">
        <f aca="true">IF($H65=0,"NA",IF($A65=INDIRECT("'"&amp;$A65&amp;"'!$B$1"),IF(VLOOKUP(AJ$1,INDIRECT("'"&amp;$A65&amp;"'!$A$12:$Z$41"),MATCH("Points (Auto-generate)",INDIRECT("'"&amp;$A65&amp;"'!$A$12:$Z$12"),0),0)="","?",VLOOKUP(AJ$1,INDIRECT("'"&amp;$A65&amp;"'!$A$12:$Z$41"),MATCH("Points (Auto-generate)",INDIRECT("'"&amp;$A65&amp;"'!$A$12:$Z$12"),0),0)),"ER"))</f>
        <v>?</v>
      </c>
      <c r="AK65" s="87" t="str">
        <f aca="true">IF($H65=0,"NA",IF($A65=INDIRECT("'"&amp;$A65&amp;"'!$B$1"),IF(VLOOKUP(AK$1,INDIRECT("'"&amp;$A65&amp;"'!$A$12:$Z$41"),MATCH("Points (Auto-generate)",INDIRECT("'"&amp;$A65&amp;"'!$A$12:$Z$12"),0),0)="","?",VLOOKUP(AK$1,INDIRECT("'"&amp;$A65&amp;"'!$A$12:$Z$41"),MATCH("Points (Auto-generate)",INDIRECT("'"&amp;$A65&amp;"'!$A$12:$Z$12"),0),0)),"ER"))</f>
        <v>?</v>
      </c>
    </row>
    <row r="66" customFormat="false" ht="14.25" hidden="false" customHeight="true" outlineLevel="0" collapsed="false">
      <c r="A66" s="83" t="s">
        <v>364</v>
      </c>
      <c r="B66" s="84" t="str">
        <f aca="false">IF(ISBLANK($A66),"NO_CODE",VLOOKUP($A66,'UPD Questions_290926 '!$E$1:$N$300,MATCH(B$1,'UPD Questions_290926 '!$E$1:$N$1,0),0)&amp;"")</f>
        <v>Implementation</v>
      </c>
      <c r="C66" s="84" t="str">
        <f aca="false">IF(ISBLANK($A66),"NO_CODE",VLOOKUP($A66,'UPD Questions_290926 '!$E$1:$N$300,MATCH(C$1,'UPD Questions_290926 '!$E$1:$N$1,0),0)&amp;"")</f>
        <v>Sectoral planning</v>
      </c>
      <c r="D66" s="84" t="str">
        <f aca="false">IF(ISBLANK($A66),"NO_CODE",VLOOKUP($A66,'UPD Questions_290926 '!$E$1:$N$300,MATCH(D$1,'UPD Questions_290926 '!$E$1:$N$1,0),0)&amp;"")</f>
        <v>Sustainability, resilience and climate action</v>
      </c>
      <c r="E66" s="84" t="str">
        <f aca="false">IF(ISBLANK($A66),"NO_CODE",VLOOKUP($A66,'UPD Questions_290926 '!$E$1:$N$300,MATCH(E$1,'UPD Questions_290926 '!$E$1:$N$1,0),0)&amp;"")</f>
        <v>SQ</v>
      </c>
      <c r="F66" s="84" t="str">
        <f aca="false">IF(ISBLANK($A66),"NO_CODE",VLOOKUP($A66,'UPD Questions_290926 '!$E$1:$N$300,MATCH(F$1,'UPD Questions_290926 '!$E$1:$N$1,0),0)&amp;"")</f>
        <v>Does the plan have development priorities and measurable objectives?</v>
      </c>
      <c r="G66" s="84" t="str">
        <f aca="false">IF(ISBLANK($A66),"NO_CODE",VLOOKUP($A66,'UPD Questions_290926 '!$E$1:$N$300,MATCH(G$1,'UPD Questions_290926 '!$E$1:$N$1,0),0)&amp;"")</f>
        <v>Implementation</v>
      </c>
      <c r="H66" s="86" t="n">
        <f aca="false">IF(ISBLANK($A66),"NO_CODE",VLOOKUP($A66,'UPD Questions_290926 '!$E$1:$N$300,MATCH(H$1,'UPD Questions_290926 '!$E$1:$N$1,0),0))</f>
        <v>3.33</v>
      </c>
      <c r="I66" s="87" t="str">
        <f aca="true">IF($H66=0,"NA",IF($A66=INDIRECT("'"&amp;$A66&amp;"'!$B$1"),IF(VLOOKUP(I$1,INDIRECT("'"&amp;$A66&amp;"'!$A$12:$Z$41"),MATCH("Points (Auto-generate)",INDIRECT("'"&amp;$A66&amp;"'!$A$12:$Z$12"),0),0)="","?",VLOOKUP(I$1,INDIRECT("'"&amp;$A66&amp;"'!$A$12:$Z$41"),MATCH("Points (Auto-generate)",INDIRECT("'"&amp;$A66&amp;"'!$A$12:$Z$12"),0),0)),"ER"))</f>
        <v>?</v>
      </c>
      <c r="J66" s="87" t="n">
        <f aca="true">IF($H66=0,"NA",IF($A66=INDIRECT("'"&amp;$A66&amp;"'!$B$1"),IF(VLOOKUP(J$1,INDIRECT("'"&amp;$A66&amp;"'!$A$12:$Z$41"),MATCH("Points (Auto-generate)",INDIRECT("'"&amp;$A66&amp;"'!$A$12:$Z$12"),0),0)="","?",VLOOKUP(J$1,INDIRECT("'"&amp;$A66&amp;"'!$A$12:$Z$41"),MATCH("Points (Auto-generate)",INDIRECT("'"&amp;$A66&amp;"'!$A$12:$Z$12"),0),0)),"ER"))</f>
        <v>3.33</v>
      </c>
      <c r="K66" s="87" t="str">
        <f aca="true">IF($H66=0,"NA",IF($A66=INDIRECT("'"&amp;$A66&amp;"'!$B$1"),IF(VLOOKUP(K$1,INDIRECT("'"&amp;$A66&amp;"'!$A$12:$Z$41"),MATCH("Points (Auto-generate)",INDIRECT("'"&amp;$A66&amp;"'!$A$12:$Z$12"),0),0)="","?",VLOOKUP(K$1,INDIRECT("'"&amp;$A66&amp;"'!$A$12:$Z$41"),MATCH("Points (Auto-generate)",INDIRECT("'"&amp;$A66&amp;"'!$A$12:$Z$12"),0),0)),"ER"))</f>
        <v>?</v>
      </c>
      <c r="L66" s="87" t="str">
        <f aca="true">IF($H66=0,"NA",IF($A66=INDIRECT("'"&amp;$A66&amp;"'!$B$1"),IF(VLOOKUP(L$1,INDIRECT("'"&amp;$A66&amp;"'!$A$12:$Z$41"),MATCH("Points (Auto-generate)",INDIRECT("'"&amp;$A66&amp;"'!$A$12:$Z$12"),0),0)="","?",VLOOKUP(L$1,INDIRECT("'"&amp;$A66&amp;"'!$A$12:$Z$41"),MATCH("Points (Auto-generate)",INDIRECT("'"&amp;$A66&amp;"'!$A$12:$Z$12"),0),0)),"ER"))</f>
        <v>?</v>
      </c>
      <c r="M66" s="87" t="str">
        <f aca="true">IF($H66=0,"NA",IF($A66=INDIRECT("'"&amp;$A66&amp;"'!$B$1"),IF(VLOOKUP(M$1,INDIRECT("'"&amp;$A66&amp;"'!$A$12:$Z$41"),MATCH("Points (Auto-generate)",INDIRECT("'"&amp;$A66&amp;"'!$A$12:$Z$12"),0),0)="","?",VLOOKUP(M$1,INDIRECT("'"&amp;$A66&amp;"'!$A$12:$Z$41"),MATCH("Points (Auto-generate)",INDIRECT("'"&amp;$A66&amp;"'!$A$12:$Z$12"),0),0)),"ER"))</f>
        <v>?</v>
      </c>
      <c r="N66" s="87" t="str">
        <f aca="true">IF($H66=0,"NA",IF($A66=INDIRECT("'"&amp;$A66&amp;"'!$B$1"),IF(VLOOKUP(N$1,INDIRECT("'"&amp;$A66&amp;"'!$A$12:$Z$41"),MATCH("Points (Auto-generate)",INDIRECT("'"&amp;$A66&amp;"'!$A$12:$Z$12"),0),0)="","?",VLOOKUP(N$1,INDIRECT("'"&amp;$A66&amp;"'!$A$12:$Z$41"),MATCH("Points (Auto-generate)",INDIRECT("'"&amp;$A66&amp;"'!$A$12:$Z$12"),0),0)),"ER"))</f>
        <v>?</v>
      </c>
      <c r="O66" s="87" t="str">
        <f aca="true">IF($H66=0,"NA",IF($A66=INDIRECT("'"&amp;$A66&amp;"'!$B$1"),IF(VLOOKUP(O$1,INDIRECT("'"&amp;$A66&amp;"'!$A$12:$Z$41"),MATCH("Points (Auto-generate)",INDIRECT("'"&amp;$A66&amp;"'!$A$12:$Z$12"),0),0)="","?",VLOOKUP(O$1,INDIRECT("'"&amp;$A66&amp;"'!$A$12:$Z$41"),MATCH("Points (Auto-generate)",INDIRECT("'"&amp;$A66&amp;"'!$A$12:$Z$12"),0),0)),"ER"))</f>
        <v>?</v>
      </c>
      <c r="P66" s="87" t="str">
        <f aca="true">IF($H66=0,"NA",IF($A66=INDIRECT("'"&amp;$A66&amp;"'!$B$1"),IF(VLOOKUP(P$1,INDIRECT("'"&amp;$A66&amp;"'!$A$12:$Z$41"),MATCH("Points (Auto-generate)",INDIRECT("'"&amp;$A66&amp;"'!$A$12:$Z$12"),0),0)="","?",VLOOKUP(P$1,INDIRECT("'"&amp;$A66&amp;"'!$A$12:$Z$41"),MATCH("Points (Auto-generate)",INDIRECT("'"&amp;$A66&amp;"'!$A$12:$Z$12"),0),0)),"ER"))</f>
        <v>?</v>
      </c>
      <c r="Q66" s="87" t="str">
        <f aca="true">IF($H66=0,"NA",IF($A66=INDIRECT("'"&amp;$A66&amp;"'!$B$1"),IF(VLOOKUP(Q$1,INDIRECT("'"&amp;$A66&amp;"'!$A$12:$Z$41"),MATCH("Points (Auto-generate)",INDIRECT("'"&amp;$A66&amp;"'!$A$12:$Z$12"),0),0)="","?",VLOOKUP(Q$1,INDIRECT("'"&amp;$A66&amp;"'!$A$12:$Z$41"),MATCH("Points (Auto-generate)",INDIRECT("'"&amp;$A66&amp;"'!$A$12:$Z$12"),0),0)),"ER"))</f>
        <v>?</v>
      </c>
      <c r="R66" s="87" t="str">
        <f aca="true">IF($H66=0,"NA",IF($A66=INDIRECT("'"&amp;$A66&amp;"'!$B$1"),IF(VLOOKUP(R$1,INDIRECT("'"&amp;$A66&amp;"'!$A$12:$Z$41"),MATCH("Points (Auto-generate)",INDIRECT("'"&amp;$A66&amp;"'!$A$12:$Z$12"),0),0)="","?",VLOOKUP(R$1,INDIRECT("'"&amp;$A66&amp;"'!$A$12:$Z$41"),MATCH("Points (Auto-generate)",INDIRECT("'"&amp;$A66&amp;"'!$A$12:$Z$12"),0),0)),"ER"))</f>
        <v>?</v>
      </c>
      <c r="S66" s="87" t="str">
        <f aca="true">IF($H66=0,"NA",IF($A66=INDIRECT("'"&amp;$A66&amp;"'!$B$1"),IF(VLOOKUP(S$1,INDIRECT("'"&amp;$A66&amp;"'!$A$12:$Z$41"),MATCH("Points (Auto-generate)",INDIRECT("'"&amp;$A66&amp;"'!$A$12:$Z$12"),0),0)="","?",VLOOKUP(S$1,INDIRECT("'"&amp;$A66&amp;"'!$A$12:$Z$41"),MATCH("Points (Auto-generate)",INDIRECT("'"&amp;$A66&amp;"'!$A$12:$Z$12"),0),0)),"ER"))</f>
        <v>?</v>
      </c>
      <c r="T66" s="87" t="str">
        <f aca="true">IF($H66=0,"NA",IF($A66=INDIRECT("'"&amp;$A66&amp;"'!$B$1"),IF(VLOOKUP(T$1,INDIRECT("'"&amp;$A66&amp;"'!$A$12:$Z$41"),MATCH("Points (Auto-generate)",INDIRECT("'"&amp;$A66&amp;"'!$A$12:$Z$12"),0),0)="","?",VLOOKUP(T$1,INDIRECT("'"&amp;$A66&amp;"'!$A$12:$Z$41"),MATCH("Points (Auto-generate)",INDIRECT("'"&amp;$A66&amp;"'!$A$12:$Z$12"),0),0)),"ER"))</f>
        <v>?</v>
      </c>
      <c r="U66" s="87" t="str">
        <f aca="true">IF($H66=0,"NA",IF($A66=INDIRECT("'"&amp;$A66&amp;"'!$B$1"),IF(VLOOKUP(U$1,INDIRECT("'"&amp;$A66&amp;"'!$A$12:$Z$41"),MATCH("Points (Auto-generate)",INDIRECT("'"&amp;$A66&amp;"'!$A$12:$Z$12"),0),0)="","?",VLOOKUP(U$1,INDIRECT("'"&amp;$A66&amp;"'!$A$12:$Z$41"),MATCH("Points (Auto-generate)",INDIRECT("'"&amp;$A66&amp;"'!$A$12:$Z$12"),0),0)),"ER"))</f>
        <v>?</v>
      </c>
      <c r="V66" s="87" t="str">
        <f aca="true">IF($H66=0,"NA",IF($A66=INDIRECT("'"&amp;$A66&amp;"'!$B$1"),IF(VLOOKUP(V$1,INDIRECT("'"&amp;$A66&amp;"'!$A$12:$Z$41"),MATCH("Points (Auto-generate)",INDIRECT("'"&amp;$A66&amp;"'!$A$12:$Z$12"),0),0)="","?",VLOOKUP(V$1,INDIRECT("'"&amp;$A66&amp;"'!$A$12:$Z$41"),MATCH("Points (Auto-generate)",INDIRECT("'"&amp;$A66&amp;"'!$A$12:$Z$12"),0),0)),"ER"))</f>
        <v>?</v>
      </c>
      <c r="W66" s="87" t="str">
        <f aca="true">IF($H66=0,"NA",IF($A66=INDIRECT("'"&amp;$A66&amp;"'!$B$1"),IF(VLOOKUP(W$1,INDIRECT("'"&amp;$A66&amp;"'!$A$12:$Z$41"),MATCH("Points (Auto-generate)",INDIRECT("'"&amp;$A66&amp;"'!$A$12:$Z$12"),0),0)="","?",VLOOKUP(W$1,INDIRECT("'"&amp;$A66&amp;"'!$A$12:$Z$41"),MATCH("Points (Auto-generate)",INDIRECT("'"&amp;$A66&amp;"'!$A$12:$Z$12"),0),0)),"ER"))</f>
        <v>?</v>
      </c>
      <c r="X66" s="87" t="str">
        <f aca="true">IF($H66=0,"NA",IF($A66=INDIRECT("'"&amp;$A66&amp;"'!$B$1"),IF(VLOOKUP(X$1,INDIRECT("'"&amp;$A66&amp;"'!$A$12:$Z$41"),MATCH("Points (Auto-generate)",INDIRECT("'"&amp;$A66&amp;"'!$A$12:$Z$12"),0),0)="","?",VLOOKUP(X$1,INDIRECT("'"&amp;$A66&amp;"'!$A$12:$Z$41"),MATCH("Points (Auto-generate)",INDIRECT("'"&amp;$A66&amp;"'!$A$12:$Z$12"),0),0)),"ER"))</f>
        <v>?</v>
      </c>
      <c r="Y66" s="87" t="str">
        <f aca="true">IF($H66=0,"NA",IF($A66=INDIRECT("'"&amp;$A66&amp;"'!$B$1"),IF(VLOOKUP(Y$1,INDIRECT("'"&amp;$A66&amp;"'!$A$12:$Z$41"),MATCH("Points (Auto-generate)",INDIRECT("'"&amp;$A66&amp;"'!$A$12:$Z$12"),0),0)="","?",VLOOKUP(Y$1,INDIRECT("'"&amp;$A66&amp;"'!$A$12:$Z$41"),MATCH("Points (Auto-generate)",INDIRECT("'"&amp;$A66&amp;"'!$A$12:$Z$12"),0),0)),"ER"))</f>
        <v>?</v>
      </c>
      <c r="Z66" s="87" t="str">
        <f aca="true">IF($H66=0,"NA",IF($A66=INDIRECT("'"&amp;$A66&amp;"'!$B$1"),IF(VLOOKUP(Z$1,INDIRECT("'"&amp;$A66&amp;"'!$A$12:$Z$41"),MATCH("Points (Auto-generate)",INDIRECT("'"&amp;$A66&amp;"'!$A$12:$Z$12"),0),0)="","?",VLOOKUP(Z$1,INDIRECT("'"&amp;$A66&amp;"'!$A$12:$Z$41"),MATCH("Points (Auto-generate)",INDIRECT("'"&amp;$A66&amp;"'!$A$12:$Z$12"),0),0)),"ER"))</f>
        <v>?</v>
      </c>
      <c r="AA66" s="87" t="str">
        <f aca="true">IF($H66=0,"NA",IF($A66=INDIRECT("'"&amp;$A66&amp;"'!$B$1"),IF(VLOOKUP(AA$1,INDIRECT("'"&amp;$A66&amp;"'!$A$12:$Z$41"),MATCH("Points (Auto-generate)",INDIRECT("'"&amp;$A66&amp;"'!$A$12:$Z$12"),0),0)="","?",VLOOKUP(AA$1,INDIRECT("'"&amp;$A66&amp;"'!$A$12:$Z$41"),MATCH("Points (Auto-generate)",INDIRECT("'"&amp;$A66&amp;"'!$A$12:$Z$12"),0),0)),"ER"))</f>
        <v>?</v>
      </c>
      <c r="AB66" s="87" t="str">
        <f aca="true">IF($H66=0,"NA",IF($A66=INDIRECT("'"&amp;$A66&amp;"'!$B$1"),IF(VLOOKUP(AB$1,INDIRECT("'"&amp;$A66&amp;"'!$A$12:$Z$41"),MATCH("Points (Auto-generate)",INDIRECT("'"&amp;$A66&amp;"'!$A$12:$Z$12"),0),0)="","?",VLOOKUP(AB$1,INDIRECT("'"&amp;$A66&amp;"'!$A$12:$Z$41"),MATCH("Points (Auto-generate)",INDIRECT("'"&amp;$A66&amp;"'!$A$12:$Z$12"),0),0)),"ER"))</f>
        <v>?</v>
      </c>
      <c r="AC66" s="87" t="n">
        <f aca="true">IF($H66=0,"NA",IF($A66=INDIRECT("'"&amp;$A66&amp;"'!$B$1"),IF(VLOOKUP(AC$1,INDIRECT("'"&amp;$A66&amp;"'!$A$12:$Z$41"),MATCH("Points (Auto-generate)",INDIRECT("'"&amp;$A66&amp;"'!$A$12:$Z$12"),0),0)="","?",VLOOKUP(AC$1,INDIRECT("'"&amp;$A66&amp;"'!$A$12:$Z$41"),MATCH("Points (Auto-generate)",INDIRECT("'"&amp;$A66&amp;"'!$A$12:$Z$12"),0),0)),"ER"))</f>
        <v>3.33</v>
      </c>
      <c r="AD66" s="87" t="str">
        <f aca="true">IF($H66=0,"NA",IF($A66=INDIRECT("'"&amp;$A66&amp;"'!$B$1"),IF(VLOOKUP(AD$1,INDIRECT("'"&amp;$A66&amp;"'!$A$12:$Z$41"),MATCH("Points (Auto-generate)",INDIRECT("'"&amp;$A66&amp;"'!$A$12:$Z$12"),0),0)="","?",VLOOKUP(AD$1,INDIRECT("'"&amp;$A66&amp;"'!$A$12:$Z$41"),MATCH("Points (Auto-generate)",INDIRECT("'"&amp;$A66&amp;"'!$A$12:$Z$12"),0),0)),"ER"))</f>
        <v>?</v>
      </c>
      <c r="AE66" s="87" t="str">
        <f aca="true">IF($H66=0,"NA",IF($A66=INDIRECT("'"&amp;$A66&amp;"'!$B$1"),IF(VLOOKUP(AE$1,INDIRECT("'"&amp;$A66&amp;"'!$A$12:$Z$41"),MATCH("Points (Auto-generate)",INDIRECT("'"&amp;$A66&amp;"'!$A$12:$Z$12"),0),0)="","?",VLOOKUP(AE$1,INDIRECT("'"&amp;$A66&amp;"'!$A$12:$Z$41"),MATCH("Points (Auto-generate)",INDIRECT("'"&amp;$A66&amp;"'!$A$12:$Z$12"),0),0)),"ER"))</f>
        <v>?</v>
      </c>
      <c r="AF66" s="87" t="str">
        <f aca="true">IF($H66=0,"NA",IF($A66=INDIRECT("'"&amp;$A66&amp;"'!$B$1"),IF(VLOOKUP(AF$1,INDIRECT("'"&amp;$A66&amp;"'!$A$12:$Z$41"),MATCH("Points (Auto-generate)",INDIRECT("'"&amp;$A66&amp;"'!$A$12:$Z$12"),0),0)="","?",VLOOKUP(AF$1,INDIRECT("'"&amp;$A66&amp;"'!$A$12:$Z$41"),MATCH("Points (Auto-generate)",INDIRECT("'"&amp;$A66&amp;"'!$A$12:$Z$12"),0),0)),"ER"))</f>
        <v>?</v>
      </c>
      <c r="AG66" s="87" t="str">
        <f aca="true">IF($H66=0,"NA",IF($A66=INDIRECT("'"&amp;$A66&amp;"'!$B$1"),IF(VLOOKUP(AG$1,INDIRECT("'"&amp;$A66&amp;"'!$A$12:$Z$41"),MATCH("Points (Auto-generate)",INDIRECT("'"&amp;$A66&amp;"'!$A$12:$Z$12"),0),0)="","?",VLOOKUP(AG$1,INDIRECT("'"&amp;$A66&amp;"'!$A$12:$Z$41"),MATCH("Points (Auto-generate)",INDIRECT("'"&amp;$A66&amp;"'!$A$12:$Z$12"),0),0)),"ER"))</f>
        <v>?</v>
      </c>
      <c r="AH66" s="87" t="str">
        <f aca="true">IF($H66=0,"NA",IF($A66=INDIRECT("'"&amp;$A66&amp;"'!$B$1"),IF(VLOOKUP(AH$1,INDIRECT("'"&amp;$A66&amp;"'!$A$12:$Z$41"),MATCH("Points (Auto-generate)",INDIRECT("'"&amp;$A66&amp;"'!$A$12:$Z$12"),0),0)="","?",VLOOKUP(AH$1,INDIRECT("'"&amp;$A66&amp;"'!$A$12:$Z$41"),MATCH("Points (Auto-generate)",INDIRECT("'"&amp;$A66&amp;"'!$A$12:$Z$12"),0),0)),"ER"))</f>
        <v>?</v>
      </c>
      <c r="AI66" s="87" t="str">
        <f aca="true">IF($H66=0,"NA",IF($A66=INDIRECT("'"&amp;$A66&amp;"'!$B$1"),IF(VLOOKUP(AI$1,INDIRECT("'"&amp;$A66&amp;"'!$A$12:$Z$41"),MATCH("Points (Auto-generate)",INDIRECT("'"&amp;$A66&amp;"'!$A$12:$Z$12"),0),0)="","?",VLOOKUP(AI$1,INDIRECT("'"&amp;$A66&amp;"'!$A$12:$Z$41"),MATCH("Points (Auto-generate)",INDIRECT("'"&amp;$A66&amp;"'!$A$12:$Z$12"),0),0)),"ER"))</f>
        <v>?</v>
      </c>
      <c r="AJ66" s="87" t="str">
        <f aca="true">IF($H66=0,"NA",IF($A66=INDIRECT("'"&amp;$A66&amp;"'!$B$1"),IF(VLOOKUP(AJ$1,INDIRECT("'"&amp;$A66&amp;"'!$A$12:$Z$41"),MATCH("Points (Auto-generate)",INDIRECT("'"&amp;$A66&amp;"'!$A$12:$Z$12"),0),0)="","?",VLOOKUP(AJ$1,INDIRECT("'"&amp;$A66&amp;"'!$A$12:$Z$41"),MATCH("Points (Auto-generate)",INDIRECT("'"&amp;$A66&amp;"'!$A$12:$Z$12"),0),0)),"ER"))</f>
        <v>?</v>
      </c>
      <c r="AK66" s="87" t="str">
        <f aca="true">IF($H66=0,"NA",IF($A66=INDIRECT("'"&amp;$A66&amp;"'!$B$1"),IF(VLOOKUP(AK$1,INDIRECT("'"&amp;$A66&amp;"'!$A$12:$Z$41"),MATCH("Points (Auto-generate)",INDIRECT("'"&amp;$A66&amp;"'!$A$12:$Z$12"),0),0)="","?",VLOOKUP(AK$1,INDIRECT("'"&amp;$A66&amp;"'!$A$12:$Z$41"),MATCH("Points (Auto-generate)",INDIRECT("'"&amp;$A66&amp;"'!$A$12:$Z$12"),0),0)),"ER"))</f>
        <v>?</v>
      </c>
    </row>
    <row r="67" customFormat="false" ht="14.25" hidden="false" customHeight="true" outlineLevel="0" collapsed="false">
      <c r="A67" s="83" t="s">
        <v>372</v>
      </c>
      <c r="B67" s="84" t="str">
        <f aca="false">IF(ISBLANK($A67),"NO_CODE",VLOOKUP($A67,'UPD Questions_290926 '!$E$1:$N$300,MATCH(B$1,'UPD Questions_290926 '!$E$1:$N$1,0),0)&amp;"")</f>
        <v>Implementation</v>
      </c>
      <c r="C67" s="84" t="str">
        <f aca="false">IF(ISBLANK($A67),"NO_CODE",VLOOKUP($A67,'UPD Questions_290926 '!$E$1:$N$300,MATCH(C$1,'UPD Questions_290926 '!$E$1:$N$1,0),0)&amp;"")</f>
        <v>Sectoral planning</v>
      </c>
      <c r="D67" s="84" t="str">
        <f aca="false">IF(ISBLANK($A67),"NO_CODE",VLOOKUP($A67,'UPD Questions_290926 '!$E$1:$N$300,MATCH(D$1,'UPD Questions_290926 '!$E$1:$N$1,0),0)&amp;"")</f>
        <v>Sustainability, resilience and climate action</v>
      </c>
      <c r="E67" s="84" t="str">
        <f aca="false">IF(ISBLANK($A67),"NO_CODE",VLOOKUP($A67,'UPD Questions_290926 '!$E$1:$N$300,MATCH(E$1,'UPD Questions_290926 '!$E$1:$N$1,0),0)&amp;"")</f>
        <v>SQ</v>
      </c>
      <c r="F67" s="84" t="str">
        <f aca="false">IF(ISBLANK($A67),"NO_CODE",VLOOKUP($A67,'UPD Questions_290926 '!$E$1:$N$300,MATCH(F$1,'UPD Questions_290926 '!$E$1:$N$1,0),0)&amp;"")</f>
        <v>Does the plan clearly articulate the role of the ULG?</v>
      </c>
      <c r="G67" s="84" t="str">
        <f aca="false">IF(ISBLANK($A67),"NO_CODE",VLOOKUP($A67,'UPD Questions_290926 '!$E$1:$N$300,MATCH(G$1,'UPD Questions_290926 '!$E$1:$N$1,0),0)&amp;"")</f>
        <v>Implementation</v>
      </c>
      <c r="H67" s="86" t="n">
        <f aca="false">IF(ISBLANK($A67),"NO_CODE",VLOOKUP($A67,'UPD Questions_290926 '!$E$1:$N$300,MATCH(H$1,'UPD Questions_290926 '!$E$1:$N$1,0),0))</f>
        <v>3.33</v>
      </c>
      <c r="I67" s="87" t="str">
        <f aca="true">IF($H67=0,"NA",IF($A67=INDIRECT("'"&amp;$A67&amp;"'!$B$1"),IF(VLOOKUP(I$1,INDIRECT("'"&amp;$A67&amp;"'!$A$12:$Z$41"),MATCH("Points (Auto-generate)",INDIRECT("'"&amp;$A67&amp;"'!$A$12:$Z$12"),0),0)="","?",VLOOKUP(I$1,INDIRECT("'"&amp;$A67&amp;"'!$A$12:$Z$41"),MATCH("Points (Auto-generate)",INDIRECT("'"&amp;$A67&amp;"'!$A$12:$Z$12"),0),0)),"ER"))</f>
        <v>?</v>
      </c>
      <c r="J67" s="87" t="n">
        <f aca="true">IF($H67=0,"NA",IF($A67=INDIRECT("'"&amp;$A67&amp;"'!$B$1"),IF(VLOOKUP(J$1,INDIRECT("'"&amp;$A67&amp;"'!$A$12:$Z$41"),MATCH("Points (Auto-generate)",INDIRECT("'"&amp;$A67&amp;"'!$A$12:$Z$12"),0),0)="","?",VLOOKUP(J$1,INDIRECT("'"&amp;$A67&amp;"'!$A$12:$Z$41"),MATCH("Points (Auto-generate)",INDIRECT("'"&amp;$A67&amp;"'!$A$12:$Z$12"),0),0)),"ER"))</f>
        <v>3.33</v>
      </c>
      <c r="K67" s="87" t="str">
        <f aca="true">IF($H67=0,"NA",IF($A67=INDIRECT("'"&amp;$A67&amp;"'!$B$1"),IF(VLOOKUP(K$1,INDIRECT("'"&amp;$A67&amp;"'!$A$12:$Z$41"),MATCH("Points (Auto-generate)",INDIRECT("'"&amp;$A67&amp;"'!$A$12:$Z$12"),0),0)="","?",VLOOKUP(K$1,INDIRECT("'"&amp;$A67&amp;"'!$A$12:$Z$41"),MATCH("Points (Auto-generate)",INDIRECT("'"&amp;$A67&amp;"'!$A$12:$Z$12"),0),0)),"ER"))</f>
        <v>?</v>
      </c>
      <c r="L67" s="87" t="str">
        <f aca="true">IF($H67=0,"NA",IF($A67=INDIRECT("'"&amp;$A67&amp;"'!$B$1"),IF(VLOOKUP(L$1,INDIRECT("'"&amp;$A67&amp;"'!$A$12:$Z$41"),MATCH("Points (Auto-generate)",INDIRECT("'"&amp;$A67&amp;"'!$A$12:$Z$12"),0),0)="","?",VLOOKUP(L$1,INDIRECT("'"&amp;$A67&amp;"'!$A$12:$Z$41"),MATCH("Points (Auto-generate)",INDIRECT("'"&amp;$A67&amp;"'!$A$12:$Z$12"),0),0)),"ER"))</f>
        <v>?</v>
      </c>
      <c r="M67" s="87" t="str">
        <f aca="true">IF($H67=0,"NA",IF($A67=INDIRECT("'"&amp;$A67&amp;"'!$B$1"),IF(VLOOKUP(M$1,INDIRECT("'"&amp;$A67&amp;"'!$A$12:$Z$41"),MATCH("Points (Auto-generate)",INDIRECT("'"&amp;$A67&amp;"'!$A$12:$Z$12"),0),0)="","?",VLOOKUP(M$1,INDIRECT("'"&amp;$A67&amp;"'!$A$12:$Z$41"),MATCH("Points (Auto-generate)",INDIRECT("'"&amp;$A67&amp;"'!$A$12:$Z$12"),0),0)),"ER"))</f>
        <v>?</v>
      </c>
      <c r="N67" s="87" t="str">
        <f aca="true">IF($H67=0,"NA",IF($A67=INDIRECT("'"&amp;$A67&amp;"'!$B$1"),IF(VLOOKUP(N$1,INDIRECT("'"&amp;$A67&amp;"'!$A$12:$Z$41"),MATCH("Points (Auto-generate)",INDIRECT("'"&amp;$A67&amp;"'!$A$12:$Z$12"),0),0)="","?",VLOOKUP(N$1,INDIRECT("'"&amp;$A67&amp;"'!$A$12:$Z$41"),MATCH("Points (Auto-generate)",INDIRECT("'"&amp;$A67&amp;"'!$A$12:$Z$12"),0),0)),"ER"))</f>
        <v>?</v>
      </c>
      <c r="O67" s="87" t="str">
        <f aca="true">IF($H67=0,"NA",IF($A67=INDIRECT("'"&amp;$A67&amp;"'!$B$1"),IF(VLOOKUP(O$1,INDIRECT("'"&amp;$A67&amp;"'!$A$12:$Z$41"),MATCH("Points (Auto-generate)",INDIRECT("'"&amp;$A67&amp;"'!$A$12:$Z$12"),0),0)="","?",VLOOKUP(O$1,INDIRECT("'"&amp;$A67&amp;"'!$A$12:$Z$41"),MATCH("Points (Auto-generate)",INDIRECT("'"&amp;$A67&amp;"'!$A$12:$Z$12"),0),0)),"ER"))</f>
        <v>?</v>
      </c>
      <c r="P67" s="87" t="str">
        <f aca="true">IF($H67=0,"NA",IF($A67=INDIRECT("'"&amp;$A67&amp;"'!$B$1"),IF(VLOOKUP(P$1,INDIRECT("'"&amp;$A67&amp;"'!$A$12:$Z$41"),MATCH("Points (Auto-generate)",INDIRECT("'"&amp;$A67&amp;"'!$A$12:$Z$12"),0),0)="","?",VLOOKUP(P$1,INDIRECT("'"&amp;$A67&amp;"'!$A$12:$Z$41"),MATCH("Points (Auto-generate)",INDIRECT("'"&amp;$A67&amp;"'!$A$12:$Z$12"),0),0)),"ER"))</f>
        <v>?</v>
      </c>
      <c r="Q67" s="87" t="str">
        <f aca="true">IF($H67=0,"NA",IF($A67=INDIRECT("'"&amp;$A67&amp;"'!$B$1"),IF(VLOOKUP(Q$1,INDIRECT("'"&amp;$A67&amp;"'!$A$12:$Z$41"),MATCH("Points (Auto-generate)",INDIRECT("'"&amp;$A67&amp;"'!$A$12:$Z$12"),0),0)="","?",VLOOKUP(Q$1,INDIRECT("'"&amp;$A67&amp;"'!$A$12:$Z$41"),MATCH("Points (Auto-generate)",INDIRECT("'"&amp;$A67&amp;"'!$A$12:$Z$12"),0),0)),"ER"))</f>
        <v>?</v>
      </c>
      <c r="R67" s="87" t="str">
        <f aca="true">IF($H67=0,"NA",IF($A67=INDIRECT("'"&amp;$A67&amp;"'!$B$1"),IF(VLOOKUP(R$1,INDIRECT("'"&amp;$A67&amp;"'!$A$12:$Z$41"),MATCH("Points (Auto-generate)",INDIRECT("'"&amp;$A67&amp;"'!$A$12:$Z$12"),0),0)="","?",VLOOKUP(R$1,INDIRECT("'"&amp;$A67&amp;"'!$A$12:$Z$41"),MATCH("Points (Auto-generate)",INDIRECT("'"&amp;$A67&amp;"'!$A$12:$Z$12"),0),0)),"ER"))</f>
        <v>?</v>
      </c>
      <c r="S67" s="87" t="str">
        <f aca="true">IF($H67=0,"NA",IF($A67=INDIRECT("'"&amp;$A67&amp;"'!$B$1"),IF(VLOOKUP(S$1,INDIRECT("'"&amp;$A67&amp;"'!$A$12:$Z$41"),MATCH("Points (Auto-generate)",INDIRECT("'"&amp;$A67&amp;"'!$A$12:$Z$12"),0),0)="","?",VLOOKUP(S$1,INDIRECT("'"&amp;$A67&amp;"'!$A$12:$Z$41"),MATCH("Points (Auto-generate)",INDIRECT("'"&amp;$A67&amp;"'!$A$12:$Z$12"),0),0)),"ER"))</f>
        <v>?</v>
      </c>
      <c r="T67" s="87" t="str">
        <f aca="true">IF($H67=0,"NA",IF($A67=INDIRECT("'"&amp;$A67&amp;"'!$B$1"),IF(VLOOKUP(T$1,INDIRECT("'"&amp;$A67&amp;"'!$A$12:$Z$41"),MATCH("Points (Auto-generate)",INDIRECT("'"&amp;$A67&amp;"'!$A$12:$Z$12"),0),0)="","?",VLOOKUP(T$1,INDIRECT("'"&amp;$A67&amp;"'!$A$12:$Z$41"),MATCH("Points (Auto-generate)",INDIRECT("'"&amp;$A67&amp;"'!$A$12:$Z$12"),0),0)),"ER"))</f>
        <v>?</v>
      </c>
      <c r="U67" s="87" t="str">
        <f aca="true">IF($H67=0,"NA",IF($A67=INDIRECT("'"&amp;$A67&amp;"'!$B$1"),IF(VLOOKUP(U$1,INDIRECT("'"&amp;$A67&amp;"'!$A$12:$Z$41"),MATCH("Points (Auto-generate)",INDIRECT("'"&amp;$A67&amp;"'!$A$12:$Z$12"),0),0)="","?",VLOOKUP(U$1,INDIRECT("'"&amp;$A67&amp;"'!$A$12:$Z$41"),MATCH("Points (Auto-generate)",INDIRECT("'"&amp;$A67&amp;"'!$A$12:$Z$12"),0),0)),"ER"))</f>
        <v>?</v>
      </c>
      <c r="V67" s="87" t="str">
        <f aca="true">IF($H67=0,"NA",IF($A67=INDIRECT("'"&amp;$A67&amp;"'!$B$1"),IF(VLOOKUP(V$1,INDIRECT("'"&amp;$A67&amp;"'!$A$12:$Z$41"),MATCH("Points (Auto-generate)",INDIRECT("'"&amp;$A67&amp;"'!$A$12:$Z$12"),0),0)="","?",VLOOKUP(V$1,INDIRECT("'"&amp;$A67&amp;"'!$A$12:$Z$41"),MATCH("Points (Auto-generate)",INDIRECT("'"&amp;$A67&amp;"'!$A$12:$Z$12"),0),0)),"ER"))</f>
        <v>?</v>
      </c>
      <c r="W67" s="87" t="str">
        <f aca="true">IF($H67=0,"NA",IF($A67=INDIRECT("'"&amp;$A67&amp;"'!$B$1"),IF(VLOOKUP(W$1,INDIRECT("'"&amp;$A67&amp;"'!$A$12:$Z$41"),MATCH("Points (Auto-generate)",INDIRECT("'"&amp;$A67&amp;"'!$A$12:$Z$12"),0),0)="","?",VLOOKUP(W$1,INDIRECT("'"&amp;$A67&amp;"'!$A$12:$Z$41"),MATCH("Points (Auto-generate)",INDIRECT("'"&amp;$A67&amp;"'!$A$12:$Z$12"),0),0)),"ER"))</f>
        <v>?</v>
      </c>
      <c r="X67" s="87" t="str">
        <f aca="true">IF($H67=0,"NA",IF($A67=INDIRECT("'"&amp;$A67&amp;"'!$B$1"),IF(VLOOKUP(X$1,INDIRECT("'"&amp;$A67&amp;"'!$A$12:$Z$41"),MATCH("Points (Auto-generate)",INDIRECT("'"&amp;$A67&amp;"'!$A$12:$Z$12"),0),0)="","?",VLOOKUP(X$1,INDIRECT("'"&amp;$A67&amp;"'!$A$12:$Z$41"),MATCH("Points (Auto-generate)",INDIRECT("'"&amp;$A67&amp;"'!$A$12:$Z$12"),0),0)),"ER"))</f>
        <v>?</v>
      </c>
      <c r="Y67" s="87" t="str">
        <f aca="true">IF($H67=0,"NA",IF($A67=INDIRECT("'"&amp;$A67&amp;"'!$B$1"),IF(VLOOKUP(Y$1,INDIRECT("'"&amp;$A67&amp;"'!$A$12:$Z$41"),MATCH("Points (Auto-generate)",INDIRECT("'"&amp;$A67&amp;"'!$A$12:$Z$12"),0),0)="","?",VLOOKUP(Y$1,INDIRECT("'"&amp;$A67&amp;"'!$A$12:$Z$41"),MATCH("Points (Auto-generate)",INDIRECT("'"&amp;$A67&amp;"'!$A$12:$Z$12"),0),0)),"ER"))</f>
        <v>?</v>
      </c>
      <c r="Z67" s="87" t="str">
        <f aca="true">IF($H67=0,"NA",IF($A67=INDIRECT("'"&amp;$A67&amp;"'!$B$1"),IF(VLOOKUP(Z$1,INDIRECT("'"&amp;$A67&amp;"'!$A$12:$Z$41"),MATCH("Points (Auto-generate)",INDIRECT("'"&amp;$A67&amp;"'!$A$12:$Z$12"),0),0)="","?",VLOOKUP(Z$1,INDIRECT("'"&amp;$A67&amp;"'!$A$12:$Z$41"),MATCH("Points (Auto-generate)",INDIRECT("'"&amp;$A67&amp;"'!$A$12:$Z$12"),0),0)),"ER"))</f>
        <v>?</v>
      </c>
      <c r="AA67" s="87" t="str">
        <f aca="true">IF($H67=0,"NA",IF($A67=INDIRECT("'"&amp;$A67&amp;"'!$B$1"),IF(VLOOKUP(AA$1,INDIRECT("'"&amp;$A67&amp;"'!$A$12:$Z$41"),MATCH("Points (Auto-generate)",INDIRECT("'"&amp;$A67&amp;"'!$A$12:$Z$12"),0),0)="","?",VLOOKUP(AA$1,INDIRECT("'"&amp;$A67&amp;"'!$A$12:$Z$41"),MATCH("Points (Auto-generate)",INDIRECT("'"&amp;$A67&amp;"'!$A$12:$Z$12"),0),0)),"ER"))</f>
        <v>?</v>
      </c>
      <c r="AB67" s="87" t="str">
        <f aca="true">IF($H67=0,"NA",IF($A67=INDIRECT("'"&amp;$A67&amp;"'!$B$1"),IF(VLOOKUP(AB$1,INDIRECT("'"&amp;$A67&amp;"'!$A$12:$Z$41"),MATCH("Points (Auto-generate)",INDIRECT("'"&amp;$A67&amp;"'!$A$12:$Z$12"),0),0)="","?",VLOOKUP(AB$1,INDIRECT("'"&amp;$A67&amp;"'!$A$12:$Z$41"),MATCH("Points (Auto-generate)",INDIRECT("'"&amp;$A67&amp;"'!$A$12:$Z$12"),0),0)),"ER"))</f>
        <v>?</v>
      </c>
      <c r="AC67" s="87" t="n">
        <f aca="true">IF($H67=0,"NA",IF($A67=INDIRECT("'"&amp;$A67&amp;"'!$B$1"),IF(VLOOKUP(AC$1,INDIRECT("'"&amp;$A67&amp;"'!$A$12:$Z$41"),MATCH("Points (Auto-generate)",INDIRECT("'"&amp;$A67&amp;"'!$A$12:$Z$12"),0),0)="","?",VLOOKUP(AC$1,INDIRECT("'"&amp;$A67&amp;"'!$A$12:$Z$41"),MATCH("Points (Auto-generate)",INDIRECT("'"&amp;$A67&amp;"'!$A$12:$Z$12"),0),0)),"ER"))</f>
        <v>3.33</v>
      </c>
      <c r="AD67" s="87" t="str">
        <f aca="true">IF($H67=0,"NA",IF($A67=INDIRECT("'"&amp;$A67&amp;"'!$B$1"),IF(VLOOKUP(AD$1,INDIRECT("'"&amp;$A67&amp;"'!$A$12:$Z$41"),MATCH("Points (Auto-generate)",INDIRECT("'"&amp;$A67&amp;"'!$A$12:$Z$12"),0),0)="","?",VLOOKUP(AD$1,INDIRECT("'"&amp;$A67&amp;"'!$A$12:$Z$41"),MATCH("Points (Auto-generate)",INDIRECT("'"&amp;$A67&amp;"'!$A$12:$Z$12"),0),0)),"ER"))</f>
        <v>?</v>
      </c>
      <c r="AE67" s="87" t="str">
        <f aca="true">IF($H67=0,"NA",IF($A67=INDIRECT("'"&amp;$A67&amp;"'!$B$1"),IF(VLOOKUP(AE$1,INDIRECT("'"&amp;$A67&amp;"'!$A$12:$Z$41"),MATCH("Points (Auto-generate)",INDIRECT("'"&amp;$A67&amp;"'!$A$12:$Z$12"),0),0)="","?",VLOOKUP(AE$1,INDIRECT("'"&amp;$A67&amp;"'!$A$12:$Z$41"),MATCH("Points (Auto-generate)",INDIRECT("'"&amp;$A67&amp;"'!$A$12:$Z$12"),0),0)),"ER"))</f>
        <v>?</v>
      </c>
      <c r="AF67" s="87" t="str">
        <f aca="true">IF($H67=0,"NA",IF($A67=INDIRECT("'"&amp;$A67&amp;"'!$B$1"),IF(VLOOKUP(AF$1,INDIRECT("'"&amp;$A67&amp;"'!$A$12:$Z$41"),MATCH("Points (Auto-generate)",INDIRECT("'"&amp;$A67&amp;"'!$A$12:$Z$12"),0),0)="","?",VLOOKUP(AF$1,INDIRECT("'"&amp;$A67&amp;"'!$A$12:$Z$41"),MATCH("Points (Auto-generate)",INDIRECT("'"&amp;$A67&amp;"'!$A$12:$Z$12"),0),0)),"ER"))</f>
        <v>?</v>
      </c>
      <c r="AG67" s="87" t="str">
        <f aca="true">IF($H67=0,"NA",IF($A67=INDIRECT("'"&amp;$A67&amp;"'!$B$1"),IF(VLOOKUP(AG$1,INDIRECT("'"&amp;$A67&amp;"'!$A$12:$Z$41"),MATCH("Points (Auto-generate)",INDIRECT("'"&amp;$A67&amp;"'!$A$12:$Z$12"),0),0)="","?",VLOOKUP(AG$1,INDIRECT("'"&amp;$A67&amp;"'!$A$12:$Z$41"),MATCH("Points (Auto-generate)",INDIRECT("'"&amp;$A67&amp;"'!$A$12:$Z$12"),0),0)),"ER"))</f>
        <v>?</v>
      </c>
      <c r="AH67" s="87" t="str">
        <f aca="true">IF($H67=0,"NA",IF($A67=INDIRECT("'"&amp;$A67&amp;"'!$B$1"),IF(VLOOKUP(AH$1,INDIRECT("'"&amp;$A67&amp;"'!$A$12:$Z$41"),MATCH("Points (Auto-generate)",INDIRECT("'"&amp;$A67&amp;"'!$A$12:$Z$12"),0),0)="","?",VLOOKUP(AH$1,INDIRECT("'"&amp;$A67&amp;"'!$A$12:$Z$41"),MATCH("Points (Auto-generate)",INDIRECT("'"&amp;$A67&amp;"'!$A$12:$Z$12"),0),0)),"ER"))</f>
        <v>?</v>
      </c>
      <c r="AI67" s="87" t="str">
        <f aca="true">IF($H67=0,"NA",IF($A67=INDIRECT("'"&amp;$A67&amp;"'!$B$1"),IF(VLOOKUP(AI$1,INDIRECT("'"&amp;$A67&amp;"'!$A$12:$Z$41"),MATCH("Points (Auto-generate)",INDIRECT("'"&amp;$A67&amp;"'!$A$12:$Z$12"),0),0)="","?",VLOOKUP(AI$1,INDIRECT("'"&amp;$A67&amp;"'!$A$12:$Z$41"),MATCH("Points (Auto-generate)",INDIRECT("'"&amp;$A67&amp;"'!$A$12:$Z$12"),0),0)),"ER"))</f>
        <v>?</v>
      </c>
      <c r="AJ67" s="87" t="str">
        <f aca="true">IF($H67=0,"NA",IF($A67=INDIRECT("'"&amp;$A67&amp;"'!$B$1"),IF(VLOOKUP(AJ$1,INDIRECT("'"&amp;$A67&amp;"'!$A$12:$Z$41"),MATCH("Points (Auto-generate)",INDIRECT("'"&amp;$A67&amp;"'!$A$12:$Z$12"),0),0)="","?",VLOOKUP(AJ$1,INDIRECT("'"&amp;$A67&amp;"'!$A$12:$Z$41"),MATCH("Points (Auto-generate)",INDIRECT("'"&amp;$A67&amp;"'!$A$12:$Z$12"),0),0)),"ER"))</f>
        <v>?</v>
      </c>
      <c r="AK67" s="87" t="str">
        <f aca="true">IF($H67=0,"NA",IF($A67=INDIRECT("'"&amp;$A67&amp;"'!$B$1"),IF(VLOOKUP(AK$1,INDIRECT("'"&amp;$A67&amp;"'!$A$12:$Z$41"),MATCH("Points (Auto-generate)",INDIRECT("'"&amp;$A67&amp;"'!$A$12:$Z$12"),0),0)="","?",VLOOKUP(AK$1,INDIRECT("'"&amp;$A67&amp;"'!$A$12:$Z$41"),MATCH("Points (Auto-generate)",INDIRECT("'"&amp;$A67&amp;"'!$A$12:$Z$12"),0),0)),"ER"))</f>
        <v>?</v>
      </c>
    </row>
    <row r="68" customFormat="false" ht="14.25" hidden="false" customHeight="true" outlineLevel="0" collapsed="false">
      <c r="A68" s="83" t="s">
        <v>860</v>
      </c>
      <c r="B68" s="84" t="str">
        <f aca="false">IF(ISBLANK($A68),"NO_CODE",VLOOKUP($A68,'UPD Questions_290926 '!$E$1:$N$300,MATCH(B$1,'UPD Questions_290926 '!$E$1:$N$1,0),0)&amp;"")</f>
        <v>Implementation</v>
      </c>
      <c r="C68" s="84" t="str">
        <f aca="false">IF(ISBLANK($A68),"NO_CODE",VLOOKUP($A68,'UPD Questions_290926 '!$E$1:$N$300,MATCH(C$1,'UPD Questions_290926 '!$E$1:$N$1,0),0)&amp;"")</f>
        <v>Sectoral planning</v>
      </c>
      <c r="D68" s="84" t="str">
        <f aca="false">IF(ISBLANK($A68),"NO_CODE",VLOOKUP($A68,'UPD Questions_290926 '!$E$1:$N$300,MATCH(D$1,'UPD Questions_290926 '!$E$1:$N$1,0),0)&amp;"")</f>
        <v>Comprehensive mobility planning</v>
      </c>
      <c r="E68" s="84" t="str">
        <f aca="false">IF(ISBLANK($A68),"NO_CODE",VLOOKUP($A68,'UPD Questions_290926 '!$E$1:$N$300,MATCH(E$1,'UPD Questions_290926 '!$E$1:$N$1,0),0)&amp;"")</f>
        <v>MQ</v>
      </c>
      <c r="F68" s="84" t="str">
        <f aca="false">IF(ISBLANK($A68),"NO_CODE",VLOOKUP($A68,'UPD Questions_290926 '!$E$1:$N$300,MATCH(F$1,'UPD Questions_290926 '!$E$1:$N$1,0),0)&amp;"")</f>
        <v>Does your city have a Comprehensive Mobility Plan that clearly articulates development priorities, measurable objectives, and the roles and responsibilities of the ULG?</v>
      </c>
      <c r="G68" s="84" t="str">
        <f aca="false">IF(ISBLANK($A68),"NO_CODE",VLOOKUP($A68,'UPD Questions_290926 '!$E$1:$N$300,MATCH(G$1,'UPD Questions_290926 '!$E$1:$N$1,0),0)&amp;"")</f>
        <v>Implementation</v>
      </c>
      <c r="H68" s="86" t="n">
        <f aca="false">IF(ISBLANK($A68),"NO_CODE",VLOOKUP($A68,'UPD Questions_290926 '!$E$1:$N$300,MATCH(H$1,'UPD Questions_290926 '!$E$1:$N$1,0),0))</f>
        <v>10</v>
      </c>
      <c r="I68" s="87" t="str">
        <f aca="false">IF(OR(I69="ER",I70="ER",I71="ER"),"ER",IF(OR(I69="?",I70="?",I71="?"),"?",IF(AND(I69="NA",I70="NA",I71="NA"),"NA",SUM(I69,I70,I71)/((I69&lt;&gt;"NA")*$H$69+(I70&lt;&gt;"NA")*$H$70+(I71&lt;&gt;"NA")*$H$71)*$H68)))</f>
        <v>?</v>
      </c>
      <c r="J68" s="87" t="n">
        <f aca="false">IF(OR(J69="ER",J70="ER",J71="ER"),"ER",IF(OR(J69="?",J70="?",J71="?"),"?",IF(AND(J69="NA",J70="NA",J71="NA"),"NA",SUM(J69,J70,J71)/((J69&lt;&gt;"NA")*$H$69+(J70&lt;&gt;"NA")*$H$70+(J71&lt;&gt;"NA")*$H$71)*$H68)))</f>
        <v>10</v>
      </c>
      <c r="K68" s="87" t="str">
        <f aca="false">IF(OR(K69="ER",K70="ER",K71="ER"),"ER",IF(OR(K69="?",K70="?",K71="?"),"?",IF(AND(K69="NA",K70="NA",K71="NA"),"NA",SUM(K69,K70,K71)/((K69&lt;&gt;"NA")*$H$69+(K70&lt;&gt;"NA")*$H$70+(K71&lt;&gt;"NA")*$H$71)*$H68)))</f>
        <v>?</v>
      </c>
      <c r="L68" s="87" t="str">
        <f aca="false">IF(OR(L69="ER",L70="ER",L71="ER"),"ER",IF(OR(L69="?",L70="?",L71="?"),"?",IF(AND(L69="NA",L70="NA",L71="NA"),"NA",SUM(L69,L70,L71)/((L69&lt;&gt;"NA")*$H$69+(L70&lt;&gt;"NA")*$H$70+(L71&lt;&gt;"NA")*$H$71)*$H68)))</f>
        <v>?</v>
      </c>
      <c r="M68" s="87" t="str">
        <f aca="false">IF(OR(M69="ER",M70="ER",M71="ER"),"ER",IF(OR(M69="?",M70="?",M71="?"),"?",IF(AND(M69="NA",M70="NA",M71="NA"),"NA",SUM(M69,M70,M71)/((M69&lt;&gt;"NA")*$H$69+(M70&lt;&gt;"NA")*$H$70+(M71&lt;&gt;"NA")*$H$71)*$H68)))</f>
        <v>?</v>
      </c>
      <c r="N68" s="87" t="str">
        <f aca="false">IF(OR(N69="ER",N70="ER",N71="ER"),"ER",IF(OR(N69="?",N70="?",N71="?"),"?",IF(AND(N69="NA",N70="NA",N71="NA"),"NA",SUM(N69,N70,N71)/((N69&lt;&gt;"NA")*$H$69+(N70&lt;&gt;"NA")*$H$70+(N71&lt;&gt;"NA")*$H$71)*$H68)))</f>
        <v>?</v>
      </c>
      <c r="O68" s="87" t="str">
        <f aca="false">IF(OR(O69="ER",O70="ER",O71="ER"),"ER",IF(OR(O69="?",O70="?",O71="?"),"?",IF(AND(O69="NA",O70="NA",O71="NA"),"NA",SUM(O69,O70,O71)/((O69&lt;&gt;"NA")*$H$69+(O70&lt;&gt;"NA")*$H$70+(O71&lt;&gt;"NA")*$H$71)*$H68)))</f>
        <v>?</v>
      </c>
      <c r="P68" s="87" t="str">
        <f aca="false">IF(OR(P69="ER",P70="ER",P71="ER"),"ER",IF(OR(P69="?",P70="?",P71="?"),"?",IF(AND(P69="NA",P70="NA",P71="NA"),"NA",SUM(P69,P70,P71)/((P69&lt;&gt;"NA")*$H$69+(P70&lt;&gt;"NA")*$H$70+(P71&lt;&gt;"NA")*$H$71)*$H68)))</f>
        <v>?</v>
      </c>
      <c r="Q68" s="87" t="str">
        <f aca="false">IF(OR(Q69="ER",Q70="ER",Q71="ER"),"ER",IF(OR(Q69="?",Q70="?",Q71="?"),"?",IF(AND(Q69="NA",Q70="NA",Q71="NA"),"NA",SUM(Q69,Q70,Q71)/((Q69&lt;&gt;"NA")*$H$69+(Q70&lt;&gt;"NA")*$H$70+(Q71&lt;&gt;"NA")*$H$71)*$H68)))</f>
        <v>?</v>
      </c>
      <c r="R68" s="87" t="str">
        <f aca="false">IF(OR(R69="ER",R70="ER",R71="ER"),"ER",IF(OR(R69="?",R70="?",R71="?"),"?",IF(AND(R69="NA",R70="NA",R71="NA"),"NA",SUM(R69,R70,R71)/((R69&lt;&gt;"NA")*$H$69+(R70&lt;&gt;"NA")*$H$70+(R71&lt;&gt;"NA")*$H$71)*$H68)))</f>
        <v>?</v>
      </c>
      <c r="S68" s="87" t="str">
        <f aca="false">IF(OR(S69="ER",S70="ER",S71="ER"),"ER",IF(OR(S69="?",S70="?",S71="?"),"?",IF(AND(S69="NA",S70="NA",S71="NA"),"NA",SUM(S69,S70,S71)/((S69&lt;&gt;"NA")*$H$69+(S70&lt;&gt;"NA")*$H$70+(S71&lt;&gt;"NA")*$H$71)*$H68)))</f>
        <v>?</v>
      </c>
      <c r="T68" s="87" t="str">
        <f aca="false">IF(OR(T69="ER",T70="ER",T71="ER"),"ER",IF(OR(T69="?",T70="?",T71="?"),"?",IF(AND(T69="NA",T70="NA",T71="NA"),"NA",SUM(T69,T70,T71)/((T69&lt;&gt;"NA")*$H$69+(T70&lt;&gt;"NA")*$H$70+(T71&lt;&gt;"NA")*$H$71)*$H68)))</f>
        <v>?</v>
      </c>
      <c r="U68" s="87" t="str">
        <f aca="false">IF(OR(U69="ER",U70="ER",U71="ER"),"ER",IF(OR(U69="?",U70="?",U71="?"),"?",IF(AND(U69="NA",U70="NA",U71="NA"),"NA",SUM(U69,U70,U71)/((U69&lt;&gt;"NA")*$H$69+(U70&lt;&gt;"NA")*$H$70+(U71&lt;&gt;"NA")*$H$71)*$H68)))</f>
        <v>?</v>
      </c>
      <c r="V68" s="87" t="str">
        <f aca="false">IF(OR(V69="ER",V70="ER",V71="ER"),"ER",IF(OR(V69="?",V70="?",V71="?"),"?",IF(AND(V69="NA",V70="NA",V71="NA"),"NA",SUM(V69,V70,V71)/((V69&lt;&gt;"NA")*$H$69+(V70&lt;&gt;"NA")*$H$70+(V71&lt;&gt;"NA")*$H$71)*$H68)))</f>
        <v>?</v>
      </c>
      <c r="W68" s="87" t="str">
        <f aca="false">IF(OR(W69="ER",W70="ER",W71="ER"),"ER",IF(OR(W69="?",W70="?",W71="?"),"?",IF(AND(W69="NA",W70="NA",W71="NA"),"NA",SUM(W69,W70,W71)/((W69&lt;&gt;"NA")*$H$69+(W70&lt;&gt;"NA")*$H$70+(W71&lt;&gt;"NA")*$H$71)*$H68)))</f>
        <v>?</v>
      </c>
      <c r="X68" s="87" t="str">
        <f aca="false">IF(OR(X69="ER",X70="ER",X71="ER"),"ER",IF(OR(X69="?",X70="?",X71="?"),"?",IF(AND(X69="NA",X70="NA",X71="NA"),"NA",SUM(X69,X70,X71)/((X69&lt;&gt;"NA")*$H$69+(X70&lt;&gt;"NA")*$H$70+(X71&lt;&gt;"NA")*$H$71)*$H68)))</f>
        <v>?</v>
      </c>
      <c r="Y68" s="87" t="str">
        <f aca="false">IF(OR(Y69="ER",Y70="ER",Y71="ER"),"ER",IF(OR(Y69="?",Y70="?",Y71="?"),"?",IF(AND(Y69="NA",Y70="NA",Y71="NA"),"NA",SUM(Y69,Y70,Y71)/((Y69&lt;&gt;"NA")*$H$69+(Y70&lt;&gt;"NA")*$H$70+(Y71&lt;&gt;"NA")*$H$71)*$H68)))</f>
        <v>?</v>
      </c>
      <c r="Z68" s="87" t="str">
        <f aca="false">IF(OR(Z69="ER",Z70="ER",Z71="ER"),"ER",IF(OR(Z69="?",Z70="?",Z71="?"),"?",IF(AND(Z69="NA",Z70="NA",Z71="NA"),"NA",SUM(Z69,Z70,Z71)/((Z69&lt;&gt;"NA")*$H$69+(Z70&lt;&gt;"NA")*$H$70+(Z71&lt;&gt;"NA")*$H$71)*$H68)))</f>
        <v>?</v>
      </c>
      <c r="AA68" s="87" t="str">
        <f aca="false">IF(OR(AA69="ER",AA70="ER",AA71="ER"),"ER",IF(OR(AA69="?",AA70="?",AA71="?"),"?",IF(AND(AA69="NA",AA70="NA",AA71="NA"),"NA",SUM(AA69,AA70,AA71)/((AA69&lt;&gt;"NA")*$H$69+(AA70&lt;&gt;"NA")*$H$70+(AA71&lt;&gt;"NA")*$H$71)*$H68)))</f>
        <v>?</v>
      </c>
      <c r="AB68" s="87" t="str">
        <f aca="false">IF(OR(AB69="ER",AB70="ER",AB71="ER"),"ER",IF(OR(AB69="?",AB70="?",AB71="?"),"?",IF(AND(AB69="NA",AB70="NA",AB71="NA"),"NA",SUM(AB69,AB70,AB71)/((AB69&lt;&gt;"NA")*$H$69+(AB70&lt;&gt;"NA")*$H$70+(AB71&lt;&gt;"NA")*$H$71)*$H68)))</f>
        <v>?</v>
      </c>
      <c r="AC68" s="87" t="str">
        <f aca="false">IF(OR(AC69="ER",AC70="ER",AC71="ER"),"ER",IF(OR(AC69="?",AC70="?",AC71="?"),"?",IF(AND(AC69="NA",AC70="NA",AC71="NA"),"NA",SUM(AC69,AC70,AC71)/((AC69&lt;&gt;"NA")*$H$69+(AC70&lt;&gt;"NA")*$H$70+(AC71&lt;&gt;"NA")*$H$71)*$H68)))</f>
        <v>?</v>
      </c>
      <c r="AD68" s="87" t="str">
        <f aca="false">IF(OR(AD69="ER",AD70="ER",AD71="ER"),"ER",IF(OR(AD69="?",AD70="?",AD71="?"),"?",IF(AND(AD69="NA",AD70="NA",AD71="NA"),"NA",SUM(AD69,AD70,AD71)/((AD69&lt;&gt;"NA")*$H$69+(AD70&lt;&gt;"NA")*$H$70+(AD71&lt;&gt;"NA")*$H$71)*$H68)))</f>
        <v>?</v>
      </c>
      <c r="AE68" s="87" t="str">
        <f aca="false">IF(OR(AE69="ER",AE70="ER",AE71="ER"),"ER",IF(OR(AE69="?",AE70="?",AE71="?"),"?",IF(AND(AE69="NA",AE70="NA",AE71="NA"),"NA",SUM(AE69,AE70,AE71)/((AE69&lt;&gt;"NA")*$H$69+(AE70&lt;&gt;"NA")*$H$70+(AE71&lt;&gt;"NA")*$H$71)*$H68)))</f>
        <v>?</v>
      </c>
      <c r="AF68" s="87" t="str">
        <f aca="false">IF(OR(AF69="ER",AF70="ER",AF71="ER"),"ER",IF(OR(AF69="?",AF70="?",AF71="?"),"?",IF(AND(AF69="NA",AF70="NA",AF71="NA"),"NA",SUM(AF69,AF70,AF71)/((AF69&lt;&gt;"NA")*$H$69+(AF70&lt;&gt;"NA")*$H$70+(AF71&lt;&gt;"NA")*$H$71)*$H68)))</f>
        <v>?</v>
      </c>
      <c r="AG68" s="87" t="str">
        <f aca="false">IF(OR(AG69="ER",AG70="ER",AG71="ER"),"ER",IF(OR(AG69="?",AG70="?",AG71="?"),"?",IF(AND(AG69="NA",AG70="NA",AG71="NA"),"NA",SUM(AG69,AG70,AG71)/((AG69&lt;&gt;"NA")*$H$69+(AG70&lt;&gt;"NA")*$H$70+(AG71&lt;&gt;"NA")*$H$71)*$H68)))</f>
        <v>?</v>
      </c>
      <c r="AH68" s="87" t="str">
        <f aca="false">IF(OR(AH69="ER",AH70="ER",AH71="ER"),"ER",IF(OR(AH69="?",AH70="?",AH71="?"),"?",IF(AND(AH69="NA",AH70="NA",AH71="NA"),"NA",SUM(AH69,AH70,AH71)/((AH69&lt;&gt;"NA")*$H$69+(AH70&lt;&gt;"NA")*$H$70+(AH71&lt;&gt;"NA")*$H$71)*$H68)))</f>
        <v>?</v>
      </c>
      <c r="AI68" s="87" t="str">
        <f aca="false">IF(OR(AI69="ER",AI70="ER",AI71="ER"),"ER",IF(OR(AI69="?",AI70="?",AI71="?"),"?",IF(AND(AI69="NA",AI70="NA",AI71="NA"),"NA",SUM(AI69,AI70,AI71)/((AI69&lt;&gt;"NA")*$H$69+(AI70&lt;&gt;"NA")*$H$70+(AI71&lt;&gt;"NA")*$H$71)*$H68)))</f>
        <v>?</v>
      </c>
      <c r="AJ68" s="87" t="str">
        <f aca="false">IF(OR(AJ69="ER",AJ70="ER",AJ71="ER"),"ER",IF(OR(AJ69="?",AJ70="?",AJ71="?"),"?",IF(AND(AJ69="NA",AJ70="NA",AJ71="NA"),"NA",SUM(AJ69,AJ70,AJ71)/((AJ69&lt;&gt;"NA")*$H$69+(AJ70&lt;&gt;"NA")*$H$70+(AJ71&lt;&gt;"NA")*$H$71)*$H68)))</f>
        <v>?</v>
      </c>
      <c r="AK68" s="87" t="str">
        <f aca="false">IF(OR(AK69="ER",AK70="ER",AK71="ER"),"ER",IF(OR(AK69="?",AK70="?",AK71="?"),"?",IF(AND(AK69="NA",AK70="NA",AK71="NA"),"NA",SUM(AK69,AK70,AK71)/((AK69&lt;&gt;"NA")*$H$69+(AK70&lt;&gt;"NA")*$H$70+(AK71&lt;&gt;"NA")*$H$71)*$H68)))</f>
        <v>?</v>
      </c>
    </row>
    <row r="69" customFormat="false" ht="14.25" hidden="false" customHeight="true" outlineLevel="0" collapsed="false">
      <c r="A69" s="83" t="s">
        <v>380</v>
      </c>
      <c r="B69" s="84" t="str">
        <f aca="false">IF(ISBLANK($A69),"NO_CODE",VLOOKUP($A69,'UPD Questions_290926 '!$E$1:$N$300,MATCH(B$1,'UPD Questions_290926 '!$E$1:$N$1,0),0)&amp;"")</f>
        <v>Implementation</v>
      </c>
      <c r="C69" s="84" t="str">
        <f aca="false">IF(ISBLANK($A69),"NO_CODE",VLOOKUP($A69,'UPD Questions_290926 '!$E$1:$N$300,MATCH(C$1,'UPD Questions_290926 '!$E$1:$N$1,0),0)&amp;"")</f>
        <v>Sectoral planning</v>
      </c>
      <c r="D69" s="84" t="str">
        <f aca="false">IF(ISBLANK($A69),"NO_CODE",VLOOKUP($A69,'UPD Questions_290926 '!$E$1:$N$300,MATCH(D$1,'UPD Questions_290926 '!$E$1:$N$1,0),0)&amp;"")</f>
        <v>Comprehensive mobility planning</v>
      </c>
      <c r="E69" s="84" t="str">
        <f aca="false">IF(ISBLANK($A69),"NO_CODE",VLOOKUP($A69,'UPD Questions_290926 '!$E$1:$N$300,MATCH(E$1,'UPD Questions_290926 '!$E$1:$N$1,0),0)&amp;"")</f>
        <v>SQ</v>
      </c>
      <c r="F69" s="84" t="str">
        <f aca="false">IF(ISBLANK($A69),"NO_CODE",VLOOKUP($A69,'UPD Questions_290926 '!$E$1:$N$300,MATCH(F$1,'UPD Questions_290926 '!$E$1:$N$1,0),0)&amp;"")</f>
        <v>Does the city have a notified and active Comprehensive Mobility Plan?</v>
      </c>
      <c r="G69" s="84" t="str">
        <f aca="false">IF(ISBLANK($A69),"NO_CODE",VLOOKUP($A69,'UPD Questions_290926 '!$E$1:$N$300,MATCH(G$1,'UPD Questions_290926 '!$E$1:$N$1,0),0)&amp;"")</f>
        <v>Implementation</v>
      </c>
      <c r="H69" s="86" t="n">
        <f aca="false">IF(ISBLANK($A69),"NO_CODE",VLOOKUP($A69,'UPD Questions_290926 '!$E$1:$N$300,MATCH(H$1,'UPD Questions_290926 '!$E$1:$N$1,0),0))</f>
        <v>3.33</v>
      </c>
      <c r="I69" s="87" t="str">
        <f aca="true">IF($H69=0,"NA",IF($A69=INDIRECT("'"&amp;$A69&amp;"'!$B$1"),IF(VLOOKUP(I$1,INDIRECT("'"&amp;$A69&amp;"'!$A$12:$Z$41"),MATCH("Points (Auto-generate)",INDIRECT("'"&amp;$A69&amp;"'!$A$12:$Z$12"),0),0)="","?",VLOOKUP(I$1,INDIRECT("'"&amp;$A69&amp;"'!$A$12:$Z$41"),MATCH("Points (Auto-generate)",INDIRECT("'"&amp;$A69&amp;"'!$A$12:$Z$12"),0),0)),"ER"))</f>
        <v>?</v>
      </c>
      <c r="J69" s="87" t="n">
        <f aca="true">IF($H69=0,"NA",IF($A69=INDIRECT("'"&amp;$A69&amp;"'!$B$1"),IF(VLOOKUP(J$1,INDIRECT("'"&amp;$A69&amp;"'!$A$12:$Z$41"),MATCH("Points (Auto-generate)",INDIRECT("'"&amp;$A69&amp;"'!$A$12:$Z$12"),0),0)="","?",VLOOKUP(J$1,INDIRECT("'"&amp;$A69&amp;"'!$A$12:$Z$41"),MATCH("Points (Auto-generate)",INDIRECT("'"&amp;$A69&amp;"'!$A$12:$Z$12"),0),0)),"ER"))</f>
        <v>3.33</v>
      </c>
      <c r="K69" s="87" t="str">
        <f aca="true">IF($H69=0,"NA",IF($A69=INDIRECT("'"&amp;$A69&amp;"'!$B$1"),IF(VLOOKUP(K$1,INDIRECT("'"&amp;$A69&amp;"'!$A$12:$Z$41"),MATCH("Points (Auto-generate)",INDIRECT("'"&amp;$A69&amp;"'!$A$12:$Z$12"),0),0)="","?",VLOOKUP(K$1,INDIRECT("'"&amp;$A69&amp;"'!$A$12:$Z$41"),MATCH("Points (Auto-generate)",INDIRECT("'"&amp;$A69&amp;"'!$A$12:$Z$12"),0),0)),"ER"))</f>
        <v>?</v>
      </c>
      <c r="L69" s="87" t="str">
        <f aca="true">IF($H69=0,"NA",IF($A69=INDIRECT("'"&amp;$A69&amp;"'!$B$1"),IF(VLOOKUP(L$1,INDIRECT("'"&amp;$A69&amp;"'!$A$12:$Z$41"),MATCH("Points (Auto-generate)",INDIRECT("'"&amp;$A69&amp;"'!$A$12:$Z$12"),0),0)="","?",VLOOKUP(L$1,INDIRECT("'"&amp;$A69&amp;"'!$A$12:$Z$41"),MATCH("Points (Auto-generate)",INDIRECT("'"&amp;$A69&amp;"'!$A$12:$Z$12"),0),0)),"ER"))</f>
        <v>?</v>
      </c>
      <c r="M69" s="87" t="str">
        <f aca="true">IF($H69=0,"NA",IF($A69=INDIRECT("'"&amp;$A69&amp;"'!$B$1"),IF(VLOOKUP(M$1,INDIRECT("'"&amp;$A69&amp;"'!$A$12:$Z$41"),MATCH("Points (Auto-generate)",INDIRECT("'"&amp;$A69&amp;"'!$A$12:$Z$12"),0),0)="","?",VLOOKUP(M$1,INDIRECT("'"&amp;$A69&amp;"'!$A$12:$Z$41"),MATCH("Points (Auto-generate)",INDIRECT("'"&amp;$A69&amp;"'!$A$12:$Z$12"),0),0)),"ER"))</f>
        <v>?</v>
      </c>
      <c r="N69" s="87" t="str">
        <f aca="true">IF($H69=0,"NA",IF($A69=INDIRECT("'"&amp;$A69&amp;"'!$B$1"),IF(VLOOKUP(N$1,INDIRECT("'"&amp;$A69&amp;"'!$A$12:$Z$41"),MATCH("Points (Auto-generate)",INDIRECT("'"&amp;$A69&amp;"'!$A$12:$Z$12"),0),0)="","?",VLOOKUP(N$1,INDIRECT("'"&amp;$A69&amp;"'!$A$12:$Z$41"),MATCH("Points (Auto-generate)",INDIRECT("'"&amp;$A69&amp;"'!$A$12:$Z$12"),0),0)),"ER"))</f>
        <v>?</v>
      </c>
      <c r="O69" s="87" t="str">
        <f aca="true">IF($H69=0,"NA",IF($A69=INDIRECT("'"&amp;$A69&amp;"'!$B$1"),IF(VLOOKUP(O$1,INDIRECT("'"&amp;$A69&amp;"'!$A$12:$Z$41"),MATCH("Points (Auto-generate)",INDIRECT("'"&amp;$A69&amp;"'!$A$12:$Z$12"),0),0)="","?",VLOOKUP(O$1,INDIRECT("'"&amp;$A69&amp;"'!$A$12:$Z$41"),MATCH("Points (Auto-generate)",INDIRECT("'"&amp;$A69&amp;"'!$A$12:$Z$12"),0),0)),"ER"))</f>
        <v>?</v>
      </c>
      <c r="P69" s="87" t="str">
        <f aca="true">IF($H69=0,"NA",IF($A69=INDIRECT("'"&amp;$A69&amp;"'!$B$1"),IF(VLOOKUP(P$1,INDIRECT("'"&amp;$A69&amp;"'!$A$12:$Z$41"),MATCH("Points (Auto-generate)",INDIRECT("'"&amp;$A69&amp;"'!$A$12:$Z$12"),0),0)="","?",VLOOKUP(P$1,INDIRECT("'"&amp;$A69&amp;"'!$A$12:$Z$41"),MATCH("Points (Auto-generate)",INDIRECT("'"&amp;$A69&amp;"'!$A$12:$Z$12"),0),0)),"ER"))</f>
        <v>?</v>
      </c>
      <c r="Q69" s="87" t="str">
        <f aca="true">IF($H69=0,"NA",IF($A69=INDIRECT("'"&amp;$A69&amp;"'!$B$1"),IF(VLOOKUP(Q$1,INDIRECT("'"&amp;$A69&amp;"'!$A$12:$Z$41"),MATCH("Points (Auto-generate)",INDIRECT("'"&amp;$A69&amp;"'!$A$12:$Z$12"),0),0)="","?",VLOOKUP(Q$1,INDIRECT("'"&amp;$A69&amp;"'!$A$12:$Z$41"),MATCH("Points (Auto-generate)",INDIRECT("'"&amp;$A69&amp;"'!$A$12:$Z$12"),0),0)),"ER"))</f>
        <v>?</v>
      </c>
      <c r="R69" s="87" t="str">
        <f aca="true">IF($H69=0,"NA",IF($A69=INDIRECT("'"&amp;$A69&amp;"'!$B$1"),IF(VLOOKUP(R$1,INDIRECT("'"&amp;$A69&amp;"'!$A$12:$Z$41"),MATCH("Points (Auto-generate)",INDIRECT("'"&amp;$A69&amp;"'!$A$12:$Z$12"),0),0)="","?",VLOOKUP(R$1,INDIRECT("'"&amp;$A69&amp;"'!$A$12:$Z$41"),MATCH("Points (Auto-generate)",INDIRECT("'"&amp;$A69&amp;"'!$A$12:$Z$12"),0),0)),"ER"))</f>
        <v>?</v>
      </c>
      <c r="S69" s="87" t="str">
        <f aca="true">IF($H69=0,"NA",IF($A69=INDIRECT("'"&amp;$A69&amp;"'!$B$1"),IF(VLOOKUP(S$1,INDIRECT("'"&amp;$A69&amp;"'!$A$12:$Z$41"),MATCH("Points (Auto-generate)",INDIRECT("'"&amp;$A69&amp;"'!$A$12:$Z$12"),0),0)="","?",VLOOKUP(S$1,INDIRECT("'"&amp;$A69&amp;"'!$A$12:$Z$41"),MATCH("Points (Auto-generate)",INDIRECT("'"&amp;$A69&amp;"'!$A$12:$Z$12"),0),0)),"ER"))</f>
        <v>?</v>
      </c>
      <c r="T69" s="87" t="str">
        <f aca="true">IF($H69=0,"NA",IF($A69=INDIRECT("'"&amp;$A69&amp;"'!$B$1"),IF(VLOOKUP(T$1,INDIRECT("'"&amp;$A69&amp;"'!$A$12:$Z$41"),MATCH("Points (Auto-generate)",INDIRECT("'"&amp;$A69&amp;"'!$A$12:$Z$12"),0),0)="","?",VLOOKUP(T$1,INDIRECT("'"&amp;$A69&amp;"'!$A$12:$Z$41"),MATCH("Points (Auto-generate)",INDIRECT("'"&amp;$A69&amp;"'!$A$12:$Z$12"),0),0)),"ER"))</f>
        <v>?</v>
      </c>
      <c r="U69" s="87" t="str">
        <f aca="true">IF($H69=0,"NA",IF($A69=INDIRECT("'"&amp;$A69&amp;"'!$B$1"),IF(VLOOKUP(U$1,INDIRECT("'"&amp;$A69&amp;"'!$A$12:$Z$41"),MATCH("Points (Auto-generate)",INDIRECT("'"&amp;$A69&amp;"'!$A$12:$Z$12"),0),0)="","?",VLOOKUP(U$1,INDIRECT("'"&amp;$A69&amp;"'!$A$12:$Z$41"),MATCH("Points (Auto-generate)",INDIRECT("'"&amp;$A69&amp;"'!$A$12:$Z$12"),0),0)),"ER"))</f>
        <v>?</v>
      </c>
      <c r="V69" s="87" t="str">
        <f aca="true">IF($H69=0,"NA",IF($A69=INDIRECT("'"&amp;$A69&amp;"'!$B$1"),IF(VLOOKUP(V$1,INDIRECT("'"&amp;$A69&amp;"'!$A$12:$Z$41"),MATCH("Points (Auto-generate)",INDIRECT("'"&amp;$A69&amp;"'!$A$12:$Z$12"),0),0)="","?",VLOOKUP(V$1,INDIRECT("'"&amp;$A69&amp;"'!$A$12:$Z$41"),MATCH("Points (Auto-generate)",INDIRECT("'"&amp;$A69&amp;"'!$A$12:$Z$12"),0),0)),"ER"))</f>
        <v>?</v>
      </c>
      <c r="W69" s="87" t="str">
        <f aca="true">IF($H69=0,"NA",IF($A69=INDIRECT("'"&amp;$A69&amp;"'!$B$1"),IF(VLOOKUP(W$1,INDIRECT("'"&amp;$A69&amp;"'!$A$12:$Z$41"),MATCH("Points (Auto-generate)",INDIRECT("'"&amp;$A69&amp;"'!$A$12:$Z$12"),0),0)="","?",VLOOKUP(W$1,INDIRECT("'"&amp;$A69&amp;"'!$A$12:$Z$41"),MATCH("Points (Auto-generate)",INDIRECT("'"&amp;$A69&amp;"'!$A$12:$Z$12"),0),0)),"ER"))</f>
        <v>?</v>
      </c>
      <c r="X69" s="87" t="str">
        <f aca="true">IF($H69=0,"NA",IF($A69=INDIRECT("'"&amp;$A69&amp;"'!$B$1"),IF(VLOOKUP(X$1,INDIRECT("'"&amp;$A69&amp;"'!$A$12:$Z$41"),MATCH("Points (Auto-generate)",INDIRECT("'"&amp;$A69&amp;"'!$A$12:$Z$12"),0),0)="","?",VLOOKUP(X$1,INDIRECT("'"&amp;$A69&amp;"'!$A$12:$Z$41"),MATCH("Points (Auto-generate)",INDIRECT("'"&amp;$A69&amp;"'!$A$12:$Z$12"),0),0)),"ER"))</f>
        <v>?</v>
      </c>
      <c r="Y69" s="87" t="str">
        <f aca="true">IF($H69=0,"NA",IF($A69=INDIRECT("'"&amp;$A69&amp;"'!$B$1"),IF(VLOOKUP(Y$1,INDIRECT("'"&amp;$A69&amp;"'!$A$12:$Z$41"),MATCH("Points (Auto-generate)",INDIRECT("'"&amp;$A69&amp;"'!$A$12:$Z$12"),0),0)="","?",VLOOKUP(Y$1,INDIRECT("'"&amp;$A69&amp;"'!$A$12:$Z$41"),MATCH("Points (Auto-generate)",INDIRECT("'"&amp;$A69&amp;"'!$A$12:$Z$12"),0),0)),"ER"))</f>
        <v>?</v>
      </c>
      <c r="Z69" s="87" t="str">
        <f aca="true">IF($H69=0,"NA",IF($A69=INDIRECT("'"&amp;$A69&amp;"'!$B$1"),IF(VLOOKUP(Z$1,INDIRECT("'"&amp;$A69&amp;"'!$A$12:$Z$41"),MATCH("Points (Auto-generate)",INDIRECT("'"&amp;$A69&amp;"'!$A$12:$Z$12"),0),0)="","?",VLOOKUP(Z$1,INDIRECT("'"&amp;$A69&amp;"'!$A$12:$Z$41"),MATCH("Points (Auto-generate)",INDIRECT("'"&amp;$A69&amp;"'!$A$12:$Z$12"),0),0)),"ER"))</f>
        <v>?</v>
      </c>
      <c r="AA69" s="87" t="str">
        <f aca="true">IF($H69=0,"NA",IF($A69=INDIRECT("'"&amp;$A69&amp;"'!$B$1"),IF(VLOOKUP(AA$1,INDIRECT("'"&amp;$A69&amp;"'!$A$12:$Z$41"),MATCH("Points (Auto-generate)",INDIRECT("'"&amp;$A69&amp;"'!$A$12:$Z$12"),0),0)="","?",VLOOKUP(AA$1,INDIRECT("'"&amp;$A69&amp;"'!$A$12:$Z$41"),MATCH("Points (Auto-generate)",INDIRECT("'"&amp;$A69&amp;"'!$A$12:$Z$12"),0),0)),"ER"))</f>
        <v>?</v>
      </c>
      <c r="AB69" s="87" t="str">
        <f aca="true">IF($H69=0,"NA",IF($A69=INDIRECT("'"&amp;$A69&amp;"'!$B$1"),IF(VLOOKUP(AB$1,INDIRECT("'"&amp;$A69&amp;"'!$A$12:$Z$41"),MATCH("Points (Auto-generate)",INDIRECT("'"&amp;$A69&amp;"'!$A$12:$Z$12"),0),0)="","?",VLOOKUP(AB$1,INDIRECT("'"&amp;$A69&amp;"'!$A$12:$Z$41"),MATCH("Points (Auto-generate)",INDIRECT("'"&amp;$A69&amp;"'!$A$12:$Z$12"),0),0)),"ER"))</f>
        <v>?</v>
      </c>
      <c r="AC69" s="87" t="str">
        <f aca="true">IF($H69=0,"NA",IF($A69=INDIRECT("'"&amp;$A69&amp;"'!$B$1"),IF(VLOOKUP(AC$1,INDIRECT("'"&amp;$A69&amp;"'!$A$12:$Z$41"),MATCH("Points (Auto-generate)",INDIRECT("'"&amp;$A69&amp;"'!$A$12:$Z$12"),0),0)="","?",VLOOKUP(AC$1,INDIRECT("'"&amp;$A69&amp;"'!$A$12:$Z$41"),MATCH("Points (Auto-generate)",INDIRECT("'"&amp;$A69&amp;"'!$A$12:$Z$12"),0),0)),"ER"))</f>
        <v>?</v>
      </c>
      <c r="AD69" s="87" t="str">
        <f aca="true">IF($H69=0,"NA",IF($A69=INDIRECT("'"&amp;$A69&amp;"'!$B$1"),IF(VLOOKUP(AD$1,INDIRECT("'"&amp;$A69&amp;"'!$A$12:$Z$41"),MATCH("Points (Auto-generate)",INDIRECT("'"&amp;$A69&amp;"'!$A$12:$Z$12"),0),0)="","?",VLOOKUP(AD$1,INDIRECT("'"&amp;$A69&amp;"'!$A$12:$Z$41"),MATCH("Points (Auto-generate)",INDIRECT("'"&amp;$A69&amp;"'!$A$12:$Z$12"),0),0)),"ER"))</f>
        <v>?</v>
      </c>
      <c r="AE69" s="87" t="str">
        <f aca="true">IF($H69=0,"NA",IF($A69=INDIRECT("'"&amp;$A69&amp;"'!$B$1"),IF(VLOOKUP(AE$1,INDIRECT("'"&amp;$A69&amp;"'!$A$12:$Z$41"),MATCH("Points (Auto-generate)",INDIRECT("'"&amp;$A69&amp;"'!$A$12:$Z$12"),0),0)="","?",VLOOKUP(AE$1,INDIRECT("'"&amp;$A69&amp;"'!$A$12:$Z$41"),MATCH("Points (Auto-generate)",INDIRECT("'"&amp;$A69&amp;"'!$A$12:$Z$12"),0),0)),"ER"))</f>
        <v>?</v>
      </c>
      <c r="AF69" s="87" t="str">
        <f aca="true">IF($H69=0,"NA",IF($A69=INDIRECT("'"&amp;$A69&amp;"'!$B$1"),IF(VLOOKUP(AF$1,INDIRECT("'"&amp;$A69&amp;"'!$A$12:$Z$41"),MATCH("Points (Auto-generate)",INDIRECT("'"&amp;$A69&amp;"'!$A$12:$Z$12"),0),0)="","?",VLOOKUP(AF$1,INDIRECT("'"&amp;$A69&amp;"'!$A$12:$Z$41"),MATCH("Points (Auto-generate)",INDIRECT("'"&amp;$A69&amp;"'!$A$12:$Z$12"),0),0)),"ER"))</f>
        <v>?</v>
      </c>
      <c r="AG69" s="87" t="str">
        <f aca="true">IF($H69=0,"NA",IF($A69=INDIRECT("'"&amp;$A69&amp;"'!$B$1"),IF(VLOOKUP(AG$1,INDIRECT("'"&amp;$A69&amp;"'!$A$12:$Z$41"),MATCH("Points (Auto-generate)",INDIRECT("'"&amp;$A69&amp;"'!$A$12:$Z$12"),0),0)="","?",VLOOKUP(AG$1,INDIRECT("'"&amp;$A69&amp;"'!$A$12:$Z$41"),MATCH("Points (Auto-generate)",INDIRECT("'"&amp;$A69&amp;"'!$A$12:$Z$12"),0),0)),"ER"))</f>
        <v>?</v>
      </c>
      <c r="AH69" s="87" t="str">
        <f aca="true">IF($H69=0,"NA",IF($A69=INDIRECT("'"&amp;$A69&amp;"'!$B$1"),IF(VLOOKUP(AH$1,INDIRECT("'"&amp;$A69&amp;"'!$A$12:$Z$41"),MATCH("Points (Auto-generate)",INDIRECT("'"&amp;$A69&amp;"'!$A$12:$Z$12"),0),0)="","?",VLOOKUP(AH$1,INDIRECT("'"&amp;$A69&amp;"'!$A$12:$Z$41"),MATCH("Points (Auto-generate)",INDIRECT("'"&amp;$A69&amp;"'!$A$12:$Z$12"),0),0)),"ER"))</f>
        <v>?</v>
      </c>
      <c r="AI69" s="87" t="str">
        <f aca="true">IF($H69=0,"NA",IF($A69=INDIRECT("'"&amp;$A69&amp;"'!$B$1"),IF(VLOOKUP(AI$1,INDIRECT("'"&amp;$A69&amp;"'!$A$12:$Z$41"),MATCH("Points (Auto-generate)",INDIRECT("'"&amp;$A69&amp;"'!$A$12:$Z$12"),0),0)="","?",VLOOKUP(AI$1,INDIRECT("'"&amp;$A69&amp;"'!$A$12:$Z$41"),MATCH("Points (Auto-generate)",INDIRECT("'"&amp;$A69&amp;"'!$A$12:$Z$12"),0),0)),"ER"))</f>
        <v>?</v>
      </c>
      <c r="AJ69" s="87" t="str">
        <f aca="true">IF($H69=0,"NA",IF($A69=INDIRECT("'"&amp;$A69&amp;"'!$B$1"),IF(VLOOKUP(AJ$1,INDIRECT("'"&amp;$A69&amp;"'!$A$12:$Z$41"),MATCH("Points (Auto-generate)",INDIRECT("'"&amp;$A69&amp;"'!$A$12:$Z$12"),0),0)="","?",VLOOKUP(AJ$1,INDIRECT("'"&amp;$A69&amp;"'!$A$12:$Z$41"),MATCH("Points (Auto-generate)",INDIRECT("'"&amp;$A69&amp;"'!$A$12:$Z$12"),0),0)),"ER"))</f>
        <v>?</v>
      </c>
      <c r="AK69" s="87" t="str">
        <f aca="true">IF($H69=0,"NA",IF($A69=INDIRECT("'"&amp;$A69&amp;"'!$B$1"),IF(VLOOKUP(AK$1,INDIRECT("'"&amp;$A69&amp;"'!$A$12:$Z$41"),MATCH("Points (Auto-generate)",INDIRECT("'"&amp;$A69&amp;"'!$A$12:$Z$12"),0),0)="","?",VLOOKUP(AK$1,INDIRECT("'"&amp;$A69&amp;"'!$A$12:$Z$41"),MATCH("Points (Auto-generate)",INDIRECT("'"&amp;$A69&amp;"'!$A$12:$Z$12"),0),0)),"ER"))</f>
        <v>?</v>
      </c>
    </row>
    <row r="70" customFormat="false" ht="14.25" hidden="false" customHeight="true" outlineLevel="0" collapsed="false">
      <c r="A70" s="83" t="s">
        <v>386</v>
      </c>
      <c r="B70" s="84" t="str">
        <f aca="false">IF(ISBLANK($A70),"NO_CODE",VLOOKUP($A70,'UPD Questions_290926 '!$E$1:$N$300,MATCH(B$1,'UPD Questions_290926 '!$E$1:$N$1,0),0)&amp;"")</f>
        <v>Implementation</v>
      </c>
      <c r="C70" s="84" t="str">
        <f aca="false">IF(ISBLANK($A70),"NO_CODE",VLOOKUP($A70,'UPD Questions_290926 '!$E$1:$N$300,MATCH(C$1,'UPD Questions_290926 '!$E$1:$N$1,0),0)&amp;"")</f>
        <v>Sectoral planning</v>
      </c>
      <c r="D70" s="84" t="str">
        <f aca="false">IF(ISBLANK($A70),"NO_CODE",VLOOKUP($A70,'UPD Questions_290926 '!$E$1:$N$300,MATCH(D$1,'UPD Questions_290926 '!$E$1:$N$1,0),0)&amp;"")</f>
        <v>Comprehensive mobility planning</v>
      </c>
      <c r="E70" s="84" t="str">
        <f aca="false">IF(ISBLANK($A70),"NO_CODE",VLOOKUP($A70,'UPD Questions_290926 '!$E$1:$N$300,MATCH(E$1,'UPD Questions_290926 '!$E$1:$N$1,0),0)&amp;"")</f>
        <v>SQ</v>
      </c>
      <c r="F70" s="84" t="str">
        <f aca="false">IF(ISBLANK($A70),"NO_CODE",VLOOKUP($A70,'UPD Questions_290926 '!$E$1:$N$300,MATCH(F$1,'UPD Questions_290926 '!$E$1:$N$1,0),0)&amp;"")</f>
        <v>Does the plan have development priorities and measurable objectives?</v>
      </c>
      <c r="G70" s="84" t="str">
        <f aca="false">IF(ISBLANK($A70),"NO_CODE",VLOOKUP($A70,'UPD Questions_290926 '!$E$1:$N$300,MATCH(G$1,'UPD Questions_290926 '!$E$1:$N$1,0),0)&amp;"")</f>
        <v>Implementation</v>
      </c>
      <c r="H70" s="86" t="n">
        <f aca="false">IF(ISBLANK($A70),"NO_CODE",VLOOKUP($A70,'UPD Questions_290926 '!$E$1:$N$300,MATCH(H$1,'UPD Questions_290926 '!$E$1:$N$1,0),0))</f>
        <v>3.33</v>
      </c>
      <c r="I70" s="87" t="str">
        <f aca="true">IF($H70=0,"NA",IF($A70=INDIRECT("'"&amp;$A70&amp;"'!$B$1"),IF(VLOOKUP(I$1,INDIRECT("'"&amp;$A70&amp;"'!$A$12:$Z$41"),MATCH("Points (Auto-generate)",INDIRECT("'"&amp;$A70&amp;"'!$A$12:$Z$12"),0),0)="","?",VLOOKUP(I$1,INDIRECT("'"&amp;$A70&amp;"'!$A$12:$Z$41"),MATCH("Points (Auto-generate)",INDIRECT("'"&amp;$A70&amp;"'!$A$12:$Z$12"),0),0)),"ER"))</f>
        <v>?</v>
      </c>
      <c r="J70" s="87" t="n">
        <f aca="true">IF($H70=0,"NA",IF($A70=INDIRECT("'"&amp;$A70&amp;"'!$B$1"),IF(VLOOKUP(J$1,INDIRECT("'"&amp;$A70&amp;"'!$A$12:$Z$41"),MATCH("Points (Auto-generate)",INDIRECT("'"&amp;$A70&amp;"'!$A$12:$Z$12"),0),0)="","?",VLOOKUP(J$1,INDIRECT("'"&amp;$A70&amp;"'!$A$12:$Z$41"),MATCH("Points (Auto-generate)",INDIRECT("'"&amp;$A70&amp;"'!$A$12:$Z$12"),0),0)),"ER"))</f>
        <v>3.33</v>
      </c>
      <c r="K70" s="87" t="str">
        <f aca="true">IF($H70=0,"NA",IF($A70=INDIRECT("'"&amp;$A70&amp;"'!$B$1"),IF(VLOOKUP(K$1,INDIRECT("'"&amp;$A70&amp;"'!$A$12:$Z$41"),MATCH("Points (Auto-generate)",INDIRECT("'"&amp;$A70&amp;"'!$A$12:$Z$12"),0),0)="","?",VLOOKUP(K$1,INDIRECT("'"&amp;$A70&amp;"'!$A$12:$Z$41"),MATCH("Points (Auto-generate)",INDIRECT("'"&amp;$A70&amp;"'!$A$12:$Z$12"),0),0)),"ER"))</f>
        <v>?</v>
      </c>
      <c r="L70" s="87" t="str">
        <f aca="true">IF($H70=0,"NA",IF($A70=INDIRECT("'"&amp;$A70&amp;"'!$B$1"),IF(VLOOKUP(L$1,INDIRECT("'"&amp;$A70&amp;"'!$A$12:$Z$41"),MATCH("Points (Auto-generate)",INDIRECT("'"&amp;$A70&amp;"'!$A$12:$Z$12"),0),0)="","?",VLOOKUP(L$1,INDIRECT("'"&amp;$A70&amp;"'!$A$12:$Z$41"),MATCH("Points (Auto-generate)",INDIRECT("'"&amp;$A70&amp;"'!$A$12:$Z$12"),0),0)),"ER"))</f>
        <v>?</v>
      </c>
      <c r="M70" s="87" t="str">
        <f aca="true">IF($H70=0,"NA",IF($A70=INDIRECT("'"&amp;$A70&amp;"'!$B$1"),IF(VLOOKUP(M$1,INDIRECT("'"&amp;$A70&amp;"'!$A$12:$Z$41"),MATCH("Points (Auto-generate)",INDIRECT("'"&amp;$A70&amp;"'!$A$12:$Z$12"),0),0)="","?",VLOOKUP(M$1,INDIRECT("'"&amp;$A70&amp;"'!$A$12:$Z$41"),MATCH("Points (Auto-generate)",INDIRECT("'"&amp;$A70&amp;"'!$A$12:$Z$12"),0),0)),"ER"))</f>
        <v>?</v>
      </c>
      <c r="N70" s="87" t="str">
        <f aca="true">IF($H70=0,"NA",IF($A70=INDIRECT("'"&amp;$A70&amp;"'!$B$1"),IF(VLOOKUP(N$1,INDIRECT("'"&amp;$A70&amp;"'!$A$12:$Z$41"),MATCH("Points (Auto-generate)",INDIRECT("'"&amp;$A70&amp;"'!$A$12:$Z$12"),0),0)="","?",VLOOKUP(N$1,INDIRECT("'"&amp;$A70&amp;"'!$A$12:$Z$41"),MATCH("Points (Auto-generate)",INDIRECT("'"&amp;$A70&amp;"'!$A$12:$Z$12"),0),0)),"ER"))</f>
        <v>?</v>
      </c>
      <c r="O70" s="87" t="str">
        <f aca="true">IF($H70=0,"NA",IF($A70=INDIRECT("'"&amp;$A70&amp;"'!$B$1"),IF(VLOOKUP(O$1,INDIRECT("'"&amp;$A70&amp;"'!$A$12:$Z$41"),MATCH("Points (Auto-generate)",INDIRECT("'"&amp;$A70&amp;"'!$A$12:$Z$12"),0),0)="","?",VLOOKUP(O$1,INDIRECT("'"&amp;$A70&amp;"'!$A$12:$Z$41"),MATCH("Points (Auto-generate)",INDIRECT("'"&amp;$A70&amp;"'!$A$12:$Z$12"),0),0)),"ER"))</f>
        <v>?</v>
      </c>
      <c r="P70" s="87" t="str">
        <f aca="true">IF($H70=0,"NA",IF($A70=INDIRECT("'"&amp;$A70&amp;"'!$B$1"),IF(VLOOKUP(P$1,INDIRECT("'"&amp;$A70&amp;"'!$A$12:$Z$41"),MATCH("Points (Auto-generate)",INDIRECT("'"&amp;$A70&amp;"'!$A$12:$Z$12"),0),0)="","?",VLOOKUP(P$1,INDIRECT("'"&amp;$A70&amp;"'!$A$12:$Z$41"),MATCH("Points (Auto-generate)",INDIRECT("'"&amp;$A70&amp;"'!$A$12:$Z$12"),0),0)),"ER"))</f>
        <v>?</v>
      </c>
      <c r="Q70" s="87" t="str">
        <f aca="true">IF($H70=0,"NA",IF($A70=INDIRECT("'"&amp;$A70&amp;"'!$B$1"),IF(VLOOKUP(Q$1,INDIRECT("'"&amp;$A70&amp;"'!$A$12:$Z$41"),MATCH("Points (Auto-generate)",INDIRECT("'"&amp;$A70&amp;"'!$A$12:$Z$12"),0),0)="","?",VLOOKUP(Q$1,INDIRECT("'"&amp;$A70&amp;"'!$A$12:$Z$41"),MATCH("Points (Auto-generate)",INDIRECT("'"&amp;$A70&amp;"'!$A$12:$Z$12"),0),0)),"ER"))</f>
        <v>?</v>
      </c>
      <c r="R70" s="87" t="str">
        <f aca="true">IF($H70=0,"NA",IF($A70=INDIRECT("'"&amp;$A70&amp;"'!$B$1"),IF(VLOOKUP(R$1,INDIRECT("'"&amp;$A70&amp;"'!$A$12:$Z$41"),MATCH("Points (Auto-generate)",INDIRECT("'"&amp;$A70&amp;"'!$A$12:$Z$12"),0),0)="","?",VLOOKUP(R$1,INDIRECT("'"&amp;$A70&amp;"'!$A$12:$Z$41"),MATCH("Points (Auto-generate)",INDIRECT("'"&amp;$A70&amp;"'!$A$12:$Z$12"),0),0)),"ER"))</f>
        <v>?</v>
      </c>
      <c r="S70" s="87" t="str">
        <f aca="true">IF($H70=0,"NA",IF($A70=INDIRECT("'"&amp;$A70&amp;"'!$B$1"),IF(VLOOKUP(S$1,INDIRECT("'"&amp;$A70&amp;"'!$A$12:$Z$41"),MATCH("Points (Auto-generate)",INDIRECT("'"&amp;$A70&amp;"'!$A$12:$Z$12"),0),0)="","?",VLOOKUP(S$1,INDIRECT("'"&amp;$A70&amp;"'!$A$12:$Z$41"),MATCH("Points (Auto-generate)",INDIRECT("'"&amp;$A70&amp;"'!$A$12:$Z$12"),0),0)),"ER"))</f>
        <v>?</v>
      </c>
      <c r="T70" s="87" t="str">
        <f aca="true">IF($H70=0,"NA",IF($A70=INDIRECT("'"&amp;$A70&amp;"'!$B$1"),IF(VLOOKUP(T$1,INDIRECT("'"&amp;$A70&amp;"'!$A$12:$Z$41"),MATCH("Points (Auto-generate)",INDIRECT("'"&amp;$A70&amp;"'!$A$12:$Z$12"),0),0)="","?",VLOOKUP(T$1,INDIRECT("'"&amp;$A70&amp;"'!$A$12:$Z$41"),MATCH("Points (Auto-generate)",INDIRECT("'"&amp;$A70&amp;"'!$A$12:$Z$12"),0),0)),"ER"))</f>
        <v>?</v>
      </c>
      <c r="U70" s="87" t="str">
        <f aca="true">IF($H70=0,"NA",IF($A70=INDIRECT("'"&amp;$A70&amp;"'!$B$1"),IF(VLOOKUP(U$1,INDIRECT("'"&amp;$A70&amp;"'!$A$12:$Z$41"),MATCH("Points (Auto-generate)",INDIRECT("'"&amp;$A70&amp;"'!$A$12:$Z$12"),0),0)="","?",VLOOKUP(U$1,INDIRECT("'"&amp;$A70&amp;"'!$A$12:$Z$41"),MATCH("Points (Auto-generate)",INDIRECT("'"&amp;$A70&amp;"'!$A$12:$Z$12"),0),0)),"ER"))</f>
        <v>?</v>
      </c>
      <c r="V70" s="87" t="str">
        <f aca="true">IF($H70=0,"NA",IF($A70=INDIRECT("'"&amp;$A70&amp;"'!$B$1"),IF(VLOOKUP(V$1,INDIRECT("'"&amp;$A70&amp;"'!$A$12:$Z$41"),MATCH("Points (Auto-generate)",INDIRECT("'"&amp;$A70&amp;"'!$A$12:$Z$12"),0),0)="","?",VLOOKUP(V$1,INDIRECT("'"&amp;$A70&amp;"'!$A$12:$Z$41"),MATCH("Points (Auto-generate)",INDIRECT("'"&amp;$A70&amp;"'!$A$12:$Z$12"),0),0)),"ER"))</f>
        <v>?</v>
      </c>
      <c r="W70" s="87" t="str">
        <f aca="true">IF($H70=0,"NA",IF($A70=INDIRECT("'"&amp;$A70&amp;"'!$B$1"),IF(VLOOKUP(W$1,INDIRECT("'"&amp;$A70&amp;"'!$A$12:$Z$41"),MATCH("Points (Auto-generate)",INDIRECT("'"&amp;$A70&amp;"'!$A$12:$Z$12"),0),0)="","?",VLOOKUP(W$1,INDIRECT("'"&amp;$A70&amp;"'!$A$12:$Z$41"),MATCH("Points (Auto-generate)",INDIRECT("'"&amp;$A70&amp;"'!$A$12:$Z$12"),0),0)),"ER"))</f>
        <v>?</v>
      </c>
      <c r="X70" s="87" t="str">
        <f aca="true">IF($H70=0,"NA",IF($A70=INDIRECT("'"&amp;$A70&amp;"'!$B$1"),IF(VLOOKUP(X$1,INDIRECT("'"&amp;$A70&amp;"'!$A$12:$Z$41"),MATCH("Points (Auto-generate)",INDIRECT("'"&amp;$A70&amp;"'!$A$12:$Z$12"),0),0)="","?",VLOOKUP(X$1,INDIRECT("'"&amp;$A70&amp;"'!$A$12:$Z$41"),MATCH("Points (Auto-generate)",INDIRECT("'"&amp;$A70&amp;"'!$A$12:$Z$12"),0),0)),"ER"))</f>
        <v>?</v>
      </c>
      <c r="Y70" s="87" t="str">
        <f aca="true">IF($H70=0,"NA",IF($A70=INDIRECT("'"&amp;$A70&amp;"'!$B$1"),IF(VLOOKUP(Y$1,INDIRECT("'"&amp;$A70&amp;"'!$A$12:$Z$41"),MATCH("Points (Auto-generate)",INDIRECT("'"&amp;$A70&amp;"'!$A$12:$Z$12"),0),0)="","?",VLOOKUP(Y$1,INDIRECT("'"&amp;$A70&amp;"'!$A$12:$Z$41"),MATCH("Points (Auto-generate)",INDIRECT("'"&amp;$A70&amp;"'!$A$12:$Z$12"),0),0)),"ER"))</f>
        <v>?</v>
      </c>
      <c r="Z70" s="87" t="str">
        <f aca="true">IF($H70=0,"NA",IF($A70=INDIRECT("'"&amp;$A70&amp;"'!$B$1"),IF(VLOOKUP(Z$1,INDIRECT("'"&amp;$A70&amp;"'!$A$12:$Z$41"),MATCH("Points (Auto-generate)",INDIRECT("'"&amp;$A70&amp;"'!$A$12:$Z$12"),0),0)="","?",VLOOKUP(Z$1,INDIRECT("'"&amp;$A70&amp;"'!$A$12:$Z$41"),MATCH("Points (Auto-generate)",INDIRECT("'"&amp;$A70&amp;"'!$A$12:$Z$12"),0),0)),"ER"))</f>
        <v>?</v>
      </c>
      <c r="AA70" s="87" t="str">
        <f aca="true">IF($H70=0,"NA",IF($A70=INDIRECT("'"&amp;$A70&amp;"'!$B$1"),IF(VLOOKUP(AA$1,INDIRECT("'"&amp;$A70&amp;"'!$A$12:$Z$41"),MATCH("Points (Auto-generate)",INDIRECT("'"&amp;$A70&amp;"'!$A$12:$Z$12"),0),0)="","?",VLOOKUP(AA$1,INDIRECT("'"&amp;$A70&amp;"'!$A$12:$Z$41"),MATCH("Points (Auto-generate)",INDIRECT("'"&amp;$A70&amp;"'!$A$12:$Z$12"),0),0)),"ER"))</f>
        <v>?</v>
      </c>
      <c r="AB70" s="87" t="str">
        <f aca="true">IF($H70=0,"NA",IF($A70=INDIRECT("'"&amp;$A70&amp;"'!$B$1"),IF(VLOOKUP(AB$1,INDIRECT("'"&amp;$A70&amp;"'!$A$12:$Z$41"),MATCH("Points (Auto-generate)",INDIRECT("'"&amp;$A70&amp;"'!$A$12:$Z$12"),0),0)="","?",VLOOKUP(AB$1,INDIRECT("'"&amp;$A70&amp;"'!$A$12:$Z$41"),MATCH("Points (Auto-generate)",INDIRECT("'"&amp;$A70&amp;"'!$A$12:$Z$12"),0),0)),"ER"))</f>
        <v>?</v>
      </c>
      <c r="AC70" s="87" t="str">
        <f aca="true">IF($H70=0,"NA",IF($A70=INDIRECT("'"&amp;$A70&amp;"'!$B$1"),IF(VLOOKUP(AC$1,INDIRECT("'"&amp;$A70&amp;"'!$A$12:$Z$41"),MATCH("Points (Auto-generate)",INDIRECT("'"&amp;$A70&amp;"'!$A$12:$Z$12"),0),0)="","?",VLOOKUP(AC$1,INDIRECT("'"&amp;$A70&amp;"'!$A$12:$Z$41"),MATCH("Points (Auto-generate)",INDIRECT("'"&amp;$A70&amp;"'!$A$12:$Z$12"),0),0)),"ER"))</f>
        <v>?</v>
      </c>
      <c r="AD70" s="87" t="str">
        <f aca="true">IF($H70=0,"NA",IF($A70=INDIRECT("'"&amp;$A70&amp;"'!$B$1"),IF(VLOOKUP(AD$1,INDIRECT("'"&amp;$A70&amp;"'!$A$12:$Z$41"),MATCH("Points (Auto-generate)",INDIRECT("'"&amp;$A70&amp;"'!$A$12:$Z$12"),0),0)="","?",VLOOKUP(AD$1,INDIRECT("'"&amp;$A70&amp;"'!$A$12:$Z$41"),MATCH("Points (Auto-generate)",INDIRECT("'"&amp;$A70&amp;"'!$A$12:$Z$12"),0),0)),"ER"))</f>
        <v>?</v>
      </c>
      <c r="AE70" s="87" t="str">
        <f aca="true">IF($H70=0,"NA",IF($A70=INDIRECT("'"&amp;$A70&amp;"'!$B$1"),IF(VLOOKUP(AE$1,INDIRECT("'"&amp;$A70&amp;"'!$A$12:$Z$41"),MATCH("Points (Auto-generate)",INDIRECT("'"&amp;$A70&amp;"'!$A$12:$Z$12"),0),0)="","?",VLOOKUP(AE$1,INDIRECT("'"&amp;$A70&amp;"'!$A$12:$Z$41"),MATCH("Points (Auto-generate)",INDIRECT("'"&amp;$A70&amp;"'!$A$12:$Z$12"),0),0)),"ER"))</f>
        <v>?</v>
      </c>
      <c r="AF70" s="87" t="str">
        <f aca="true">IF($H70=0,"NA",IF($A70=INDIRECT("'"&amp;$A70&amp;"'!$B$1"),IF(VLOOKUP(AF$1,INDIRECT("'"&amp;$A70&amp;"'!$A$12:$Z$41"),MATCH("Points (Auto-generate)",INDIRECT("'"&amp;$A70&amp;"'!$A$12:$Z$12"),0),0)="","?",VLOOKUP(AF$1,INDIRECT("'"&amp;$A70&amp;"'!$A$12:$Z$41"),MATCH("Points (Auto-generate)",INDIRECT("'"&amp;$A70&amp;"'!$A$12:$Z$12"),0),0)),"ER"))</f>
        <v>?</v>
      </c>
      <c r="AG70" s="87" t="str">
        <f aca="true">IF($H70=0,"NA",IF($A70=INDIRECT("'"&amp;$A70&amp;"'!$B$1"),IF(VLOOKUP(AG$1,INDIRECT("'"&amp;$A70&amp;"'!$A$12:$Z$41"),MATCH("Points (Auto-generate)",INDIRECT("'"&amp;$A70&amp;"'!$A$12:$Z$12"),0),0)="","?",VLOOKUP(AG$1,INDIRECT("'"&amp;$A70&amp;"'!$A$12:$Z$41"),MATCH("Points (Auto-generate)",INDIRECT("'"&amp;$A70&amp;"'!$A$12:$Z$12"),0),0)),"ER"))</f>
        <v>?</v>
      </c>
      <c r="AH70" s="87" t="str">
        <f aca="true">IF($H70=0,"NA",IF($A70=INDIRECT("'"&amp;$A70&amp;"'!$B$1"),IF(VLOOKUP(AH$1,INDIRECT("'"&amp;$A70&amp;"'!$A$12:$Z$41"),MATCH("Points (Auto-generate)",INDIRECT("'"&amp;$A70&amp;"'!$A$12:$Z$12"),0),0)="","?",VLOOKUP(AH$1,INDIRECT("'"&amp;$A70&amp;"'!$A$12:$Z$41"),MATCH("Points (Auto-generate)",INDIRECT("'"&amp;$A70&amp;"'!$A$12:$Z$12"),0),0)),"ER"))</f>
        <v>?</v>
      </c>
      <c r="AI70" s="87" t="str">
        <f aca="true">IF($H70=0,"NA",IF($A70=INDIRECT("'"&amp;$A70&amp;"'!$B$1"),IF(VLOOKUP(AI$1,INDIRECT("'"&amp;$A70&amp;"'!$A$12:$Z$41"),MATCH("Points (Auto-generate)",INDIRECT("'"&amp;$A70&amp;"'!$A$12:$Z$12"),0),0)="","?",VLOOKUP(AI$1,INDIRECT("'"&amp;$A70&amp;"'!$A$12:$Z$41"),MATCH("Points (Auto-generate)",INDIRECT("'"&amp;$A70&amp;"'!$A$12:$Z$12"),0),0)),"ER"))</f>
        <v>?</v>
      </c>
      <c r="AJ70" s="87" t="str">
        <f aca="true">IF($H70=0,"NA",IF($A70=INDIRECT("'"&amp;$A70&amp;"'!$B$1"),IF(VLOOKUP(AJ$1,INDIRECT("'"&amp;$A70&amp;"'!$A$12:$Z$41"),MATCH("Points (Auto-generate)",INDIRECT("'"&amp;$A70&amp;"'!$A$12:$Z$12"),0),0)="","?",VLOOKUP(AJ$1,INDIRECT("'"&amp;$A70&amp;"'!$A$12:$Z$41"),MATCH("Points (Auto-generate)",INDIRECT("'"&amp;$A70&amp;"'!$A$12:$Z$12"),0),0)),"ER"))</f>
        <v>?</v>
      </c>
      <c r="AK70" s="87" t="str">
        <f aca="true">IF($H70=0,"NA",IF($A70=INDIRECT("'"&amp;$A70&amp;"'!$B$1"),IF(VLOOKUP(AK$1,INDIRECT("'"&amp;$A70&amp;"'!$A$12:$Z$41"),MATCH("Points (Auto-generate)",INDIRECT("'"&amp;$A70&amp;"'!$A$12:$Z$12"),0),0)="","?",VLOOKUP(AK$1,INDIRECT("'"&amp;$A70&amp;"'!$A$12:$Z$41"),MATCH("Points (Auto-generate)",INDIRECT("'"&amp;$A70&amp;"'!$A$12:$Z$12"),0),0)),"ER"))</f>
        <v>?</v>
      </c>
    </row>
    <row r="71" customFormat="false" ht="14.25" hidden="false" customHeight="true" outlineLevel="0" collapsed="false">
      <c r="A71" s="83" t="s">
        <v>392</v>
      </c>
      <c r="B71" s="84" t="str">
        <f aca="false">IF(ISBLANK($A71),"NO_CODE",VLOOKUP($A71,'UPD Questions_290926 '!$E$1:$N$300,MATCH(B$1,'UPD Questions_290926 '!$E$1:$N$1,0),0)&amp;"")</f>
        <v>Implementation</v>
      </c>
      <c r="C71" s="84" t="str">
        <f aca="false">IF(ISBLANK($A71),"NO_CODE",VLOOKUP($A71,'UPD Questions_290926 '!$E$1:$N$300,MATCH(C$1,'UPD Questions_290926 '!$E$1:$N$1,0),0)&amp;"")</f>
        <v>Sectoral planning</v>
      </c>
      <c r="D71" s="84" t="str">
        <f aca="false">IF(ISBLANK($A71),"NO_CODE",VLOOKUP($A71,'UPD Questions_290926 '!$E$1:$N$300,MATCH(D$1,'UPD Questions_290926 '!$E$1:$N$1,0),0)&amp;"")</f>
        <v>Comprehensive mobility planning</v>
      </c>
      <c r="E71" s="84" t="str">
        <f aca="false">IF(ISBLANK($A71),"NO_CODE",VLOOKUP($A71,'UPD Questions_290926 '!$E$1:$N$300,MATCH(E$1,'UPD Questions_290926 '!$E$1:$N$1,0),0)&amp;"")</f>
        <v>SQ</v>
      </c>
      <c r="F71" s="84" t="str">
        <f aca="false">IF(ISBLANK($A71),"NO_CODE",VLOOKUP($A71,'UPD Questions_290926 '!$E$1:$N$300,MATCH(F$1,'UPD Questions_290926 '!$E$1:$N$1,0),0)&amp;"")</f>
        <v>Does the plan clearly articulate the role of the ULG?</v>
      </c>
      <c r="G71" s="84" t="str">
        <f aca="false">IF(ISBLANK($A71),"NO_CODE",VLOOKUP($A71,'UPD Questions_290926 '!$E$1:$N$300,MATCH(G$1,'UPD Questions_290926 '!$E$1:$N$1,0),0)&amp;"")</f>
        <v>Implementation</v>
      </c>
      <c r="H71" s="86" t="n">
        <f aca="false">IF(ISBLANK($A71),"NO_CODE",VLOOKUP($A71,'UPD Questions_290926 '!$E$1:$N$300,MATCH(H$1,'UPD Questions_290926 '!$E$1:$N$1,0),0))</f>
        <v>3.33</v>
      </c>
      <c r="I71" s="87" t="str">
        <f aca="true">IF($H71=0,"NA",IF($A71=INDIRECT("'"&amp;$A71&amp;"'!$B$1"),IF(VLOOKUP(I$1,INDIRECT("'"&amp;$A71&amp;"'!$A$12:$Z$41"),MATCH("Points (Auto-generate)",INDIRECT("'"&amp;$A71&amp;"'!$A$12:$Z$12"),0),0)="","?",VLOOKUP(I$1,INDIRECT("'"&amp;$A71&amp;"'!$A$12:$Z$41"),MATCH("Points (Auto-generate)",INDIRECT("'"&amp;$A71&amp;"'!$A$12:$Z$12"),0),0)),"ER"))</f>
        <v>?</v>
      </c>
      <c r="J71" s="87" t="n">
        <f aca="true">IF($H71=0,"NA",IF($A71=INDIRECT("'"&amp;$A71&amp;"'!$B$1"),IF(VLOOKUP(J$1,INDIRECT("'"&amp;$A71&amp;"'!$A$12:$Z$41"),MATCH("Points (Auto-generate)",INDIRECT("'"&amp;$A71&amp;"'!$A$12:$Z$12"),0),0)="","?",VLOOKUP(J$1,INDIRECT("'"&amp;$A71&amp;"'!$A$12:$Z$41"),MATCH("Points (Auto-generate)",INDIRECT("'"&amp;$A71&amp;"'!$A$12:$Z$12"),0),0)),"ER"))</f>
        <v>3.33</v>
      </c>
      <c r="K71" s="87" t="str">
        <f aca="true">IF($H71=0,"NA",IF($A71=INDIRECT("'"&amp;$A71&amp;"'!$B$1"),IF(VLOOKUP(K$1,INDIRECT("'"&amp;$A71&amp;"'!$A$12:$Z$41"),MATCH("Points (Auto-generate)",INDIRECT("'"&amp;$A71&amp;"'!$A$12:$Z$12"),0),0)="","?",VLOOKUP(K$1,INDIRECT("'"&amp;$A71&amp;"'!$A$12:$Z$41"),MATCH("Points (Auto-generate)",INDIRECT("'"&amp;$A71&amp;"'!$A$12:$Z$12"),0),0)),"ER"))</f>
        <v>?</v>
      </c>
      <c r="L71" s="87" t="str">
        <f aca="true">IF($H71=0,"NA",IF($A71=INDIRECT("'"&amp;$A71&amp;"'!$B$1"),IF(VLOOKUP(L$1,INDIRECT("'"&amp;$A71&amp;"'!$A$12:$Z$41"),MATCH("Points (Auto-generate)",INDIRECT("'"&amp;$A71&amp;"'!$A$12:$Z$12"),0),0)="","?",VLOOKUP(L$1,INDIRECT("'"&amp;$A71&amp;"'!$A$12:$Z$41"),MATCH("Points (Auto-generate)",INDIRECT("'"&amp;$A71&amp;"'!$A$12:$Z$12"),0),0)),"ER"))</f>
        <v>?</v>
      </c>
      <c r="M71" s="87" t="str">
        <f aca="true">IF($H71=0,"NA",IF($A71=INDIRECT("'"&amp;$A71&amp;"'!$B$1"),IF(VLOOKUP(M$1,INDIRECT("'"&amp;$A71&amp;"'!$A$12:$Z$41"),MATCH("Points (Auto-generate)",INDIRECT("'"&amp;$A71&amp;"'!$A$12:$Z$12"),0),0)="","?",VLOOKUP(M$1,INDIRECT("'"&amp;$A71&amp;"'!$A$12:$Z$41"),MATCH("Points (Auto-generate)",INDIRECT("'"&amp;$A71&amp;"'!$A$12:$Z$12"),0),0)),"ER"))</f>
        <v>?</v>
      </c>
      <c r="N71" s="87" t="str">
        <f aca="true">IF($H71=0,"NA",IF($A71=INDIRECT("'"&amp;$A71&amp;"'!$B$1"),IF(VLOOKUP(N$1,INDIRECT("'"&amp;$A71&amp;"'!$A$12:$Z$41"),MATCH("Points (Auto-generate)",INDIRECT("'"&amp;$A71&amp;"'!$A$12:$Z$12"),0),0)="","?",VLOOKUP(N$1,INDIRECT("'"&amp;$A71&amp;"'!$A$12:$Z$41"),MATCH("Points (Auto-generate)",INDIRECT("'"&amp;$A71&amp;"'!$A$12:$Z$12"),0),0)),"ER"))</f>
        <v>?</v>
      </c>
      <c r="O71" s="87" t="str">
        <f aca="true">IF($H71=0,"NA",IF($A71=INDIRECT("'"&amp;$A71&amp;"'!$B$1"),IF(VLOOKUP(O$1,INDIRECT("'"&amp;$A71&amp;"'!$A$12:$Z$41"),MATCH("Points (Auto-generate)",INDIRECT("'"&amp;$A71&amp;"'!$A$12:$Z$12"),0),0)="","?",VLOOKUP(O$1,INDIRECT("'"&amp;$A71&amp;"'!$A$12:$Z$41"),MATCH("Points (Auto-generate)",INDIRECT("'"&amp;$A71&amp;"'!$A$12:$Z$12"),0),0)),"ER"))</f>
        <v>?</v>
      </c>
      <c r="P71" s="87" t="str">
        <f aca="true">IF($H71=0,"NA",IF($A71=INDIRECT("'"&amp;$A71&amp;"'!$B$1"),IF(VLOOKUP(P$1,INDIRECT("'"&amp;$A71&amp;"'!$A$12:$Z$41"),MATCH("Points (Auto-generate)",INDIRECT("'"&amp;$A71&amp;"'!$A$12:$Z$12"),0),0)="","?",VLOOKUP(P$1,INDIRECT("'"&amp;$A71&amp;"'!$A$12:$Z$41"),MATCH("Points (Auto-generate)",INDIRECT("'"&amp;$A71&amp;"'!$A$12:$Z$12"),0),0)),"ER"))</f>
        <v>?</v>
      </c>
      <c r="Q71" s="87" t="str">
        <f aca="true">IF($H71=0,"NA",IF($A71=INDIRECT("'"&amp;$A71&amp;"'!$B$1"),IF(VLOOKUP(Q$1,INDIRECT("'"&amp;$A71&amp;"'!$A$12:$Z$41"),MATCH("Points (Auto-generate)",INDIRECT("'"&amp;$A71&amp;"'!$A$12:$Z$12"),0),0)="","?",VLOOKUP(Q$1,INDIRECT("'"&amp;$A71&amp;"'!$A$12:$Z$41"),MATCH("Points (Auto-generate)",INDIRECT("'"&amp;$A71&amp;"'!$A$12:$Z$12"),0),0)),"ER"))</f>
        <v>?</v>
      </c>
      <c r="R71" s="87" t="str">
        <f aca="true">IF($H71=0,"NA",IF($A71=INDIRECT("'"&amp;$A71&amp;"'!$B$1"),IF(VLOOKUP(R$1,INDIRECT("'"&amp;$A71&amp;"'!$A$12:$Z$41"),MATCH("Points (Auto-generate)",INDIRECT("'"&amp;$A71&amp;"'!$A$12:$Z$12"),0),0)="","?",VLOOKUP(R$1,INDIRECT("'"&amp;$A71&amp;"'!$A$12:$Z$41"),MATCH("Points (Auto-generate)",INDIRECT("'"&amp;$A71&amp;"'!$A$12:$Z$12"),0),0)),"ER"))</f>
        <v>?</v>
      </c>
      <c r="S71" s="87" t="str">
        <f aca="true">IF($H71=0,"NA",IF($A71=INDIRECT("'"&amp;$A71&amp;"'!$B$1"),IF(VLOOKUP(S$1,INDIRECT("'"&amp;$A71&amp;"'!$A$12:$Z$41"),MATCH("Points (Auto-generate)",INDIRECT("'"&amp;$A71&amp;"'!$A$12:$Z$12"),0),0)="","?",VLOOKUP(S$1,INDIRECT("'"&amp;$A71&amp;"'!$A$12:$Z$41"),MATCH("Points (Auto-generate)",INDIRECT("'"&amp;$A71&amp;"'!$A$12:$Z$12"),0),0)),"ER"))</f>
        <v>?</v>
      </c>
      <c r="T71" s="87" t="str">
        <f aca="true">IF($H71=0,"NA",IF($A71=INDIRECT("'"&amp;$A71&amp;"'!$B$1"),IF(VLOOKUP(T$1,INDIRECT("'"&amp;$A71&amp;"'!$A$12:$Z$41"),MATCH("Points (Auto-generate)",INDIRECT("'"&amp;$A71&amp;"'!$A$12:$Z$12"),0),0)="","?",VLOOKUP(T$1,INDIRECT("'"&amp;$A71&amp;"'!$A$12:$Z$41"),MATCH("Points (Auto-generate)",INDIRECT("'"&amp;$A71&amp;"'!$A$12:$Z$12"),0),0)),"ER"))</f>
        <v>?</v>
      </c>
      <c r="U71" s="87" t="str">
        <f aca="true">IF($H71=0,"NA",IF($A71=INDIRECT("'"&amp;$A71&amp;"'!$B$1"),IF(VLOOKUP(U$1,INDIRECT("'"&amp;$A71&amp;"'!$A$12:$Z$41"),MATCH("Points (Auto-generate)",INDIRECT("'"&amp;$A71&amp;"'!$A$12:$Z$12"),0),0)="","?",VLOOKUP(U$1,INDIRECT("'"&amp;$A71&amp;"'!$A$12:$Z$41"),MATCH("Points (Auto-generate)",INDIRECT("'"&amp;$A71&amp;"'!$A$12:$Z$12"),0),0)),"ER"))</f>
        <v>?</v>
      </c>
      <c r="V71" s="87" t="str">
        <f aca="true">IF($H71=0,"NA",IF($A71=INDIRECT("'"&amp;$A71&amp;"'!$B$1"),IF(VLOOKUP(V$1,INDIRECT("'"&amp;$A71&amp;"'!$A$12:$Z$41"),MATCH("Points (Auto-generate)",INDIRECT("'"&amp;$A71&amp;"'!$A$12:$Z$12"),0),0)="","?",VLOOKUP(V$1,INDIRECT("'"&amp;$A71&amp;"'!$A$12:$Z$41"),MATCH("Points (Auto-generate)",INDIRECT("'"&amp;$A71&amp;"'!$A$12:$Z$12"),0),0)),"ER"))</f>
        <v>?</v>
      </c>
      <c r="W71" s="87" t="str">
        <f aca="true">IF($H71=0,"NA",IF($A71=INDIRECT("'"&amp;$A71&amp;"'!$B$1"),IF(VLOOKUP(W$1,INDIRECT("'"&amp;$A71&amp;"'!$A$12:$Z$41"),MATCH("Points (Auto-generate)",INDIRECT("'"&amp;$A71&amp;"'!$A$12:$Z$12"),0),0)="","?",VLOOKUP(W$1,INDIRECT("'"&amp;$A71&amp;"'!$A$12:$Z$41"),MATCH("Points (Auto-generate)",INDIRECT("'"&amp;$A71&amp;"'!$A$12:$Z$12"),0),0)),"ER"))</f>
        <v>?</v>
      </c>
      <c r="X71" s="87" t="str">
        <f aca="true">IF($H71=0,"NA",IF($A71=INDIRECT("'"&amp;$A71&amp;"'!$B$1"),IF(VLOOKUP(X$1,INDIRECT("'"&amp;$A71&amp;"'!$A$12:$Z$41"),MATCH("Points (Auto-generate)",INDIRECT("'"&amp;$A71&amp;"'!$A$12:$Z$12"),0),0)="","?",VLOOKUP(X$1,INDIRECT("'"&amp;$A71&amp;"'!$A$12:$Z$41"),MATCH("Points (Auto-generate)",INDIRECT("'"&amp;$A71&amp;"'!$A$12:$Z$12"),0),0)),"ER"))</f>
        <v>?</v>
      </c>
      <c r="Y71" s="87" t="str">
        <f aca="true">IF($H71=0,"NA",IF($A71=INDIRECT("'"&amp;$A71&amp;"'!$B$1"),IF(VLOOKUP(Y$1,INDIRECT("'"&amp;$A71&amp;"'!$A$12:$Z$41"),MATCH("Points (Auto-generate)",INDIRECT("'"&amp;$A71&amp;"'!$A$12:$Z$12"),0),0)="","?",VLOOKUP(Y$1,INDIRECT("'"&amp;$A71&amp;"'!$A$12:$Z$41"),MATCH("Points (Auto-generate)",INDIRECT("'"&amp;$A71&amp;"'!$A$12:$Z$12"),0),0)),"ER"))</f>
        <v>?</v>
      </c>
      <c r="Z71" s="87" t="str">
        <f aca="true">IF($H71=0,"NA",IF($A71=INDIRECT("'"&amp;$A71&amp;"'!$B$1"),IF(VLOOKUP(Z$1,INDIRECT("'"&amp;$A71&amp;"'!$A$12:$Z$41"),MATCH("Points (Auto-generate)",INDIRECT("'"&amp;$A71&amp;"'!$A$12:$Z$12"),0),0)="","?",VLOOKUP(Z$1,INDIRECT("'"&amp;$A71&amp;"'!$A$12:$Z$41"),MATCH("Points (Auto-generate)",INDIRECT("'"&amp;$A71&amp;"'!$A$12:$Z$12"),0),0)),"ER"))</f>
        <v>?</v>
      </c>
      <c r="AA71" s="87" t="str">
        <f aca="true">IF($H71=0,"NA",IF($A71=INDIRECT("'"&amp;$A71&amp;"'!$B$1"),IF(VLOOKUP(AA$1,INDIRECT("'"&amp;$A71&amp;"'!$A$12:$Z$41"),MATCH("Points (Auto-generate)",INDIRECT("'"&amp;$A71&amp;"'!$A$12:$Z$12"),0),0)="","?",VLOOKUP(AA$1,INDIRECT("'"&amp;$A71&amp;"'!$A$12:$Z$41"),MATCH("Points (Auto-generate)",INDIRECT("'"&amp;$A71&amp;"'!$A$12:$Z$12"),0),0)),"ER"))</f>
        <v>?</v>
      </c>
      <c r="AB71" s="87" t="str">
        <f aca="true">IF($H71=0,"NA",IF($A71=INDIRECT("'"&amp;$A71&amp;"'!$B$1"),IF(VLOOKUP(AB$1,INDIRECT("'"&amp;$A71&amp;"'!$A$12:$Z$41"),MATCH("Points (Auto-generate)",INDIRECT("'"&amp;$A71&amp;"'!$A$12:$Z$12"),0),0)="","?",VLOOKUP(AB$1,INDIRECT("'"&amp;$A71&amp;"'!$A$12:$Z$41"),MATCH("Points (Auto-generate)",INDIRECT("'"&amp;$A71&amp;"'!$A$12:$Z$12"),0),0)),"ER"))</f>
        <v>?</v>
      </c>
      <c r="AC71" s="87" t="str">
        <f aca="true">IF($H71=0,"NA",IF($A71=INDIRECT("'"&amp;$A71&amp;"'!$B$1"),IF(VLOOKUP(AC$1,INDIRECT("'"&amp;$A71&amp;"'!$A$12:$Z$41"),MATCH("Points (Auto-generate)",INDIRECT("'"&amp;$A71&amp;"'!$A$12:$Z$12"),0),0)="","?",VLOOKUP(AC$1,INDIRECT("'"&amp;$A71&amp;"'!$A$12:$Z$41"),MATCH("Points (Auto-generate)",INDIRECT("'"&amp;$A71&amp;"'!$A$12:$Z$12"),0),0)),"ER"))</f>
        <v>?</v>
      </c>
      <c r="AD71" s="87" t="str">
        <f aca="true">IF($H71=0,"NA",IF($A71=INDIRECT("'"&amp;$A71&amp;"'!$B$1"),IF(VLOOKUP(AD$1,INDIRECT("'"&amp;$A71&amp;"'!$A$12:$Z$41"),MATCH("Points (Auto-generate)",INDIRECT("'"&amp;$A71&amp;"'!$A$12:$Z$12"),0),0)="","?",VLOOKUP(AD$1,INDIRECT("'"&amp;$A71&amp;"'!$A$12:$Z$41"),MATCH("Points (Auto-generate)",INDIRECT("'"&amp;$A71&amp;"'!$A$12:$Z$12"),0),0)),"ER"))</f>
        <v>?</v>
      </c>
      <c r="AE71" s="87" t="str">
        <f aca="true">IF($H71=0,"NA",IF($A71=INDIRECT("'"&amp;$A71&amp;"'!$B$1"),IF(VLOOKUP(AE$1,INDIRECT("'"&amp;$A71&amp;"'!$A$12:$Z$41"),MATCH("Points (Auto-generate)",INDIRECT("'"&amp;$A71&amp;"'!$A$12:$Z$12"),0),0)="","?",VLOOKUP(AE$1,INDIRECT("'"&amp;$A71&amp;"'!$A$12:$Z$41"),MATCH("Points (Auto-generate)",INDIRECT("'"&amp;$A71&amp;"'!$A$12:$Z$12"),0),0)),"ER"))</f>
        <v>?</v>
      </c>
      <c r="AF71" s="87" t="str">
        <f aca="true">IF($H71=0,"NA",IF($A71=INDIRECT("'"&amp;$A71&amp;"'!$B$1"),IF(VLOOKUP(AF$1,INDIRECT("'"&amp;$A71&amp;"'!$A$12:$Z$41"),MATCH("Points (Auto-generate)",INDIRECT("'"&amp;$A71&amp;"'!$A$12:$Z$12"),0),0)="","?",VLOOKUP(AF$1,INDIRECT("'"&amp;$A71&amp;"'!$A$12:$Z$41"),MATCH("Points (Auto-generate)",INDIRECT("'"&amp;$A71&amp;"'!$A$12:$Z$12"),0),0)),"ER"))</f>
        <v>?</v>
      </c>
      <c r="AG71" s="87" t="str">
        <f aca="true">IF($H71=0,"NA",IF($A71=INDIRECT("'"&amp;$A71&amp;"'!$B$1"),IF(VLOOKUP(AG$1,INDIRECT("'"&amp;$A71&amp;"'!$A$12:$Z$41"),MATCH("Points (Auto-generate)",INDIRECT("'"&amp;$A71&amp;"'!$A$12:$Z$12"),0),0)="","?",VLOOKUP(AG$1,INDIRECT("'"&amp;$A71&amp;"'!$A$12:$Z$41"),MATCH("Points (Auto-generate)",INDIRECT("'"&amp;$A71&amp;"'!$A$12:$Z$12"),0),0)),"ER"))</f>
        <v>?</v>
      </c>
      <c r="AH71" s="87" t="str">
        <f aca="true">IF($H71=0,"NA",IF($A71=INDIRECT("'"&amp;$A71&amp;"'!$B$1"),IF(VLOOKUP(AH$1,INDIRECT("'"&amp;$A71&amp;"'!$A$12:$Z$41"),MATCH("Points (Auto-generate)",INDIRECT("'"&amp;$A71&amp;"'!$A$12:$Z$12"),0),0)="","?",VLOOKUP(AH$1,INDIRECT("'"&amp;$A71&amp;"'!$A$12:$Z$41"),MATCH("Points (Auto-generate)",INDIRECT("'"&amp;$A71&amp;"'!$A$12:$Z$12"),0),0)),"ER"))</f>
        <v>?</v>
      </c>
      <c r="AI71" s="87" t="str">
        <f aca="true">IF($H71=0,"NA",IF($A71=INDIRECT("'"&amp;$A71&amp;"'!$B$1"),IF(VLOOKUP(AI$1,INDIRECT("'"&amp;$A71&amp;"'!$A$12:$Z$41"),MATCH("Points (Auto-generate)",INDIRECT("'"&amp;$A71&amp;"'!$A$12:$Z$12"),0),0)="","?",VLOOKUP(AI$1,INDIRECT("'"&amp;$A71&amp;"'!$A$12:$Z$41"),MATCH("Points (Auto-generate)",INDIRECT("'"&amp;$A71&amp;"'!$A$12:$Z$12"),0),0)),"ER"))</f>
        <v>?</v>
      </c>
      <c r="AJ71" s="87" t="str">
        <f aca="true">IF($H71=0,"NA",IF($A71=INDIRECT("'"&amp;$A71&amp;"'!$B$1"),IF(VLOOKUP(AJ$1,INDIRECT("'"&amp;$A71&amp;"'!$A$12:$Z$41"),MATCH("Points (Auto-generate)",INDIRECT("'"&amp;$A71&amp;"'!$A$12:$Z$12"),0),0)="","?",VLOOKUP(AJ$1,INDIRECT("'"&amp;$A71&amp;"'!$A$12:$Z$41"),MATCH("Points (Auto-generate)",INDIRECT("'"&amp;$A71&amp;"'!$A$12:$Z$12"),0),0)),"ER"))</f>
        <v>?</v>
      </c>
      <c r="AK71" s="87" t="str">
        <f aca="true">IF($H71=0,"NA",IF($A71=INDIRECT("'"&amp;$A71&amp;"'!$B$1"),IF(VLOOKUP(AK$1,INDIRECT("'"&amp;$A71&amp;"'!$A$12:$Z$41"),MATCH("Points (Auto-generate)",INDIRECT("'"&amp;$A71&amp;"'!$A$12:$Z$12"),0),0)="","?",VLOOKUP(AK$1,INDIRECT("'"&amp;$A71&amp;"'!$A$12:$Z$41"),MATCH("Points (Auto-generate)",INDIRECT("'"&amp;$A71&amp;"'!$A$12:$Z$12"),0),0)),"ER"))</f>
        <v>?</v>
      </c>
    </row>
    <row r="72" customFormat="false" ht="14.25" hidden="false" customHeight="true" outlineLevel="0" collapsed="false">
      <c r="A72" s="83" t="s">
        <v>871</v>
      </c>
      <c r="B72" s="84" t="str">
        <f aca="false">IF(ISBLANK($A72),"NO_CODE",VLOOKUP($A72,'UPD Questions_290926 '!$E$1:$N$300,MATCH(B$1,'UPD Questions_290926 '!$E$1:$N$1,0),0)&amp;"")</f>
        <v>Implementation</v>
      </c>
      <c r="C72" s="84" t="str">
        <f aca="false">IF(ISBLANK($A72),"NO_CODE",VLOOKUP($A72,'UPD Questions_290926 '!$E$1:$N$300,MATCH(C$1,'UPD Questions_290926 '!$E$1:$N$1,0),0)&amp;"")</f>
        <v>Sectoral planning</v>
      </c>
      <c r="D72" s="84" t="str">
        <f aca="false">IF(ISBLANK($A72),"NO_CODE",VLOOKUP($A72,'UPD Questions_290926 '!$E$1:$N$300,MATCH(D$1,'UPD Questions_290926 '!$E$1:$N$1,0),0)&amp;"")</f>
        <v>Economic development planning</v>
      </c>
      <c r="E72" s="84" t="str">
        <f aca="false">IF(ISBLANK($A72),"NO_CODE",VLOOKUP($A72,'UPD Questions_290926 '!$E$1:$N$300,MATCH(E$1,'UPD Questions_290926 '!$E$1:$N$1,0),0)&amp;"")</f>
        <v>MQ</v>
      </c>
      <c r="F72" s="84" t="str">
        <f aca="false">IF(ISBLANK($A72),"NO_CODE",VLOOKUP($A72,'UPD Questions_290926 '!$E$1:$N$300,MATCH(F$1,'UPD Questions_290926 '!$E$1:$N$1,0),0)&amp;"")</f>
        <v>Does your city have an Economic Vision Plan that clearly articulates development priorities, measurable objectives, and the roles and responsibilities of the ULG?</v>
      </c>
      <c r="G72" s="84" t="str">
        <f aca="false">IF(ISBLANK($A72),"NO_CODE",VLOOKUP($A72,'UPD Questions_290926 '!$E$1:$N$300,MATCH(G$1,'UPD Questions_290926 '!$E$1:$N$1,0),0)&amp;"")</f>
        <v>Implementation</v>
      </c>
      <c r="H72" s="86" t="n">
        <f aca="false">IF(ISBLANK($A72),"NO_CODE",VLOOKUP($A72,'UPD Questions_290926 '!$E$1:$N$300,MATCH(H$1,'UPD Questions_290926 '!$E$1:$N$1,0),0))</f>
        <v>10</v>
      </c>
      <c r="I72" s="87" t="str">
        <f aca="false">IF(OR(I73="ER",I74="ER",I75="ER"),"ER",IF(OR(I73="?",I74="?",I75="?"),"?",IF(AND(I73="NA",I74="NA",I75="NA"),"NA",SUM(I73,I74,I75)/((I73&lt;&gt;"NA")*$H$73+(I74&lt;&gt;"NA")*$H$74+(I75&lt;&gt;"NA")*$H$75)*$H72)))</f>
        <v>?</v>
      </c>
      <c r="J72" s="87" t="n">
        <f aca="false">IF(OR(J73="ER",J74="ER",J75="ER"),"ER",IF(OR(J73="?",J74="?",J75="?"),"?",IF(AND(J73="NA",J74="NA",J75="NA"),"NA",SUM(J73,J74,J75)/((J73&lt;&gt;"NA")*$H$73+(J74&lt;&gt;"NA")*$H$74+(J75&lt;&gt;"NA")*$H$75)*$H72)))</f>
        <v>0</v>
      </c>
      <c r="K72" s="87" t="str">
        <f aca="false">IF(OR(K73="ER",K74="ER",K75="ER"),"ER",IF(OR(K73="?",K74="?",K75="?"),"?",IF(AND(K73="NA",K74="NA",K75="NA"),"NA",SUM(K73,K74,K75)/((K73&lt;&gt;"NA")*$H$73+(K74&lt;&gt;"NA")*$H$74+(K75&lt;&gt;"NA")*$H$75)*$H72)))</f>
        <v>?</v>
      </c>
      <c r="L72" s="87" t="str">
        <f aca="false">IF(OR(L73="ER",L74="ER",L75="ER"),"ER",IF(OR(L73="?",L74="?",L75="?"),"?",IF(AND(L73="NA",L74="NA",L75="NA"),"NA",SUM(L73,L74,L75)/((L73&lt;&gt;"NA")*$H$73+(L74&lt;&gt;"NA")*$H$74+(L75&lt;&gt;"NA")*$H$75)*$H72)))</f>
        <v>?</v>
      </c>
      <c r="M72" s="87" t="str">
        <f aca="false">IF(OR(M73="ER",M74="ER",M75="ER"),"ER",IF(OR(M73="?",M74="?",M75="?"),"?",IF(AND(M73="NA",M74="NA",M75="NA"),"NA",SUM(M73,M74,M75)/((M73&lt;&gt;"NA")*$H$73+(M74&lt;&gt;"NA")*$H$74+(M75&lt;&gt;"NA")*$H$75)*$H72)))</f>
        <v>?</v>
      </c>
      <c r="N72" s="87" t="str">
        <f aca="false">IF(OR(N73="ER",N74="ER",N75="ER"),"ER",IF(OR(N73="?",N74="?",N75="?"),"?",IF(AND(N73="NA",N74="NA",N75="NA"),"NA",SUM(N73,N74,N75)/((N73&lt;&gt;"NA")*$H$73+(N74&lt;&gt;"NA")*$H$74+(N75&lt;&gt;"NA")*$H$75)*$H72)))</f>
        <v>?</v>
      </c>
      <c r="O72" s="87" t="str">
        <f aca="false">IF(OR(O73="ER",O74="ER",O75="ER"),"ER",IF(OR(O73="?",O74="?",O75="?"),"?",IF(AND(O73="NA",O74="NA",O75="NA"),"NA",SUM(O73,O74,O75)/((O73&lt;&gt;"NA")*$H$73+(O74&lt;&gt;"NA")*$H$74+(O75&lt;&gt;"NA")*$H$75)*$H72)))</f>
        <v>?</v>
      </c>
      <c r="P72" s="87" t="str">
        <f aca="false">IF(OR(P73="ER",P74="ER",P75="ER"),"ER",IF(OR(P73="?",P74="?",P75="?"),"?",IF(AND(P73="NA",P74="NA",P75="NA"),"NA",SUM(P73,P74,P75)/((P73&lt;&gt;"NA")*$H$73+(P74&lt;&gt;"NA")*$H$74+(P75&lt;&gt;"NA")*$H$75)*$H72)))</f>
        <v>?</v>
      </c>
      <c r="Q72" s="87" t="str">
        <f aca="false">IF(OR(Q73="ER",Q74="ER",Q75="ER"),"ER",IF(OR(Q73="?",Q74="?",Q75="?"),"?",IF(AND(Q73="NA",Q74="NA",Q75="NA"),"NA",SUM(Q73,Q74,Q75)/((Q73&lt;&gt;"NA")*$H$73+(Q74&lt;&gt;"NA")*$H$74+(Q75&lt;&gt;"NA")*$H$75)*$H72)))</f>
        <v>?</v>
      </c>
      <c r="R72" s="87" t="str">
        <f aca="false">IF(OR(R73="ER",R74="ER",R75="ER"),"ER",IF(OR(R73="?",R74="?",R75="?"),"?",IF(AND(R73="NA",R74="NA",R75="NA"),"NA",SUM(R73,R74,R75)/((R73&lt;&gt;"NA")*$H$73+(R74&lt;&gt;"NA")*$H$74+(R75&lt;&gt;"NA")*$H$75)*$H72)))</f>
        <v>?</v>
      </c>
      <c r="S72" s="87" t="str">
        <f aca="false">IF(OR(S73="ER",S74="ER",S75="ER"),"ER",IF(OR(S73="?",S74="?",S75="?"),"?",IF(AND(S73="NA",S74="NA",S75="NA"),"NA",SUM(S73,S74,S75)/((S73&lt;&gt;"NA")*$H$73+(S74&lt;&gt;"NA")*$H$74+(S75&lt;&gt;"NA")*$H$75)*$H72)))</f>
        <v>?</v>
      </c>
      <c r="T72" s="87" t="str">
        <f aca="false">IF(OR(T73="ER",T74="ER",T75="ER"),"ER",IF(OR(T73="?",T74="?",T75="?"),"?",IF(AND(T73="NA",T74="NA",T75="NA"),"NA",SUM(T73,T74,T75)/((T73&lt;&gt;"NA")*$H$73+(T74&lt;&gt;"NA")*$H$74+(T75&lt;&gt;"NA")*$H$75)*$H72)))</f>
        <v>?</v>
      </c>
      <c r="U72" s="87" t="str">
        <f aca="false">IF(OR(U73="ER",U74="ER",U75="ER"),"ER",IF(OR(U73="?",U74="?",U75="?"),"?",IF(AND(U73="NA",U74="NA",U75="NA"),"NA",SUM(U73,U74,U75)/((U73&lt;&gt;"NA")*$H$73+(U74&lt;&gt;"NA")*$H$74+(U75&lt;&gt;"NA")*$H$75)*$H72)))</f>
        <v>?</v>
      </c>
      <c r="V72" s="87" t="str">
        <f aca="false">IF(OR(V73="ER",V74="ER",V75="ER"),"ER",IF(OR(V73="?",V74="?",V75="?"),"?",IF(AND(V73="NA",V74="NA",V75="NA"),"NA",SUM(V73,V74,V75)/((V73&lt;&gt;"NA")*$H$73+(V74&lt;&gt;"NA")*$H$74+(V75&lt;&gt;"NA")*$H$75)*$H72)))</f>
        <v>?</v>
      </c>
      <c r="W72" s="87" t="str">
        <f aca="false">IF(OR(W73="ER",W74="ER",W75="ER"),"ER",IF(OR(W73="?",W74="?",W75="?"),"?",IF(AND(W73="NA",W74="NA",W75="NA"),"NA",SUM(W73,W74,W75)/((W73&lt;&gt;"NA")*$H$73+(W74&lt;&gt;"NA")*$H$74+(W75&lt;&gt;"NA")*$H$75)*$H72)))</f>
        <v>?</v>
      </c>
      <c r="X72" s="87" t="str">
        <f aca="false">IF(OR(X73="ER",X74="ER",X75="ER"),"ER",IF(OR(X73="?",X74="?",X75="?"),"?",IF(AND(X73="NA",X74="NA",X75="NA"),"NA",SUM(X73,X74,X75)/((X73&lt;&gt;"NA")*$H$73+(X74&lt;&gt;"NA")*$H$74+(X75&lt;&gt;"NA")*$H$75)*$H72)))</f>
        <v>?</v>
      </c>
      <c r="Y72" s="87" t="str">
        <f aca="false">IF(OR(Y73="ER",Y74="ER",Y75="ER"),"ER",IF(OR(Y73="?",Y74="?",Y75="?"),"?",IF(AND(Y73="NA",Y74="NA",Y75="NA"),"NA",SUM(Y73,Y74,Y75)/((Y73&lt;&gt;"NA")*$H$73+(Y74&lt;&gt;"NA")*$H$74+(Y75&lt;&gt;"NA")*$H$75)*$H72)))</f>
        <v>?</v>
      </c>
      <c r="Z72" s="87" t="str">
        <f aca="false">IF(OR(Z73="ER",Z74="ER",Z75="ER"),"ER",IF(OR(Z73="?",Z74="?",Z75="?"),"?",IF(AND(Z73="NA",Z74="NA",Z75="NA"),"NA",SUM(Z73,Z74,Z75)/((Z73&lt;&gt;"NA")*$H$73+(Z74&lt;&gt;"NA")*$H$74+(Z75&lt;&gt;"NA")*$H$75)*$H72)))</f>
        <v>?</v>
      </c>
      <c r="AA72" s="87" t="str">
        <f aca="false">IF(OR(AA73="ER",AA74="ER",AA75="ER"),"ER",IF(OR(AA73="?",AA74="?",AA75="?"),"?",IF(AND(AA73="NA",AA74="NA",AA75="NA"),"NA",SUM(AA73,AA74,AA75)/((AA73&lt;&gt;"NA")*$H$73+(AA74&lt;&gt;"NA")*$H$74+(AA75&lt;&gt;"NA")*$H$75)*$H72)))</f>
        <v>?</v>
      </c>
      <c r="AB72" s="87" t="str">
        <f aca="false">IF(OR(AB73="ER",AB74="ER",AB75="ER"),"ER",IF(OR(AB73="?",AB74="?",AB75="?"),"?",IF(AND(AB73="NA",AB74="NA",AB75="NA"),"NA",SUM(AB73,AB74,AB75)/((AB73&lt;&gt;"NA")*$H$73+(AB74&lt;&gt;"NA")*$H$74+(AB75&lt;&gt;"NA")*$H$75)*$H72)))</f>
        <v>?</v>
      </c>
      <c r="AC72" s="87" t="str">
        <f aca="false">IF(OR(AC73="ER",AC74="ER",AC75="ER"),"ER",IF(OR(AC73="?",AC74="?",AC75="?"),"?",IF(AND(AC73="NA",AC74="NA",AC75="NA"),"NA",SUM(AC73,AC74,AC75)/((AC73&lt;&gt;"NA")*$H$73+(AC74&lt;&gt;"NA")*$H$74+(AC75&lt;&gt;"NA")*$H$75)*$H72)))</f>
        <v>?</v>
      </c>
      <c r="AD72" s="87" t="str">
        <f aca="false">IF(OR(AD73="ER",AD74="ER",AD75="ER"),"ER",IF(OR(AD73="?",AD74="?",AD75="?"),"?",IF(AND(AD73="NA",AD74="NA",AD75="NA"),"NA",SUM(AD73,AD74,AD75)/((AD73&lt;&gt;"NA")*$H$73+(AD74&lt;&gt;"NA")*$H$74+(AD75&lt;&gt;"NA")*$H$75)*$H72)))</f>
        <v>?</v>
      </c>
      <c r="AE72" s="87" t="str">
        <f aca="false">IF(OR(AE73="ER",AE74="ER",AE75="ER"),"ER",IF(OR(AE73="?",AE74="?",AE75="?"),"?",IF(AND(AE73="NA",AE74="NA",AE75="NA"),"NA",SUM(AE73,AE74,AE75)/((AE73&lt;&gt;"NA")*$H$73+(AE74&lt;&gt;"NA")*$H$74+(AE75&lt;&gt;"NA")*$H$75)*$H72)))</f>
        <v>?</v>
      </c>
      <c r="AF72" s="87" t="str">
        <f aca="false">IF(OR(AF73="ER",AF74="ER",AF75="ER"),"ER",IF(OR(AF73="?",AF74="?",AF75="?"),"?",IF(AND(AF73="NA",AF74="NA",AF75="NA"),"NA",SUM(AF73,AF74,AF75)/((AF73&lt;&gt;"NA")*$H$73+(AF74&lt;&gt;"NA")*$H$74+(AF75&lt;&gt;"NA")*$H$75)*$H72)))</f>
        <v>?</v>
      </c>
      <c r="AG72" s="87" t="str">
        <f aca="false">IF(OR(AG73="ER",AG74="ER",AG75="ER"),"ER",IF(OR(AG73="?",AG74="?",AG75="?"),"?",IF(AND(AG73="NA",AG74="NA",AG75="NA"),"NA",SUM(AG73,AG74,AG75)/((AG73&lt;&gt;"NA")*$H$73+(AG74&lt;&gt;"NA")*$H$74+(AG75&lt;&gt;"NA")*$H$75)*$H72)))</f>
        <v>?</v>
      </c>
      <c r="AH72" s="87" t="str">
        <f aca="false">IF(OR(AH73="ER",AH74="ER",AH75="ER"),"ER",IF(OR(AH73="?",AH74="?",AH75="?"),"?",IF(AND(AH73="NA",AH74="NA",AH75="NA"),"NA",SUM(AH73,AH74,AH75)/((AH73&lt;&gt;"NA")*$H$73+(AH74&lt;&gt;"NA")*$H$74+(AH75&lt;&gt;"NA")*$H$75)*$H72)))</f>
        <v>?</v>
      </c>
      <c r="AI72" s="87" t="str">
        <f aca="false">IF(OR(AI73="ER",AI74="ER",AI75="ER"),"ER",IF(OR(AI73="?",AI74="?",AI75="?"),"?",IF(AND(AI73="NA",AI74="NA",AI75="NA"),"NA",SUM(AI73,AI74,AI75)/((AI73&lt;&gt;"NA")*$H$73+(AI74&lt;&gt;"NA")*$H$74+(AI75&lt;&gt;"NA")*$H$75)*$H72)))</f>
        <v>?</v>
      </c>
      <c r="AJ72" s="87" t="str">
        <f aca="false">IF(OR(AJ73="ER",AJ74="ER",AJ75="ER"),"ER",IF(OR(AJ73="?",AJ74="?",AJ75="?"),"?",IF(AND(AJ73="NA",AJ74="NA",AJ75="NA"),"NA",SUM(AJ73,AJ74,AJ75)/((AJ73&lt;&gt;"NA")*$H$73+(AJ74&lt;&gt;"NA")*$H$74+(AJ75&lt;&gt;"NA")*$H$75)*$H72)))</f>
        <v>?</v>
      </c>
      <c r="AK72" s="87" t="str">
        <f aca="false">IF(OR(AK73="ER",AK74="ER",AK75="ER"),"ER",IF(OR(AK73="?",AK74="?",AK75="?"),"?",IF(AND(AK73="NA",AK74="NA",AK75="NA"),"NA",SUM(AK73,AK74,AK75)/((AK73&lt;&gt;"NA")*$H$73+(AK74&lt;&gt;"NA")*$H$74+(AK75&lt;&gt;"NA")*$H$75)*$H72)))</f>
        <v>?</v>
      </c>
    </row>
    <row r="73" customFormat="false" ht="14.25" hidden="false" customHeight="true" outlineLevel="0" collapsed="false">
      <c r="A73" s="83" t="s">
        <v>396</v>
      </c>
      <c r="B73" s="84" t="str">
        <f aca="false">IF(ISBLANK($A73),"NO_CODE",VLOOKUP($A73,'UPD Questions_290926 '!$E$1:$N$300,MATCH(B$1,'UPD Questions_290926 '!$E$1:$N$1,0),0)&amp;"")</f>
        <v>Implementation</v>
      </c>
      <c r="C73" s="84" t="str">
        <f aca="false">IF(ISBLANK($A73),"NO_CODE",VLOOKUP($A73,'UPD Questions_290926 '!$E$1:$N$300,MATCH(C$1,'UPD Questions_290926 '!$E$1:$N$1,0),0)&amp;"")</f>
        <v>Sectoral planning</v>
      </c>
      <c r="D73" s="84" t="str">
        <f aca="false">IF(ISBLANK($A73),"NO_CODE",VLOOKUP($A73,'UPD Questions_290926 '!$E$1:$N$300,MATCH(D$1,'UPD Questions_290926 '!$E$1:$N$1,0),0)&amp;"")</f>
        <v>Economic development planning</v>
      </c>
      <c r="E73" s="84" t="str">
        <f aca="false">IF(ISBLANK($A73),"NO_CODE",VLOOKUP($A73,'UPD Questions_290926 '!$E$1:$N$300,MATCH(E$1,'UPD Questions_290926 '!$E$1:$N$1,0),0)&amp;"")</f>
        <v>SQ</v>
      </c>
      <c r="F73" s="84" t="str">
        <f aca="false">IF(ISBLANK($A73),"NO_CODE",VLOOKUP($A73,'UPD Questions_290926 '!$E$1:$N$300,MATCH(F$1,'UPD Questions_290926 '!$E$1:$N$1,0),0)&amp;"")</f>
        <v>Does the city have a notified and active Economic Vision Plan?</v>
      </c>
      <c r="G73" s="84" t="str">
        <f aca="false">IF(ISBLANK($A73),"NO_CODE",VLOOKUP($A73,'UPD Questions_290926 '!$E$1:$N$300,MATCH(G$1,'UPD Questions_290926 '!$E$1:$N$1,0),0)&amp;"")</f>
        <v>Implementation</v>
      </c>
      <c r="H73" s="86" t="n">
        <f aca="false">IF(ISBLANK($A73),"NO_CODE",VLOOKUP($A73,'UPD Questions_290926 '!$E$1:$N$300,MATCH(H$1,'UPD Questions_290926 '!$E$1:$N$1,0),0))</f>
        <v>3.33</v>
      </c>
      <c r="I73" s="87" t="str">
        <f aca="true">IF($H73=0,"NA",IF($A73=INDIRECT("'"&amp;$A73&amp;"'!$B$1"),IF(VLOOKUP(I$1,INDIRECT("'"&amp;$A73&amp;"'!$A$12:$Z$41"),MATCH("Points (Auto-generate)",INDIRECT("'"&amp;$A73&amp;"'!$A$12:$Z$12"),0),0)="","?",VLOOKUP(I$1,INDIRECT("'"&amp;$A73&amp;"'!$A$12:$Z$41"),MATCH("Points (Auto-generate)",INDIRECT("'"&amp;$A73&amp;"'!$A$12:$Z$12"),0),0)),"ER"))</f>
        <v>?</v>
      </c>
      <c r="J73" s="87" t="n">
        <f aca="true">IF($H73=0,"NA",IF($A73=INDIRECT("'"&amp;$A73&amp;"'!$B$1"),IF(VLOOKUP(J$1,INDIRECT("'"&amp;$A73&amp;"'!$A$12:$Z$41"),MATCH("Points (Auto-generate)",INDIRECT("'"&amp;$A73&amp;"'!$A$12:$Z$12"),0),0)="","?",VLOOKUP(J$1,INDIRECT("'"&amp;$A73&amp;"'!$A$12:$Z$41"),MATCH("Points (Auto-generate)",INDIRECT("'"&amp;$A73&amp;"'!$A$12:$Z$12"),0),0)),"ER"))</f>
        <v>0</v>
      </c>
      <c r="K73" s="87" t="str">
        <f aca="true">IF($H73=0,"NA",IF($A73=INDIRECT("'"&amp;$A73&amp;"'!$B$1"),IF(VLOOKUP(K$1,INDIRECT("'"&amp;$A73&amp;"'!$A$12:$Z$41"),MATCH("Points (Auto-generate)",INDIRECT("'"&amp;$A73&amp;"'!$A$12:$Z$12"),0),0)="","?",VLOOKUP(K$1,INDIRECT("'"&amp;$A73&amp;"'!$A$12:$Z$41"),MATCH("Points (Auto-generate)",INDIRECT("'"&amp;$A73&amp;"'!$A$12:$Z$12"),0),0)),"ER"))</f>
        <v>?</v>
      </c>
      <c r="L73" s="87" t="str">
        <f aca="true">IF($H73=0,"NA",IF($A73=INDIRECT("'"&amp;$A73&amp;"'!$B$1"),IF(VLOOKUP(L$1,INDIRECT("'"&amp;$A73&amp;"'!$A$12:$Z$41"),MATCH("Points (Auto-generate)",INDIRECT("'"&amp;$A73&amp;"'!$A$12:$Z$12"),0),0)="","?",VLOOKUP(L$1,INDIRECT("'"&amp;$A73&amp;"'!$A$12:$Z$41"),MATCH("Points (Auto-generate)",INDIRECT("'"&amp;$A73&amp;"'!$A$12:$Z$12"),0),0)),"ER"))</f>
        <v>?</v>
      </c>
      <c r="M73" s="87" t="str">
        <f aca="true">IF($H73=0,"NA",IF($A73=INDIRECT("'"&amp;$A73&amp;"'!$B$1"),IF(VLOOKUP(M$1,INDIRECT("'"&amp;$A73&amp;"'!$A$12:$Z$41"),MATCH("Points (Auto-generate)",INDIRECT("'"&amp;$A73&amp;"'!$A$12:$Z$12"),0),0)="","?",VLOOKUP(M$1,INDIRECT("'"&amp;$A73&amp;"'!$A$12:$Z$41"),MATCH("Points (Auto-generate)",INDIRECT("'"&amp;$A73&amp;"'!$A$12:$Z$12"),0),0)),"ER"))</f>
        <v>?</v>
      </c>
      <c r="N73" s="87" t="str">
        <f aca="true">IF($H73=0,"NA",IF($A73=INDIRECT("'"&amp;$A73&amp;"'!$B$1"),IF(VLOOKUP(N$1,INDIRECT("'"&amp;$A73&amp;"'!$A$12:$Z$41"),MATCH("Points (Auto-generate)",INDIRECT("'"&amp;$A73&amp;"'!$A$12:$Z$12"),0),0)="","?",VLOOKUP(N$1,INDIRECT("'"&amp;$A73&amp;"'!$A$12:$Z$41"),MATCH("Points (Auto-generate)",INDIRECT("'"&amp;$A73&amp;"'!$A$12:$Z$12"),0),0)),"ER"))</f>
        <v>?</v>
      </c>
      <c r="O73" s="87" t="str">
        <f aca="true">IF($H73=0,"NA",IF($A73=INDIRECT("'"&amp;$A73&amp;"'!$B$1"),IF(VLOOKUP(O$1,INDIRECT("'"&amp;$A73&amp;"'!$A$12:$Z$41"),MATCH("Points (Auto-generate)",INDIRECT("'"&amp;$A73&amp;"'!$A$12:$Z$12"),0),0)="","?",VLOOKUP(O$1,INDIRECT("'"&amp;$A73&amp;"'!$A$12:$Z$41"),MATCH("Points (Auto-generate)",INDIRECT("'"&amp;$A73&amp;"'!$A$12:$Z$12"),0),0)),"ER"))</f>
        <v>?</v>
      </c>
      <c r="P73" s="87" t="str">
        <f aca="true">IF($H73=0,"NA",IF($A73=INDIRECT("'"&amp;$A73&amp;"'!$B$1"),IF(VLOOKUP(P$1,INDIRECT("'"&amp;$A73&amp;"'!$A$12:$Z$41"),MATCH("Points (Auto-generate)",INDIRECT("'"&amp;$A73&amp;"'!$A$12:$Z$12"),0),0)="","?",VLOOKUP(P$1,INDIRECT("'"&amp;$A73&amp;"'!$A$12:$Z$41"),MATCH("Points (Auto-generate)",INDIRECT("'"&amp;$A73&amp;"'!$A$12:$Z$12"),0),0)),"ER"))</f>
        <v>?</v>
      </c>
      <c r="Q73" s="87" t="str">
        <f aca="true">IF($H73=0,"NA",IF($A73=INDIRECT("'"&amp;$A73&amp;"'!$B$1"),IF(VLOOKUP(Q$1,INDIRECT("'"&amp;$A73&amp;"'!$A$12:$Z$41"),MATCH("Points (Auto-generate)",INDIRECT("'"&amp;$A73&amp;"'!$A$12:$Z$12"),0),0)="","?",VLOOKUP(Q$1,INDIRECT("'"&amp;$A73&amp;"'!$A$12:$Z$41"),MATCH("Points (Auto-generate)",INDIRECT("'"&amp;$A73&amp;"'!$A$12:$Z$12"),0),0)),"ER"))</f>
        <v>?</v>
      </c>
      <c r="R73" s="87" t="str">
        <f aca="true">IF($H73=0,"NA",IF($A73=INDIRECT("'"&amp;$A73&amp;"'!$B$1"),IF(VLOOKUP(R$1,INDIRECT("'"&amp;$A73&amp;"'!$A$12:$Z$41"),MATCH("Points (Auto-generate)",INDIRECT("'"&amp;$A73&amp;"'!$A$12:$Z$12"),0),0)="","?",VLOOKUP(R$1,INDIRECT("'"&amp;$A73&amp;"'!$A$12:$Z$41"),MATCH("Points (Auto-generate)",INDIRECT("'"&amp;$A73&amp;"'!$A$12:$Z$12"),0),0)),"ER"))</f>
        <v>?</v>
      </c>
      <c r="S73" s="87" t="str">
        <f aca="true">IF($H73=0,"NA",IF($A73=INDIRECT("'"&amp;$A73&amp;"'!$B$1"),IF(VLOOKUP(S$1,INDIRECT("'"&amp;$A73&amp;"'!$A$12:$Z$41"),MATCH("Points (Auto-generate)",INDIRECT("'"&amp;$A73&amp;"'!$A$12:$Z$12"),0),0)="","?",VLOOKUP(S$1,INDIRECT("'"&amp;$A73&amp;"'!$A$12:$Z$41"),MATCH("Points (Auto-generate)",INDIRECT("'"&amp;$A73&amp;"'!$A$12:$Z$12"),0),0)),"ER"))</f>
        <v>?</v>
      </c>
      <c r="T73" s="87" t="str">
        <f aca="true">IF($H73=0,"NA",IF($A73=INDIRECT("'"&amp;$A73&amp;"'!$B$1"),IF(VLOOKUP(T$1,INDIRECT("'"&amp;$A73&amp;"'!$A$12:$Z$41"),MATCH("Points (Auto-generate)",INDIRECT("'"&amp;$A73&amp;"'!$A$12:$Z$12"),0),0)="","?",VLOOKUP(T$1,INDIRECT("'"&amp;$A73&amp;"'!$A$12:$Z$41"),MATCH("Points (Auto-generate)",INDIRECT("'"&amp;$A73&amp;"'!$A$12:$Z$12"),0),0)),"ER"))</f>
        <v>?</v>
      </c>
      <c r="U73" s="87" t="str">
        <f aca="true">IF($H73=0,"NA",IF($A73=INDIRECT("'"&amp;$A73&amp;"'!$B$1"),IF(VLOOKUP(U$1,INDIRECT("'"&amp;$A73&amp;"'!$A$12:$Z$41"),MATCH("Points (Auto-generate)",INDIRECT("'"&amp;$A73&amp;"'!$A$12:$Z$12"),0),0)="","?",VLOOKUP(U$1,INDIRECT("'"&amp;$A73&amp;"'!$A$12:$Z$41"),MATCH("Points (Auto-generate)",INDIRECT("'"&amp;$A73&amp;"'!$A$12:$Z$12"),0),0)),"ER"))</f>
        <v>?</v>
      </c>
      <c r="V73" s="87" t="str">
        <f aca="true">IF($H73=0,"NA",IF($A73=INDIRECT("'"&amp;$A73&amp;"'!$B$1"),IF(VLOOKUP(V$1,INDIRECT("'"&amp;$A73&amp;"'!$A$12:$Z$41"),MATCH("Points (Auto-generate)",INDIRECT("'"&amp;$A73&amp;"'!$A$12:$Z$12"),0),0)="","?",VLOOKUP(V$1,INDIRECT("'"&amp;$A73&amp;"'!$A$12:$Z$41"),MATCH("Points (Auto-generate)",INDIRECT("'"&amp;$A73&amp;"'!$A$12:$Z$12"),0),0)),"ER"))</f>
        <v>?</v>
      </c>
      <c r="W73" s="87" t="str">
        <f aca="true">IF($H73=0,"NA",IF($A73=INDIRECT("'"&amp;$A73&amp;"'!$B$1"),IF(VLOOKUP(W$1,INDIRECT("'"&amp;$A73&amp;"'!$A$12:$Z$41"),MATCH("Points (Auto-generate)",INDIRECT("'"&amp;$A73&amp;"'!$A$12:$Z$12"),0),0)="","?",VLOOKUP(W$1,INDIRECT("'"&amp;$A73&amp;"'!$A$12:$Z$41"),MATCH("Points (Auto-generate)",INDIRECT("'"&amp;$A73&amp;"'!$A$12:$Z$12"),0),0)),"ER"))</f>
        <v>?</v>
      </c>
      <c r="X73" s="87" t="str">
        <f aca="true">IF($H73=0,"NA",IF($A73=INDIRECT("'"&amp;$A73&amp;"'!$B$1"),IF(VLOOKUP(X$1,INDIRECT("'"&amp;$A73&amp;"'!$A$12:$Z$41"),MATCH("Points (Auto-generate)",INDIRECT("'"&amp;$A73&amp;"'!$A$12:$Z$12"),0),0)="","?",VLOOKUP(X$1,INDIRECT("'"&amp;$A73&amp;"'!$A$12:$Z$41"),MATCH("Points (Auto-generate)",INDIRECT("'"&amp;$A73&amp;"'!$A$12:$Z$12"),0),0)),"ER"))</f>
        <v>?</v>
      </c>
      <c r="Y73" s="87" t="str">
        <f aca="true">IF($H73=0,"NA",IF($A73=INDIRECT("'"&amp;$A73&amp;"'!$B$1"),IF(VLOOKUP(Y$1,INDIRECT("'"&amp;$A73&amp;"'!$A$12:$Z$41"),MATCH("Points (Auto-generate)",INDIRECT("'"&amp;$A73&amp;"'!$A$12:$Z$12"),0),0)="","?",VLOOKUP(Y$1,INDIRECT("'"&amp;$A73&amp;"'!$A$12:$Z$41"),MATCH("Points (Auto-generate)",INDIRECT("'"&amp;$A73&amp;"'!$A$12:$Z$12"),0),0)),"ER"))</f>
        <v>?</v>
      </c>
      <c r="Z73" s="87" t="str">
        <f aca="true">IF($H73=0,"NA",IF($A73=INDIRECT("'"&amp;$A73&amp;"'!$B$1"),IF(VLOOKUP(Z$1,INDIRECT("'"&amp;$A73&amp;"'!$A$12:$Z$41"),MATCH("Points (Auto-generate)",INDIRECT("'"&amp;$A73&amp;"'!$A$12:$Z$12"),0),0)="","?",VLOOKUP(Z$1,INDIRECT("'"&amp;$A73&amp;"'!$A$12:$Z$41"),MATCH("Points (Auto-generate)",INDIRECT("'"&amp;$A73&amp;"'!$A$12:$Z$12"),0),0)),"ER"))</f>
        <v>?</v>
      </c>
      <c r="AA73" s="87" t="str">
        <f aca="true">IF($H73=0,"NA",IF($A73=INDIRECT("'"&amp;$A73&amp;"'!$B$1"),IF(VLOOKUP(AA$1,INDIRECT("'"&amp;$A73&amp;"'!$A$12:$Z$41"),MATCH("Points (Auto-generate)",INDIRECT("'"&amp;$A73&amp;"'!$A$12:$Z$12"),0),0)="","?",VLOOKUP(AA$1,INDIRECT("'"&amp;$A73&amp;"'!$A$12:$Z$41"),MATCH("Points (Auto-generate)",INDIRECT("'"&amp;$A73&amp;"'!$A$12:$Z$12"),0),0)),"ER"))</f>
        <v>?</v>
      </c>
      <c r="AB73" s="87" t="str">
        <f aca="true">IF($H73=0,"NA",IF($A73=INDIRECT("'"&amp;$A73&amp;"'!$B$1"),IF(VLOOKUP(AB$1,INDIRECT("'"&amp;$A73&amp;"'!$A$12:$Z$41"),MATCH("Points (Auto-generate)",INDIRECT("'"&amp;$A73&amp;"'!$A$12:$Z$12"),0),0)="","?",VLOOKUP(AB$1,INDIRECT("'"&amp;$A73&amp;"'!$A$12:$Z$41"),MATCH("Points (Auto-generate)",INDIRECT("'"&amp;$A73&amp;"'!$A$12:$Z$12"),0),0)),"ER"))</f>
        <v>?</v>
      </c>
      <c r="AC73" s="87" t="str">
        <f aca="true">IF($H73=0,"NA",IF($A73=INDIRECT("'"&amp;$A73&amp;"'!$B$1"),IF(VLOOKUP(AC$1,INDIRECT("'"&amp;$A73&amp;"'!$A$12:$Z$41"),MATCH("Points (Auto-generate)",INDIRECT("'"&amp;$A73&amp;"'!$A$12:$Z$12"),0),0)="","?",VLOOKUP(AC$1,INDIRECT("'"&amp;$A73&amp;"'!$A$12:$Z$41"),MATCH("Points (Auto-generate)",INDIRECT("'"&amp;$A73&amp;"'!$A$12:$Z$12"),0),0)),"ER"))</f>
        <v>?</v>
      </c>
      <c r="AD73" s="87" t="str">
        <f aca="true">IF($H73=0,"NA",IF($A73=INDIRECT("'"&amp;$A73&amp;"'!$B$1"),IF(VLOOKUP(AD$1,INDIRECT("'"&amp;$A73&amp;"'!$A$12:$Z$41"),MATCH("Points (Auto-generate)",INDIRECT("'"&amp;$A73&amp;"'!$A$12:$Z$12"),0),0)="","?",VLOOKUP(AD$1,INDIRECT("'"&amp;$A73&amp;"'!$A$12:$Z$41"),MATCH("Points (Auto-generate)",INDIRECT("'"&amp;$A73&amp;"'!$A$12:$Z$12"),0),0)),"ER"))</f>
        <v>?</v>
      </c>
      <c r="AE73" s="87" t="str">
        <f aca="true">IF($H73=0,"NA",IF($A73=INDIRECT("'"&amp;$A73&amp;"'!$B$1"),IF(VLOOKUP(AE$1,INDIRECT("'"&amp;$A73&amp;"'!$A$12:$Z$41"),MATCH("Points (Auto-generate)",INDIRECT("'"&amp;$A73&amp;"'!$A$12:$Z$12"),0),0)="","?",VLOOKUP(AE$1,INDIRECT("'"&amp;$A73&amp;"'!$A$12:$Z$41"),MATCH("Points (Auto-generate)",INDIRECT("'"&amp;$A73&amp;"'!$A$12:$Z$12"),0),0)),"ER"))</f>
        <v>?</v>
      </c>
      <c r="AF73" s="87" t="str">
        <f aca="true">IF($H73=0,"NA",IF($A73=INDIRECT("'"&amp;$A73&amp;"'!$B$1"),IF(VLOOKUP(AF$1,INDIRECT("'"&amp;$A73&amp;"'!$A$12:$Z$41"),MATCH("Points (Auto-generate)",INDIRECT("'"&amp;$A73&amp;"'!$A$12:$Z$12"),0),0)="","?",VLOOKUP(AF$1,INDIRECT("'"&amp;$A73&amp;"'!$A$12:$Z$41"),MATCH("Points (Auto-generate)",INDIRECT("'"&amp;$A73&amp;"'!$A$12:$Z$12"),0),0)),"ER"))</f>
        <v>?</v>
      </c>
      <c r="AG73" s="87" t="str">
        <f aca="true">IF($H73=0,"NA",IF($A73=INDIRECT("'"&amp;$A73&amp;"'!$B$1"),IF(VLOOKUP(AG$1,INDIRECT("'"&amp;$A73&amp;"'!$A$12:$Z$41"),MATCH("Points (Auto-generate)",INDIRECT("'"&amp;$A73&amp;"'!$A$12:$Z$12"),0),0)="","?",VLOOKUP(AG$1,INDIRECT("'"&amp;$A73&amp;"'!$A$12:$Z$41"),MATCH("Points (Auto-generate)",INDIRECT("'"&amp;$A73&amp;"'!$A$12:$Z$12"),0),0)),"ER"))</f>
        <v>?</v>
      </c>
      <c r="AH73" s="87" t="str">
        <f aca="true">IF($H73=0,"NA",IF($A73=INDIRECT("'"&amp;$A73&amp;"'!$B$1"),IF(VLOOKUP(AH$1,INDIRECT("'"&amp;$A73&amp;"'!$A$12:$Z$41"),MATCH("Points (Auto-generate)",INDIRECT("'"&amp;$A73&amp;"'!$A$12:$Z$12"),0),0)="","?",VLOOKUP(AH$1,INDIRECT("'"&amp;$A73&amp;"'!$A$12:$Z$41"),MATCH("Points (Auto-generate)",INDIRECT("'"&amp;$A73&amp;"'!$A$12:$Z$12"),0),0)),"ER"))</f>
        <v>?</v>
      </c>
      <c r="AI73" s="87" t="str">
        <f aca="true">IF($H73=0,"NA",IF($A73=INDIRECT("'"&amp;$A73&amp;"'!$B$1"),IF(VLOOKUP(AI$1,INDIRECT("'"&amp;$A73&amp;"'!$A$12:$Z$41"),MATCH("Points (Auto-generate)",INDIRECT("'"&amp;$A73&amp;"'!$A$12:$Z$12"),0),0)="","?",VLOOKUP(AI$1,INDIRECT("'"&amp;$A73&amp;"'!$A$12:$Z$41"),MATCH("Points (Auto-generate)",INDIRECT("'"&amp;$A73&amp;"'!$A$12:$Z$12"),0),0)),"ER"))</f>
        <v>?</v>
      </c>
      <c r="AJ73" s="87" t="str">
        <f aca="true">IF($H73=0,"NA",IF($A73=INDIRECT("'"&amp;$A73&amp;"'!$B$1"),IF(VLOOKUP(AJ$1,INDIRECT("'"&amp;$A73&amp;"'!$A$12:$Z$41"),MATCH("Points (Auto-generate)",INDIRECT("'"&amp;$A73&amp;"'!$A$12:$Z$12"),0),0)="","?",VLOOKUP(AJ$1,INDIRECT("'"&amp;$A73&amp;"'!$A$12:$Z$41"),MATCH("Points (Auto-generate)",INDIRECT("'"&amp;$A73&amp;"'!$A$12:$Z$12"),0),0)),"ER"))</f>
        <v>?</v>
      </c>
      <c r="AK73" s="87" t="str">
        <f aca="true">IF($H73=0,"NA",IF($A73=INDIRECT("'"&amp;$A73&amp;"'!$B$1"),IF(VLOOKUP(AK$1,INDIRECT("'"&amp;$A73&amp;"'!$A$12:$Z$41"),MATCH("Points (Auto-generate)",INDIRECT("'"&amp;$A73&amp;"'!$A$12:$Z$12"),0),0)="","?",VLOOKUP(AK$1,INDIRECT("'"&amp;$A73&amp;"'!$A$12:$Z$41"),MATCH("Points (Auto-generate)",INDIRECT("'"&amp;$A73&amp;"'!$A$12:$Z$12"),0),0)),"ER"))</f>
        <v>?</v>
      </c>
    </row>
    <row r="74" customFormat="false" ht="14.25" hidden="false" customHeight="true" outlineLevel="0" collapsed="false">
      <c r="A74" s="83" t="s">
        <v>404</v>
      </c>
      <c r="B74" s="84" t="str">
        <f aca="false">IF(ISBLANK($A74),"NO_CODE",VLOOKUP($A74,'UPD Questions_290926 '!$E$1:$N$300,MATCH(B$1,'UPD Questions_290926 '!$E$1:$N$1,0),0)&amp;"")</f>
        <v>Implementation</v>
      </c>
      <c r="C74" s="84" t="str">
        <f aca="false">IF(ISBLANK($A74),"NO_CODE",VLOOKUP($A74,'UPD Questions_290926 '!$E$1:$N$300,MATCH(C$1,'UPD Questions_290926 '!$E$1:$N$1,0),0)&amp;"")</f>
        <v>Sectoral planning</v>
      </c>
      <c r="D74" s="84" t="str">
        <f aca="false">IF(ISBLANK($A74),"NO_CODE",VLOOKUP($A74,'UPD Questions_290926 '!$E$1:$N$300,MATCH(D$1,'UPD Questions_290926 '!$E$1:$N$1,0),0)&amp;"")</f>
        <v>Economic development planning</v>
      </c>
      <c r="E74" s="84" t="str">
        <f aca="false">IF(ISBLANK($A74),"NO_CODE",VLOOKUP($A74,'UPD Questions_290926 '!$E$1:$N$300,MATCH(E$1,'UPD Questions_290926 '!$E$1:$N$1,0),0)&amp;"")</f>
        <v>SQ</v>
      </c>
      <c r="F74" s="84" t="str">
        <f aca="false">IF(ISBLANK($A74),"NO_CODE",VLOOKUP($A74,'UPD Questions_290926 '!$E$1:$N$300,MATCH(F$1,'UPD Questions_290926 '!$E$1:$N$1,0),0)&amp;"")</f>
        <v>Does the plan have development priorities and measurable objectives?</v>
      </c>
      <c r="G74" s="84" t="str">
        <f aca="false">IF(ISBLANK($A74),"NO_CODE",VLOOKUP($A74,'UPD Questions_290926 '!$E$1:$N$300,MATCH(G$1,'UPD Questions_290926 '!$E$1:$N$1,0),0)&amp;"")</f>
        <v>Implementation</v>
      </c>
      <c r="H74" s="86" t="n">
        <f aca="false">IF(ISBLANK($A74),"NO_CODE",VLOOKUP($A74,'UPD Questions_290926 '!$E$1:$N$300,MATCH(H$1,'UPD Questions_290926 '!$E$1:$N$1,0),0))</f>
        <v>3.33</v>
      </c>
      <c r="I74" s="87" t="str">
        <f aca="true">IF($H74=0,"NA",IF($A74=INDIRECT("'"&amp;$A74&amp;"'!$B$1"),IF(VLOOKUP(I$1,INDIRECT("'"&amp;$A74&amp;"'!$A$12:$Z$41"),MATCH("Points (Auto-generate)",INDIRECT("'"&amp;$A74&amp;"'!$A$12:$Z$12"),0),0)="","?",VLOOKUP(I$1,INDIRECT("'"&amp;$A74&amp;"'!$A$12:$Z$41"),MATCH("Points (Auto-generate)",INDIRECT("'"&amp;$A74&amp;"'!$A$12:$Z$12"),0),0)),"ER"))</f>
        <v>?</v>
      </c>
      <c r="J74" s="87" t="n">
        <f aca="true">IF($H74=0,"NA",IF($A74=INDIRECT("'"&amp;$A74&amp;"'!$B$1"),IF(VLOOKUP(J$1,INDIRECT("'"&amp;$A74&amp;"'!$A$12:$Z$41"),MATCH("Points (Auto-generate)",INDIRECT("'"&amp;$A74&amp;"'!$A$12:$Z$12"),0),0)="","?",VLOOKUP(J$1,INDIRECT("'"&amp;$A74&amp;"'!$A$12:$Z$41"),MATCH("Points (Auto-generate)",INDIRECT("'"&amp;$A74&amp;"'!$A$12:$Z$12"),0),0)),"ER"))</f>
        <v>0</v>
      </c>
      <c r="K74" s="87" t="str">
        <f aca="true">IF($H74=0,"NA",IF($A74=INDIRECT("'"&amp;$A74&amp;"'!$B$1"),IF(VLOOKUP(K$1,INDIRECT("'"&amp;$A74&amp;"'!$A$12:$Z$41"),MATCH("Points (Auto-generate)",INDIRECT("'"&amp;$A74&amp;"'!$A$12:$Z$12"),0),0)="","?",VLOOKUP(K$1,INDIRECT("'"&amp;$A74&amp;"'!$A$12:$Z$41"),MATCH("Points (Auto-generate)",INDIRECT("'"&amp;$A74&amp;"'!$A$12:$Z$12"),0),0)),"ER"))</f>
        <v>?</v>
      </c>
      <c r="L74" s="87" t="str">
        <f aca="true">IF($H74=0,"NA",IF($A74=INDIRECT("'"&amp;$A74&amp;"'!$B$1"),IF(VLOOKUP(L$1,INDIRECT("'"&amp;$A74&amp;"'!$A$12:$Z$41"),MATCH("Points (Auto-generate)",INDIRECT("'"&amp;$A74&amp;"'!$A$12:$Z$12"),0),0)="","?",VLOOKUP(L$1,INDIRECT("'"&amp;$A74&amp;"'!$A$12:$Z$41"),MATCH("Points (Auto-generate)",INDIRECT("'"&amp;$A74&amp;"'!$A$12:$Z$12"),0),0)),"ER"))</f>
        <v>?</v>
      </c>
      <c r="M74" s="87" t="str">
        <f aca="true">IF($H74=0,"NA",IF($A74=INDIRECT("'"&amp;$A74&amp;"'!$B$1"),IF(VLOOKUP(M$1,INDIRECT("'"&amp;$A74&amp;"'!$A$12:$Z$41"),MATCH("Points (Auto-generate)",INDIRECT("'"&amp;$A74&amp;"'!$A$12:$Z$12"),0),0)="","?",VLOOKUP(M$1,INDIRECT("'"&amp;$A74&amp;"'!$A$12:$Z$41"),MATCH("Points (Auto-generate)",INDIRECT("'"&amp;$A74&amp;"'!$A$12:$Z$12"),0),0)),"ER"))</f>
        <v>?</v>
      </c>
      <c r="N74" s="87" t="str">
        <f aca="true">IF($H74=0,"NA",IF($A74=INDIRECT("'"&amp;$A74&amp;"'!$B$1"),IF(VLOOKUP(N$1,INDIRECT("'"&amp;$A74&amp;"'!$A$12:$Z$41"),MATCH("Points (Auto-generate)",INDIRECT("'"&amp;$A74&amp;"'!$A$12:$Z$12"),0),0)="","?",VLOOKUP(N$1,INDIRECT("'"&amp;$A74&amp;"'!$A$12:$Z$41"),MATCH("Points (Auto-generate)",INDIRECT("'"&amp;$A74&amp;"'!$A$12:$Z$12"),0),0)),"ER"))</f>
        <v>?</v>
      </c>
      <c r="O74" s="87" t="str">
        <f aca="true">IF($H74=0,"NA",IF($A74=INDIRECT("'"&amp;$A74&amp;"'!$B$1"),IF(VLOOKUP(O$1,INDIRECT("'"&amp;$A74&amp;"'!$A$12:$Z$41"),MATCH("Points (Auto-generate)",INDIRECT("'"&amp;$A74&amp;"'!$A$12:$Z$12"),0),0)="","?",VLOOKUP(O$1,INDIRECT("'"&amp;$A74&amp;"'!$A$12:$Z$41"),MATCH("Points (Auto-generate)",INDIRECT("'"&amp;$A74&amp;"'!$A$12:$Z$12"),0),0)),"ER"))</f>
        <v>?</v>
      </c>
      <c r="P74" s="87" t="str">
        <f aca="true">IF($H74=0,"NA",IF($A74=INDIRECT("'"&amp;$A74&amp;"'!$B$1"),IF(VLOOKUP(P$1,INDIRECT("'"&amp;$A74&amp;"'!$A$12:$Z$41"),MATCH("Points (Auto-generate)",INDIRECT("'"&amp;$A74&amp;"'!$A$12:$Z$12"),0),0)="","?",VLOOKUP(P$1,INDIRECT("'"&amp;$A74&amp;"'!$A$12:$Z$41"),MATCH("Points (Auto-generate)",INDIRECT("'"&amp;$A74&amp;"'!$A$12:$Z$12"),0),0)),"ER"))</f>
        <v>?</v>
      </c>
      <c r="Q74" s="87" t="str">
        <f aca="true">IF($H74=0,"NA",IF($A74=INDIRECT("'"&amp;$A74&amp;"'!$B$1"),IF(VLOOKUP(Q$1,INDIRECT("'"&amp;$A74&amp;"'!$A$12:$Z$41"),MATCH("Points (Auto-generate)",INDIRECT("'"&amp;$A74&amp;"'!$A$12:$Z$12"),0),0)="","?",VLOOKUP(Q$1,INDIRECT("'"&amp;$A74&amp;"'!$A$12:$Z$41"),MATCH("Points (Auto-generate)",INDIRECT("'"&amp;$A74&amp;"'!$A$12:$Z$12"),0),0)),"ER"))</f>
        <v>?</v>
      </c>
      <c r="R74" s="87" t="str">
        <f aca="true">IF($H74=0,"NA",IF($A74=INDIRECT("'"&amp;$A74&amp;"'!$B$1"),IF(VLOOKUP(R$1,INDIRECT("'"&amp;$A74&amp;"'!$A$12:$Z$41"),MATCH("Points (Auto-generate)",INDIRECT("'"&amp;$A74&amp;"'!$A$12:$Z$12"),0),0)="","?",VLOOKUP(R$1,INDIRECT("'"&amp;$A74&amp;"'!$A$12:$Z$41"),MATCH("Points (Auto-generate)",INDIRECT("'"&amp;$A74&amp;"'!$A$12:$Z$12"),0),0)),"ER"))</f>
        <v>?</v>
      </c>
      <c r="S74" s="87" t="str">
        <f aca="true">IF($H74=0,"NA",IF($A74=INDIRECT("'"&amp;$A74&amp;"'!$B$1"),IF(VLOOKUP(S$1,INDIRECT("'"&amp;$A74&amp;"'!$A$12:$Z$41"),MATCH("Points (Auto-generate)",INDIRECT("'"&amp;$A74&amp;"'!$A$12:$Z$12"),0),0)="","?",VLOOKUP(S$1,INDIRECT("'"&amp;$A74&amp;"'!$A$12:$Z$41"),MATCH("Points (Auto-generate)",INDIRECT("'"&amp;$A74&amp;"'!$A$12:$Z$12"),0),0)),"ER"))</f>
        <v>?</v>
      </c>
      <c r="T74" s="87" t="str">
        <f aca="true">IF($H74=0,"NA",IF($A74=INDIRECT("'"&amp;$A74&amp;"'!$B$1"),IF(VLOOKUP(T$1,INDIRECT("'"&amp;$A74&amp;"'!$A$12:$Z$41"),MATCH("Points (Auto-generate)",INDIRECT("'"&amp;$A74&amp;"'!$A$12:$Z$12"),0),0)="","?",VLOOKUP(T$1,INDIRECT("'"&amp;$A74&amp;"'!$A$12:$Z$41"),MATCH("Points (Auto-generate)",INDIRECT("'"&amp;$A74&amp;"'!$A$12:$Z$12"),0),0)),"ER"))</f>
        <v>?</v>
      </c>
      <c r="U74" s="87" t="str">
        <f aca="true">IF($H74=0,"NA",IF($A74=INDIRECT("'"&amp;$A74&amp;"'!$B$1"),IF(VLOOKUP(U$1,INDIRECT("'"&amp;$A74&amp;"'!$A$12:$Z$41"),MATCH("Points (Auto-generate)",INDIRECT("'"&amp;$A74&amp;"'!$A$12:$Z$12"),0),0)="","?",VLOOKUP(U$1,INDIRECT("'"&amp;$A74&amp;"'!$A$12:$Z$41"),MATCH("Points (Auto-generate)",INDIRECT("'"&amp;$A74&amp;"'!$A$12:$Z$12"),0),0)),"ER"))</f>
        <v>?</v>
      </c>
      <c r="V74" s="87" t="str">
        <f aca="true">IF($H74=0,"NA",IF($A74=INDIRECT("'"&amp;$A74&amp;"'!$B$1"),IF(VLOOKUP(V$1,INDIRECT("'"&amp;$A74&amp;"'!$A$12:$Z$41"),MATCH("Points (Auto-generate)",INDIRECT("'"&amp;$A74&amp;"'!$A$12:$Z$12"),0),0)="","?",VLOOKUP(V$1,INDIRECT("'"&amp;$A74&amp;"'!$A$12:$Z$41"),MATCH("Points (Auto-generate)",INDIRECT("'"&amp;$A74&amp;"'!$A$12:$Z$12"),0),0)),"ER"))</f>
        <v>?</v>
      </c>
      <c r="W74" s="87" t="str">
        <f aca="true">IF($H74=0,"NA",IF($A74=INDIRECT("'"&amp;$A74&amp;"'!$B$1"),IF(VLOOKUP(W$1,INDIRECT("'"&amp;$A74&amp;"'!$A$12:$Z$41"),MATCH("Points (Auto-generate)",INDIRECT("'"&amp;$A74&amp;"'!$A$12:$Z$12"),0),0)="","?",VLOOKUP(W$1,INDIRECT("'"&amp;$A74&amp;"'!$A$12:$Z$41"),MATCH("Points (Auto-generate)",INDIRECT("'"&amp;$A74&amp;"'!$A$12:$Z$12"),0),0)),"ER"))</f>
        <v>?</v>
      </c>
      <c r="X74" s="87" t="str">
        <f aca="true">IF($H74=0,"NA",IF($A74=INDIRECT("'"&amp;$A74&amp;"'!$B$1"),IF(VLOOKUP(X$1,INDIRECT("'"&amp;$A74&amp;"'!$A$12:$Z$41"),MATCH("Points (Auto-generate)",INDIRECT("'"&amp;$A74&amp;"'!$A$12:$Z$12"),0),0)="","?",VLOOKUP(X$1,INDIRECT("'"&amp;$A74&amp;"'!$A$12:$Z$41"),MATCH("Points (Auto-generate)",INDIRECT("'"&amp;$A74&amp;"'!$A$12:$Z$12"),0),0)),"ER"))</f>
        <v>?</v>
      </c>
      <c r="Y74" s="87" t="str">
        <f aca="true">IF($H74=0,"NA",IF($A74=INDIRECT("'"&amp;$A74&amp;"'!$B$1"),IF(VLOOKUP(Y$1,INDIRECT("'"&amp;$A74&amp;"'!$A$12:$Z$41"),MATCH("Points (Auto-generate)",INDIRECT("'"&amp;$A74&amp;"'!$A$12:$Z$12"),0),0)="","?",VLOOKUP(Y$1,INDIRECT("'"&amp;$A74&amp;"'!$A$12:$Z$41"),MATCH("Points (Auto-generate)",INDIRECT("'"&amp;$A74&amp;"'!$A$12:$Z$12"),0),0)),"ER"))</f>
        <v>?</v>
      </c>
      <c r="Z74" s="87" t="str">
        <f aca="true">IF($H74=0,"NA",IF($A74=INDIRECT("'"&amp;$A74&amp;"'!$B$1"),IF(VLOOKUP(Z$1,INDIRECT("'"&amp;$A74&amp;"'!$A$12:$Z$41"),MATCH("Points (Auto-generate)",INDIRECT("'"&amp;$A74&amp;"'!$A$12:$Z$12"),0),0)="","?",VLOOKUP(Z$1,INDIRECT("'"&amp;$A74&amp;"'!$A$12:$Z$41"),MATCH("Points (Auto-generate)",INDIRECT("'"&amp;$A74&amp;"'!$A$12:$Z$12"),0),0)),"ER"))</f>
        <v>?</v>
      </c>
      <c r="AA74" s="87" t="str">
        <f aca="true">IF($H74=0,"NA",IF($A74=INDIRECT("'"&amp;$A74&amp;"'!$B$1"),IF(VLOOKUP(AA$1,INDIRECT("'"&amp;$A74&amp;"'!$A$12:$Z$41"),MATCH("Points (Auto-generate)",INDIRECT("'"&amp;$A74&amp;"'!$A$12:$Z$12"),0),0)="","?",VLOOKUP(AA$1,INDIRECT("'"&amp;$A74&amp;"'!$A$12:$Z$41"),MATCH("Points (Auto-generate)",INDIRECT("'"&amp;$A74&amp;"'!$A$12:$Z$12"),0),0)),"ER"))</f>
        <v>?</v>
      </c>
      <c r="AB74" s="87" t="str">
        <f aca="true">IF($H74=0,"NA",IF($A74=INDIRECT("'"&amp;$A74&amp;"'!$B$1"),IF(VLOOKUP(AB$1,INDIRECT("'"&amp;$A74&amp;"'!$A$12:$Z$41"),MATCH("Points (Auto-generate)",INDIRECT("'"&amp;$A74&amp;"'!$A$12:$Z$12"),0),0)="","?",VLOOKUP(AB$1,INDIRECT("'"&amp;$A74&amp;"'!$A$12:$Z$41"),MATCH("Points (Auto-generate)",INDIRECT("'"&amp;$A74&amp;"'!$A$12:$Z$12"),0),0)),"ER"))</f>
        <v>?</v>
      </c>
      <c r="AC74" s="87" t="n">
        <f aca="true">IF($H74=0,"NA",IF($A74=INDIRECT("'"&amp;$A74&amp;"'!$B$1"),IF(VLOOKUP(AC$1,INDIRECT("'"&amp;$A74&amp;"'!$A$12:$Z$41"),MATCH("Points (Auto-generate)",INDIRECT("'"&amp;$A74&amp;"'!$A$12:$Z$12"),0),0)="","?",VLOOKUP(AC$1,INDIRECT("'"&amp;$A74&amp;"'!$A$12:$Z$41"),MATCH("Points (Auto-generate)",INDIRECT("'"&amp;$A74&amp;"'!$A$12:$Z$12"),0),0)),"ER"))</f>
        <v>3.33</v>
      </c>
      <c r="AD74" s="87" t="str">
        <f aca="true">IF($H74=0,"NA",IF($A74=INDIRECT("'"&amp;$A74&amp;"'!$B$1"),IF(VLOOKUP(AD$1,INDIRECT("'"&amp;$A74&amp;"'!$A$12:$Z$41"),MATCH("Points (Auto-generate)",INDIRECT("'"&amp;$A74&amp;"'!$A$12:$Z$12"),0),0)="","?",VLOOKUP(AD$1,INDIRECT("'"&amp;$A74&amp;"'!$A$12:$Z$41"),MATCH("Points (Auto-generate)",INDIRECT("'"&amp;$A74&amp;"'!$A$12:$Z$12"),0),0)),"ER"))</f>
        <v>?</v>
      </c>
      <c r="AE74" s="87" t="str">
        <f aca="true">IF($H74=0,"NA",IF($A74=INDIRECT("'"&amp;$A74&amp;"'!$B$1"),IF(VLOOKUP(AE$1,INDIRECT("'"&amp;$A74&amp;"'!$A$12:$Z$41"),MATCH("Points (Auto-generate)",INDIRECT("'"&amp;$A74&amp;"'!$A$12:$Z$12"),0),0)="","?",VLOOKUP(AE$1,INDIRECT("'"&amp;$A74&amp;"'!$A$12:$Z$41"),MATCH("Points (Auto-generate)",INDIRECT("'"&amp;$A74&amp;"'!$A$12:$Z$12"),0),0)),"ER"))</f>
        <v>?</v>
      </c>
      <c r="AF74" s="87" t="str">
        <f aca="true">IF($H74=0,"NA",IF($A74=INDIRECT("'"&amp;$A74&amp;"'!$B$1"),IF(VLOOKUP(AF$1,INDIRECT("'"&amp;$A74&amp;"'!$A$12:$Z$41"),MATCH("Points (Auto-generate)",INDIRECT("'"&amp;$A74&amp;"'!$A$12:$Z$12"),0),0)="","?",VLOOKUP(AF$1,INDIRECT("'"&amp;$A74&amp;"'!$A$12:$Z$41"),MATCH("Points (Auto-generate)",INDIRECT("'"&amp;$A74&amp;"'!$A$12:$Z$12"),0),0)),"ER"))</f>
        <v>?</v>
      </c>
      <c r="AG74" s="87" t="str">
        <f aca="true">IF($H74=0,"NA",IF($A74=INDIRECT("'"&amp;$A74&amp;"'!$B$1"),IF(VLOOKUP(AG$1,INDIRECT("'"&amp;$A74&amp;"'!$A$12:$Z$41"),MATCH("Points (Auto-generate)",INDIRECT("'"&amp;$A74&amp;"'!$A$12:$Z$12"),0),0)="","?",VLOOKUP(AG$1,INDIRECT("'"&amp;$A74&amp;"'!$A$12:$Z$41"),MATCH("Points (Auto-generate)",INDIRECT("'"&amp;$A74&amp;"'!$A$12:$Z$12"),0),0)),"ER"))</f>
        <v>?</v>
      </c>
      <c r="AH74" s="87" t="str">
        <f aca="true">IF($H74=0,"NA",IF($A74=INDIRECT("'"&amp;$A74&amp;"'!$B$1"),IF(VLOOKUP(AH$1,INDIRECT("'"&amp;$A74&amp;"'!$A$12:$Z$41"),MATCH("Points (Auto-generate)",INDIRECT("'"&amp;$A74&amp;"'!$A$12:$Z$12"),0),0)="","?",VLOOKUP(AH$1,INDIRECT("'"&amp;$A74&amp;"'!$A$12:$Z$41"),MATCH("Points (Auto-generate)",INDIRECT("'"&amp;$A74&amp;"'!$A$12:$Z$12"),0),0)),"ER"))</f>
        <v>?</v>
      </c>
      <c r="AI74" s="87" t="str">
        <f aca="true">IF($H74=0,"NA",IF($A74=INDIRECT("'"&amp;$A74&amp;"'!$B$1"),IF(VLOOKUP(AI$1,INDIRECT("'"&amp;$A74&amp;"'!$A$12:$Z$41"),MATCH("Points (Auto-generate)",INDIRECT("'"&amp;$A74&amp;"'!$A$12:$Z$12"),0),0)="","?",VLOOKUP(AI$1,INDIRECT("'"&amp;$A74&amp;"'!$A$12:$Z$41"),MATCH("Points (Auto-generate)",INDIRECT("'"&amp;$A74&amp;"'!$A$12:$Z$12"),0),0)),"ER"))</f>
        <v>?</v>
      </c>
      <c r="AJ74" s="87" t="str">
        <f aca="true">IF($H74=0,"NA",IF($A74=INDIRECT("'"&amp;$A74&amp;"'!$B$1"),IF(VLOOKUP(AJ$1,INDIRECT("'"&amp;$A74&amp;"'!$A$12:$Z$41"),MATCH("Points (Auto-generate)",INDIRECT("'"&amp;$A74&amp;"'!$A$12:$Z$12"),0),0)="","?",VLOOKUP(AJ$1,INDIRECT("'"&amp;$A74&amp;"'!$A$12:$Z$41"),MATCH("Points (Auto-generate)",INDIRECT("'"&amp;$A74&amp;"'!$A$12:$Z$12"),0),0)),"ER"))</f>
        <v>?</v>
      </c>
      <c r="AK74" s="87" t="str">
        <f aca="true">IF($H74=0,"NA",IF($A74=INDIRECT("'"&amp;$A74&amp;"'!$B$1"),IF(VLOOKUP(AK$1,INDIRECT("'"&amp;$A74&amp;"'!$A$12:$Z$41"),MATCH("Points (Auto-generate)",INDIRECT("'"&amp;$A74&amp;"'!$A$12:$Z$12"),0),0)="","?",VLOOKUP(AK$1,INDIRECT("'"&amp;$A74&amp;"'!$A$12:$Z$41"),MATCH("Points (Auto-generate)",INDIRECT("'"&amp;$A74&amp;"'!$A$12:$Z$12"),0),0)),"ER"))</f>
        <v>?</v>
      </c>
    </row>
    <row r="75" customFormat="false" ht="14.25" hidden="false" customHeight="true" outlineLevel="0" collapsed="false">
      <c r="A75" s="83" t="s">
        <v>410</v>
      </c>
      <c r="B75" s="84" t="str">
        <f aca="false">IF(ISBLANK($A75),"NO_CODE",VLOOKUP($A75,'UPD Questions_290926 '!$E$1:$N$300,MATCH(B$1,'UPD Questions_290926 '!$E$1:$N$1,0),0)&amp;"")</f>
        <v>Implementation</v>
      </c>
      <c r="C75" s="84" t="str">
        <f aca="false">IF(ISBLANK($A75),"NO_CODE",VLOOKUP($A75,'UPD Questions_290926 '!$E$1:$N$300,MATCH(C$1,'UPD Questions_290926 '!$E$1:$N$1,0),0)&amp;"")</f>
        <v>Sectoral planning</v>
      </c>
      <c r="D75" s="84" t="str">
        <f aca="false">IF(ISBLANK($A75),"NO_CODE",VLOOKUP($A75,'UPD Questions_290926 '!$E$1:$N$300,MATCH(D$1,'UPD Questions_290926 '!$E$1:$N$1,0),0)&amp;"")</f>
        <v>Economic development planning</v>
      </c>
      <c r="E75" s="84" t="str">
        <f aca="false">IF(ISBLANK($A75),"NO_CODE",VLOOKUP($A75,'UPD Questions_290926 '!$E$1:$N$300,MATCH(E$1,'UPD Questions_290926 '!$E$1:$N$1,0),0)&amp;"")</f>
        <v>SQ</v>
      </c>
      <c r="F75" s="84" t="str">
        <f aca="false">IF(ISBLANK($A75),"NO_CODE",VLOOKUP($A75,'UPD Questions_290926 '!$E$1:$N$300,MATCH(F$1,'UPD Questions_290926 '!$E$1:$N$1,0),0)&amp;"")</f>
        <v>Does the plan clearly articulate the role of the ULG?</v>
      </c>
      <c r="G75" s="84" t="str">
        <f aca="false">IF(ISBLANK($A75),"NO_CODE",VLOOKUP($A75,'UPD Questions_290926 '!$E$1:$N$300,MATCH(G$1,'UPD Questions_290926 '!$E$1:$N$1,0),0)&amp;"")</f>
        <v>Implementation</v>
      </c>
      <c r="H75" s="86" t="n">
        <f aca="false">IF(ISBLANK($A75),"NO_CODE",VLOOKUP($A75,'UPD Questions_290926 '!$E$1:$N$300,MATCH(H$1,'UPD Questions_290926 '!$E$1:$N$1,0),0))</f>
        <v>3.33</v>
      </c>
      <c r="I75" s="87" t="str">
        <f aca="true">IF($H75=0,"NA",IF($A75=INDIRECT("'"&amp;$A75&amp;"'!$B$1"),IF(VLOOKUP(I$1,INDIRECT("'"&amp;$A75&amp;"'!$A$12:$Z$41"),MATCH("Points (Auto-generate)",INDIRECT("'"&amp;$A75&amp;"'!$A$12:$Z$12"),0),0)="","?",VLOOKUP(I$1,INDIRECT("'"&amp;$A75&amp;"'!$A$12:$Z$41"),MATCH("Points (Auto-generate)",INDIRECT("'"&amp;$A75&amp;"'!$A$12:$Z$12"),0),0)),"ER"))</f>
        <v>?</v>
      </c>
      <c r="J75" s="87" t="n">
        <f aca="true">IF($H75=0,"NA",IF($A75=INDIRECT("'"&amp;$A75&amp;"'!$B$1"),IF(VLOOKUP(J$1,INDIRECT("'"&amp;$A75&amp;"'!$A$12:$Z$41"),MATCH("Points (Auto-generate)",INDIRECT("'"&amp;$A75&amp;"'!$A$12:$Z$12"),0),0)="","?",VLOOKUP(J$1,INDIRECT("'"&amp;$A75&amp;"'!$A$12:$Z$41"),MATCH("Points (Auto-generate)",INDIRECT("'"&amp;$A75&amp;"'!$A$12:$Z$12"),0),0)),"ER"))</f>
        <v>0</v>
      </c>
      <c r="K75" s="87" t="str">
        <f aca="true">IF($H75=0,"NA",IF($A75=INDIRECT("'"&amp;$A75&amp;"'!$B$1"),IF(VLOOKUP(K$1,INDIRECT("'"&amp;$A75&amp;"'!$A$12:$Z$41"),MATCH("Points (Auto-generate)",INDIRECT("'"&amp;$A75&amp;"'!$A$12:$Z$12"),0),0)="","?",VLOOKUP(K$1,INDIRECT("'"&amp;$A75&amp;"'!$A$12:$Z$41"),MATCH("Points (Auto-generate)",INDIRECT("'"&amp;$A75&amp;"'!$A$12:$Z$12"),0),0)),"ER"))</f>
        <v>?</v>
      </c>
      <c r="L75" s="87" t="str">
        <f aca="true">IF($H75=0,"NA",IF($A75=INDIRECT("'"&amp;$A75&amp;"'!$B$1"),IF(VLOOKUP(L$1,INDIRECT("'"&amp;$A75&amp;"'!$A$12:$Z$41"),MATCH("Points (Auto-generate)",INDIRECT("'"&amp;$A75&amp;"'!$A$12:$Z$12"),0),0)="","?",VLOOKUP(L$1,INDIRECT("'"&amp;$A75&amp;"'!$A$12:$Z$41"),MATCH("Points (Auto-generate)",INDIRECT("'"&amp;$A75&amp;"'!$A$12:$Z$12"),0),0)),"ER"))</f>
        <v>?</v>
      </c>
      <c r="M75" s="87" t="str">
        <f aca="true">IF($H75=0,"NA",IF($A75=INDIRECT("'"&amp;$A75&amp;"'!$B$1"),IF(VLOOKUP(M$1,INDIRECT("'"&amp;$A75&amp;"'!$A$12:$Z$41"),MATCH("Points (Auto-generate)",INDIRECT("'"&amp;$A75&amp;"'!$A$12:$Z$12"),0),0)="","?",VLOOKUP(M$1,INDIRECT("'"&amp;$A75&amp;"'!$A$12:$Z$41"),MATCH("Points (Auto-generate)",INDIRECT("'"&amp;$A75&amp;"'!$A$12:$Z$12"),0),0)),"ER"))</f>
        <v>?</v>
      </c>
      <c r="N75" s="87" t="str">
        <f aca="true">IF($H75=0,"NA",IF($A75=INDIRECT("'"&amp;$A75&amp;"'!$B$1"),IF(VLOOKUP(N$1,INDIRECT("'"&amp;$A75&amp;"'!$A$12:$Z$41"),MATCH("Points (Auto-generate)",INDIRECT("'"&amp;$A75&amp;"'!$A$12:$Z$12"),0),0)="","?",VLOOKUP(N$1,INDIRECT("'"&amp;$A75&amp;"'!$A$12:$Z$41"),MATCH("Points (Auto-generate)",INDIRECT("'"&amp;$A75&amp;"'!$A$12:$Z$12"),0),0)),"ER"))</f>
        <v>?</v>
      </c>
      <c r="O75" s="87" t="str">
        <f aca="true">IF($H75=0,"NA",IF($A75=INDIRECT("'"&amp;$A75&amp;"'!$B$1"),IF(VLOOKUP(O$1,INDIRECT("'"&amp;$A75&amp;"'!$A$12:$Z$41"),MATCH("Points (Auto-generate)",INDIRECT("'"&amp;$A75&amp;"'!$A$12:$Z$12"),0),0)="","?",VLOOKUP(O$1,INDIRECT("'"&amp;$A75&amp;"'!$A$12:$Z$41"),MATCH("Points (Auto-generate)",INDIRECT("'"&amp;$A75&amp;"'!$A$12:$Z$12"),0),0)),"ER"))</f>
        <v>?</v>
      </c>
      <c r="P75" s="87" t="str">
        <f aca="true">IF($H75=0,"NA",IF($A75=INDIRECT("'"&amp;$A75&amp;"'!$B$1"),IF(VLOOKUP(P$1,INDIRECT("'"&amp;$A75&amp;"'!$A$12:$Z$41"),MATCH("Points (Auto-generate)",INDIRECT("'"&amp;$A75&amp;"'!$A$12:$Z$12"),0),0)="","?",VLOOKUP(P$1,INDIRECT("'"&amp;$A75&amp;"'!$A$12:$Z$41"),MATCH("Points (Auto-generate)",INDIRECT("'"&amp;$A75&amp;"'!$A$12:$Z$12"),0),0)),"ER"))</f>
        <v>?</v>
      </c>
      <c r="Q75" s="87" t="str">
        <f aca="true">IF($H75=0,"NA",IF($A75=INDIRECT("'"&amp;$A75&amp;"'!$B$1"),IF(VLOOKUP(Q$1,INDIRECT("'"&amp;$A75&amp;"'!$A$12:$Z$41"),MATCH("Points (Auto-generate)",INDIRECT("'"&amp;$A75&amp;"'!$A$12:$Z$12"),0),0)="","?",VLOOKUP(Q$1,INDIRECT("'"&amp;$A75&amp;"'!$A$12:$Z$41"),MATCH("Points (Auto-generate)",INDIRECT("'"&amp;$A75&amp;"'!$A$12:$Z$12"),0),0)),"ER"))</f>
        <v>?</v>
      </c>
      <c r="R75" s="87" t="str">
        <f aca="true">IF($H75=0,"NA",IF($A75=INDIRECT("'"&amp;$A75&amp;"'!$B$1"),IF(VLOOKUP(R$1,INDIRECT("'"&amp;$A75&amp;"'!$A$12:$Z$41"),MATCH("Points (Auto-generate)",INDIRECT("'"&amp;$A75&amp;"'!$A$12:$Z$12"),0),0)="","?",VLOOKUP(R$1,INDIRECT("'"&amp;$A75&amp;"'!$A$12:$Z$41"),MATCH("Points (Auto-generate)",INDIRECT("'"&amp;$A75&amp;"'!$A$12:$Z$12"),0),0)),"ER"))</f>
        <v>?</v>
      </c>
      <c r="S75" s="87" t="str">
        <f aca="true">IF($H75=0,"NA",IF($A75=INDIRECT("'"&amp;$A75&amp;"'!$B$1"),IF(VLOOKUP(S$1,INDIRECT("'"&amp;$A75&amp;"'!$A$12:$Z$41"),MATCH("Points (Auto-generate)",INDIRECT("'"&amp;$A75&amp;"'!$A$12:$Z$12"),0),0)="","?",VLOOKUP(S$1,INDIRECT("'"&amp;$A75&amp;"'!$A$12:$Z$41"),MATCH("Points (Auto-generate)",INDIRECT("'"&amp;$A75&amp;"'!$A$12:$Z$12"),0),0)),"ER"))</f>
        <v>?</v>
      </c>
      <c r="T75" s="87" t="str">
        <f aca="true">IF($H75=0,"NA",IF($A75=INDIRECT("'"&amp;$A75&amp;"'!$B$1"),IF(VLOOKUP(T$1,INDIRECT("'"&amp;$A75&amp;"'!$A$12:$Z$41"),MATCH("Points (Auto-generate)",INDIRECT("'"&amp;$A75&amp;"'!$A$12:$Z$12"),0),0)="","?",VLOOKUP(T$1,INDIRECT("'"&amp;$A75&amp;"'!$A$12:$Z$41"),MATCH("Points (Auto-generate)",INDIRECT("'"&amp;$A75&amp;"'!$A$12:$Z$12"),0),0)),"ER"))</f>
        <v>?</v>
      </c>
      <c r="U75" s="87" t="str">
        <f aca="true">IF($H75=0,"NA",IF($A75=INDIRECT("'"&amp;$A75&amp;"'!$B$1"),IF(VLOOKUP(U$1,INDIRECT("'"&amp;$A75&amp;"'!$A$12:$Z$41"),MATCH("Points (Auto-generate)",INDIRECT("'"&amp;$A75&amp;"'!$A$12:$Z$12"),0),0)="","?",VLOOKUP(U$1,INDIRECT("'"&amp;$A75&amp;"'!$A$12:$Z$41"),MATCH("Points (Auto-generate)",INDIRECT("'"&amp;$A75&amp;"'!$A$12:$Z$12"),0),0)),"ER"))</f>
        <v>?</v>
      </c>
      <c r="V75" s="87" t="str">
        <f aca="true">IF($H75=0,"NA",IF($A75=INDIRECT("'"&amp;$A75&amp;"'!$B$1"),IF(VLOOKUP(V$1,INDIRECT("'"&amp;$A75&amp;"'!$A$12:$Z$41"),MATCH("Points (Auto-generate)",INDIRECT("'"&amp;$A75&amp;"'!$A$12:$Z$12"),0),0)="","?",VLOOKUP(V$1,INDIRECT("'"&amp;$A75&amp;"'!$A$12:$Z$41"),MATCH("Points (Auto-generate)",INDIRECT("'"&amp;$A75&amp;"'!$A$12:$Z$12"),0),0)),"ER"))</f>
        <v>?</v>
      </c>
      <c r="W75" s="87" t="str">
        <f aca="true">IF($H75=0,"NA",IF($A75=INDIRECT("'"&amp;$A75&amp;"'!$B$1"),IF(VLOOKUP(W$1,INDIRECT("'"&amp;$A75&amp;"'!$A$12:$Z$41"),MATCH("Points (Auto-generate)",INDIRECT("'"&amp;$A75&amp;"'!$A$12:$Z$12"),0),0)="","?",VLOOKUP(W$1,INDIRECT("'"&amp;$A75&amp;"'!$A$12:$Z$41"),MATCH("Points (Auto-generate)",INDIRECT("'"&amp;$A75&amp;"'!$A$12:$Z$12"),0),0)),"ER"))</f>
        <v>?</v>
      </c>
      <c r="X75" s="87" t="str">
        <f aca="true">IF($H75=0,"NA",IF($A75=INDIRECT("'"&amp;$A75&amp;"'!$B$1"),IF(VLOOKUP(X$1,INDIRECT("'"&amp;$A75&amp;"'!$A$12:$Z$41"),MATCH("Points (Auto-generate)",INDIRECT("'"&amp;$A75&amp;"'!$A$12:$Z$12"),0),0)="","?",VLOOKUP(X$1,INDIRECT("'"&amp;$A75&amp;"'!$A$12:$Z$41"),MATCH("Points (Auto-generate)",INDIRECT("'"&amp;$A75&amp;"'!$A$12:$Z$12"),0),0)),"ER"))</f>
        <v>?</v>
      </c>
      <c r="Y75" s="87" t="str">
        <f aca="true">IF($H75=0,"NA",IF($A75=INDIRECT("'"&amp;$A75&amp;"'!$B$1"),IF(VLOOKUP(Y$1,INDIRECT("'"&amp;$A75&amp;"'!$A$12:$Z$41"),MATCH("Points (Auto-generate)",INDIRECT("'"&amp;$A75&amp;"'!$A$12:$Z$12"),0),0)="","?",VLOOKUP(Y$1,INDIRECT("'"&amp;$A75&amp;"'!$A$12:$Z$41"),MATCH("Points (Auto-generate)",INDIRECT("'"&amp;$A75&amp;"'!$A$12:$Z$12"),0),0)),"ER"))</f>
        <v>?</v>
      </c>
      <c r="Z75" s="87" t="str">
        <f aca="true">IF($H75=0,"NA",IF($A75=INDIRECT("'"&amp;$A75&amp;"'!$B$1"),IF(VLOOKUP(Z$1,INDIRECT("'"&amp;$A75&amp;"'!$A$12:$Z$41"),MATCH("Points (Auto-generate)",INDIRECT("'"&amp;$A75&amp;"'!$A$12:$Z$12"),0),0)="","?",VLOOKUP(Z$1,INDIRECT("'"&amp;$A75&amp;"'!$A$12:$Z$41"),MATCH("Points (Auto-generate)",INDIRECT("'"&amp;$A75&amp;"'!$A$12:$Z$12"),0),0)),"ER"))</f>
        <v>?</v>
      </c>
      <c r="AA75" s="87" t="str">
        <f aca="true">IF($H75=0,"NA",IF($A75=INDIRECT("'"&amp;$A75&amp;"'!$B$1"),IF(VLOOKUP(AA$1,INDIRECT("'"&amp;$A75&amp;"'!$A$12:$Z$41"),MATCH("Points (Auto-generate)",INDIRECT("'"&amp;$A75&amp;"'!$A$12:$Z$12"),0),0)="","?",VLOOKUP(AA$1,INDIRECT("'"&amp;$A75&amp;"'!$A$12:$Z$41"),MATCH("Points (Auto-generate)",INDIRECT("'"&amp;$A75&amp;"'!$A$12:$Z$12"),0),0)),"ER"))</f>
        <v>?</v>
      </c>
      <c r="AB75" s="87" t="str">
        <f aca="true">IF($H75=0,"NA",IF($A75=INDIRECT("'"&amp;$A75&amp;"'!$B$1"),IF(VLOOKUP(AB$1,INDIRECT("'"&amp;$A75&amp;"'!$A$12:$Z$41"),MATCH("Points (Auto-generate)",INDIRECT("'"&amp;$A75&amp;"'!$A$12:$Z$12"),0),0)="","?",VLOOKUP(AB$1,INDIRECT("'"&amp;$A75&amp;"'!$A$12:$Z$41"),MATCH("Points (Auto-generate)",INDIRECT("'"&amp;$A75&amp;"'!$A$12:$Z$12"),0),0)),"ER"))</f>
        <v>?</v>
      </c>
      <c r="AC75" s="87" t="n">
        <f aca="true">IF($H75=0,"NA",IF($A75=INDIRECT("'"&amp;$A75&amp;"'!$B$1"),IF(VLOOKUP(AC$1,INDIRECT("'"&amp;$A75&amp;"'!$A$12:$Z$41"),MATCH("Points (Auto-generate)",INDIRECT("'"&amp;$A75&amp;"'!$A$12:$Z$12"),0),0)="","?",VLOOKUP(AC$1,INDIRECT("'"&amp;$A75&amp;"'!$A$12:$Z$41"),MATCH("Points (Auto-generate)",INDIRECT("'"&amp;$A75&amp;"'!$A$12:$Z$12"),0),0)),"ER"))</f>
        <v>0</v>
      </c>
      <c r="AD75" s="87" t="str">
        <f aca="true">IF($H75=0,"NA",IF($A75=INDIRECT("'"&amp;$A75&amp;"'!$B$1"),IF(VLOOKUP(AD$1,INDIRECT("'"&amp;$A75&amp;"'!$A$12:$Z$41"),MATCH("Points (Auto-generate)",INDIRECT("'"&amp;$A75&amp;"'!$A$12:$Z$12"),0),0)="","?",VLOOKUP(AD$1,INDIRECT("'"&amp;$A75&amp;"'!$A$12:$Z$41"),MATCH("Points (Auto-generate)",INDIRECT("'"&amp;$A75&amp;"'!$A$12:$Z$12"),0),0)),"ER"))</f>
        <v>?</v>
      </c>
      <c r="AE75" s="87" t="str">
        <f aca="true">IF($H75=0,"NA",IF($A75=INDIRECT("'"&amp;$A75&amp;"'!$B$1"),IF(VLOOKUP(AE$1,INDIRECT("'"&amp;$A75&amp;"'!$A$12:$Z$41"),MATCH("Points (Auto-generate)",INDIRECT("'"&amp;$A75&amp;"'!$A$12:$Z$12"),0),0)="","?",VLOOKUP(AE$1,INDIRECT("'"&amp;$A75&amp;"'!$A$12:$Z$41"),MATCH("Points (Auto-generate)",INDIRECT("'"&amp;$A75&amp;"'!$A$12:$Z$12"),0),0)),"ER"))</f>
        <v>?</v>
      </c>
      <c r="AF75" s="87" t="str">
        <f aca="true">IF($H75=0,"NA",IF($A75=INDIRECT("'"&amp;$A75&amp;"'!$B$1"),IF(VLOOKUP(AF$1,INDIRECT("'"&amp;$A75&amp;"'!$A$12:$Z$41"),MATCH("Points (Auto-generate)",INDIRECT("'"&amp;$A75&amp;"'!$A$12:$Z$12"),0),0)="","?",VLOOKUP(AF$1,INDIRECT("'"&amp;$A75&amp;"'!$A$12:$Z$41"),MATCH("Points (Auto-generate)",INDIRECT("'"&amp;$A75&amp;"'!$A$12:$Z$12"),0),0)),"ER"))</f>
        <v>?</v>
      </c>
      <c r="AG75" s="87" t="str">
        <f aca="true">IF($H75=0,"NA",IF($A75=INDIRECT("'"&amp;$A75&amp;"'!$B$1"),IF(VLOOKUP(AG$1,INDIRECT("'"&amp;$A75&amp;"'!$A$12:$Z$41"),MATCH("Points (Auto-generate)",INDIRECT("'"&amp;$A75&amp;"'!$A$12:$Z$12"),0),0)="","?",VLOOKUP(AG$1,INDIRECT("'"&amp;$A75&amp;"'!$A$12:$Z$41"),MATCH("Points (Auto-generate)",INDIRECT("'"&amp;$A75&amp;"'!$A$12:$Z$12"),0),0)),"ER"))</f>
        <v>?</v>
      </c>
      <c r="AH75" s="87" t="str">
        <f aca="true">IF($H75=0,"NA",IF($A75=INDIRECT("'"&amp;$A75&amp;"'!$B$1"),IF(VLOOKUP(AH$1,INDIRECT("'"&amp;$A75&amp;"'!$A$12:$Z$41"),MATCH("Points (Auto-generate)",INDIRECT("'"&amp;$A75&amp;"'!$A$12:$Z$12"),0),0)="","?",VLOOKUP(AH$1,INDIRECT("'"&amp;$A75&amp;"'!$A$12:$Z$41"),MATCH("Points (Auto-generate)",INDIRECT("'"&amp;$A75&amp;"'!$A$12:$Z$12"),0),0)),"ER"))</f>
        <v>?</v>
      </c>
      <c r="AI75" s="87" t="str">
        <f aca="true">IF($H75=0,"NA",IF($A75=INDIRECT("'"&amp;$A75&amp;"'!$B$1"),IF(VLOOKUP(AI$1,INDIRECT("'"&amp;$A75&amp;"'!$A$12:$Z$41"),MATCH("Points (Auto-generate)",INDIRECT("'"&amp;$A75&amp;"'!$A$12:$Z$12"),0),0)="","?",VLOOKUP(AI$1,INDIRECT("'"&amp;$A75&amp;"'!$A$12:$Z$41"),MATCH("Points (Auto-generate)",INDIRECT("'"&amp;$A75&amp;"'!$A$12:$Z$12"),0),0)),"ER"))</f>
        <v>?</v>
      </c>
      <c r="AJ75" s="87" t="str">
        <f aca="true">IF($H75=0,"NA",IF($A75=INDIRECT("'"&amp;$A75&amp;"'!$B$1"),IF(VLOOKUP(AJ$1,INDIRECT("'"&amp;$A75&amp;"'!$A$12:$Z$41"),MATCH("Points (Auto-generate)",INDIRECT("'"&amp;$A75&amp;"'!$A$12:$Z$12"),0),0)="","?",VLOOKUP(AJ$1,INDIRECT("'"&amp;$A75&amp;"'!$A$12:$Z$41"),MATCH("Points (Auto-generate)",INDIRECT("'"&amp;$A75&amp;"'!$A$12:$Z$12"),0),0)),"ER"))</f>
        <v>?</v>
      </c>
      <c r="AK75" s="87" t="str">
        <f aca="true">IF($H75=0,"NA",IF($A75=INDIRECT("'"&amp;$A75&amp;"'!$B$1"),IF(VLOOKUP(AK$1,INDIRECT("'"&amp;$A75&amp;"'!$A$12:$Z$41"),MATCH("Points (Auto-generate)",INDIRECT("'"&amp;$A75&amp;"'!$A$12:$Z$12"),0),0)="","?",VLOOKUP(AK$1,INDIRECT("'"&amp;$A75&amp;"'!$A$12:$Z$41"),MATCH("Points (Auto-generate)",INDIRECT("'"&amp;$A75&amp;"'!$A$12:$Z$12"),0),0)),"ER"))</f>
        <v>?</v>
      </c>
    </row>
    <row r="76" customFormat="false" ht="14.25" hidden="false" customHeight="true" outlineLevel="0" collapsed="false">
      <c r="A76" s="83" t="s">
        <v>772</v>
      </c>
      <c r="B76" s="84" t="str">
        <f aca="false">IF(ISBLANK($A76),"NO_CODE",VLOOKUP($A76,'UPD Questions_290926 '!$E$1:$N$300,MATCH(B$1,'UPD Questions_290926 '!$E$1:$N$1,0),0)&amp;"")</f>
        <v>Implementation</v>
      </c>
      <c r="C76" s="84" t="str">
        <f aca="false">IF(ISBLANK($A76),"NO_CODE",VLOOKUP($A76,'UPD Questions_290926 '!$E$1:$N$300,MATCH(C$1,'UPD Questions_290926 '!$E$1:$N$1,0),0)&amp;"")</f>
        <v>Specialised institutional capacity</v>
      </c>
      <c r="D76" s="84" t="str">
        <f aca="false">IF(ISBLANK($A76),"NO_CODE",VLOOKUP($A76,'UPD Questions_290926 '!$E$1:$N$300,MATCH(D$1,'UPD Questions_290926 '!$E$1:$N$1,0),0)&amp;"")</f>
        <v>Specialised institutional capacity</v>
      </c>
      <c r="E76" s="84" t="str">
        <f aca="false">IF(ISBLANK($A76),"NO_CODE",VLOOKUP($A76,'UPD Questions_290926 '!$E$1:$N$300,MATCH(E$1,'UPD Questions_290926 '!$E$1:$N$1,0),0)&amp;"")</f>
        <v>MQ</v>
      </c>
      <c r="F76" s="84" t="str">
        <f aca="false">IF(ISBLANK($A76),"NO_CODE",VLOOKUP($A76,'UPD Questions_290926 '!$E$1:$N$300,MATCH(F$1,'UPD Questions_290926 '!$E$1:$N$1,0),0)&amp;"")</f>
        <v>Does the city have adequate and representative professional town-planning capacity?</v>
      </c>
      <c r="G76" s="84" t="str">
        <f aca="false">IF(ISBLANK($A76),"NO_CODE",VLOOKUP($A76,'UPD Questions_290926 '!$E$1:$N$300,MATCH(G$1,'UPD Questions_290926 '!$E$1:$N$1,0),0)&amp;"")</f>
        <v>Implementation</v>
      </c>
      <c r="H76" s="86" t="n">
        <f aca="false">IF(ISBLANK($A76),"NO_CODE",VLOOKUP($A76,'UPD Questions_290926 '!$E$1:$N$300,MATCH(H$1,'UPD Questions_290926 '!$E$1:$N$1,0),0))</f>
        <v>10</v>
      </c>
      <c r="I76" s="87" t="str">
        <f aca="false">IF(OR(I77="ER",I78="ER"),"ER",IF(OR(I77="?",I78="?"),"?",IF(AND(I77="NA",I78="NA"),"NA",SUM(I77,I78)/((I77&lt;&gt;"NA")*$H$77+(I78&lt;&gt;"NA")*$H$78)*$H76)))</f>
        <v>?</v>
      </c>
      <c r="J76" s="87" t="str">
        <f aca="false">IF(OR(J77="ER",J78="ER"),"ER",IF(OR(J77="?",J78="?"),"?",IF(AND(J77="NA",J78="NA"),"NA",SUM(J77,J78)/((J77&lt;&gt;"NA")*$H$77+(J78&lt;&gt;"NA")*$H$78)*$H76)))</f>
        <v>?</v>
      </c>
      <c r="K76" s="87" t="str">
        <f aca="false">IF(OR(K77="ER",K78="ER"),"ER",IF(OR(K77="?",K78="?"),"?",IF(AND(K77="NA",K78="NA"),"NA",SUM(K77,K78)/((K77&lt;&gt;"NA")*$H$77+(K78&lt;&gt;"NA")*$H$78)*$H76)))</f>
        <v>?</v>
      </c>
      <c r="L76" s="87" t="str">
        <f aca="false">IF(OR(L77="ER",L78="ER"),"ER",IF(OR(L77="?",L78="?"),"?",IF(AND(L77="NA",L78="NA"),"NA",SUM(L77,L78)/((L77&lt;&gt;"NA")*$H$77+(L78&lt;&gt;"NA")*$H$78)*$H76)))</f>
        <v>?</v>
      </c>
      <c r="M76" s="87" t="str">
        <f aca="false">IF(OR(M77="ER",M78="ER"),"ER",IF(OR(M77="?",M78="?"),"?",IF(AND(M77="NA",M78="NA"),"NA",SUM(M77,M78)/((M77&lt;&gt;"NA")*$H$77+(M78&lt;&gt;"NA")*$H$78)*$H76)))</f>
        <v>?</v>
      </c>
      <c r="N76" s="87" t="str">
        <f aca="false">IF(OR(N77="ER",N78="ER"),"ER",IF(OR(N77="?",N78="?"),"?",IF(AND(N77="NA",N78="NA"),"NA",SUM(N77,N78)/((N77&lt;&gt;"NA")*$H$77+(N78&lt;&gt;"NA")*$H$78)*$H76)))</f>
        <v>?</v>
      </c>
      <c r="O76" s="87" t="str">
        <f aca="false">IF(OR(O77="ER",O78="ER"),"ER",IF(OR(O77="?",O78="?"),"?",IF(AND(O77="NA",O78="NA"),"NA",SUM(O77,O78)/((O77&lt;&gt;"NA")*$H$77+(O78&lt;&gt;"NA")*$H$78)*$H76)))</f>
        <v>?</v>
      </c>
      <c r="P76" s="87" t="str">
        <f aca="false">IF(OR(P77="ER",P78="ER"),"ER",IF(OR(P77="?",P78="?"),"?",IF(AND(P77="NA",P78="NA"),"NA",SUM(P77,P78)/((P77&lt;&gt;"NA")*$H$77+(P78&lt;&gt;"NA")*$H$78)*$H76)))</f>
        <v>?</v>
      </c>
      <c r="Q76" s="87" t="str">
        <f aca="false">IF(OR(Q77="ER",Q78="ER"),"ER",IF(OR(Q77="?",Q78="?"),"?",IF(AND(Q77="NA",Q78="NA"),"NA",SUM(Q77,Q78)/((Q77&lt;&gt;"NA")*$H$77+(Q78&lt;&gt;"NA")*$H$78)*$H76)))</f>
        <v>?</v>
      </c>
      <c r="R76" s="87" t="str">
        <f aca="false">IF(OR(R77="ER",R78="ER"),"ER",IF(OR(R77="?",R78="?"),"?",IF(AND(R77="NA",R78="NA"),"NA",SUM(R77,R78)/((R77&lt;&gt;"NA")*$H$77+(R78&lt;&gt;"NA")*$H$78)*$H76)))</f>
        <v>?</v>
      </c>
      <c r="S76" s="87" t="str">
        <f aca="false">IF(OR(S77="ER",S78="ER"),"ER",IF(OR(S77="?",S78="?"),"?",IF(AND(S77="NA",S78="NA"),"NA",SUM(S77,S78)/((S77&lt;&gt;"NA")*$H$77+(S78&lt;&gt;"NA")*$H$78)*$H76)))</f>
        <v>?</v>
      </c>
      <c r="T76" s="87" t="str">
        <f aca="false">IF(OR(T77="ER",T78="ER"),"ER",IF(OR(T77="?",T78="?"),"?",IF(AND(T77="NA",T78="NA"),"NA",SUM(T77,T78)/((T77&lt;&gt;"NA")*$H$77+(T78&lt;&gt;"NA")*$H$78)*$H76)))</f>
        <v>?</v>
      </c>
      <c r="U76" s="87" t="str">
        <f aca="false">IF(OR(U77="ER",U78="ER"),"ER",IF(OR(U77="?",U78="?"),"?",IF(AND(U77="NA",U78="NA"),"NA",SUM(U77,U78)/((U77&lt;&gt;"NA")*$H$77+(U78&lt;&gt;"NA")*$H$78)*$H76)))</f>
        <v>?</v>
      </c>
      <c r="V76" s="87" t="str">
        <f aca="false">IF(OR(V77="ER",V78="ER"),"ER",IF(OR(V77="?",V78="?"),"?",IF(AND(V77="NA",V78="NA"),"NA",SUM(V77,V78)/((V77&lt;&gt;"NA")*$H$77+(V78&lt;&gt;"NA")*$H$78)*$H76)))</f>
        <v>?</v>
      </c>
      <c r="W76" s="87" t="str">
        <f aca="false">IF(OR(W77="ER",W78="ER"),"ER",IF(OR(W77="?",W78="?"),"?",IF(AND(W77="NA",W78="NA"),"NA",SUM(W77,W78)/((W77&lt;&gt;"NA")*$H$77+(W78&lt;&gt;"NA")*$H$78)*$H76)))</f>
        <v>?</v>
      </c>
      <c r="X76" s="87" t="str">
        <f aca="false">IF(OR(X77="ER",X78="ER"),"ER",IF(OR(X77="?",X78="?"),"?",IF(AND(X77="NA",X78="NA"),"NA",SUM(X77,X78)/((X77&lt;&gt;"NA")*$H$77+(X78&lt;&gt;"NA")*$H$78)*$H76)))</f>
        <v>?</v>
      </c>
      <c r="Y76" s="87" t="str">
        <f aca="false">IF(OR(Y77="ER",Y78="ER"),"ER",IF(OR(Y77="?",Y78="?"),"?",IF(AND(Y77="NA",Y78="NA"),"NA",SUM(Y77,Y78)/((Y77&lt;&gt;"NA")*$H$77+(Y78&lt;&gt;"NA")*$H$78)*$H76)))</f>
        <v>?</v>
      </c>
      <c r="Z76" s="87" t="str">
        <f aca="false">IF(OR(Z77="ER",Z78="ER"),"ER",IF(OR(Z77="?",Z78="?"),"?",IF(AND(Z77="NA",Z78="NA"),"NA",SUM(Z77,Z78)/((Z77&lt;&gt;"NA")*$H$77+(Z78&lt;&gt;"NA")*$H$78)*$H76)))</f>
        <v>?</v>
      </c>
      <c r="AA76" s="87" t="str">
        <f aca="false">IF(OR(AA77="ER",AA78="ER"),"ER",IF(OR(AA77="?",AA78="?"),"?",IF(AND(AA77="NA",AA78="NA"),"NA",SUM(AA77,AA78)/((AA77&lt;&gt;"NA")*$H$77+(AA78&lt;&gt;"NA")*$H$78)*$H76)))</f>
        <v>?</v>
      </c>
      <c r="AB76" s="87" t="str">
        <f aca="false">IF(OR(AB77="ER",AB78="ER"),"ER",IF(OR(AB77="?",AB78="?"),"?",IF(AND(AB77="NA",AB78="NA"),"NA",SUM(AB77,AB78)/((AB77&lt;&gt;"NA")*$H$77+(AB78&lt;&gt;"NA")*$H$78)*$H76)))</f>
        <v>?</v>
      </c>
      <c r="AC76" s="87" t="str">
        <f aca="false">IF(OR(AC77="ER",AC78="ER"),"ER",IF(OR(AC77="?",AC78="?"),"?",IF(AND(AC77="NA",AC78="NA"),"NA",SUM(AC77,AC78)/((AC77&lt;&gt;"NA")*$H$77+(AC78&lt;&gt;"NA")*$H$78)*$H76)))</f>
        <v>?</v>
      </c>
      <c r="AD76" s="87" t="str">
        <f aca="false">IF(OR(AD77="ER",AD78="ER"),"ER",IF(OR(AD77="?",AD78="?"),"?",IF(AND(AD77="NA",AD78="NA"),"NA",SUM(AD77,AD78)/((AD77&lt;&gt;"NA")*$H$77+(AD78&lt;&gt;"NA")*$H$78)*$H76)))</f>
        <v>?</v>
      </c>
      <c r="AE76" s="87" t="str">
        <f aca="false">IF(OR(AE77="ER",AE78="ER"),"ER",IF(OR(AE77="?",AE78="?"),"?",IF(AND(AE77="NA",AE78="NA"),"NA",SUM(AE77,AE78)/((AE77&lt;&gt;"NA")*$H$77+(AE78&lt;&gt;"NA")*$H$78)*$H76)))</f>
        <v>?</v>
      </c>
      <c r="AF76" s="87" t="str">
        <f aca="false">IF(OR(AF77="ER",AF78="ER"),"ER",IF(OR(AF77="?",AF78="?"),"?",IF(AND(AF77="NA",AF78="NA"),"NA",SUM(AF77,AF78)/((AF77&lt;&gt;"NA")*$H$77+(AF78&lt;&gt;"NA")*$H$78)*$H76)))</f>
        <v>?</v>
      </c>
      <c r="AG76" s="87" t="str">
        <f aca="false">IF(OR(AG77="ER",AG78="ER"),"ER",IF(OR(AG77="?",AG78="?"),"?",IF(AND(AG77="NA",AG78="NA"),"NA",SUM(AG77,AG78)/((AG77&lt;&gt;"NA")*$H$77+(AG78&lt;&gt;"NA")*$H$78)*$H76)))</f>
        <v>?</v>
      </c>
      <c r="AH76" s="87" t="str">
        <f aca="false">IF(OR(AH77="ER",AH78="ER"),"ER",IF(OR(AH77="?",AH78="?"),"?",IF(AND(AH77="NA",AH78="NA"),"NA",SUM(AH77,AH78)/((AH77&lt;&gt;"NA")*$H$77+(AH78&lt;&gt;"NA")*$H$78)*$H76)))</f>
        <v>?</v>
      </c>
      <c r="AI76" s="87" t="str">
        <f aca="false">IF(OR(AI77="ER",AI78="ER"),"ER",IF(OR(AI77="?",AI78="?"),"?",IF(AND(AI77="NA",AI78="NA"),"NA",SUM(AI77,AI78)/((AI77&lt;&gt;"NA")*$H$77+(AI78&lt;&gt;"NA")*$H$78)*$H76)))</f>
        <v>?</v>
      </c>
      <c r="AJ76" s="87" t="str">
        <f aca="false">IF(OR(AJ77="ER",AJ78="ER"),"ER",IF(OR(AJ77="?",AJ78="?"),"?",IF(AND(AJ77="NA",AJ78="NA"),"NA",SUM(AJ77,AJ78)/((AJ77&lt;&gt;"NA")*$H$77+(AJ78&lt;&gt;"NA")*$H$78)*$H76)))</f>
        <v>?</v>
      </c>
      <c r="AK76" s="87" t="str">
        <f aca="false">IF(OR(AK77="ER",AK78="ER"),"ER",IF(OR(AK77="?",AK78="?"),"?",IF(AND(AK77="NA",AK78="NA"),"NA",SUM(AK77,AK78)/((AK77&lt;&gt;"NA")*$H$77+(AK78&lt;&gt;"NA")*$H$78)*$H76)))</f>
        <v>?</v>
      </c>
    </row>
    <row r="77" customFormat="false" ht="14.25" hidden="false" customHeight="true" outlineLevel="0" collapsed="false">
      <c r="A77" s="83" t="s">
        <v>416</v>
      </c>
      <c r="B77" s="84" t="str">
        <f aca="false">IF(ISBLANK($A77),"NO_CODE",VLOOKUP($A77,'UPD Questions_290926 '!$E$1:$N$300,MATCH(B$1,'UPD Questions_290926 '!$E$1:$N$1,0),0)&amp;"")</f>
        <v>Implementation</v>
      </c>
      <c r="C77" s="84" t="str">
        <f aca="false">IF(ISBLANK($A77),"NO_CODE",VLOOKUP($A77,'UPD Questions_290926 '!$E$1:$N$300,MATCH(C$1,'UPD Questions_290926 '!$E$1:$N$1,0),0)&amp;"")</f>
        <v>Specialised institutional capacity</v>
      </c>
      <c r="D77" s="84" t="str">
        <f aca="false">IF(ISBLANK($A77),"NO_CODE",VLOOKUP($A77,'UPD Questions_290926 '!$E$1:$N$300,MATCH(D$1,'UPD Questions_290926 '!$E$1:$N$1,0),0)&amp;"")</f>
        <v>Specialised institutional capacity</v>
      </c>
      <c r="E77" s="84" t="str">
        <f aca="false">IF(ISBLANK($A77),"NO_CODE",VLOOKUP($A77,'UPD Questions_290926 '!$E$1:$N$300,MATCH(E$1,'UPD Questions_290926 '!$E$1:$N$1,0),0)&amp;"")</f>
        <v>SQ</v>
      </c>
      <c r="F77" s="84" t="str">
        <f aca="false">IF(ISBLANK($A77),"NO_CODE",VLOOKUP($A77,'UPD Questions_290926 '!$E$1:$N$300,MATCH(F$1,'UPD Questions_290926 '!$E$1:$N$1,0),0)&amp;"")</f>
        <v>Does the city have adequate professional town-planning capacity?</v>
      </c>
      <c r="G77" s="84" t="str">
        <f aca="false">IF(ISBLANK($A77),"NO_CODE",VLOOKUP($A77,'UPD Questions_290926 '!$E$1:$N$300,MATCH(G$1,'UPD Questions_290926 '!$E$1:$N$1,0),0)&amp;"")</f>
        <v>Implementation</v>
      </c>
      <c r="H77" s="86" t="n">
        <f aca="false">IF(ISBLANK($A77),"NO_CODE",VLOOKUP($A77,'UPD Questions_290926 '!$E$1:$N$300,MATCH(H$1,'UPD Questions_290926 '!$E$1:$N$1,0),0))</f>
        <v>5</v>
      </c>
      <c r="I77" s="87" t="str">
        <f aca="true">IF($H77=0,"NA",IF($A77=INDIRECT("'"&amp;$A77&amp;"'!$B$1"),IF(VLOOKUP(I$1,INDIRECT("'"&amp;$A77&amp;"'!$A$12:$Z$41"),MATCH("Points (Auto-generate)",INDIRECT("'"&amp;$A77&amp;"'!$A$12:$Z$12"),0),0)="","?",VLOOKUP(I$1,INDIRECT("'"&amp;$A77&amp;"'!$A$12:$Z$41"),MATCH("Points (Auto-generate)",INDIRECT("'"&amp;$A77&amp;"'!$A$12:$Z$12"),0),0)),"ER"))</f>
        <v>?</v>
      </c>
      <c r="J77" s="87" t="str">
        <f aca="true">IF($H77=0,"NA",IF($A77=INDIRECT("'"&amp;$A77&amp;"'!$B$1"),IF(VLOOKUP(J$1,INDIRECT("'"&amp;$A77&amp;"'!$A$12:$Z$41"),MATCH("Points (Auto-generate)",INDIRECT("'"&amp;$A77&amp;"'!$A$12:$Z$12"),0),0)="","?",VLOOKUP(J$1,INDIRECT("'"&amp;$A77&amp;"'!$A$12:$Z$41"),MATCH("Points (Auto-generate)",INDIRECT("'"&amp;$A77&amp;"'!$A$12:$Z$12"),0),0)),"ER"))</f>
        <v>?</v>
      </c>
      <c r="K77" s="87" t="str">
        <f aca="true">IF($H77=0,"NA",IF($A77=INDIRECT("'"&amp;$A77&amp;"'!$B$1"),IF(VLOOKUP(K$1,INDIRECT("'"&amp;$A77&amp;"'!$A$12:$Z$41"),MATCH("Points (Auto-generate)",INDIRECT("'"&amp;$A77&amp;"'!$A$12:$Z$12"),0),0)="","?",VLOOKUP(K$1,INDIRECT("'"&amp;$A77&amp;"'!$A$12:$Z$41"),MATCH("Points (Auto-generate)",INDIRECT("'"&amp;$A77&amp;"'!$A$12:$Z$12"),0),0)),"ER"))</f>
        <v>?</v>
      </c>
      <c r="L77" s="87" t="str">
        <f aca="true">IF($H77=0,"NA",IF($A77=INDIRECT("'"&amp;$A77&amp;"'!$B$1"),IF(VLOOKUP(L$1,INDIRECT("'"&amp;$A77&amp;"'!$A$12:$Z$41"),MATCH("Points (Auto-generate)",INDIRECT("'"&amp;$A77&amp;"'!$A$12:$Z$12"),0),0)="","?",VLOOKUP(L$1,INDIRECT("'"&amp;$A77&amp;"'!$A$12:$Z$41"),MATCH("Points (Auto-generate)",INDIRECT("'"&amp;$A77&amp;"'!$A$12:$Z$12"),0),0)),"ER"))</f>
        <v>?</v>
      </c>
      <c r="M77" s="87" t="str">
        <f aca="true">IF($H77=0,"NA",IF($A77=INDIRECT("'"&amp;$A77&amp;"'!$B$1"),IF(VLOOKUP(M$1,INDIRECT("'"&amp;$A77&amp;"'!$A$12:$Z$41"),MATCH("Points (Auto-generate)",INDIRECT("'"&amp;$A77&amp;"'!$A$12:$Z$12"),0),0)="","?",VLOOKUP(M$1,INDIRECT("'"&amp;$A77&amp;"'!$A$12:$Z$41"),MATCH("Points (Auto-generate)",INDIRECT("'"&amp;$A77&amp;"'!$A$12:$Z$12"),0),0)),"ER"))</f>
        <v>?</v>
      </c>
      <c r="N77" s="87" t="str">
        <f aca="true">IF($H77=0,"NA",IF($A77=INDIRECT("'"&amp;$A77&amp;"'!$B$1"),IF(VLOOKUP(N$1,INDIRECT("'"&amp;$A77&amp;"'!$A$12:$Z$41"),MATCH("Points (Auto-generate)",INDIRECT("'"&amp;$A77&amp;"'!$A$12:$Z$12"),0),0)="","?",VLOOKUP(N$1,INDIRECT("'"&amp;$A77&amp;"'!$A$12:$Z$41"),MATCH("Points (Auto-generate)",INDIRECT("'"&amp;$A77&amp;"'!$A$12:$Z$12"),0),0)),"ER"))</f>
        <v>?</v>
      </c>
      <c r="O77" s="87" t="str">
        <f aca="true">IF($H77=0,"NA",IF($A77=INDIRECT("'"&amp;$A77&amp;"'!$B$1"),IF(VLOOKUP(O$1,INDIRECT("'"&amp;$A77&amp;"'!$A$12:$Z$41"),MATCH("Points (Auto-generate)",INDIRECT("'"&amp;$A77&amp;"'!$A$12:$Z$12"),0),0)="","?",VLOOKUP(O$1,INDIRECT("'"&amp;$A77&amp;"'!$A$12:$Z$41"),MATCH("Points (Auto-generate)",INDIRECT("'"&amp;$A77&amp;"'!$A$12:$Z$12"),0),0)),"ER"))</f>
        <v>?</v>
      </c>
      <c r="P77" s="87" t="str">
        <f aca="true">IF($H77=0,"NA",IF($A77=INDIRECT("'"&amp;$A77&amp;"'!$B$1"),IF(VLOOKUP(P$1,INDIRECT("'"&amp;$A77&amp;"'!$A$12:$Z$41"),MATCH("Points (Auto-generate)",INDIRECT("'"&amp;$A77&amp;"'!$A$12:$Z$12"),0),0)="","?",VLOOKUP(P$1,INDIRECT("'"&amp;$A77&amp;"'!$A$12:$Z$41"),MATCH("Points (Auto-generate)",INDIRECT("'"&amp;$A77&amp;"'!$A$12:$Z$12"),0),0)),"ER"))</f>
        <v>?</v>
      </c>
      <c r="Q77" s="87" t="str">
        <f aca="true">IF($H77=0,"NA",IF($A77=INDIRECT("'"&amp;$A77&amp;"'!$B$1"),IF(VLOOKUP(Q$1,INDIRECT("'"&amp;$A77&amp;"'!$A$12:$Z$41"),MATCH("Points (Auto-generate)",INDIRECT("'"&amp;$A77&amp;"'!$A$12:$Z$12"),0),0)="","?",VLOOKUP(Q$1,INDIRECT("'"&amp;$A77&amp;"'!$A$12:$Z$41"),MATCH("Points (Auto-generate)",INDIRECT("'"&amp;$A77&amp;"'!$A$12:$Z$12"),0),0)),"ER"))</f>
        <v>?</v>
      </c>
      <c r="R77" s="87" t="str">
        <f aca="true">IF($H77=0,"NA",IF($A77=INDIRECT("'"&amp;$A77&amp;"'!$B$1"),IF(VLOOKUP(R$1,INDIRECT("'"&amp;$A77&amp;"'!$A$12:$Z$41"),MATCH("Points (Auto-generate)",INDIRECT("'"&amp;$A77&amp;"'!$A$12:$Z$12"),0),0)="","?",VLOOKUP(R$1,INDIRECT("'"&amp;$A77&amp;"'!$A$12:$Z$41"),MATCH("Points (Auto-generate)",INDIRECT("'"&amp;$A77&amp;"'!$A$12:$Z$12"),0),0)),"ER"))</f>
        <v>?</v>
      </c>
      <c r="S77" s="87" t="str">
        <f aca="true">IF($H77=0,"NA",IF($A77=INDIRECT("'"&amp;$A77&amp;"'!$B$1"),IF(VLOOKUP(S$1,INDIRECT("'"&amp;$A77&amp;"'!$A$12:$Z$41"),MATCH("Points (Auto-generate)",INDIRECT("'"&amp;$A77&amp;"'!$A$12:$Z$12"),0),0)="","?",VLOOKUP(S$1,INDIRECT("'"&amp;$A77&amp;"'!$A$12:$Z$41"),MATCH("Points (Auto-generate)",INDIRECT("'"&amp;$A77&amp;"'!$A$12:$Z$12"),0),0)),"ER"))</f>
        <v>?</v>
      </c>
      <c r="T77" s="87" t="str">
        <f aca="true">IF($H77=0,"NA",IF($A77=INDIRECT("'"&amp;$A77&amp;"'!$B$1"),IF(VLOOKUP(T$1,INDIRECT("'"&amp;$A77&amp;"'!$A$12:$Z$41"),MATCH("Points (Auto-generate)",INDIRECT("'"&amp;$A77&amp;"'!$A$12:$Z$12"),0),0)="","?",VLOOKUP(T$1,INDIRECT("'"&amp;$A77&amp;"'!$A$12:$Z$41"),MATCH("Points (Auto-generate)",INDIRECT("'"&amp;$A77&amp;"'!$A$12:$Z$12"),0),0)),"ER"))</f>
        <v>?</v>
      </c>
      <c r="U77" s="87" t="str">
        <f aca="true">IF($H77=0,"NA",IF($A77=INDIRECT("'"&amp;$A77&amp;"'!$B$1"),IF(VLOOKUP(U$1,INDIRECT("'"&amp;$A77&amp;"'!$A$12:$Z$41"),MATCH("Points (Auto-generate)",INDIRECT("'"&amp;$A77&amp;"'!$A$12:$Z$12"),0),0)="","?",VLOOKUP(U$1,INDIRECT("'"&amp;$A77&amp;"'!$A$12:$Z$41"),MATCH("Points (Auto-generate)",INDIRECT("'"&amp;$A77&amp;"'!$A$12:$Z$12"),0),0)),"ER"))</f>
        <v>?</v>
      </c>
      <c r="V77" s="87" t="str">
        <f aca="true">IF($H77=0,"NA",IF($A77=INDIRECT("'"&amp;$A77&amp;"'!$B$1"),IF(VLOOKUP(V$1,INDIRECT("'"&amp;$A77&amp;"'!$A$12:$Z$41"),MATCH("Points (Auto-generate)",INDIRECT("'"&amp;$A77&amp;"'!$A$12:$Z$12"),0),0)="","?",VLOOKUP(V$1,INDIRECT("'"&amp;$A77&amp;"'!$A$12:$Z$41"),MATCH("Points (Auto-generate)",INDIRECT("'"&amp;$A77&amp;"'!$A$12:$Z$12"),0),0)),"ER"))</f>
        <v>?</v>
      </c>
      <c r="W77" s="87" t="str">
        <f aca="true">IF($H77=0,"NA",IF($A77=INDIRECT("'"&amp;$A77&amp;"'!$B$1"),IF(VLOOKUP(W$1,INDIRECT("'"&amp;$A77&amp;"'!$A$12:$Z$41"),MATCH("Points (Auto-generate)",INDIRECT("'"&amp;$A77&amp;"'!$A$12:$Z$12"),0),0)="","?",VLOOKUP(W$1,INDIRECT("'"&amp;$A77&amp;"'!$A$12:$Z$41"),MATCH("Points (Auto-generate)",INDIRECT("'"&amp;$A77&amp;"'!$A$12:$Z$12"),0),0)),"ER"))</f>
        <v>?</v>
      </c>
      <c r="X77" s="87" t="str">
        <f aca="true">IF($H77=0,"NA",IF($A77=INDIRECT("'"&amp;$A77&amp;"'!$B$1"),IF(VLOOKUP(X$1,INDIRECT("'"&amp;$A77&amp;"'!$A$12:$Z$41"),MATCH("Points (Auto-generate)",INDIRECT("'"&amp;$A77&amp;"'!$A$12:$Z$12"),0),0)="","?",VLOOKUP(X$1,INDIRECT("'"&amp;$A77&amp;"'!$A$12:$Z$41"),MATCH("Points (Auto-generate)",INDIRECT("'"&amp;$A77&amp;"'!$A$12:$Z$12"),0),0)),"ER"))</f>
        <v>?</v>
      </c>
      <c r="Y77" s="87" t="str">
        <f aca="true">IF($H77=0,"NA",IF($A77=INDIRECT("'"&amp;$A77&amp;"'!$B$1"),IF(VLOOKUP(Y$1,INDIRECT("'"&amp;$A77&amp;"'!$A$12:$Z$41"),MATCH("Points (Auto-generate)",INDIRECT("'"&amp;$A77&amp;"'!$A$12:$Z$12"),0),0)="","?",VLOOKUP(Y$1,INDIRECT("'"&amp;$A77&amp;"'!$A$12:$Z$41"),MATCH("Points (Auto-generate)",INDIRECT("'"&amp;$A77&amp;"'!$A$12:$Z$12"),0),0)),"ER"))</f>
        <v>?</v>
      </c>
      <c r="Z77" s="87" t="str">
        <f aca="true">IF($H77=0,"NA",IF($A77=INDIRECT("'"&amp;$A77&amp;"'!$B$1"),IF(VLOOKUP(Z$1,INDIRECT("'"&amp;$A77&amp;"'!$A$12:$Z$41"),MATCH("Points (Auto-generate)",INDIRECT("'"&amp;$A77&amp;"'!$A$12:$Z$12"),0),0)="","?",VLOOKUP(Z$1,INDIRECT("'"&amp;$A77&amp;"'!$A$12:$Z$41"),MATCH("Points (Auto-generate)",INDIRECT("'"&amp;$A77&amp;"'!$A$12:$Z$12"),0),0)),"ER"))</f>
        <v>?</v>
      </c>
      <c r="AA77" s="87" t="str">
        <f aca="true">IF($H77=0,"NA",IF($A77=INDIRECT("'"&amp;$A77&amp;"'!$B$1"),IF(VLOOKUP(AA$1,INDIRECT("'"&amp;$A77&amp;"'!$A$12:$Z$41"),MATCH("Points (Auto-generate)",INDIRECT("'"&amp;$A77&amp;"'!$A$12:$Z$12"),0),0)="","?",VLOOKUP(AA$1,INDIRECT("'"&amp;$A77&amp;"'!$A$12:$Z$41"),MATCH("Points (Auto-generate)",INDIRECT("'"&amp;$A77&amp;"'!$A$12:$Z$12"),0),0)),"ER"))</f>
        <v>?</v>
      </c>
      <c r="AB77" s="87" t="str">
        <f aca="true">IF($H77=0,"NA",IF($A77=INDIRECT("'"&amp;$A77&amp;"'!$B$1"),IF(VLOOKUP(AB$1,INDIRECT("'"&amp;$A77&amp;"'!$A$12:$Z$41"),MATCH("Points (Auto-generate)",INDIRECT("'"&amp;$A77&amp;"'!$A$12:$Z$12"),0),0)="","?",VLOOKUP(AB$1,INDIRECT("'"&amp;$A77&amp;"'!$A$12:$Z$41"),MATCH("Points (Auto-generate)",INDIRECT("'"&amp;$A77&amp;"'!$A$12:$Z$12"),0),0)),"ER"))</f>
        <v>?</v>
      </c>
      <c r="AC77" s="87" t="str">
        <f aca="true">IF($H77=0,"NA",IF($A77=INDIRECT("'"&amp;$A77&amp;"'!$B$1"),IF(VLOOKUP(AC$1,INDIRECT("'"&amp;$A77&amp;"'!$A$12:$Z$41"),MATCH("Points (Auto-generate)",INDIRECT("'"&amp;$A77&amp;"'!$A$12:$Z$12"),0),0)="","?",VLOOKUP(AC$1,INDIRECT("'"&amp;$A77&amp;"'!$A$12:$Z$41"),MATCH("Points (Auto-generate)",INDIRECT("'"&amp;$A77&amp;"'!$A$12:$Z$12"),0),0)),"ER"))</f>
        <v>?</v>
      </c>
      <c r="AD77" s="87" t="str">
        <f aca="true">IF($H77=0,"NA",IF($A77=INDIRECT("'"&amp;$A77&amp;"'!$B$1"),IF(VLOOKUP(AD$1,INDIRECT("'"&amp;$A77&amp;"'!$A$12:$Z$41"),MATCH("Points (Auto-generate)",INDIRECT("'"&amp;$A77&amp;"'!$A$12:$Z$12"),0),0)="","?",VLOOKUP(AD$1,INDIRECT("'"&amp;$A77&amp;"'!$A$12:$Z$41"),MATCH("Points (Auto-generate)",INDIRECT("'"&amp;$A77&amp;"'!$A$12:$Z$12"),0),0)),"ER"))</f>
        <v>?</v>
      </c>
      <c r="AE77" s="87" t="str">
        <f aca="true">IF($H77=0,"NA",IF($A77=INDIRECT("'"&amp;$A77&amp;"'!$B$1"),IF(VLOOKUP(AE$1,INDIRECT("'"&amp;$A77&amp;"'!$A$12:$Z$41"),MATCH("Points (Auto-generate)",INDIRECT("'"&amp;$A77&amp;"'!$A$12:$Z$12"),0),0)="","?",VLOOKUP(AE$1,INDIRECT("'"&amp;$A77&amp;"'!$A$12:$Z$41"),MATCH("Points (Auto-generate)",INDIRECT("'"&amp;$A77&amp;"'!$A$12:$Z$12"),0),0)),"ER"))</f>
        <v>?</v>
      </c>
      <c r="AF77" s="87" t="str">
        <f aca="true">IF($H77=0,"NA",IF($A77=INDIRECT("'"&amp;$A77&amp;"'!$B$1"),IF(VLOOKUP(AF$1,INDIRECT("'"&amp;$A77&amp;"'!$A$12:$Z$41"),MATCH("Points (Auto-generate)",INDIRECT("'"&amp;$A77&amp;"'!$A$12:$Z$12"),0),0)="","?",VLOOKUP(AF$1,INDIRECT("'"&amp;$A77&amp;"'!$A$12:$Z$41"),MATCH("Points (Auto-generate)",INDIRECT("'"&amp;$A77&amp;"'!$A$12:$Z$12"),0),0)),"ER"))</f>
        <v>?</v>
      </c>
      <c r="AG77" s="87" t="str">
        <f aca="true">IF($H77=0,"NA",IF($A77=INDIRECT("'"&amp;$A77&amp;"'!$B$1"),IF(VLOOKUP(AG$1,INDIRECT("'"&amp;$A77&amp;"'!$A$12:$Z$41"),MATCH("Points (Auto-generate)",INDIRECT("'"&amp;$A77&amp;"'!$A$12:$Z$12"),0),0)="","?",VLOOKUP(AG$1,INDIRECT("'"&amp;$A77&amp;"'!$A$12:$Z$41"),MATCH("Points (Auto-generate)",INDIRECT("'"&amp;$A77&amp;"'!$A$12:$Z$12"),0),0)),"ER"))</f>
        <v>?</v>
      </c>
      <c r="AH77" s="87" t="str">
        <f aca="true">IF($H77=0,"NA",IF($A77=INDIRECT("'"&amp;$A77&amp;"'!$B$1"),IF(VLOOKUP(AH$1,INDIRECT("'"&amp;$A77&amp;"'!$A$12:$Z$41"),MATCH("Points (Auto-generate)",INDIRECT("'"&amp;$A77&amp;"'!$A$12:$Z$12"),0),0)="","?",VLOOKUP(AH$1,INDIRECT("'"&amp;$A77&amp;"'!$A$12:$Z$41"),MATCH("Points (Auto-generate)",INDIRECT("'"&amp;$A77&amp;"'!$A$12:$Z$12"),0),0)),"ER"))</f>
        <v>?</v>
      </c>
      <c r="AI77" s="87" t="str">
        <f aca="true">IF($H77=0,"NA",IF($A77=INDIRECT("'"&amp;$A77&amp;"'!$B$1"),IF(VLOOKUP(AI$1,INDIRECT("'"&amp;$A77&amp;"'!$A$12:$Z$41"),MATCH("Points (Auto-generate)",INDIRECT("'"&amp;$A77&amp;"'!$A$12:$Z$12"),0),0)="","?",VLOOKUP(AI$1,INDIRECT("'"&amp;$A77&amp;"'!$A$12:$Z$41"),MATCH("Points (Auto-generate)",INDIRECT("'"&amp;$A77&amp;"'!$A$12:$Z$12"),0),0)),"ER"))</f>
        <v>?</v>
      </c>
      <c r="AJ77" s="87" t="str">
        <f aca="true">IF($H77=0,"NA",IF($A77=INDIRECT("'"&amp;$A77&amp;"'!$B$1"),IF(VLOOKUP(AJ$1,INDIRECT("'"&amp;$A77&amp;"'!$A$12:$Z$41"),MATCH("Points (Auto-generate)",INDIRECT("'"&amp;$A77&amp;"'!$A$12:$Z$12"),0),0)="","?",VLOOKUP(AJ$1,INDIRECT("'"&amp;$A77&amp;"'!$A$12:$Z$41"),MATCH("Points (Auto-generate)",INDIRECT("'"&amp;$A77&amp;"'!$A$12:$Z$12"),0),0)),"ER"))</f>
        <v>?</v>
      </c>
      <c r="AK77" s="87" t="str">
        <f aca="true">IF($H77=0,"NA",IF($A77=INDIRECT("'"&amp;$A77&amp;"'!$B$1"),IF(VLOOKUP(AK$1,INDIRECT("'"&amp;$A77&amp;"'!$A$12:$Z$41"),MATCH("Points (Auto-generate)",INDIRECT("'"&amp;$A77&amp;"'!$A$12:$Z$12"),0),0)="","?",VLOOKUP(AK$1,INDIRECT("'"&amp;$A77&amp;"'!$A$12:$Z$41"),MATCH("Points (Auto-generate)",INDIRECT("'"&amp;$A77&amp;"'!$A$12:$Z$12"),0),0)),"ER"))</f>
        <v>?</v>
      </c>
    </row>
    <row r="78" customFormat="false" ht="14.25" hidden="false" customHeight="true" outlineLevel="0" collapsed="false">
      <c r="A78" s="83" t="s">
        <v>423</v>
      </c>
      <c r="B78" s="84" t="str">
        <f aca="false">IF(ISBLANK($A78),"NO_CODE",VLOOKUP($A78,'UPD Questions_290926 '!$E$1:$N$300,MATCH(B$1,'UPD Questions_290926 '!$E$1:$N$1,0),0)&amp;"")</f>
        <v>Implementation</v>
      </c>
      <c r="C78" s="84" t="str">
        <f aca="false">IF(ISBLANK($A78),"NO_CODE",VLOOKUP($A78,'UPD Questions_290926 '!$E$1:$N$300,MATCH(C$1,'UPD Questions_290926 '!$E$1:$N$1,0),0)&amp;"")</f>
        <v>Specialised institutional capacity</v>
      </c>
      <c r="D78" s="84" t="str">
        <f aca="false">IF(ISBLANK($A78),"NO_CODE",VLOOKUP($A78,'UPD Questions_290926 '!$E$1:$N$300,MATCH(D$1,'UPD Questions_290926 '!$E$1:$N$1,0),0)&amp;"")</f>
        <v>Specialised institutional capacity</v>
      </c>
      <c r="E78" s="84" t="str">
        <f aca="false">IF(ISBLANK($A78),"NO_CODE",VLOOKUP($A78,'UPD Questions_290926 '!$E$1:$N$300,MATCH(E$1,'UPD Questions_290926 '!$E$1:$N$1,0),0)&amp;"")</f>
        <v>SQ</v>
      </c>
      <c r="F78" s="84" t="str">
        <f aca="false">IF(ISBLANK($A78),"NO_CODE",VLOOKUP($A78,'UPD Questions_290926 '!$E$1:$N$300,MATCH(F$1,'UPD Questions_290926 '!$E$1:$N$1,0),0)&amp;"")</f>
        <v>What proportion of the city's professional town-planning workforce is women?</v>
      </c>
      <c r="G78" s="84" t="str">
        <f aca="false">IF(ISBLANK($A78),"NO_CODE",VLOOKUP($A78,'UPD Questions_290926 '!$E$1:$N$300,MATCH(G$1,'UPD Questions_290926 '!$E$1:$N$1,0),0)&amp;"")</f>
        <v>Implementation</v>
      </c>
      <c r="H78" s="86" t="n">
        <f aca="false">IF(ISBLANK($A78),"NO_CODE",VLOOKUP($A78,'UPD Questions_290926 '!$E$1:$N$300,MATCH(H$1,'UPD Questions_290926 '!$E$1:$N$1,0),0))</f>
        <v>5</v>
      </c>
      <c r="I78" s="87" t="str">
        <f aca="true">IF($H78=0,"NA",IF($A78=INDIRECT("'"&amp;$A78&amp;"'!$B$1"),IF(VLOOKUP(I$1,INDIRECT("'"&amp;$A78&amp;"'!$A$12:$Z$41"),MATCH("Points (Auto-generate)",INDIRECT("'"&amp;$A78&amp;"'!$A$12:$Z$12"),0),0)="","?",VLOOKUP(I$1,INDIRECT("'"&amp;$A78&amp;"'!$A$12:$Z$41"),MATCH("Points (Auto-generate)",INDIRECT("'"&amp;$A78&amp;"'!$A$12:$Z$12"),0),0)),"ER"))</f>
        <v>?</v>
      </c>
      <c r="J78" s="87" t="str">
        <f aca="true">IF($H78=0,"NA",IF($A78=INDIRECT("'"&amp;$A78&amp;"'!$B$1"),IF(VLOOKUP(J$1,INDIRECT("'"&amp;$A78&amp;"'!$A$12:$Z$41"),MATCH("Points (Auto-generate)",INDIRECT("'"&amp;$A78&amp;"'!$A$12:$Z$12"),0),0)="","?",VLOOKUP(J$1,INDIRECT("'"&amp;$A78&amp;"'!$A$12:$Z$41"),MATCH("Points (Auto-generate)",INDIRECT("'"&amp;$A78&amp;"'!$A$12:$Z$12"),0),0)),"ER"))</f>
        <v>?</v>
      </c>
      <c r="K78" s="87" t="str">
        <f aca="true">IF($H78=0,"NA",IF($A78=INDIRECT("'"&amp;$A78&amp;"'!$B$1"),IF(VLOOKUP(K$1,INDIRECT("'"&amp;$A78&amp;"'!$A$12:$Z$41"),MATCH("Points (Auto-generate)",INDIRECT("'"&amp;$A78&amp;"'!$A$12:$Z$12"),0),0)="","?",VLOOKUP(K$1,INDIRECT("'"&amp;$A78&amp;"'!$A$12:$Z$41"),MATCH("Points (Auto-generate)",INDIRECT("'"&amp;$A78&amp;"'!$A$12:$Z$12"),0),0)),"ER"))</f>
        <v>?</v>
      </c>
      <c r="L78" s="87" t="str">
        <f aca="true">IF($H78=0,"NA",IF($A78=INDIRECT("'"&amp;$A78&amp;"'!$B$1"),IF(VLOOKUP(L$1,INDIRECT("'"&amp;$A78&amp;"'!$A$12:$Z$41"),MATCH("Points (Auto-generate)",INDIRECT("'"&amp;$A78&amp;"'!$A$12:$Z$12"),0),0)="","?",VLOOKUP(L$1,INDIRECT("'"&amp;$A78&amp;"'!$A$12:$Z$41"),MATCH("Points (Auto-generate)",INDIRECT("'"&amp;$A78&amp;"'!$A$12:$Z$12"),0),0)),"ER"))</f>
        <v>?</v>
      </c>
      <c r="M78" s="87" t="str">
        <f aca="true">IF($H78=0,"NA",IF($A78=INDIRECT("'"&amp;$A78&amp;"'!$B$1"),IF(VLOOKUP(M$1,INDIRECT("'"&amp;$A78&amp;"'!$A$12:$Z$41"),MATCH("Points (Auto-generate)",INDIRECT("'"&amp;$A78&amp;"'!$A$12:$Z$12"),0),0)="","?",VLOOKUP(M$1,INDIRECT("'"&amp;$A78&amp;"'!$A$12:$Z$41"),MATCH("Points (Auto-generate)",INDIRECT("'"&amp;$A78&amp;"'!$A$12:$Z$12"),0),0)),"ER"))</f>
        <v>?</v>
      </c>
      <c r="N78" s="87" t="str">
        <f aca="true">IF($H78=0,"NA",IF($A78=INDIRECT("'"&amp;$A78&amp;"'!$B$1"),IF(VLOOKUP(N$1,INDIRECT("'"&amp;$A78&amp;"'!$A$12:$Z$41"),MATCH("Points (Auto-generate)",INDIRECT("'"&amp;$A78&amp;"'!$A$12:$Z$12"),0),0)="","?",VLOOKUP(N$1,INDIRECT("'"&amp;$A78&amp;"'!$A$12:$Z$41"),MATCH("Points (Auto-generate)",INDIRECT("'"&amp;$A78&amp;"'!$A$12:$Z$12"),0),0)),"ER"))</f>
        <v>?</v>
      </c>
      <c r="O78" s="87" t="str">
        <f aca="true">IF($H78=0,"NA",IF($A78=INDIRECT("'"&amp;$A78&amp;"'!$B$1"),IF(VLOOKUP(O$1,INDIRECT("'"&amp;$A78&amp;"'!$A$12:$Z$41"),MATCH("Points (Auto-generate)",INDIRECT("'"&amp;$A78&amp;"'!$A$12:$Z$12"),0),0)="","?",VLOOKUP(O$1,INDIRECT("'"&amp;$A78&amp;"'!$A$12:$Z$41"),MATCH("Points (Auto-generate)",INDIRECT("'"&amp;$A78&amp;"'!$A$12:$Z$12"),0),0)),"ER"))</f>
        <v>?</v>
      </c>
      <c r="P78" s="87" t="str">
        <f aca="true">IF($H78=0,"NA",IF($A78=INDIRECT("'"&amp;$A78&amp;"'!$B$1"),IF(VLOOKUP(P$1,INDIRECT("'"&amp;$A78&amp;"'!$A$12:$Z$41"),MATCH("Points (Auto-generate)",INDIRECT("'"&amp;$A78&amp;"'!$A$12:$Z$12"),0),0)="","?",VLOOKUP(P$1,INDIRECT("'"&amp;$A78&amp;"'!$A$12:$Z$41"),MATCH("Points (Auto-generate)",INDIRECT("'"&amp;$A78&amp;"'!$A$12:$Z$12"),0),0)),"ER"))</f>
        <v>?</v>
      </c>
      <c r="Q78" s="87" t="str">
        <f aca="true">IF($H78=0,"NA",IF($A78=INDIRECT("'"&amp;$A78&amp;"'!$B$1"),IF(VLOOKUP(Q$1,INDIRECT("'"&amp;$A78&amp;"'!$A$12:$Z$41"),MATCH("Points (Auto-generate)",INDIRECT("'"&amp;$A78&amp;"'!$A$12:$Z$12"),0),0)="","?",VLOOKUP(Q$1,INDIRECT("'"&amp;$A78&amp;"'!$A$12:$Z$41"),MATCH("Points (Auto-generate)",INDIRECT("'"&amp;$A78&amp;"'!$A$12:$Z$12"),0),0)),"ER"))</f>
        <v>?</v>
      </c>
      <c r="R78" s="87" t="str">
        <f aca="true">IF($H78=0,"NA",IF($A78=INDIRECT("'"&amp;$A78&amp;"'!$B$1"),IF(VLOOKUP(R$1,INDIRECT("'"&amp;$A78&amp;"'!$A$12:$Z$41"),MATCH("Points (Auto-generate)",INDIRECT("'"&amp;$A78&amp;"'!$A$12:$Z$12"),0),0)="","?",VLOOKUP(R$1,INDIRECT("'"&amp;$A78&amp;"'!$A$12:$Z$41"),MATCH("Points (Auto-generate)",INDIRECT("'"&amp;$A78&amp;"'!$A$12:$Z$12"),0),0)),"ER"))</f>
        <v>?</v>
      </c>
      <c r="S78" s="87" t="str">
        <f aca="true">IF($H78=0,"NA",IF($A78=INDIRECT("'"&amp;$A78&amp;"'!$B$1"),IF(VLOOKUP(S$1,INDIRECT("'"&amp;$A78&amp;"'!$A$12:$Z$41"),MATCH("Points (Auto-generate)",INDIRECT("'"&amp;$A78&amp;"'!$A$12:$Z$12"),0),0)="","?",VLOOKUP(S$1,INDIRECT("'"&amp;$A78&amp;"'!$A$12:$Z$41"),MATCH("Points (Auto-generate)",INDIRECT("'"&amp;$A78&amp;"'!$A$12:$Z$12"),0),0)),"ER"))</f>
        <v>?</v>
      </c>
      <c r="T78" s="87" t="str">
        <f aca="true">IF($H78=0,"NA",IF($A78=INDIRECT("'"&amp;$A78&amp;"'!$B$1"),IF(VLOOKUP(T$1,INDIRECT("'"&amp;$A78&amp;"'!$A$12:$Z$41"),MATCH("Points (Auto-generate)",INDIRECT("'"&amp;$A78&amp;"'!$A$12:$Z$12"),0),0)="","?",VLOOKUP(T$1,INDIRECT("'"&amp;$A78&amp;"'!$A$12:$Z$41"),MATCH("Points (Auto-generate)",INDIRECT("'"&amp;$A78&amp;"'!$A$12:$Z$12"),0),0)),"ER"))</f>
        <v>?</v>
      </c>
      <c r="U78" s="87" t="str">
        <f aca="true">IF($H78=0,"NA",IF($A78=INDIRECT("'"&amp;$A78&amp;"'!$B$1"),IF(VLOOKUP(U$1,INDIRECT("'"&amp;$A78&amp;"'!$A$12:$Z$41"),MATCH("Points (Auto-generate)",INDIRECT("'"&amp;$A78&amp;"'!$A$12:$Z$12"),0),0)="","?",VLOOKUP(U$1,INDIRECT("'"&amp;$A78&amp;"'!$A$12:$Z$41"),MATCH("Points (Auto-generate)",INDIRECT("'"&amp;$A78&amp;"'!$A$12:$Z$12"),0),0)),"ER"))</f>
        <v>?</v>
      </c>
      <c r="V78" s="87" t="str">
        <f aca="true">IF($H78=0,"NA",IF($A78=INDIRECT("'"&amp;$A78&amp;"'!$B$1"),IF(VLOOKUP(V$1,INDIRECT("'"&amp;$A78&amp;"'!$A$12:$Z$41"),MATCH("Points (Auto-generate)",INDIRECT("'"&amp;$A78&amp;"'!$A$12:$Z$12"),0),0)="","?",VLOOKUP(V$1,INDIRECT("'"&amp;$A78&amp;"'!$A$12:$Z$41"),MATCH("Points (Auto-generate)",INDIRECT("'"&amp;$A78&amp;"'!$A$12:$Z$12"),0),0)),"ER"))</f>
        <v>?</v>
      </c>
      <c r="W78" s="87" t="str">
        <f aca="true">IF($H78=0,"NA",IF($A78=INDIRECT("'"&amp;$A78&amp;"'!$B$1"),IF(VLOOKUP(W$1,INDIRECT("'"&amp;$A78&amp;"'!$A$12:$Z$41"),MATCH("Points (Auto-generate)",INDIRECT("'"&amp;$A78&amp;"'!$A$12:$Z$12"),0),0)="","?",VLOOKUP(W$1,INDIRECT("'"&amp;$A78&amp;"'!$A$12:$Z$41"),MATCH("Points (Auto-generate)",INDIRECT("'"&amp;$A78&amp;"'!$A$12:$Z$12"),0),0)),"ER"))</f>
        <v>?</v>
      </c>
      <c r="X78" s="87" t="str">
        <f aca="true">IF($H78=0,"NA",IF($A78=INDIRECT("'"&amp;$A78&amp;"'!$B$1"),IF(VLOOKUP(X$1,INDIRECT("'"&amp;$A78&amp;"'!$A$12:$Z$41"),MATCH("Points (Auto-generate)",INDIRECT("'"&amp;$A78&amp;"'!$A$12:$Z$12"),0),0)="","?",VLOOKUP(X$1,INDIRECT("'"&amp;$A78&amp;"'!$A$12:$Z$41"),MATCH("Points (Auto-generate)",INDIRECT("'"&amp;$A78&amp;"'!$A$12:$Z$12"),0),0)),"ER"))</f>
        <v>?</v>
      </c>
      <c r="Y78" s="87" t="str">
        <f aca="true">IF($H78=0,"NA",IF($A78=INDIRECT("'"&amp;$A78&amp;"'!$B$1"),IF(VLOOKUP(Y$1,INDIRECT("'"&amp;$A78&amp;"'!$A$12:$Z$41"),MATCH("Points (Auto-generate)",INDIRECT("'"&amp;$A78&amp;"'!$A$12:$Z$12"),0),0)="","?",VLOOKUP(Y$1,INDIRECT("'"&amp;$A78&amp;"'!$A$12:$Z$41"),MATCH("Points (Auto-generate)",INDIRECT("'"&amp;$A78&amp;"'!$A$12:$Z$12"),0),0)),"ER"))</f>
        <v>?</v>
      </c>
      <c r="Z78" s="87" t="str">
        <f aca="true">IF($H78=0,"NA",IF($A78=INDIRECT("'"&amp;$A78&amp;"'!$B$1"),IF(VLOOKUP(Z$1,INDIRECT("'"&amp;$A78&amp;"'!$A$12:$Z$41"),MATCH("Points (Auto-generate)",INDIRECT("'"&amp;$A78&amp;"'!$A$12:$Z$12"),0),0)="","?",VLOOKUP(Z$1,INDIRECT("'"&amp;$A78&amp;"'!$A$12:$Z$41"),MATCH("Points (Auto-generate)",INDIRECT("'"&amp;$A78&amp;"'!$A$12:$Z$12"),0),0)),"ER"))</f>
        <v>?</v>
      </c>
      <c r="AA78" s="87" t="str">
        <f aca="true">IF($H78=0,"NA",IF($A78=INDIRECT("'"&amp;$A78&amp;"'!$B$1"),IF(VLOOKUP(AA$1,INDIRECT("'"&amp;$A78&amp;"'!$A$12:$Z$41"),MATCH("Points (Auto-generate)",INDIRECT("'"&amp;$A78&amp;"'!$A$12:$Z$12"),0),0)="","?",VLOOKUP(AA$1,INDIRECT("'"&amp;$A78&amp;"'!$A$12:$Z$41"),MATCH("Points (Auto-generate)",INDIRECT("'"&amp;$A78&amp;"'!$A$12:$Z$12"),0),0)),"ER"))</f>
        <v>?</v>
      </c>
      <c r="AB78" s="87" t="str">
        <f aca="true">IF($H78=0,"NA",IF($A78=INDIRECT("'"&amp;$A78&amp;"'!$B$1"),IF(VLOOKUP(AB$1,INDIRECT("'"&amp;$A78&amp;"'!$A$12:$Z$41"),MATCH("Points (Auto-generate)",INDIRECT("'"&amp;$A78&amp;"'!$A$12:$Z$12"),0),0)="","?",VLOOKUP(AB$1,INDIRECT("'"&amp;$A78&amp;"'!$A$12:$Z$41"),MATCH("Points (Auto-generate)",INDIRECT("'"&amp;$A78&amp;"'!$A$12:$Z$12"),0),0)),"ER"))</f>
        <v>?</v>
      </c>
      <c r="AC78" s="87" t="str">
        <f aca="true">IF($H78=0,"NA",IF($A78=INDIRECT("'"&amp;$A78&amp;"'!$B$1"),IF(VLOOKUP(AC$1,INDIRECT("'"&amp;$A78&amp;"'!$A$12:$Z$41"),MATCH("Points (Auto-generate)",INDIRECT("'"&amp;$A78&amp;"'!$A$12:$Z$12"),0),0)="","?",VLOOKUP(AC$1,INDIRECT("'"&amp;$A78&amp;"'!$A$12:$Z$41"),MATCH("Points (Auto-generate)",INDIRECT("'"&amp;$A78&amp;"'!$A$12:$Z$12"),0),0)),"ER"))</f>
        <v>?</v>
      </c>
      <c r="AD78" s="87" t="str">
        <f aca="true">IF($H78=0,"NA",IF($A78=INDIRECT("'"&amp;$A78&amp;"'!$B$1"),IF(VLOOKUP(AD$1,INDIRECT("'"&amp;$A78&amp;"'!$A$12:$Z$41"),MATCH("Points (Auto-generate)",INDIRECT("'"&amp;$A78&amp;"'!$A$12:$Z$12"),0),0)="","?",VLOOKUP(AD$1,INDIRECT("'"&amp;$A78&amp;"'!$A$12:$Z$41"),MATCH("Points (Auto-generate)",INDIRECT("'"&amp;$A78&amp;"'!$A$12:$Z$12"),0),0)),"ER"))</f>
        <v>?</v>
      </c>
      <c r="AE78" s="87" t="str">
        <f aca="true">IF($H78=0,"NA",IF($A78=INDIRECT("'"&amp;$A78&amp;"'!$B$1"),IF(VLOOKUP(AE$1,INDIRECT("'"&amp;$A78&amp;"'!$A$12:$Z$41"),MATCH("Points (Auto-generate)",INDIRECT("'"&amp;$A78&amp;"'!$A$12:$Z$12"),0),0)="","?",VLOOKUP(AE$1,INDIRECT("'"&amp;$A78&amp;"'!$A$12:$Z$41"),MATCH("Points (Auto-generate)",INDIRECT("'"&amp;$A78&amp;"'!$A$12:$Z$12"),0),0)),"ER"))</f>
        <v>?</v>
      </c>
      <c r="AF78" s="87" t="str">
        <f aca="true">IF($H78=0,"NA",IF($A78=INDIRECT("'"&amp;$A78&amp;"'!$B$1"),IF(VLOOKUP(AF$1,INDIRECT("'"&amp;$A78&amp;"'!$A$12:$Z$41"),MATCH("Points (Auto-generate)",INDIRECT("'"&amp;$A78&amp;"'!$A$12:$Z$12"),0),0)="","?",VLOOKUP(AF$1,INDIRECT("'"&amp;$A78&amp;"'!$A$12:$Z$41"),MATCH("Points (Auto-generate)",INDIRECT("'"&amp;$A78&amp;"'!$A$12:$Z$12"),0),0)),"ER"))</f>
        <v>?</v>
      </c>
      <c r="AG78" s="87" t="str">
        <f aca="true">IF($H78=0,"NA",IF($A78=INDIRECT("'"&amp;$A78&amp;"'!$B$1"),IF(VLOOKUP(AG$1,INDIRECT("'"&amp;$A78&amp;"'!$A$12:$Z$41"),MATCH("Points (Auto-generate)",INDIRECT("'"&amp;$A78&amp;"'!$A$12:$Z$12"),0),0)="","?",VLOOKUP(AG$1,INDIRECT("'"&amp;$A78&amp;"'!$A$12:$Z$41"),MATCH("Points (Auto-generate)",INDIRECT("'"&amp;$A78&amp;"'!$A$12:$Z$12"),0),0)),"ER"))</f>
        <v>?</v>
      </c>
      <c r="AH78" s="87" t="str">
        <f aca="true">IF($H78=0,"NA",IF($A78=INDIRECT("'"&amp;$A78&amp;"'!$B$1"),IF(VLOOKUP(AH$1,INDIRECT("'"&amp;$A78&amp;"'!$A$12:$Z$41"),MATCH("Points (Auto-generate)",INDIRECT("'"&amp;$A78&amp;"'!$A$12:$Z$12"),0),0)="","?",VLOOKUP(AH$1,INDIRECT("'"&amp;$A78&amp;"'!$A$12:$Z$41"),MATCH("Points (Auto-generate)",INDIRECT("'"&amp;$A78&amp;"'!$A$12:$Z$12"),0),0)),"ER"))</f>
        <v>?</v>
      </c>
      <c r="AI78" s="87" t="str">
        <f aca="true">IF($H78=0,"NA",IF($A78=INDIRECT("'"&amp;$A78&amp;"'!$B$1"),IF(VLOOKUP(AI$1,INDIRECT("'"&amp;$A78&amp;"'!$A$12:$Z$41"),MATCH("Points (Auto-generate)",INDIRECT("'"&amp;$A78&amp;"'!$A$12:$Z$12"),0),0)="","?",VLOOKUP(AI$1,INDIRECT("'"&amp;$A78&amp;"'!$A$12:$Z$41"),MATCH("Points (Auto-generate)",INDIRECT("'"&amp;$A78&amp;"'!$A$12:$Z$12"),0),0)),"ER"))</f>
        <v>?</v>
      </c>
      <c r="AJ78" s="87" t="str">
        <f aca="true">IF($H78=0,"NA",IF($A78=INDIRECT("'"&amp;$A78&amp;"'!$B$1"),IF(VLOOKUP(AJ$1,INDIRECT("'"&amp;$A78&amp;"'!$A$12:$Z$41"),MATCH("Points (Auto-generate)",INDIRECT("'"&amp;$A78&amp;"'!$A$12:$Z$12"),0),0)="","?",VLOOKUP(AJ$1,INDIRECT("'"&amp;$A78&amp;"'!$A$12:$Z$41"),MATCH("Points (Auto-generate)",INDIRECT("'"&amp;$A78&amp;"'!$A$12:$Z$12"),0),0)),"ER"))</f>
        <v>?</v>
      </c>
      <c r="AK78" s="87" t="str">
        <f aca="true">IF($H78=0,"NA",IF($A78=INDIRECT("'"&amp;$A78&amp;"'!$B$1"),IF(VLOOKUP(AK$1,INDIRECT("'"&amp;$A78&amp;"'!$A$12:$Z$41"),MATCH("Points (Auto-generate)",INDIRECT("'"&amp;$A78&amp;"'!$A$12:$Z$12"),0),0)="","?",VLOOKUP(AK$1,INDIRECT("'"&amp;$A78&amp;"'!$A$12:$Z$41"),MATCH("Points (Auto-generate)",INDIRECT("'"&amp;$A78&amp;"'!$A$12:$Z$12"),0),0)),"ER"))</f>
        <v>?</v>
      </c>
    </row>
    <row r="79" customFormat="false" ht="14.25" hidden="false" customHeight="true" outlineLevel="0" collapsed="false">
      <c r="A79" s="83" t="s">
        <v>776</v>
      </c>
      <c r="B79" s="84" t="str">
        <f aca="false">IF(ISBLANK($A79),"NO_CODE",VLOOKUP($A79,'UPD Questions_290926 '!$E$1:$N$300,MATCH(B$1,'UPD Questions_290926 '!$E$1:$N$1,0),0)&amp;"")</f>
        <v>Implementation</v>
      </c>
      <c r="C79" s="84" t="str">
        <f aca="false">IF(ISBLANK($A79),"NO_CODE",VLOOKUP($A79,'UPD Questions_290926 '!$E$1:$N$300,MATCH(C$1,'UPD Questions_290926 '!$E$1:$N$1,0),0)&amp;"")</f>
        <v>Specialised institutional capacity</v>
      </c>
      <c r="D79" s="84" t="str">
        <f aca="false">IF(ISBLANK($A79),"NO_CODE",VLOOKUP($A79,'UPD Questions_290926 '!$E$1:$N$300,MATCH(D$1,'UPD Questions_290926 '!$E$1:$N$1,0),0)&amp;"")</f>
        <v>Specialised institutional capacity</v>
      </c>
      <c r="E79" s="84" t="str">
        <f aca="false">IF(ISBLANK($A79),"NO_CODE",VLOOKUP($A79,'UPD Questions_290926 '!$E$1:$N$300,MATCH(E$1,'UPD Questions_290926 '!$E$1:$N$1,0),0)&amp;"")</f>
        <v>MQ</v>
      </c>
      <c r="F79" s="84" t="str">
        <f aca="false">IF(ISBLANK($A79),"NO_CODE",VLOOKUP($A79,'UPD Questions_290926 '!$E$1:$N$300,MATCH(F$1,'UPD Questions_290926 '!$E$1:$N$1,0),0)&amp;"")</f>
        <v>Does the city have dedicated institutional cells/units for specialised functions?</v>
      </c>
      <c r="G79" s="84" t="str">
        <f aca="false">IF(ISBLANK($A79),"NO_CODE",VLOOKUP($A79,'UPD Questions_290926 '!$E$1:$N$300,MATCH(G$1,'UPD Questions_290926 '!$E$1:$N$1,0),0)&amp;"")</f>
        <v>Implementation</v>
      </c>
      <c r="H79" s="86" t="n">
        <f aca="false">IF(ISBLANK($A79),"NO_CODE",VLOOKUP($A79,'UPD Questions_290926 '!$E$1:$N$300,MATCH(H$1,'UPD Questions_290926 '!$E$1:$N$1,0),0))</f>
        <v>10</v>
      </c>
      <c r="I79" s="87" t="str">
        <f aca="false">IF(OR(I80="ER",I81="ER",I82="ER",I83="ER"),"ER",IF(OR(I80="?",I81="?",I82="?",I83="?"),"?",IF(AND(I80="NA",I81="NA",I82="NA",I83="NA"),"NA",SUM(I80,I81,I82,I83)/((I80&lt;&gt;"NA")*$H$80+(I81&lt;&gt;"NA")*$H$81+(I82&lt;&gt;"NA")*$H$82+(I83&lt;&gt;"NA")*$H$83)*$H79)))</f>
        <v>?</v>
      </c>
      <c r="J79" s="87" t="str">
        <f aca="false">IF(OR(J80="ER",J81="ER",J82="ER",J83="ER"),"ER",IF(OR(J80="?",J81="?",J82="?",J83="?"),"?",IF(AND(J80="NA",J81="NA",J82="NA",J83="NA"),"NA",SUM(J80,J81,J82,J83)/((J80&lt;&gt;"NA")*$H$80+(J81&lt;&gt;"NA")*$H$81+(J82&lt;&gt;"NA")*$H$82+(J83&lt;&gt;"NA")*$H$83)*$H79)))</f>
        <v>?</v>
      </c>
      <c r="K79" s="87" t="str">
        <f aca="false">IF(OR(K80="ER",K81="ER",K82="ER",K83="ER"),"ER",IF(OR(K80="?",K81="?",K82="?",K83="?"),"?",IF(AND(K80="NA",K81="NA",K82="NA",K83="NA"),"NA",SUM(K80,K81,K82,K83)/((K80&lt;&gt;"NA")*$H$80+(K81&lt;&gt;"NA")*$H$81+(K82&lt;&gt;"NA")*$H$82+(K83&lt;&gt;"NA")*$H$83)*$H79)))</f>
        <v>?</v>
      </c>
      <c r="L79" s="87" t="str">
        <f aca="false">IF(OR(L80="ER",L81="ER",L82="ER",L83="ER"),"ER",IF(OR(L80="?",L81="?",L82="?",L83="?"),"?",IF(AND(L80="NA",L81="NA",L82="NA",L83="NA"),"NA",SUM(L80,L81,L82,L83)/((L80&lt;&gt;"NA")*$H$80+(L81&lt;&gt;"NA")*$H$81+(L82&lt;&gt;"NA")*$H$82+(L83&lt;&gt;"NA")*$H$83)*$H79)))</f>
        <v>?</v>
      </c>
      <c r="M79" s="87" t="str">
        <f aca="false">IF(OR(M80="ER",M81="ER",M82="ER",M83="ER"),"ER",IF(OR(M80="?",M81="?",M82="?",M83="?"),"?",IF(AND(M80="NA",M81="NA",M82="NA",M83="NA"),"NA",SUM(M80,M81,M82,M83)/((M80&lt;&gt;"NA")*$H$80+(M81&lt;&gt;"NA")*$H$81+(M82&lt;&gt;"NA")*$H$82+(M83&lt;&gt;"NA")*$H$83)*$H79)))</f>
        <v>?</v>
      </c>
      <c r="N79" s="87" t="str">
        <f aca="false">IF(OR(N80="ER",N81="ER",N82="ER",N83="ER"),"ER",IF(OR(N80="?",N81="?",N82="?",N83="?"),"?",IF(AND(N80="NA",N81="NA",N82="NA",N83="NA"),"NA",SUM(N80,N81,N82,N83)/((N80&lt;&gt;"NA")*$H$80+(N81&lt;&gt;"NA")*$H$81+(N82&lt;&gt;"NA")*$H$82+(N83&lt;&gt;"NA")*$H$83)*$H79)))</f>
        <v>?</v>
      </c>
      <c r="O79" s="87" t="str">
        <f aca="false">IF(OR(O80="ER",O81="ER",O82="ER",O83="ER"),"ER",IF(OR(O80="?",O81="?",O82="?",O83="?"),"?",IF(AND(O80="NA",O81="NA",O82="NA",O83="NA"),"NA",SUM(O80,O81,O82,O83)/((O80&lt;&gt;"NA")*$H$80+(O81&lt;&gt;"NA")*$H$81+(O82&lt;&gt;"NA")*$H$82+(O83&lt;&gt;"NA")*$H$83)*$H79)))</f>
        <v>?</v>
      </c>
      <c r="P79" s="87" t="str">
        <f aca="false">IF(OR(P80="ER",P81="ER",P82="ER",P83="ER"),"ER",IF(OR(P80="?",P81="?",P82="?",P83="?"),"?",IF(AND(P80="NA",P81="NA",P82="NA",P83="NA"),"NA",SUM(P80,P81,P82,P83)/((P80&lt;&gt;"NA")*$H$80+(P81&lt;&gt;"NA")*$H$81+(P82&lt;&gt;"NA")*$H$82+(P83&lt;&gt;"NA")*$H$83)*$H79)))</f>
        <v>?</v>
      </c>
      <c r="Q79" s="87" t="str">
        <f aca="false">IF(OR(Q80="ER",Q81="ER",Q82="ER",Q83="ER"),"ER",IF(OR(Q80="?",Q81="?",Q82="?",Q83="?"),"?",IF(AND(Q80="NA",Q81="NA",Q82="NA",Q83="NA"),"NA",SUM(Q80,Q81,Q82,Q83)/((Q80&lt;&gt;"NA")*$H$80+(Q81&lt;&gt;"NA")*$H$81+(Q82&lt;&gt;"NA")*$H$82+(Q83&lt;&gt;"NA")*$H$83)*$H79)))</f>
        <v>?</v>
      </c>
      <c r="R79" s="87" t="str">
        <f aca="false">IF(OR(R80="ER",R81="ER",R82="ER",R83="ER"),"ER",IF(OR(R80="?",R81="?",R82="?",R83="?"),"?",IF(AND(R80="NA",R81="NA",R82="NA",R83="NA"),"NA",SUM(R80,R81,R82,R83)/((R80&lt;&gt;"NA")*$H$80+(R81&lt;&gt;"NA")*$H$81+(R82&lt;&gt;"NA")*$H$82+(R83&lt;&gt;"NA")*$H$83)*$H79)))</f>
        <v>?</v>
      </c>
      <c r="S79" s="87" t="str">
        <f aca="false">IF(OR(S80="ER",S81="ER",S82="ER",S83="ER"),"ER",IF(OR(S80="?",S81="?",S82="?",S83="?"),"?",IF(AND(S80="NA",S81="NA",S82="NA",S83="NA"),"NA",SUM(S80,S81,S82,S83)/((S80&lt;&gt;"NA")*$H$80+(S81&lt;&gt;"NA")*$H$81+(S82&lt;&gt;"NA")*$H$82+(S83&lt;&gt;"NA")*$H$83)*$H79)))</f>
        <v>?</v>
      </c>
      <c r="T79" s="87" t="str">
        <f aca="false">IF(OR(T80="ER",T81="ER",T82="ER",T83="ER"),"ER",IF(OR(T80="?",T81="?",T82="?",T83="?"),"?",IF(AND(T80="NA",T81="NA",T82="NA",T83="NA"),"NA",SUM(T80,T81,T82,T83)/((T80&lt;&gt;"NA")*$H$80+(T81&lt;&gt;"NA")*$H$81+(T82&lt;&gt;"NA")*$H$82+(T83&lt;&gt;"NA")*$H$83)*$H79)))</f>
        <v>?</v>
      </c>
      <c r="U79" s="87" t="str">
        <f aca="false">IF(OR(U80="ER",U81="ER",U82="ER",U83="ER"),"ER",IF(OR(U80="?",U81="?",U82="?",U83="?"),"?",IF(AND(U80="NA",U81="NA",U82="NA",U83="NA"),"NA",SUM(U80,U81,U82,U83)/((U80&lt;&gt;"NA")*$H$80+(U81&lt;&gt;"NA")*$H$81+(U82&lt;&gt;"NA")*$H$82+(U83&lt;&gt;"NA")*$H$83)*$H79)))</f>
        <v>?</v>
      </c>
      <c r="V79" s="87" t="str">
        <f aca="false">IF(OR(V80="ER",V81="ER",V82="ER",V83="ER"),"ER",IF(OR(V80="?",V81="?",V82="?",V83="?"),"?",IF(AND(V80="NA",V81="NA",V82="NA",V83="NA"),"NA",SUM(V80,V81,V82,V83)/((V80&lt;&gt;"NA")*$H$80+(V81&lt;&gt;"NA")*$H$81+(V82&lt;&gt;"NA")*$H$82+(V83&lt;&gt;"NA")*$H$83)*$H79)))</f>
        <v>?</v>
      </c>
      <c r="W79" s="87" t="str">
        <f aca="false">IF(OR(W80="ER",W81="ER",W82="ER",W83="ER"),"ER",IF(OR(W80="?",W81="?",W82="?",W83="?"),"?",IF(AND(W80="NA",W81="NA",W82="NA",W83="NA"),"NA",SUM(W80,W81,W82,W83)/((W80&lt;&gt;"NA")*$H$80+(W81&lt;&gt;"NA")*$H$81+(W82&lt;&gt;"NA")*$H$82+(W83&lt;&gt;"NA")*$H$83)*$H79)))</f>
        <v>?</v>
      </c>
      <c r="X79" s="87" t="str">
        <f aca="false">IF(OR(X80="ER",X81="ER",X82="ER",X83="ER"),"ER",IF(OR(X80="?",X81="?",X82="?",X83="?"),"?",IF(AND(X80="NA",X81="NA",X82="NA",X83="NA"),"NA",SUM(X80,X81,X82,X83)/((X80&lt;&gt;"NA")*$H$80+(X81&lt;&gt;"NA")*$H$81+(X82&lt;&gt;"NA")*$H$82+(X83&lt;&gt;"NA")*$H$83)*$H79)))</f>
        <v>?</v>
      </c>
      <c r="Y79" s="87" t="str">
        <f aca="false">IF(OR(Y80="ER",Y81="ER",Y82="ER",Y83="ER"),"ER",IF(OR(Y80="?",Y81="?",Y82="?",Y83="?"),"?",IF(AND(Y80="NA",Y81="NA",Y82="NA",Y83="NA"),"NA",SUM(Y80,Y81,Y82,Y83)/((Y80&lt;&gt;"NA")*$H$80+(Y81&lt;&gt;"NA")*$H$81+(Y82&lt;&gt;"NA")*$H$82+(Y83&lt;&gt;"NA")*$H$83)*$H79)))</f>
        <v>?</v>
      </c>
      <c r="Z79" s="87" t="str">
        <f aca="false">IF(OR(Z80="ER",Z81="ER",Z82="ER",Z83="ER"),"ER",IF(OR(Z80="?",Z81="?",Z82="?",Z83="?"),"?",IF(AND(Z80="NA",Z81="NA",Z82="NA",Z83="NA"),"NA",SUM(Z80,Z81,Z82,Z83)/((Z80&lt;&gt;"NA")*$H$80+(Z81&lt;&gt;"NA")*$H$81+(Z82&lt;&gt;"NA")*$H$82+(Z83&lt;&gt;"NA")*$H$83)*$H79)))</f>
        <v>?</v>
      </c>
      <c r="AA79" s="87" t="str">
        <f aca="false">IF(OR(AA80="ER",AA81="ER",AA82="ER",AA83="ER"),"ER",IF(OR(AA80="?",AA81="?",AA82="?",AA83="?"),"?",IF(AND(AA80="NA",AA81="NA",AA82="NA",AA83="NA"),"NA",SUM(AA80,AA81,AA82,AA83)/((AA80&lt;&gt;"NA")*$H$80+(AA81&lt;&gt;"NA")*$H$81+(AA82&lt;&gt;"NA")*$H$82+(AA83&lt;&gt;"NA")*$H$83)*$H79)))</f>
        <v>?</v>
      </c>
      <c r="AB79" s="87" t="str">
        <f aca="false">IF(OR(AB80="ER",AB81="ER",AB82="ER",AB83="ER"),"ER",IF(OR(AB80="?",AB81="?",AB82="?",AB83="?"),"?",IF(AND(AB80="NA",AB81="NA",AB82="NA",AB83="NA"),"NA",SUM(AB80,AB81,AB82,AB83)/((AB80&lt;&gt;"NA")*$H$80+(AB81&lt;&gt;"NA")*$H$81+(AB82&lt;&gt;"NA")*$H$82+(AB83&lt;&gt;"NA")*$H$83)*$H79)))</f>
        <v>?</v>
      </c>
      <c r="AC79" s="87" t="str">
        <f aca="false">IF(OR(AC80="ER",AC81="ER",AC82="ER",AC83="ER"),"ER",IF(OR(AC80="?",AC81="?",AC82="?",AC83="?"),"?",IF(AND(AC80="NA",AC81="NA",AC82="NA",AC83="NA"),"NA",SUM(AC80,AC81,AC82,AC83)/((AC80&lt;&gt;"NA")*$H$80+(AC81&lt;&gt;"NA")*$H$81+(AC82&lt;&gt;"NA")*$H$82+(AC83&lt;&gt;"NA")*$H$83)*$H79)))</f>
        <v>?</v>
      </c>
      <c r="AD79" s="87" t="str">
        <f aca="false">IF(OR(AD80="ER",AD81="ER",AD82="ER",AD83="ER"),"ER",IF(OR(AD80="?",AD81="?",AD82="?",AD83="?"),"?",IF(AND(AD80="NA",AD81="NA",AD82="NA",AD83="NA"),"NA",SUM(AD80,AD81,AD82,AD83)/((AD80&lt;&gt;"NA")*$H$80+(AD81&lt;&gt;"NA")*$H$81+(AD82&lt;&gt;"NA")*$H$82+(AD83&lt;&gt;"NA")*$H$83)*$H79)))</f>
        <v>?</v>
      </c>
      <c r="AE79" s="87" t="str">
        <f aca="false">IF(OR(AE80="ER",AE81="ER",AE82="ER",AE83="ER"),"ER",IF(OR(AE80="?",AE81="?",AE82="?",AE83="?"),"?",IF(AND(AE80="NA",AE81="NA",AE82="NA",AE83="NA"),"NA",SUM(AE80,AE81,AE82,AE83)/((AE80&lt;&gt;"NA")*$H$80+(AE81&lt;&gt;"NA")*$H$81+(AE82&lt;&gt;"NA")*$H$82+(AE83&lt;&gt;"NA")*$H$83)*$H79)))</f>
        <v>?</v>
      </c>
      <c r="AF79" s="87" t="str">
        <f aca="false">IF(OR(AF80="ER",AF81="ER",AF82="ER",AF83="ER"),"ER",IF(OR(AF80="?",AF81="?",AF82="?",AF83="?"),"?",IF(AND(AF80="NA",AF81="NA",AF82="NA",AF83="NA"),"NA",SUM(AF80,AF81,AF82,AF83)/((AF80&lt;&gt;"NA")*$H$80+(AF81&lt;&gt;"NA")*$H$81+(AF82&lt;&gt;"NA")*$H$82+(AF83&lt;&gt;"NA")*$H$83)*$H79)))</f>
        <v>?</v>
      </c>
      <c r="AG79" s="87" t="str">
        <f aca="false">IF(OR(AG80="ER",AG81="ER",AG82="ER",AG83="ER"),"ER",IF(OR(AG80="?",AG81="?",AG82="?",AG83="?"),"?",IF(AND(AG80="NA",AG81="NA",AG82="NA",AG83="NA"),"NA",SUM(AG80,AG81,AG82,AG83)/((AG80&lt;&gt;"NA")*$H$80+(AG81&lt;&gt;"NA")*$H$81+(AG82&lt;&gt;"NA")*$H$82+(AG83&lt;&gt;"NA")*$H$83)*$H79)))</f>
        <v>?</v>
      </c>
      <c r="AH79" s="87" t="str">
        <f aca="false">IF(OR(AH80="ER",AH81="ER",AH82="ER",AH83="ER"),"ER",IF(OR(AH80="?",AH81="?",AH82="?",AH83="?"),"?",IF(AND(AH80="NA",AH81="NA",AH82="NA",AH83="NA"),"NA",SUM(AH80,AH81,AH82,AH83)/((AH80&lt;&gt;"NA")*$H$80+(AH81&lt;&gt;"NA")*$H$81+(AH82&lt;&gt;"NA")*$H$82+(AH83&lt;&gt;"NA")*$H$83)*$H79)))</f>
        <v>?</v>
      </c>
      <c r="AI79" s="87" t="str">
        <f aca="false">IF(OR(AI80="ER",AI81="ER",AI82="ER",AI83="ER"),"ER",IF(OR(AI80="?",AI81="?",AI82="?",AI83="?"),"?",IF(AND(AI80="NA",AI81="NA",AI82="NA",AI83="NA"),"NA",SUM(AI80,AI81,AI82,AI83)/((AI80&lt;&gt;"NA")*$H$80+(AI81&lt;&gt;"NA")*$H$81+(AI82&lt;&gt;"NA")*$H$82+(AI83&lt;&gt;"NA")*$H$83)*$H79)))</f>
        <v>?</v>
      </c>
      <c r="AJ79" s="87" t="str">
        <f aca="false">IF(OR(AJ80="ER",AJ81="ER",AJ82="ER",AJ83="ER"),"ER",IF(OR(AJ80="?",AJ81="?",AJ82="?",AJ83="?"),"?",IF(AND(AJ80="NA",AJ81="NA",AJ82="NA",AJ83="NA"),"NA",SUM(AJ80,AJ81,AJ82,AJ83)/((AJ80&lt;&gt;"NA")*$H$80+(AJ81&lt;&gt;"NA")*$H$81+(AJ82&lt;&gt;"NA")*$H$82+(AJ83&lt;&gt;"NA")*$H$83)*$H79)))</f>
        <v>?</v>
      </c>
      <c r="AK79" s="87" t="str">
        <f aca="false">IF(OR(AK80="ER",AK81="ER",AK82="ER",AK83="ER"),"ER",IF(OR(AK80="?",AK81="?",AK82="?",AK83="?"),"?",IF(AND(AK80="NA",AK81="NA",AK82="NA",AK83="NA"),"NA",SUM(AK80,AK81,AK82,AK83)/((AK80&lt;&gt;"NA")*$H$80+(AK81&lt;&gt;"NA")*$H$81+(AK82&lt;&gt;"NA")*$H$82+(AK83&lt;&gt;"NA")*$H$83)*$H79)))</f>
        <v>?</v>
      </c>
    </row>
    <row r="80" customFormat="false" ht="14.25" hidden="false" customHeight="true" outlineLevel="0" collapsed="false">
      <c r="A80" s="83" t="s">
        <v>427</v>
      </c>
      <c r="B80" s="84" t="str">
        <f aca="false">IF(ISBLANK($A80),"NO_CODE",VLOOKUP($A80,'UPD Questions_290926 '!$E$1:$N$300,MATCH(B$1,'UPD Questions_290926 '!$E$1:$N$1,0),0)&amp;"")</f>
        <v>Implementation</v>
      </c>
      <c r="C80" s="84" t="str">
        <f aca="false">IF(ISBLANK($A80),"NO_CODE",VLOOKUP($A80,'UPD Questions_290926 '!$E$1:$N$300,MATCH(C$1,'UPD Questions_290926 '!$E$1:$N$1,0),0)&amp;"")</f>
        <v>Specialised institutional capacity</v>
      </c>
      <c r="D80" s="84" t="str">
        <f aca="false">IF(ISBLANK($A80),"NO_CODE",VLOOKUP($A80,'UPD Questions_290926 '!$E$1:$N$300,MATCH(D$1,'UPD Questions_290926 '!$E$1:$N$1,0),0)&amp;"")</f>
        <v>Urban design</v>
      </c>
      <c r="E80" s="84" t="str">
        <f aca="false">IF(ISBLANK($A80),"NO_CODE",VLOOKUP($A80,'UPD Questions_290926 '!$E$1:$N$300,MATCH(E$1,'UPD Questions_290926 '!$E$1:$N$1,0),0)&amp;"")</f>
        <v>SQ</v>
      </c>
      <c r="F80" s="84" t="str">
        <f aca="false">IF(ISBLANK($A80),"NO_CODE",VLOOKUP($A80,'UPD Questions_290926 '!$E$1:$N$300,MATCH(F$1,'UPD Questions_290926 '!$E$1:$N$1,0),0)&amp;"")</f>
        <v>Does the city have an Urban Design Cell?</v>
      </c>
      <c r="G80" s="84" t="str">
        <f aca="false">IF(ISBLANK($A80),"NO_CODE",VLOOKUP($A80,'UPD Questions_290926 '!$E$1:$N$300,MATCH(G$1,'UPD Questions_290926 '!$E$1:$N$1,0),0)&amp;"")</f>
        <v>Implementation</v>
      </c>
      <c r="H80" s="86" t="n">
        <f aca="false">IF(ISBLANK($A80),"NO_CODE",VLOOKUP($A80,'UPD Questions_290926 '!$E$1:$N$300,MATCH(H$1,'UPD Questions_290926 '!$E$1:$N$1,0),0))</f>
        <v>2.5</v>
      </c>
      <c r="I80" s="87" t="str">
        <f aca="true">IF($H80=0,"NA",IF($A80=INDIRECT("'"&amp;$A80&amp;"'!$B$1"),IF(VLOOKUP(I$1,INDIRECT("'"&amp;$A80&amp;"'!$A$12:$Z$41"),MATCH("Points (Auto-generate)",INDIRECT("'"&amp;$A80&amp;"'!$A$12:$Z$12"),0),0)="","?",VLOOKUP(I$1,INDIRECT("'"&amp;$A80&amp;"'!$A$12:$Z$41"),MATCH("Points (Auto-generate)",INDIRECT("'"&amp;$A80&amp;"'!$A$12:$Z$12"),0),0)),"ER"))</f>
        <v>?</v>
      </c>
      <c r="J80" s="87" t="str">
        <f aca="true">IF($H80=0,"NA",IF($A80=INDIRECT("'"&amp;$A80&amp;"'!$B$1"),IF(VLOOKUP(J$1,INDIRECT("'"&amp;$A80&amp;"'!$A$12:$Z$41"),MATCH("Points (Auto-generate)",INDIRECT("'"&amp;$A80&amp;"'!$A$12:$Z$12"),0),0)="","?",VLOOKUP(J$1,INDIRECT("'"&amp;$A80&amp;"'!$A$12:$Z$41"),MATCH("Points (Auto-generate)",INDIRECT("'"&amp;$A80&amp;"'!$A$12:$Z$12"),0),0)),"ER"))</f>
        <v>?</v>
      </c>
      <c r="K80" s="87" t="str">
        <f aca="true">IF($H80=0,"NA",IF($A80=INDIRECT("'"&amp;$A80&amp;"'!$B$1"),IF(VLOOKUP(K$1,INDIRECT("'"&amp;$A80&amp;"'!$A$12:$Z$41"),MATCH("Points (Auto-generate)",INDIRECT("'"&amp;$A80&amp;"'!$A$12:$Z$12"),0),0)="","?",VLOOKUP(K$1,INDIRECT("'"&amp;$A80&amp;"'!$A$12:$Z$41"),MATCH("Points (Auto-generate)",INDIRECT("'"&amp;$A80&amp;"'!$A$12:$Z$12"),0),0)),"ER"))</f>
        <v>?</v>
      </c>
      <c r="L80" s="87" t="str">
        <f aca="true">IF($H80=0,"NA",IF($A80=INDIRECT("'"&amp;$A80&amp;"'!$B$1"),IF(VLOOKUP(L$1,INDIRECT("'"&amp;$A80&amp;"'!$A$12:$Z$41"),MATCH("Points (Auto-generate)",INDIRECT("'"&amp;$A80&amp;"'!$A$12:$Z$12"),0),0)="","?",VLOOKUP(L$1,INDIRECT("'"&amp;$A80&amp;"'!$A$12:$Z$41"),MATCH("Points (Auto-generate)",INDIRECT("'"&amp;$A80&amp;"'!$A$12:$Z$12"),0),0)),"ER"))</f>
        <v>?</v>
      </c>
      <c r="M80" s="87" t="str">
        <f aca="true">IF($H80=0,"NA",IF($A80=INDIRECT("'"&amp;$A80&amp;"'!$B$1"),IF(VLOOKUP(M$1,INDIRECT("'"&amp;$A80&amp;"'!$A$12:$Z$41"),MATCH("Points (Auto-generate)",INDIRECT("'"&amp;$A80&amp;"'!$A$12:$Z$12"),0),0)="","?",VLOOKUP(M$1,INDIRECT("'"&amp;$A80&amp;"'!$A$12:$Z$41"),MATCH("Points (Auto-generate)",INDIRECT("'"&amp;$A80&amp;"'!$A$12:$Z$12"),0),0)),"ER"))</f>
        <v>?</v>
      </c>
      <c r="N80" s="87" t="str">
        <f aca="true">IF($H80=0,"NA",IF($A80=INDIRECT("'"&amp;$A80&amp;"'!$B$1"),IF(VLOOKUP(N$1,INDIRECT("'"&amp;$A80&amp;"'!$A$12:$Z$41"),MATCH("Points (Auto-generate)",INDIRECT("'"&amp;$A80&amp;"'!$A$12:$Z$12"),0),0)="","?",VLOOKUP(N$1,INDIRECT("'"&amp;$A80&amp;"'!$A$12:$Z$41"),MATCH("Points (Auto-generate)",INDIRECT("'"&amp;$A80&amp;"'!$A$12:$Z$12"),0),0)),"ER"))</f>
        <v>?</v>
      </c>
      <c r="O80" s="87" t="str">
        <f aca="true">IF($H80=0,"NA",IF($A80=INDIRECT("'"&amp;$A80&amp;"'!$B$1"),IF(VLOOKUP(O$1,INDIRECT("'"&amp;$A80&amp;"'!$A$12:$Z$41"),MATCH("Points (Auto-generate)",INDIRECT("'"&amp;$A80&amp;"'!$A$12:$Z$12"),0),0)="","?",VLOOKUP(O$1,INDIRECT("'"&amp;$A80&amp;"'!$A$12:$Z$41"),MATCH("Points (Auto-generate)",INDIRECT("'"&amp;$A80&amp;"'!$A$12:$Z$12"),0),0)),"ER"))</f>
        <v>?</v>
      </c>
      <c r="P80" s="87" t="str">
        <f aca="true">IF($H80=0,"NA",IF($A80=INDIRECT("'"&amp;$A80&amp;"'!$B$1"),IF(VLOOKUP(P$1,INDIRECT("'"&amp;$A80&amp;"'!$A$12:$Z$41"),MATCH("Points (Auto-generate)",INDIRECT("'"&amp;$A80&amp;"'!$A$12:$Z$12"),0),0)="","?",VLOOKUP(P$1,INDIRECT("'"&amp;$A80&amp;"'!$A$12:$Z$41"),MATCH("Points (Auto-generate)",INDIRECT("'"&amp;$A80&amp;"'!$A$12:$Z$12"),0),0)),"ER"))</f>
        <v>?</v>
      </c>
      <c r="Q80" s="87" t="str">
        <f aca="true">IF($H80=0,"NA",IF($A80=INDIRECT("'"&amp;$A80&amp;"'!$B$1"),IF(VLOOKUP(Q$1,INDIRECT("'"&amp;$A80&amp;"'!$A$12:$Z$41"),MATCH("Points (Auto-generate)",INDIRECT("'"&amp;$A80&amp;"'!$A$12:$Z$12"),0),0)="","?",VLOOKUP(Q$1,INDIRECT("'"&amp;$A80&amp;"'!$A$12:$Z$41"),MATCH("Points (Auto-generate)",INDIRECT("'"&amp;$A80&amp;"'!$A$12:$Z$12"),0),0)),"ER"))</f>
        <v>?</v>
      </c>
      <c r="R80" s="87" t="str">
        <f aca="true">IF($H80=0,"NA",IF($A80=INDIRECT("'"&amp;$A80&amp;"'!$B$1"),IF(VLOOKUP(R$1,INDIRECT("'"&amp;$A80&amp;"'!$A$12:$Z$41"),MATCH("Points (Auto-generate)",INDIRECT("'"&amp;$A80&amp;"'!$A$12:$Z$12"),0),0)="","?",VLOOKUP(R$1,INDIRECT("'"&amp;$A80&amp;"'!$A$12:$Z$41"),MATCH("Points (Auto-generate)",INDIRECT("'"&amp;$A80&amp;"'!$A$12:$Z$12"),0),0)),"ER"))</f>
        <v>?</v>
      </c>
      <c r="S80" s="87" t="str">
        <f aca="true">IF($H80=0,"NA",IF($A80=INDIRECT("'"&amp;$A80&amp;"'!$B$1"),IF(VLOOKUP(S$1,INDIRECT("'"&amp;$A80&amp;"'!$A$12:$Z$41"),MATCH("Points (Auto-generate)",INDIRECT("'"&amp;$A80&amp;"'!$A$12:$Z$12"),0),0)="","?",VLOOKUP(S$1,INDIRECT("'"&amp;$A80&amp;"'!$A$12:$Z$41"),MATCH("Points (Auto-generate)",INDIRECT("'"&amp;$A80&amp;"'!$A$12:$Z$12"),0),0)),"ER"))</f>
        <v>?</v>
      </c>
      <c r="T80" s="87" t="str">
        <f aca="true">IF($H80=0,"NA",IF($A80=INDIRECT("'"&amp;$A80&amp;"'!$B$1"),IF(VLOOKUP(T$1,INDIRECT("'"&amp;$A80&amp;"'!$A$12:$Z$41"),MATCH("Points (Auto-generate)",INDIRECT("'"&amp;$A80&amp;"'!$A$12:$Z$12"),0),0)="","?",VLOOKUP(T$1,INDIRECT("'"&amp;$A80&amp;"'!$A$12:$Z$41"),MATCH("Points (Auto-generate)",INDIRECT("'"&amp;$A80&amp;"'!$A$12:$Z$12"),0),0)),"ER"))</f>
        <v>?</v>
      </c>
      <c r="U80" s="87" t="str">
        <f aca="true">IF($H80=0,"NA",IF($A80=INDIRECT("'"&amp;$A80&amp;"'!$B$1"),IF(VLOOKUP(U$1,INDIRECT("'"&amp;$A80&amp;"'!$A$12:$Z$41"),MATCH("Points (Auto-generate)",INDIRECT("'"&amp;$A80&amp;"'!$A$12:$Z$12"),0),0)="","?",VLOOKUP(U$1,INDIRECT("'"&amp;$A80&amp;"'!$A$12:$Z$41"),MATCH("Points (Auto-generate)",INDIRECT("'"&amp;$A80&amp;"'!$A$12:$Z$12"),0),0)),"ER"))</f>
        <v>?</v>
      </c>
      <c r="V80" s="87" t="str">
        <f aca="true">IF($H80=0,"NA",IF($A80=INDIRECT("'"&amp;$A80&amp;"'!$B$1"),IF(VLOOKUP(V$1,INDIRECT("'"&amp;$A80&amp;"'!$A$12:$Z$41"),MATCH("Points (Auto-generate)",INDIRECT("'"&amp;$A80&amp;"'!$A$12:$Z$12"),0),0)="","?",VLOOKUP(V$1,INDIRECT("'"&amp;$A80&amp;"'!$A$12:$Z$41"),MATCH("Points (Auto-generate)",INDIRECT("'"&amp;$A80&amp;"'!$A$12:$Z$12"),0),0)),"ER"))</f>
        <v>?</v>
      </c>
      <c r="W80" s="87" t="str">
        <f aca="true">IF($H80=0,"NA",IF($A80=INDIRECT("'"&amp;$A80&amp;"'!$B$1"),IF(VLOOKUP(W$1,INDIRECT("'"&amp;$A80&amp;"'!$A$12:$Z$41"),MATCH("Points (Auto-generate)",INDIRECT("'"&amp;$A80&amp;"'!$A$12:$Z$12"),0),0)="","?",VLOOKUP(W$1,INDIRECT("'"&amp;$A80&amp;"'!$A$12:$Z$41"),MATCH("Points (Auto-generate)",INDIRECT("'"&amp;$A80&amp;"'!$A$12:$Z$12"),0),0)),"ER"))</f>
        <v>?</v>
      </c>
      <c r="X80" s="87" t="str">
        <f aca="true">IF($H80=0,"NA",IF($A80=INDIRECT("'"&amp;$A80&amp;"'!$B$1"),IF(VLOOKUP(X$1,INDIRECT("'"&amp;$A80&amp;"'!$A$12:$Z$41"),MATCH("Points (Auto-generate)",INDIRECT("'"&amp;$A80&amp;"'!$A$12:$Z$12"),0),0)="","?",VLOOKUP(X$1,INDIRECT("'"&amp;$A80&amp;"'!$A$12:$Z$41"),MATCH("Points (Auto-generate)",INDIRECT("'"&amp;$A80&amp;"'!$A$12:$Z$12"),0),0)),"ER"))</f>
        <v>?</v>
      </c>
      <c r="Y80" s="87" t="str">
        <f aca="true">IF($H80=0,"NA",IF($A80=INDIRECT("'"&amp;$A80&amp;"'!$B$1"),IF(VLOOKUP(Y$1,INDIRECT("'"&amp;$A80&amp;"'!$A$12:$Z$41"),MATCH("Points (Auto-generate)",INDIRECT("'"&amp;$A80&amp;"'!$A$12:$Z$12"),0),0)="","?",VLOOKUP(Y$1,INDIRECT("'"&amp;$A80&amp;"'!$A$12:$Z$41"),MATCH("Points (Auto-generate)",INDIRECT("'"&amp;$A80&amp;"'!$A$12:$Z$12"),0),0)),"ER"))</f>
        <v>?</v>
      </c>
      <c r="Z80" s="87" t="str">
        <f aca="true">IF($H80=0,"NA",IF($A80=INDIRECT("'"&amp;$A80&amp;"'!$B$1"),IF(VLOOKUP(Z$1,INDIRECT("'"&amp;$A80&amp;"'!$A$12:$Z$41"),MATCH("Points (Auto-generate)",INDIRECT("'"&amp;$A80&amp;"'!$A$12:$Z$12"),0),0)="","?",VLOOKUP(Z$1,INDIRECT("'"&amp;$A80&amp;"'!$A$12:$Z$41"),MATCH("Points (Auto-generate)",INDIRECT("'"&amp;$A80&amp;"'!$A$12:$Z$12"),0),0)),"ER"))</f>
        <v>?</v>
      </c>
      <c r="AA80" s="87" t="str">
        <f aca="true">IF($H80=0,"NA",IF($A80=INDIRECT("'"&amp;$A80&amp;"'!$B$1"),IF(VLOOKUP(AA$1,INDIRECT("'"&amp;$A80&amp;"'!$A$12:$Z$41"),MATCH("Points (Auto-generate)",INDIRECT("'"&amp;$A80&amp;"'!$A$12:$Z$12"),0),0)="","?",VLOOKUP(AA$1,INDIRECT("'"&amp;$A80&amp;"'!$A$12:$Z$41"),MATCH("Points (Auto-generate)",INDIRECT("'"&amp;$A80&amp;"'!$A$12:$Z$12"),0),0)),"ER"))</f>
        <v>?</v>
      </c>
      <c r="AB80" s="87" t="str">
        <f aca="true">IF($H80=0,"NA",IF($A80=INDIRECT("'"&amp;$A80&amp;"'!$B$1"),IF(VLOOKUP(AB$1,INDIRECT("'"&amp;$A80&amp;"'!$A$12:$Z$41"),MATCH("Points (Auto-generate)",INDIRECT("'"&amp;$A80&amp;"'!$A$12:$Z$12"),0),0)="","?",VLOOKUP(AB$1,INDIRECT("'"&amp;$A80&amp;"'!$A$12:$Z$41"),MATCH("Points (Auto-generate)",INDIRECT("'"&amp;$A80&amp;"'!$A$12:$Z$12"),0),0)),"ER"))</f>
        <v>?</v>
      </c>
      <c r="AC80" s="87" t="str">
        <f aca="true">IF($H80=0,"NA",IF($A80=INDIRECT("'"&amp;$A80&amp;"'!$B$1"),IF(VLOOKUP(AC$1,INDIRECT("'"&amp;$A80&amp;"'!$A$12:$Z$41"),MATCH("Points (Auto-generate)",INDIRECT("'"&amp;$A80&amp;"'!$A$12:$Z$12"),0),0)="","?",VLOOKUP(AC$1,INDIRECT("'"&amp;$A80&amp;"'!$A$12:$Z$41"),MATCH("Points (Auto-generate)",INDIRECT("'"&amp;$A80&amp;"'!$A$12:$Z$12"),0),0)),"ER"))</f>
        <v>?</v>
      </c>
      <c r="AD80" s="87" t="str">
        <f aca="true">IF($H80=0,"NA",IF($A80=INDIRECT("'"&amp;$A80&amp;"'!$B$1"),IF(VLOOKUP(AD$1,INDIRECT("'"&amp;$A80&amp;"'!$A$12:$Z$41"),MATCH("Points (Auto-generate)",INDIRECT("'"&amp;$A80&amp;"'!$A$12:$Z$12"),0),0)="","?",VLOOKUP(AD$1,INDIRECT("'"&amp;$A80&amp;"'!$A$12:$Z$41"),MATCH("Points (Auto-generate)",INDIRECT("'"&amp;$A80&amp;"'!$A$12:$Z$12"),0),0)),"ER"))</f>
        <v>?</v>
      </c>
      <c r="AE80" s="87" t="str">
        <f aca="true">IF($H80=0,"NA",IF($A80=INDIRECT("'"&amp;$A80&amp;"'!$B$1"),IF(VLOOKUP(AE$1,INDIRECT("'"&amp;$A80&amp;"'!$A$12:$Z$41"),MATCH("Points (Auto-generate)",INDIRECT("'"&amp;$A80&amp;"'!$A$12:$Z$12"),0),0)="","?",VLOOKUP(AE$1,INDIRECT("'"&amp;$A80&amp;"'!$A$12:$Z$41"),MATCH("Points (Auto-generate)",INDIRECT("'"&amp;$A80&amp;"'!$A$12:$Z$12"),0),0)),"ER"))</f>
        <v>?</v>
      </c>
      <c r="AF80" s="87" t="str">
        <f aca="true">IF($H80=0,"NA",IF($A80=INDIRECT("'"&amp;$A80&amp;"'!$B$1"),IF(VLOOKUP(AF$1,INDIRECT("'"&amp;$A80&amp;"'!$A$12:$Z$41"),MATCH("Points (Auto-generate)",INDIRECT("'"&amp;$A80&amp;"'!$A$12:$Z$12"),0),0)="","?",VLOOKUP(AF$1,INDIRECT("'"&amp;$A80&amp;"'!$A$12:$Z$41"),MATCH("Points (Auto-generate)",INDIRECT("'"&amp;$A80&amp;"'!$A$12:$Z$12"),0),0)),"ER"))</f>
        <v>?</v>
      </c>
      <c r="AG80" s="87" t="str">
        <f aca="true">IF($H80=0,"NA",IF($A80=INDIRECT("'"&amp;$A80&amp;"'!$B$1"),IF(VLOOKUP(AG$1,INDIRECT("'"&amp;$A80&amp;"'!$A$12:$Z$41"),MATCH("Points (Auto-generate)",INDIRECT("'"&amp;$A80&amp;"'!$A$12:$Z$12"),0),0)="","?",VLOOKUP(AG$1,INDIRECT("'"&amp;$A80&amp;"'!$A$12:$Z$41"),MATCH("Points (Auto-generate)",INDIRECT("'"&amp;$A80&amp;"'!$A$12:$Z$12"),0),0)),"ER"))</f>
        <v>?</v>
      </c>
      <c r="AH80" s="87" t="str">
        <f aca="true">IF($H80=0,"NA",IF($A80=INDIRECT("'"&amp;$A80&amp;"'!$B$1"),IF(VLOOKUP(AH$1,INDIRECT("'"&amp;$A80&amp;"'!$A$12:$Z$41"),MATCH("Points (Auto-generate)",INDIRECT("'"&amp;$A80&amp;"'!$A$12:$Z$12"),0),0)="","?",VLOOKUP(AH$1,INDIRECT("'"&amp;$A80&amp;"'!$A$12:$Z$41"),MATCH("Points (Auto-generate)",INDIRECT("'"&amp;$A80&amp;"'!$A$12:$Z$12"),0),0)),"ER"))</f>
        <v>?</v>
      </c>
      <c r="AI80" s="87" t="str">
        <f aca="true">IF($H80=0,"NA",IF($A80=INDIRECT("'"&amp;$A80&amp;"'!$B$1"),IF(VLOOKUP(AI$1,INDIRECT("'"&amp;$A80&amp;"'!$A$12:$Z$41"),MATCH("Points (Auto-generate)",INDIRECT("'"&amp;$A80&amp;"'!$A$12:$Z$12"),0),0)="","?",VLOOKUP(AI$1,INDIRECT("'"&amp;$A80&amp;"'!$A$12:$Z$41"),MATCH("Points (Auto-generate)",INDIRECT("'"&amp;$A80&amp;"'!$A$12:$Z$12"),0),0)),"ER"))</f>
        <v>?</v>
      </c>
      <c r="AJ80" s="87" t="str">
        <f aca="true">IF($H80=0,"NA",IF($A80=INDIRECT("'"&amp;$A80&amp;"'!$B$1"),IF(VLOOKUP(AJ$1,INDIRECT("'"&amp;$A80&amp;"'!$A$12:$Z$41"),MATCH("Points (Auto-generate)",INDIRECT("'"&amp;$A80&amp;"'!$A$12:$Z$12"),0),0)="","?",VLOOKUP(AJ$1,INDIRECT("'"&amp;$A80&amp;"'!$A$12:$Z$41"),MATCH("Points (Auto-generate)",INDIRECT("'"&amp;$A80&amp;"'!$A$12:$Z$12"),0),0)),"ER"))</f>
        <v>?</v>
      </c>
      <c r="AK80" s="87" t="str">
        <f aca="true">IF($H80=0,"NA",IF($A80=INDIRECT("'"&amp;$A80&amp;"'!$B$1"),IF(VLOOKUP(AK$1,INDIRECT("'"&amp;$A80&amp;"'!$A$12:$Z$41"),MATCH("Points (Auto-generate)",INDIRECT("'"&amp;$A80&amp;"'!$A$12:$Z$12"),0),0)="","?",VLOOKUP(AK$1,INDIRECT("'"&amp;$A80&amp;"'!$A$12:$Z$41"),MATCH("Points (Auto-generate)",INDIRECT("'"&amp;$A80&amp;"'!$A$12:$Z$12"),0),0)),"ER"))</f>
        <v>?</v>
      </c>
    </row>
    <row r="81" customFormat="false" ht="14.25" hidden="false" customHeight="true" outlineLevel="0" collapsed="false">
      <c r="A81" s="83" t="s">
        <v>440</v>
      </c>
      <c r="B81" s="84" t="str">
        <f aca="false">IF(ISBLANK($A81),"NO_CODE",VLOOKUP($A81,'UPD Questions_290926 '!$E$1:$N$300,MATCH(B$1,'UPD Questions_290926 '!$E$1:$N$1,0),0)&amp;"")</f>
        <v>Implementation</v>
      </c>
      <c r="C81" s="84" t="str">
        <f aca="false">IF(ISBLANK($A81),"NO_CODE",VLOOKUP($A81,'UPD Questions_290926 '!$E$1:$N$300,MATCH(C$1,'UPD Questions_290926 '!$E$1:$N$1,0),0)&amp;"")</f>
        <v>Does the city have dedicated institutional capacity to undertake specialised planning and development functions?</v>
      </c>
      <c r="D81" s="84" t="str">
        <f aca="false">IF(ISBLANK($A81),"NO_CODE",VLOOKUP($A81,'UPD Questions_290926 '!$E$1:$N$300,MATCH(D$1,'UPD Questions_290926 '!$E$1:$N$1,0),0)&amp;"")</f>
        <v>Climate</v>
      </c>
      <c r="E81" s="84" t="str">
        <f aca="false">IF(ISBLANK($A81),"NO_CODE",VLOOKUP($A81,'UPD Questions_290926 '!$E$1:$N$300,MATCH(E$1,'UPD Questions_290926 '!$E$1:$N$1,0),0)&amp;"")</f>
        <v>SQ</v>
      </c>
      <c r="F81" s="84" t="str">
        <f aca="false">IF(ISBLANK($A81),"NO_CODE",VLOOKUP($A81,'UPD Questions_290926 '!$E$1:$N$300,MATCH(F$1,'UPD Questions_290926 '!$E$1:$N$1,0),0)&amp;"")</f>
        <v>Does the city have a Climate Action/Sustainability/Disaster Management Cell?</v>
      </c>
      <c r="G81" s="84" t="str">
        <f aca="false">IF(ISBLANK($A81),"NO_CODE",VLOOKUP($A81,'UPD Questions_290926 '!$E$1:$N$300,MATCH(G$1,'UPD Questions_290926 '!$E$1:$N$1,0),0)&amp;"")</f>
        <v>Implementation</v>
      </c>
      <c r="H81" s="86" t="n">
        <f aca="false">IF(ISBLANK($A81),"NO_CODE",VLOOKUP($A81,'UPD Questions_290926 '!$E$1:$N$300,MATCH(H$1,'UPD Questions_290926 '!$E$1:$N$1,0),0))</f>
        <v>2.5</v>
      </c>
      <c r="I81" s="87" t="str">
        <f aca="true">IF($H81=0,"NA",IF($A81=INDIRECT("'"&amp;$A81&amp;"'!$B$1"),IF(VLOOKUP(I$1,INDIRECT("'"&amp;$A81&amp;"'!$A$12:$Z$41"),MATCH("Points (Auto-generate)",INDIRECT("'"&amp;$A81&amp;"'!$A$12:$Z$12"),0),0)="","?",VLOOKUP(I$1,INDIRECT("'"&amp;$A81&amp;"'!$A$12:$Z$41"),MATCH("Points (Auto-generate)",INDIRECT("'"&amp;$A81&amp;"'!$A$12:$Z$12"),0),0)),"ER"))</f>
        <v>?</v>
      </c>
      <c r="J81" s="87" t="str">
        <f aca="true">IF($H81=0,"NA",IF($A81=INDIRECT("'"&amp;$A81&amp;"'!$B$1"),IF(VLOOKUP(J$1,INDIRECT("'"&amp;$A81&amp;"'!$A$12:$Z$41"),MATCH("Points (Auto-generate)",INDIRECT("'"&amp;$A81&amp;"'!$A$12:$Z$12"),0),0)="","?",VLOOKUP(J$1,INDIRECT("'"&amp;$A81&amp;"'!$A$12:$Z$41"),MATCH("Points (Auto-generate)",INDIRECT("'"&amp;$A81&amp;"'!$A$12:$Z$12"),0),0)),"ER"))</f>
        <v>?</v>
      </c>
      <c r="K81" s="87" t="str">
        <f aca="true">IF($H81=0,"NA",IF($A81=INDIRECT("'"&amp;$A81&amp;"'!$B$1"),IF(VLOOKUP(K$1,INDIRECT("'"&amp;$A81&amp;"'!$A$12:$Z$41"),MATCH("Points (Auto-generate)",INDIRECT("'"&amp;$A81&amp;"'!$A$12:$Z$12"),0),0)="","?",VLOOKUP(K$1,INDIRECT("'"&amp;$A81&amp;"'!$A$12:$Z$41"),MATCH("Points (Auto-generate)",INDIRECT("'"&amp;$A81&amp;"'!$A$12:$Z$12"),0),0)),"ER"))</f>
        <v>?</v>
      </c>
      <c r="L81" s="87" t="str">
        <f aca="true">IF($H81=0,"NA",IF($A81=INDIRECT("'"&amp;$A81&amp;"'!$B$1"),IF(VLOOKUP(L$1,INDIRECT("'"&amp;$A81&amp;"'!$A$12:$Z$41"),MATCH("Points (Auto-generate)",INDIRECT("'"&amp;$A81&amp;"'!$A$12:$Z$12"),0),0)="","?",VLOOKUP(L$1,INDIRECT("'"&amp;$A81&amp;"'!$A$12:$Z$41"),MATCH("Points (Auto-generate)",INDIRECT("'"&amp;$A81&amp;"'!$A$12:$Z$12"),0),0)),"ER"))</f>
        <v>?</v>
      </c>
      <c r="M81" s="87" t="str">
        <f aca="true">IF($H81=0,"NA",IF($A81=INDIRECT("'"&amp;$A81&amp;"'!$B$1"),IF(VLOOKUP(M$1,INDIRECT("'"&amp;$A81&amp;"'!$A$12:$Z$41"),MATCH("Points (Auto-generate)",INDIRECT("'"&amp;$A81&amp;"'!$A$12:$Z$12"),0),0)="","?",VLOOKUP(M$1,INDIRECT("'"&amp;$A81&amp;"'!$A$12:$Z$41"),MATCH("Points (Auto-generate)",INDIRECT("'"&amp;$A81&amp;"'!$A$12:$Z$12"),0),0)),"ER"))</f>
        <v>?</v>
      </c>
      <c r="N81" s="87" t="str">
        <f aca="true">IF($H81=0,"NA",IF($A81=INDIRECT("'"&amp;$A81&amp;"'!$B$1"),IF(VLOOKUP(N$1,INDIRECT("'"&amp;$A81&amp;"'!$A$12:$Z$41"),MATCH("Points (Auto-generate)",INDIRECT("'"&amp;$A81&amp;"'!$A$12:$Z$12"),0),0)="","?",VLOOKUP(N$1,INDIRECT("'"&amp;$A81&amp;"'!$A$12:$Z$41"),MATCH("Points (Auto-generate)",INDIRECT("'"&amp;$A81&amp;"'!$A$12:$Z$12"),0),0)),"ER"))</f>
        <v>?</v>
      </c>
      <c r="O81" s="87" t="str">
        <f aca="true">IF($H81=0,"NA",IF($A81=INDIRECT("'"&amp;$A81&amp;"'!$B$1"),IF(VLOOKUP(O$1,INDIRECT("'"&amp;$A81&amp;"'!$A$12:$Z$41"),MATCH("Points (Auto-generate)",INDIRECT("'"&amp;$A81&amp;"'!$A$12:$Z$12"),0),0)="","?",VLOOKUP(O$1,INDIRECT("'"&amp;$A81&amp;"'!$A$12:$Z$41"),MATCH("Points (Auto-generate)",INDIRECT("'"&amp;$A81&amp;"'!$A$12:$Z$12"),0),0)),"ER"))</f>
        <v>?</v>
      </c>
      <c r="P81" s="87" t="str">
        <f aca="true">IF($H81=0,"NA",IF($A81=INDIRECT("'"&amp;$A81&amp;"'!$B$1"),IF(VLOOKUP(P$1,INDIRECT("'"&amp;$A81&amp;"'!$A$12:$Z$41"),MATCH("Points (Auto-generate)",INDIRECT("'"&amp;$A81&amp;"'!$A$12:$Z$12"),0),0)="","?",VLOOKUP(P$1,INDIRECT("'"&amp;$A81&amp;"'!$A$12:$Z$41"),MATCH("Points (Auto-generate)",INDIRECT("'"&amp;$A81&amp;"'!$A$12:$Z$12"),0),0)),"ER"))</f>
        <v>?</v>
      </c>
      <c r="Q81" s="87" t="str">
        <f aca="true">IF($H81=0,"NA",IF($A81=INDIRECT("'"&amp;$A81&amp;"'!$B$1"),IF(VLOOKUP(Q$1,INDIRECT("'"&amp;$A81&amp;"'!$A$12:$Z$41"),MATCH("Points (Auto-generate)",INDIRECT("'"&amp;$A81&amp;"'!$A$12:$Z$12"),0),0)="","?",VLOOKUP(Q$1,INDIRECT("'"&amp;$A81&amp;"'!$A$12:$Z$41"),MATCH("Points (Auto-generate)",INDIRECT("'"&amp;$A81&amp;"'!$A$12:$Z$12"),0),0)),"ER"))</f>
        <v>?</v>
      </c>
      <c r="R81" s="87" t="str">
        <f aca="true">IF($H81=0,"NA",IF($A81=INDIRECT("'"&amp;$A81&amp;"'!$B$1"),IF(VLOOKUP(R$1,INDIRECT("'"&amp;$A81&amp;"'!$A$12:$Z$41"),MATCH("Points (Auto-generate)",INDIRECT("'"&amp;$A81&amp;"'!$A$12:$Z$12"),0),0)="","?",VLOOKUP(R$1,INDIRECT("'"&amp;$A81&amp;"'!$A$12:$Z$41"),MATCH("Points (Auto-generate)",INDIRECT("'"&amp;$A81&amp;"'!$A$12:$Z$12"),0),0)),"ER"))</f>
        <v>?</v>
      </c>
      <c r="S81" s="87" t="str">
        <f aca="true">IF($H81=0,"NA",IF($A81=INDIRECT("'"&amp;$A81&amp;"'!$B$1"),IF(VLOOKUP(S$1,INDIRECT("'"&amp;$A81&amp;"'!$A$12:$Z$41"),MATCH("Points (Auto-generate)",INDIRECT("'"&amp;$A81&amp;"'!$A$12:$Z$12"),0),0)="","?",VLOOKUP(S$1,INDIRECT("'"&amp;$A81&amp;"'!$A$12:$Z$41"),MATCH("Points (Auto-generate)",INDIRECT("'"&amp;$A81&amp;"'!$A$12:$Z$12"),0),0)),"ER"))</f>
        <v>?</v>
      </c>
      <c r="T81" s="87" t="str">
        <f aca="true">IF($H81=0,"NA",IF($A81=INDIRECT("'"&amp;$A81&amp;"'!$B$1"),IF(VLOOKUP(T$1,INDIRECT("'"&amp;$A81&amp;"'!$A$12:$Z$41"),MATCH("Points (Auto-generate)",INDIRECT("'"&amp;$A81&amp;"'!$A$12:$Z$12"),0),0)="","?",VLOOKUP(T$1,INDIRECT("'"&amp;$A81&amp;"'!$A$12:$Z$41"),MATCH("Points (Auto-generate)",INDIRECT("'"&amp;$A81&amp;"'!$A$12:$Z$12"),0),0)),"ER"))</f>
        <v>?</v>
      </c>
      <c r="U81" s="87" t="str">
        <f aca="true">IF($H81=0,"NA",IF($A81=INDIRECT("'"&amp;$A81&amp;"'!$B$1"),IF(VLOOKUP(U$1,INDIRECT("'"&amp;$A81&amp;"'!$A$12:$Z$41"),MATCH("Points (Auto-generate)",INDIRECT("'"&amp;$A81&amp;"'!$A$12:$Z$12"),0),0)="","?",VLOOKUP(U$1,INDIRECT("'"&amp;$A81&amp;"'!$A$12:$Z$41"),MATCH("Points (Auto-generate)",INDIRECT("'"&amp;$A81&amp;"'!$A$12:$Z$12"),0),0)),"ER"))</f>
        <v>?</v>
      </c>
      <c r="V81" s="87" t="str">
        <f aca="true">IF($H81=0,"NA",IF($A81=INDIRECT("'"&amp;$A81&amp;"'!$B$1"),IF(VLOOKUP(V$1,INDIRECT("'"&amp;$A81&amp;"'!$A$12:$Z$41"),MATCH("Points (Auto-generate)",INDIRECT("'"&amp;$A81&amp;"'!$A$12:$Z$12"),0),0)="","?",VLOOKUP(V$1,INDIRECT("'"&amp;$A81&amp;"'!$A$12:$Z$41"),MATCH("Points (Auto-generate)",INDIRECT("'"&amp;$A81&amp;"'!$A$12:$Z$12"),0),0)),"ER"))</f>
        <v>?</v>
      </c>
      <c r="W81" s="87" t="str">
        <f aca="true">IF($H81=0,"NA",IF($A81=INDIRECT("'"&amp;$A81&amp;"'!$B$1"),IF(VLOOKUP(W$1,INDIRECT("'"&amp;$A81&amp;"'!$A$12:$Z$41"),MATCH("Points (Auto-generate)",INDIRECT("'"&amp;$A81&amp;"'!$A$12:$Z$12"),0),0)="","?",VLOOKUP(W$1,INDIRECT("'"&amp;$A81&amp;"'!$A$12:$Z$41"),MATCH("Points (Auto-generate)",INDIRECT("'"&amp;$A81&amp;"'!$A$12:$Z$12"),0),0)),"ER"))</f>
        <v>?</v>
      </c>
      <c r="X81" s="87" t="str">
        <f aca="true">IF($H81=0,"NA",IF($A81=INDIRECT("'"&amp;$A81&amp;"'!$B$1"),IF(VLOOKUP(X$1,INDIRECT("'"&amp;$A81&amp;"'!$A$12:$Z$41"),MATCH("Points (Auto-generate)",INDIRECT("'"&amp;$A81&amp;"'!$A$12:$Z$12"),0),0)="","?",VLOOKUP(X$1,INDIRECT("'"&amp;$A81&amp;"'!$A$12:$Z$41"),MATCH("Points (Auto-generate)",INDIRECT("'"&amp;$A81&amp;"'!$A$12:$Z$12"),0),0)),"ER"))</f>
        <v>?</v>
      </c>
      <c r="Y81" s="87" t="str">
        <f aca="true">IF($H81=0,"NA",IF($A81=INDIRECT("'"&amp;$A81&amp;"'!$B$1"),IF(VLOOKUP(Y$1,INDIRECT("'"&amp;$A81&amp;"'!$A$12:$Z$41"),MATCH("Points (Auto-generate)",INDIRECT("'"&amp;$A81&amp;"'!$A$12:$Z$12"),0),0)="","?",VLOOKUP(Y$1,INDIRECT("'"&amp;$A81&amp;"'!$A$12:$Z$41"),MATCH("Points (Auto-generate)",INDIRECT("'"&amp;$A81&amp;"'!$A$12:$Z$12"),0),0)),"ER"))</f>
        <v>?</v>
      </c>
      <c r="Z81" s="87" t="str">
        <f aca="true">IF($H81=0,"NA",IF($A81=INDIRECT("'"&amp;$A81&amp;"'!$B$1"),IF(VLOOKUP(Z$1,INDIRECT("'"&amp;$A81&amp;"'!$A$12:$Z$41"),MATCH("Points (Auto-generate)",INDIRECT("'"&amp;$A81&amp;"'!$A$12:$Z$12"),0),0)="","?",VLOOKUP(Z$1,INDIRECT("'"&amp;$A81&amp;"'!$A$12:$Z$41"),MATCH("Points (Auto-generate)",INDIRECT("'"&amp;$A81&amp;"'!$A$12:$Z$12"),0),0)),"ER"))</f>
        <v>?</v>
      </c>
      <c r="AA81" s="87" t="str">
        <f aca="true">IF($H81=0,"NA",IF($A81=INDIRECT("'"&amp;$A81&amp;"'!$B$1"),IF(VLOOKUP(AA$1,INDIRECT("'"&amp;$A81&amp;"'!$A$12:$Z$41"),MATCH("Points (Auto-generate)",INDIRECT("'"&amp;$A81&amp;"'!$A$12:$Z$12"),0),0)="","?",VLOOKUP(AA$1,INDIRECT("'"&amp;$A81&amp;"'!$A$12:$Z$41"),MATCH("Points (Auto-generate)",INDIRECT("'"&amp;$A81&amp;"'!$A$12:$Z$12"),0),0)),"ER"))</f>
        <v>?</v>
      </c>
      <c r="AB81" s="87" t="str">
        <f aca="true">IF($H81=0,"NA",IF($A81=INDIRECT("'"&amp;$A81&amp;"'!$B$1"),IF(VLOOKUP(AB$1,INDIRECT("'"&amp;$A81&amp;"'!$A$12:$Z$41"),MATCH("Points (Auto-generate)",INDIRECT("'"&amp;$A81&amp;"'!$A$12:$Z$12"),0),0)="","?",VLOOKUP(AB$1,INDIRECT("'"&amp;$A81&amp;"'!$A$12:$Z$41"),MATCH("Points (Auto-generate)",INDIRECT("'"&amp;$A81&amp;"'!$A$12:$Z$12"),0),0)),"ER"))</f>
        <v>?</v>
      </c>
      <c r="AC81" s="87" t="n">
        <f aca="true">IF($H81=0,"NA",IF($A81=INDIRECT("'"&amp;$A81&amp;"'!$B$1"),IF(VLOOKUP(AC$1,INDIRECT("'"&amp;$A81&amp;"'!$A$12:$Z$41"),MATCH("Points (Auto-generate)",INDIRECT("'"&amp;$A81&amp;"'!$A$12:$Z$12"),0),0)="","?",VLOOKUP(AC$1,INDIRECT("'"&amp;$A81&amp;"'!$A$12:$Z$41"),MATCH("Points (Auto-generate)",INDIRECT("'"&amp;$A81&amp;"'!$A$12:$Z$12"),0),0)),"ER"))</f>
        <v>2.5</v>
      </c>
      <c r="AD81" s="87" t="str">
        <f aca="true">IF($H81=0,"NA",IF($A81=INDIRECT("'"&amp;$A81&amp;"'!$B$1"),IF(VLOOKUP(AD$1,INDIRECT("'"&amp;$A81&amp;"'!$A$12:$Z$41"),MATCH("Points (Auto-generate)",INDIRECT("'"&amp;$A81&amp;"'!$A$12:$Z$12"),0),0)="","?",VLOOKUP(AD$1,INDIRECT("'"&amp;$A81&amp;"'!$A$12:$Z$41"),MATCH("Points (Auto-generate)",INDIRECT("'"&amp;$A81&amp;"'!$A$12:$Z$12"),0),0)),"ER"))</f>
        <v>?</v>
      </c>
      <c r="AE81" s="87" t="str">
        <f aca="true">IF($H81=0,"NA",IF($A81=INDIRECT("'"&amp;$A81&amp;"'!$B$1"),IF(VLOOKUP(AE$1,INDIRECT("'"&amp;$A81&amp;"'!$A$12:$Z$41"),MATCH("Points (Auto-generate)",INDIRECT("'"&amp;$A81&amp;"'!$A$12:$Z$12"),0),0)="","?",VLOOKUP(AE$1,INDIRECT("'"&amp;$A81&amp;"'!$A$12:$Z$41"),MATCH("Points (Auto-generate)",INDIRECT("'"&amp;$A81&amp;"'!$A$12:$Z$12"),0),0)),"ER"))</f>
        <v>?</v>
      </c>
      <c r="AF81" s="87" t="str">
        <f aca="true">IF($H81=0,"NA",IF($A81=INDIRECT("'"&amp;$A81&amp;"'!$B$1"),IF(VLOOKUP(AF$1,INDIRECT("'"&amp;$A81&amp;"'!$A$12:$Z$41"),MATCH("Points (Auto-generate)",INDIRECT("'"&amp;$A81&amp;"'!$A$12:$Z$12"),0),0)="","?",VLOOKUP(AF$1,INDIRECT("'"&amp;$A81&amp;"'!$A$12:$Z$41"),MATCH("Points (Auto-generate)",INDIRECT("'"&amp;$A81&amp;"'!$A$12:$Z$12"),0),0)),"ER"))</f>
        <v>?</v>
      </c>
      <c r="AG81" s="87" t="str">
        <f aca="true">IF($H81=0,"NA",IF($A81=INDIRECT("'"&amp;$A81&amp;"'!$B$1"),IF(VLOOKUP(AG$1,INDIRECT("'"&amp;$A81&amp;"'!$A$12:$Z$41"),MATCH("Points (Auto-generate)",INDIRECT("'"&amp;$A81&amp;"'!$A$12:$Z$12"),0),0)="","?",VLOOKUP(AG$1,INDIRECT("'"&amp;$A81&amp;"'!$A$12:$Z$41"),MATCH("Points (Auto-generate)",INDIRECT("'"&amp;$A81&amp;"'!$A$12:$Z$12"),0),0)),"ER"))</f>
        <v>?</v>
      </c>
      <c r="AH81" s="87" t="str">
        <f aca="true">IF($H81=0,"NA",IF($A81=INDIRECT("'"&amp;$A81&amp;"'!$B$1"),IF(VLOOKUP(AH$1,INDIRECT("'"&amp;$A81&amp;"'!$A$12:$Z$41"),MATCH("Points (Auto-generate)",INDIRECT("'"&amp;$A81&amp;"'!$A$12:$Z$12"),0),0)="","?",VLOOKUP(AH$1,INDIRECT("'"&amp;$A81&amp;"'!$A$12:$Z$41"),MATCH("Points (Auto-generate)",INDIRECT("'"&amp;$A81&amp;"'!$A$12:$Z$12"),0),0)),"ER"))</f>
        <v>?</v>
      </c>
      <c r="AI81" s="87" t="str">
        <f aca="true">IF($H81=0,"NA",IF($A81=INDIRECT("'"&amp;$A81&amp;"'!$B$1"),IF(VLOOKUP(AI$1,INDIRECT("'"&amp;$A81&amp;"'!$A$12:$Z$41"),MATCH("Points (Auto-generate)",INDIRECT("'"&amp;$A81&amp;"'!$A$12:$Z$12"),0),0)="","?",VLOOKUP(AI$1,INDIRECT("'"&amp;$A81&amp;"'!$A$12:$Z$41"),MATCH("Points (Auto-generate)",INDIRECT("'"&amp;$A81&amp;"'!$A$12:$Z$12"),0),0)),"ER"))</f>
        <v>?</v>
      </c>
      <c r="AJ81" s="87" t="str">
        <f aca="true">IF($H81=0,"NA",IF($A81=INDIRECT("'"&amp;$A81&amp;"'!$B$1"),IF(VLOOKUP(AJ$1,INDIRECT("'"&amp;$A81&amp;"'!$A$12:$Z$41"),MATCH("Points (Auto-generate)",INDIRECT("'"&amp;$A81&amp;"'!$A$12:$Z$12"),0),0)="","?",VLOOKUP(AJ$1,INDIRECT("'"&amp;$A81&amp;"'!$A$12:$Z$41"),MATCH("Points (Auto-generate)",INDIRECT("'"&amp;$A81&amp;"'!$A$12:$Z$12"),0),0)),"ER"))</f>
        <v>?</v>
      </c>
      <c r="AK81" s="87" t="str">
        <f aca="true">IF($H81=0,"NA",IF($A81=INDIRECT("'"&amp;$A81&amp;"'!$B$1"),IF(VLOOKUP(AK$1,INDIRECT("'"&amp;$A81&amp;"'!$A$12:$Z$41"),MATCH("Points (Auto-generate)",INDIRECT("'"&amp;$A81&amp;"'!$A$12:$Z$12"),0),0)="","?",VLOOKUP(AK$1,INDIRECT("'"&amp;$A81&amp;"'!$A$12:$Z$41"),MATCH("Points (Auto-generate)",INDIRECT("'"&amp;$A81&amp;"'!$A$12:$Z$12"),0),0)),"ER"))</f>
        <v>?</v>
      </c>
    </row>
    <row r="82" customFormat="false" ht="14.25" hidden="false" customHeight="true" outlineLevel="0" collapsed="false">
      <c r="A82" s="83" t="s">
        <v>447</v>
      </c>
      <c r="B82" s="84" t="str">
        <f aca="false">IF(ISBLANK($A82),"NO_CODE",VLOOKUP($A82,'UPD Questions_290926 '!$E$1:$N$300,MATCH(B$1,'UPD Questions_290926 '!$E$1:$N$1,0),0)&amp;"")</f>
        <v>Implementation</v>
      </c>
      <c r="C82" s="84" t="str">
        <f aca="false">IF(ISBLANK($A82),"NO_CODE",VLOOKUP($A82,'UPD Questions_290926 '!$E$1:$N$300,MATCH(C$1,'UPD Questions_290926 '!$E$1:$N$1,0),0)&amp;"")</f>
        <v>Does the city have dedicated institutional capacity to undertake specialised planning and development functions?</v>
      </c>
      <c r="D82" s="84" t="str">
        <f aca="false">IF(ISBLANK($A82),"NO_CODE",VLOOKUP($A82,'UPD Questions_290926 '!$E$1:$N$300,MATCH(D$1,'UPD Questions_290926 '!$E$1:$N$1,0),0)&amp;"")</f>
        <v>Economic development</v>
      </c>
      <c r="E82" s="84" t="str">
        <f aca="false">IF(ISBLANK($A82),"NO_CODE",VLOOKUP($A82,'UPD Questions_290926 '!$E$1:$N$300,MATCH(E$1,'UPD Questions_290926 '!$E$1:$N$1,0),0)&amp;"")</f>
        <v>SQ</v>
      </c>
      <c r="F82" s="84" t="str">
        <f aca="false">IF(ISBLANK($A82),"NO_CODE",VLOOKUP($A82,'UPD Questions_290926 '!$E$1:$N$300,MATCH(F$1,'UPD Questions_290926 '!$E$1:$N$1,0),0)&amp;"")</f>
        <v>Does the city have an Economic Develepment Cell ?</v>
      </c>
      <c r="G82" s="84" t="str">
        <f aca="false">IF(ISBLANK($A82),"NO_CODE",VLOOKUP($A82,'UPD Questions_290926 '!$E$1:$N$300,MATCH(G$1,'UPD Questions_290926 '!$E$1:$N$1,0),0)&amp;"")</f>
        <v>Implementation</v>
      </c>
      <c r="H82" s="86" t="n">
        <f aca="false">IF(ISBLANK($A82),"NO_CODE",VLOOKUP($A82,'UPD Questions_290926 '!$E$1:$N$300,MATCH(H$1,'UPD Questions_290926 '!$E$1:$N$1,0),0))</f>
        <v>2.5</v>
      </c>
      <c r="I82" s="87" t="str">
        <f aca="true">IF($H82=0,"NA",IF($A82=INDIRECT("'"&amp;$A82&amp;"'!$B$1"),IF(VLOOKUP(I$1,INDIRECT("'"&amp;$A82&amp;"'!$A$12:$Z$41"),MATCH("Points (Auto-generate)",INDIRECT("'"&amp;$A82&amp;"'!$A$12:$Z$12"),0),0)="","?",VLOOKUP(I$1,INDIRECT("'"&amp;$A82&amp;"'!$A$12:$Z$41"),MATCH("Points (Auto-generate)",INDIRECT("'"&amp;$A82&amp;"'!$A$12:$Z$12"),0),0)),"ER"))</f>
        <v>?</v>
      </c>
      <c r="J82" s="87" t="str">
        <f aca="true">IF($H82=0,"NA",IF($A82=INDIRECT("'"&amp;$A82&amp;"'!$B$1"),IF(VLOOKUP(J$1,INDIRECT("'"&amp;$A82&amp;"'!$A$12:$Z$41"),MATCH("Points (Auto-generate)",INDIRECT("'"&amp;$A82&amp;"'!$A$12:$Z$12"),0),0)="","?",VLOOKUP(J$1,INDIRECT("'"&amp;$A82&amp;"'!$A$12:$Z$41"),MATCH("Points (Auto-generate)",INDIRECT("'"&amp;$A82&amp;"'!$A$12:$Z$12"),0),0)),"ER"))</f>
        <v>?</v>
      </c>
      <c r="K82" s="87" t="str">
        <f aca="true">IF($H82=0,"NA",IF($A82=INDIRECT("'"&amp;$A82&amp;"'!$B$1"),IF(VLOOKUP(K$1,INDIRECT("'"&amp;$A82&amp;"'!$A$12:$Z$41"),MATCH("Points (Auto-generate)",INDIRECT("'"&amp;$A82&amp;"'!$A$12:$Z$12"),0),0)="","?",VLOOKUP(K$1,INDIRECT("'"&amp;$A82&amp;"'!$A$12:$Z$41"),MATCH("Points (Auto-generate)",INDIRECT("'"&amp;$A82&amp;"'!$A$12:$Z$12"),0),0)),"ER"))</f>
        <v>?</v>
      </c>
      <c r="L82" s="87" t="str">
        <f aca="true">IF($H82=0,"NA",IF($A82=INDIRECT("'"&amp;$A82&amp;"'!$B$1"),IF(VLOOKUP(L$1,INDIRECT("'"&amp;$A82&amp;"'!$A$12:$Z$41"),MATCH("Points (Auto-generate)",INDIRECT("'"&amp;$A82&amp;"'!$A$12:$Z$12"),0),0)="","?",VLOOKUP(L$1,INDIRECT("'"&amp;$A82&amp;"'!$A$12:$Z$41"),MATCH("Points (Auto-generate)",INDIRECT("'"&amp;$A82&amp;"'!$A$12:$Z$12"),0),0)),"ER"))</f>
        <v>?</v>
      </c>
      <c r="M82" s="87" t="str">
        <f aca="true">IF($H82=0,"NA",IF($A82=INDIRECT("'"&amp;$A82&amp;"'!$B$1"),IF(VLOOKUP(M$1,INDIRECT("'"&amp;$A82&amp;"'!$A$12:$Z$41"),MATCH("Points (Auto-generate)",INDIRECT("'"&amp;$A82&amp;"'!$A$12:$Z$12"),0),0)="","?",VLOOKUP(M$1,INDIRECT("'"&amp;$A82&amp;"'!$A$12:$Z$41"),MATCH("Points (Auto-generate)",INDIRECT("'"&amp;$A82&amp;"'!$A$12:$Z$12"),0),0)),"ER"))</f>
        <v>?</v>
      </c>
      <c r="N82" s="87" t="str">
        <f aca="true">IF($H82=0,"NA",IF($A82=INDIRECT("'"&amp;$A82&amp;"'!$B$1"),IF(VLOOKUP(N$1,INDIRECT("'"&amp;$A82&amp;"'!$A$12:$Z$41"),MATCH("Points (Auto-generate)",INDIRECT("'"&amp;$A82&amp;"'!$A$12:$Z$12"),0),0)="","?",VLOOKUP(N$1,INDIRECT("'"&amp;$A82&amp;"'!$A$12:$Z$41"),MATCH("Points (Auto-generate)",INDIRECT("'"&amp;$A82&amp;"'!$A$12:$Z$12"),0),0)),"ER"))</f>
        <v>?</v>
      </c>
      <c r="O82" s="87" t="str">
        <f aca="true">IF($H82=0,"NA",IF($A82=INDIRECT("'"&amp;$A82&amp;"'!$B$1"),IF(VLOOKUP(O$1,INDIRECT("'"&amp;$A82&amp;"'!$A$12:$Z$41"),MATCH("Points (Auto-generate)",INDIRECT("'"&amp;$A82&amp;"'!$A$12:$Z$12"),0),0)="","?",VLOOKUP(O$1,INDIRECT("'"&amp;$A82&amp;"'!$A$12:$Z$41"),MATCH("Points (Auto-generate)",INDIRECT("'"&amp;$A82&amp;"'!$A$12:$Z$12"),0),0)),"ER"))</f>
        <v>?</v>
      </c>
      <c r="P82" s="87" t="str">
        <f aca="true">IF($H82=0,"NA",IF($A82=INDIRECT("'"&amp;$A82&amp;"'!$B$1"),IF(VLOOKUP(P$1,INDIRECT("'"&amp;$A82&amp;"'!$A$12:$Z$41"),MATCH("Points (Auto-generate)",INDIRECT("'"&amp;$A82&amp;"'!$A$12:$Z$12"),0),0)="","?",VLOOKUP(P$1,INDIRECT("'"&amp;$A82&amp;"'!$A$12:$Z$41"),MATCH("Points (Auto-generate)",INDIRECT("'"&amp;$A82&amp;"'!$A$12:$Z$12"),0),0)),"ER"))</f>
        <v>?</v>
      </c>
      <c r="Q82" s="87" t="str">
        <f aca="true">IF($H82=0,"NA",IF($A82=INDIRECT("'"&amp;$A82&amp;"'!$B$1"),IF(VLOOKUP(Q$1,INDIRECT("'"&amp;$A82&amp;"'!$A$12:$Z$41"),MATCH("Points (Auto-generate)",INDIRECT("'"&amp;$A82&amp;"'!$A$12:$Z$12"),0),0)="","?",VLOOKUP(Q$1,INDIRECT("'"&amp;$A82&amp;"'!$A$12:$Z$41"),MATCH("Points (Auto-generate)",INDIRECT("'"&amp;$A82&amp;"'!$A$12:$Z$12"),0),0)),"ER"))</f>
        <v>?</v>
      </c>
      <c r="R82" s="87" t="str">
        <f aca="true">IF($H82=0,"NA",IF($A82=INDIRECT("'"&amp;$A82&amp;"'!$B$1"),IF(VLOOKUP(R$1,INDIRECT("'"&amp;$A82&amp;"'!$A$12:$Z$41"),MATCH("Points (Auto-generate)",INDIRECT("'"&amp;$A82&amp;"'!$A$12:$Z$12"),0),0)="","?",VLOOKUP(R$1,INDIRECT("'"&amp;$A82&amp;"'!$A$12:$Z$41"),MATCH("Points (Auto-generate)",INDIRECT("'"&amp;$A82&amp;"'!$A$12:$Z$12"),0),0)),"ER"))</f>
        <v>?</v>
      </c>
      <c r="S82" s="87" t="str">
        <f aca="true">IF($H82=0,"NA",IF($A82=INDIRECT("'"&amp;$A82&amp;"'!$B$1"),IF(VLOOKUP(S$1,INDIRECT("'"&amp;$A82&amp;"'!$A$12:$Z$41"),MATCH("Points (Auto-generate)",INDIRECT("'"&amp;$A82&amp;"'!$A$12:$Z$12"),0),0)="","?",VLOOKUP(S$1,INDIRECT("'"&amp;$A82&amp;"'!$A$12:$Z$41"),MATCH("Points (Auto-generate)",INDIRECT("'"&amp;$A82&amp;"'!$A$12:$Z$12"),0),0)),"ER"))</f>
        <v>?</v>
      </c>
      <c r="T82" s="87" t="str">
        <f aca="true">IF($H82=0,"NA",IF($A82=INDIRECT("'"&amp;$A82&amp;"'!$B$1"),IF(VLOOKUP(T$1,INDIRECT("'"&amp;$A82&amp;"'!$A$12:$Z$41"),MATCH("Points (Auto-generate)",INDIRECT("'"&amp;$A82&amp;"'!$A$12:$Z$12"),0),0)="","?",VLOOKUP(T$1,INDIRECT("'"&amp;$A82&amp;"'!$A$12:$Z$41"),MATCH("Points (Auto-generate)",INDIRECT("'"&amp;$A82&amp;"'!$A$12:$Z$12"),0),0)),"ER"))</f>
        <v>?</v>
      </c>
      <c r="U82" s="87" t="str">
        <f aca="true">IF($H82=0,"NA",IF($A82=INDIRECT("'"&amp;$A82&amp;"'!$B$1"),IF(VLOOKUP(U$1,INDIRECT("'"&amp;$A82&amp;"'!$A$12:$Z$41"),MATCH("Points (Auto-generate)",INDIRECT("'"&amp;$A82&amp;"'!$A$12:$Z$12"),0),0)="","?",VLOOKUP(U$1,INDIRECT("'"&amp;$A82&amp;"'!$A$12:$Z$41"),MATCH("Points (Auto-generate)",INDIRECT("'"&amp;$A82&amp;"'!$A$12:$Z$12"),0),0)),"ER"))</f>
        <v>?</v>
      </c>
      <c r="V82" s="87" t="str">
        <f aca="true">IF($H82=0,"NA",IF($A82=INDIRECT("'"&amp;$A82&amp;"'!$B$1"),IF(VLOOKUP(V$1,INDIRECT("'"&amp;$A82&amp;"'!$A$12:$Z$41"),MATCH("Points (Auto-generate)",INDIRECT("'"&amp;$A82&amp;"'!$A$12:$Z$12"),0),0)="","?",VLOOKUP(V$1,INDIRECT("'"&amp;$A82&amp;"'!$A$12:$Z$41"),MATCH("Points (Auto-generate)",INDIRECT("'"&amp;$A82&amp;"'!$A$12:$Z$12"),0),0)),"ER"))</f>
        <v>?</v>
      </c>
      <c r="W82" s="87" t="str">
        <f aca="true">IF($H82=0,"NA",IF($A82=INDIRECT("'"&amp;$A82&amp;"'!$B$1"),IF(VLOOKUP(W$1,INDIRECT("'"&amp;$A82&amp;"'!$A$12:$Z$41"),MATCH("Points (Auto-generate)",INDIRECT("'"&amp;$A82&amp;"'!$A$12:$Z$12"),0),0)="","?",VLOOKUP(W$1,INDIRECT("'"&amp;$A82&amp;"'!$A$12:$Z$41"),MATCH("Points (Auto-generate)",INDIRECT("'"&amp;$A82&amp;"'!$A$12:$Z$12"),0),0)),"ER"))</f>
        <v>?</v>
      </c>
      <c r="X82" s="87" t="str">
        <f aca="true">IF($H82=0,"NA",IF($A82=INDIRECT("'"&amp;$A82&amp;"'!$B$1"),IF(VLOOKUP(X$1,INDIRECT("'"&amp;$A82&amp;"'!$A$12:$Z$41"),MATCH("Points (Auto-generate)",INDIRECT("'"&amp;$A82&amp;"'!$A$12:$Z$12"),0),0)="","?",VLOOKUP(X$1,INDIRECT("'"&amp;$A82&amp;"'!$A$12:$Z$41"),MATCH("Points (Auto-generate)",INDIRECT("'"&amp;$A82&amp;"'!$A$12:$Z$12"),0),0)),"ER"))</f>
        <v>?</v>
      </c>
      <c r="Y82" s="87" t="str">
        <f aca="true">IF($H82=0,"NA",IF($A82=INDIRECT("'"&amp;$A82&amp;"'!$B$1"),IF(VLOOKUP(Y$1,INDIRECT("'"&amp;$A82&amp;"'!$A$12:$Z$41"),MATCH("Points (Auto-generate)",INDIRECT("'"&amp;$A82&amp;"'!$A$12:$Z$12"),0),0)="","?",VLOOKUP(Y$1,INDIRECT("'"&amp;$A82&amp;"'!$A$12:$Z$41"),MATCH("Points (Auto-generate)",INDIRECT("'"&amp;$A82&amp;"'!$A$12:$Z$12"),0),0)),"ER"))</f>
        <v>?</v>
      </c>
      <c r="Z82" s="87" t="str">
        <f aca="true">IF($H82=0,"NA",IF($A82=INDIRECT("'"&amp;$A82&amp;"'!$B$1"),IF(VLOOKUP(Z$1,INDIRECT("'"&amp;$A82&amp;"'!$A$12:$Z$41"),MATCH("Points (Auto-generate)",INDIRECT("'"&amp;$A82&amp;"'!$A$12:$Z$12"),0),0)="","?",VLOOKUP(Z$1,INDIRECT("'"&amp;$A82&amp;"'!$A$12:$Z$41"),MATCH("Points (Auto-generate)",INDIRECT("'"&amp;$A82&amp;"'!$A$12:$Z$12"),0),0)),"ER"))</f>
        <v>?</v>
      </c>
      <c r="AA82" s="87" t="str">
        <f aca="true">IF($H82=0,"NA",IF($A82=INDIRECT("'"&amp;$A82&amp;"'!$B$1"),IF(VLOOKUP(AA$1,INDIRECT("'"&amp;$A82&amp;"'!$A$12:$Z$41"),MATCH("Points (Auto-generate)",INDIRECT("'"&amp;$A82&amp;"'!$A$12:$Z$12"),0),0)="","?",VLOOKUP(AA$1,INDIRECT("'"&amp;$A82&amp;"'!$A$12:$Z$41"),MATCH("Points (Auto-generate)",INDIRECT("'"&amp;$A82&amp;"'!$A$12:$Z$12"),0),0)),"ER"))</f>
        <v>?</v>
      </c>
      <c r="AB82" s="87" t="str">
        <f aca="true">IF($H82=0,"NA",IF($A82=INDIRECT("'"&amp;$A82&amp;"'!$B$1"),IF(VLOOKUP(AB$1,INDIRECT("'"&amp;$A82&amp;"'!$A$12:$Z$41"),MATCH("Points (Auto-generate)",INDIRECT("'"&amp;$A82&amp;"'!$A$12:$Z$12"),0),0)="","?",VLOOKUP(AB$1,INDIRECT("'"&amp;$A82&amp;"'!$A$12:$Z$41"),MATCH("Points (Auto-generate)",INDIRECT("'"&amp;$A82&amp;"'!$A$12:$Z$12"),0),0)),"ER"))</f>
        <v>?</v>
      </c>
      <c r="AC82" s="87" t="str">
        <f aca="true">IF($H82=0,"NA",IF($A82=INDIRECT("'"&amp;$A82&amp;"'!$B$1"),IF(VLOOKUP(AC$1,INDIRECT("'"&amp;$A82&amp;"'!$A$12:$Z$41"),MATCH("Points (Auto-generate)",INDIRECT("'"&amp;$A82&amp;"'!$A$12:$Z$12"),0),0)="","?",VLOOKUP(AC$1,INDIRECT("'"&amp;$A82&amp;"'!$A$12:$Z$41"),MATCH("Points (Auto-generate)",INDIRECT("'"&amp;$A82&amp;"'!$A$12:$Z$12"),0),0)),"ER"))</f>
        <v>?</v>
      </c>
      <c r="AD82" s="87" t="str">
        <f aca="true">IF($H82=0,"NA",IF($A82=INDIRECT("'"&amp;$A82&amp;"'!$B$1"),IF(VLOOKUP(AD$1,INDIRECT("'"&amp;$A82&amp;"'!$A$12:$Z$41"),MATCH("Points (Auto-generate)",INDIRECT("'"&amp;$A82&amp;"'!$A$12:$Z$12"),0),0)="","?",VLOOKUP(AD$1,INDIRECT("'"&amp;$A82&amp;"'!$A$12:$Z$41"),MATCH("Points (Auto-generate)",INDIRECT("'"&amp;$A82&amp;"'!$A$12:$Z$12"),0),0)),"ER"))</f>
        <v>?</v>
      </c>
      <c r="AE82" s="87" t="str">
        <f aca="true">IF($H82=0,"NA",IF($A82=INDIRECT("'"&amp;$A82&amp;"'!$B$1"),IF(VLOOKUP(AE$1,INDIRECT("'"&amp;$A82&amp;"'!$A$12:$Z$41"),MATCH("Points (Auto-generate)",INDIRECT("'"&amp;$A82&amp;"'!$A$12:$Z$12"),0),0)="","?",VLOOKUP(AE$1,INDIRECT("'"&amp;$A82&amp;"'!$A$12:$Z$41"),MATCH("Points (Auto-generate)",INDIRECT("'"&amp;$A82&amp;"'!$A$12:$Z$12"),0),0)),"ER"))</f>
        <v>?</v>
      </c>
      <c r="AF82" s="87" t="str">
        <f aca="true">IF($H82=0,"NA",IF($A82=INDIRECT("'"&amp;$A82&amp;"'!$B$1"),IF(VLOOKUP(AF$1,INDIRECT("'"&amp;$A82&amp;"'!$A$12:$Z$41"),MATCH("Points (Auto-generate)",INDIRECT("'"&amp;$A82&amp;"'!$A$12:$Z$12"),0),0)="","?",VLOOKUP(AF$1,INDIRECT("'"&amp;$A82&amp;"'!$A$12:$Z$41"),MATCH("Points (Auto-generate)",INDIRECT("'"&amp;$A82&amp;"'!$A$12:$Z$12"),0),0)),"ER"))</f>
        <v>?</v>
      </c>
      <c r="AG82" s="87" t="str">
        <f aca="true">IF($H82=0,"NA",IF($A82=INDIRECT("'"&amp;$A82&amp;"'!$B$1"),IF(VLOOKUP(AG$1,INDIRECT("'"&amp;$A82&amp;"'!$A$12:$Z$41"),MATCH("Points (Auto-generate)",INDIRECT("'"&amp;$A82&amp;"'!$A$12:$Z$12"),0),0)="","?",VLOOKUP(AG$1,INDIRECT("'"&amp;$A82&amp;"'!$A$12:$Z$41"),MATCH("Points (Auto-generate)",INDIRECT("'"&amp;$A82&amp;"'!$A$12:$Z$12"),0),0)),"ER"))</f>
        <v>?</v>
      </c>
      <c r="AH82" s="87" t="str">
        <f aca="true">IF($H82=0,"NA",IF($A82=INDIRECT("'"&amp;$A82&amp;"'!$B$1"),IF(VLOOKUP(AH$1,INDIRECT("'"&amp;$A82&amp;"'!$A$12:$Z$41"),MATCH("Points (Auto-generate)",INDIRECT("'"&amp;$A82&amp;"'!$A$12:$Z$12"),0),0)="","?",VLOOKUP(AH$1,INDIRECT("'"&amp;$A82&amp;"'!$A$12:$Z$41"),MATCH("Points (Auto-generate)",INDIRECT("'"&amp;$A82&amp;"'!$A$12:$Z$12"),0),0)),"ER"))</f>
        <v>?</v>
      </c>
      <c r="AI82" s="87" t="str">
        <f aca="true">IF($H82=0,"NA",IF($A82=INDIRECT("'"&amp;$A82&amp;"'!$B$1"),IF(VLOOKUP(AI$1,INDIRECT("'"&amp;$A82&amp;"'!$A$12:$Z$41"),MATCH("Points (Auto-generate)",INDIRECT("'"&amp;$A82&amp;"'!$A$12:$Z$12"),0),0)="","?",VLOOKUP(AI$1,INDIRECT("'"&amp;$A82&amp;"'!$A$12:$Z$41"),MATCH("Points (Auto-generate)",INDIRECT("'"&amp;$A82&amp;"'!$A$12:$Z$12"),0),0)),"ER"))</f>
        <v>?</v>
      </c>
      <c r="AJ82" s="87" t="str">
        <f aca="true">IF($H82=0,"NA",IF($A82=INDIRECT("'"&amp;$A82&amp;"'!$B$1"),IF(VLOOKUP(AJ$1,INDIRECT("'"&amp;$A82&amp;"'!$A$12:$Z$41"),MATCH("Points (Auto-generate)",INDIRECT("'"&amp;$A82&amp;"'!$A$12:$Z$12"),0),0)="","?",VLOOKUP(AJ$1,INDIRECT("'"&amp;$A82&amp;"'!$A$12:$Z$41"),MATCH("Points (Auto-generate)",INDIRECT("'"&amp;$A82&amp;"'!$A$12:$Z$12"),0),0)),"ER"))</f>
        <v>?</v>
      </c>
      <c r="AK82" s="87" t="str">
        <f aca="true">IF($H82=0,"NA",IF($A82=INDIRECT("'"&amp;$A82&amp;"'!$B$1"),IF(VLOOKUP(AK$1,INDIRECT("'"&amp;$A82&amp;"'!$A$12:$Z$41"),MATCH("Points (Auto-generate)",INDIRECT("'"&amp;$A82&amp;"'!$A$12:$Z$12"),0),0)="","?",VLOOKUP(AK$1,INDIRECT("'"&amp;$A82&amp;"'!$A$12:$Z$41"),MATCH("Points (Auto-generate)",INDIRECT("'"&amp;$A82&amp;"'!$A$12:$Z$12"),0),0)),"ER"))</f>
        <v>?</v>
      </c>
    </row>
    <row r="83" customFormat="false" ht="14.25" hidden="false" customHeight="true" outlineLevel="0" collapsed="false">
      <c r="A83" s="83" t="s">
        <v>451</v>
      </c>
      <c r="B83" s="84" t="str">
        <f aca="false">IF(ISBLANK($A83),"NO_CODE",VLOOKUP($A83,'UPD Questions_290926 '!$E$1:$N$300,MATCH(B$1,'UPD Questions_290926 '!$E$1:$N$1,0),0)&amp;"")</f>
        <v>Implementation</v>
      </c>
      <c r="C83" s="84" t="str">
        <f aca="false">IF(ISBLANK($A83),"NO_CODE",VLOOKUP($A83,'UPD Questions_290926 '!$E$1:$N$300,MATCH(C$1,'UPD Questions_290926 '!$E$1:$N$1,0),0)&amp;"")</f>
        <v>Does the city have dedicated institutional capacity to undertake specialised planning and development functions?</v>
      </c>
      <c r="D83" s="84" t="str">
        <f aca="false">IF(ISBLANK($A83),"NO_CODE",VLOOKUP($A83,'UPD Questions_290926 '!$E$1:$N$300,MATCH(D$1,'UPD Questions_290926 '!$E$1:$N$1,0),0)&amp;"")</f>
        <v>Women's welfare or development</v>
      </c>
      <c r="E83" s="84" t="str">
        <f aca="false">IF(ISBLANK($A83),"NO_CODE",VLOOKUP($A83,'UPD Questions_290926 '!$E$1:$N$300,MATCH(E$1,'UPD Questions_290926 '!$E$1:$N$1,0),0)&amp;"")</f>
        <v>SQ</v>
      </c>
      <c r="F83" s="84" t="str">
        <f aca="false">IF(ISBLANK($A83),"NO_CODE",VLOOKUP($A83,'UPD Questions_290926 '!$E$1:$N$300,MATCH(F$1,'UPD Questions_290926 '!$E$1:$N$1,0),0)&amp;"")</f>
        <v>Does the city have a dedicated Women's Welfare/Development Cell?</v>
      </c>
      <c r="G83" s="84" t="str">
        <f aca="false">IF(ISBLANK($A83),"NO_CODE",VLOOKUP($A83,'UPD Questions_290926 '!$E$1:$N$300,MATCH(G$1,'UPD Questions_290926 '!$E$1:$N$1,0),0)&amp;"")</f>
        <v>Implementation</v>
      </c>
      <c r="H83" s="86" t="n">
        <f aca="false">IF(ISBLANK($A83),"NO_CODE",VLOOKUP($A83,'UPD Questions_290926 '!$E$1:$N$300,MATCH(H$1,'UPD Questions_290926 '!$E$1:$N$1,0),0))</f>
        <v>2.5</v>
      </c>
      <c r="I83" s="87" t="str">
        <f aca="true">IF($H83=0,"NA",IF($A83=INDIRECT("'"&amp;$A83&amp;"'!$B$1"),IF(VLOOKUP(I$1,INDIRECT("'"&amp;$A83&amp;"'!$A$12:$Z$41"),MATCH("Points (Auto-generate)",INDIRECT("'"&amp;$A83&amp;"'!$A$12:$Z$12"),0),0)="","?",VLOOKUP(I$1,INDIRECT("'"&amp;$A83&amp;"'!$A$12:$Z$41"),MATCH("Points (Auto-generate)",INDIRECT("'"&amp;$A83&amp;"'!$A$12:$Z$12"),0),0)),"ER"))</f>
        <v>?</v>
      </c>
      <c r="J83" s="87" t="str">
        <f aca="true">IF($H83=0,"NA",IF($A83=INDIRECT("'"&amp;$A83&amp;"'!$B$1"),IF(VLOOKUP(J$1,INDIRECT("'"&amp;$A83&amp;"'!$A$12:$Z$41"),MATCH("Points (Auto-generate)",INDIRECT("'"&amp;$A83&amp;"'!$A$12:$Z$12"),0),0)="","?",VLOOKUP(J$1,INDIRECT("'"&amp;$A83&amp;"'!$A$12:$Z$41"),MATCH("Points (Auto-generate)",INDIRECT("'"&amp;$A83&amp;"'!$A$12:$Z$12"),0),0)),"ER"))</f>
        <v>?</v>
      </c>
      <c r="K83" s="87" t="str">
        <f aca="true">IF($H83=0,"NA",IF($A83=INDIRECT("'"&amp;$A83&amp;"'!$B$1"),IF(VLOOKUP(K$1,INDIRECT("'"&amp;$A83&amp;"'!$A$12:$Z$41"),MATCH("Points (Auto-generate)",INDIRECT("'"&amp;$A83&amp;"'!$A$12:$Z$12"),0),0)="","?",VLOOKUP(K$1,INDIRECT("'"&amp;$A83&amp;"'!$A$12:$Z$41"),MATCH("Points (Auto-generate)",INDIRECT("'"&amp;$A83&amp;"'!$A$12:$Z$12"),0),0)),"ER"))</f>
        <v>?</v>
      </c>
      <c r="L83" s="87" t="str">
        <f aca="true">IF($H83=0,"NA",IF($A83=INDIRECT("'"&amp;$A83&amp;"'!$B$1"),IF(VLOOKUP(L$1,INDIRECT("'"&amp;$A83&amp;"'!$A$12:$Z$41"),MATCH("Points (Auto-generate)",INDIRECT("'"&amp;$A83&amp;"'!$A$12:$Z$12"),0),0)="","?",VLOOKUP(L$1,INDIRECT("'"&amp;$A83&amp;"'!$A$12:$Z$41"),MATCH("Points (Auto-generate)",INDIRECT("'"&amp;$A83&amp;"'!$A$12:$Z$12"),0),0)),"ER"))</f>
        <v>?</v>
      </c>
      <c r="M83" s="87" t="str">
        <f aca="true">IF($H83=0,"NA",IF($A83=INDIRECT("'"&amp;$A83&amp;"'!$B$1"),IF(VLOOKUP(M$1,INDIRECT("'"&amp;$A83&amp;"'!$A$12:$Z$41"),MATCH("Points (Auto-generate)",INDIRECT("'"&amp;$A83&amp;"'!$A$12:$Z$12"),0),0)="","?",VLOOKUP(M$1,INDIRECT("'"&amp;$A83&amp;"'!$A$12:$Z$41"),MATCH("Points (Auto-generate)",INDIRECT("'"&amp;$A83&amp;"'!$A$12:$Z$12"),0),0)),"ER"))</f>
        <v>?</v>
      </c>
      <c r="N83" s="87" t="str">
        <f aca="true">IF($H83=0,"NA",IF($A83=INDIRECT("'"&amp;$A83&amp;"'!$B$1"),IF(VLOOKUP(N$1,INDIRECT("'"&amp;$A83&amp;"'!$A$12:$Z$41"),MATCH("Points (Auto-generate)",INDIRECT("'"&amp;$A83&amp;"'!$A$12:$Z$12"),0),0)="","?",VLOOKUP(N$1,INDIRECT("'"&amp;$A83&amp;"'!$A$12:$Z$41"),MATCH("Points (Auto-generate)",INDIRECT("'"&amp;$A83&amp;"'!$A$12:$Z$12"),0),0)),"ER"))</f>
        <v>?</v>
      </c>
      <c r="O83" s="87" t="str">
        <f aca="true">IF($H83=0,"NA",IF($A83=INDIRECT("'"&amp;$A83&amp;"'!$B$1"),IF(VLOOKUP(O$1,INDIRECT("'"&amp;$A83&amp;"'!$A$12:$Z$41"),MATCH("Points (Auto-generate)",INDIRECT("'"&amp;$A83&amp;"'!$A$12:$Z$12"),0),0)="","?",VLOOKUP(O$1,INDIRECT("'"&amp;$A83&amp;"'!$A$12:$Z$41"),MATCH("Points (Auto-generate)",INDIRECT("'"&amp;$A83&amp;"'!$A$12:$Z$12"),0),0)),"ER"))</f>
        <v>?</v>
      </c>
      <c r="P83" s="87" t="str">
        <f aca="true">IF($H83=0,"NA",IF($A83=INDIRECT("'"&amp;$A83&amp;"'!$B$1"),IF(VLOOKUP(P$1,INDIRECT("'"&amp;$A83&amp;"'!$A$12:$Z$41"),MATCH("Points (Auto-generate)",INDIRECT("'"&amp;$A83&amp;"'!$A$12:$Z$12"),0),0)="","?",VLOOKUP(P$1,INDIRECT("'"&amp;$A83&amp;"'!$A$12:$Z$41"),MATCH("Points (Auto-generate)",INDIRECT("'"&amp;$A83&amp;"'!$A$12:$Z$12"),0),0)),"ER"))</f>
        <v>?</v>
      </c>
      <c r="Q83" s="87" t="str">
        <f aca="true">IF($H83=0,"NA",IF($A83=INDIRECT("'"&amp;$A83&amp;"'!$B$1"),IF(VLOOKUP(Q$1,INDIRECT("'"&amp;$A83&amp;"'!$A$12:$Z$41"),MATCH("Points (Auto-generate)",INDIRECT("'"&amp;$A83&amp;"'!$A$12:$Z$12"),0),0)="","?",VLOOKUP(Q$1,INDIRECT("'"&amp;$A83&amp;"'!$A$12:$Z$41"),MATCH("Points (Auto-generate)",INDIRECT("'"&amp;$A83&amp;"'!$A$12:$Z$12"),0),0)),"ER"))</f>
        <v>?</v>
      </c>
      <c r="R83" s="87" t="str">
        <f aca="true">IF($H83=0,"NA",IF($A83=INDIRECT("'"&amp;$A83&amp;"'!$B$1"),IF(VLOOKUP(R$1,INDIRECT("'"&amp;$A83&amp;"'!$A$12:$Z$41"),MATCH("Points (Auto-generate)",INDIRECT("'"&amp;$A83&amp;"'!$A$12:$Z$12"),0),0)="","?",VLOOKUP(R$1,INDIRECT("'"&amp;$A83&amp;"'!$A$12:$Z$41"),MATCH("Points (Auto-generate)",INDIRECT("'"&amp;$A83&amp;"'!$A$12:$Z$12"),0),0)),"ER"))</f>
        <v>?</v>
      </c>
      <c r="S83" s="87" t="str">
        <f aca="true">IF($H83=0,"NA",IF($A83=INDIRECT("'"&amp;$A83&amp;"'!$B$1"),IF(VLOOKUP(S$1,INDIRECT("'"&amp;$A83&amp;"'!$A$12:$Z$41"),MATCH("Points (Auto-generate)",INDIRECT("'"&amp;$A83&amp;"'!$A$12:$Z$12"),0),0)="","?",VLOOKUP(S$1,INDIRECT("'"&amp;$A83&amp;"'!$A$12:$Z$41"),MATCH("Points (Auto-generate)",INDIRECT("'"&amp;$A83&amp;"'!$A$12:$Z$12"),0),0)),"ER"))</f>
        <v>?</v>
      </c>
      <c r="T83" s="87" t="str">
        <f aca="true">IF($H83=0,"NA",IF($A83=INDIRECT("'"&amp;$A83&amp;"'!$B$1"),IF(VLOOKUP(T$1,INDIRECT("'"&amp;$A83&amp;"'!$A$12:$Z$41"),MATCH("Points (Auto-generate)",INDIRECT("'"&amp;$A83&amp;"'!$A$12:$Z$12"),0),0)="","?",VLOOKUP(T$1,INDIRECT("'"&amp;$A83&amp;"'!$A$12:$Z$41"),MATCH("Points (Auto-generate)",INDIRECT("'"&amp;$A83&amp;"'!$A$12:$Z$12"),0),0)),"ER"))</f>
        <v>?</v>
      </c>
      <c r="U83" s="87" t="str">
        <f aca="true">IF($H83=0,"NA",IF($A83=INDIRECT("'"&amp;$A83&amp;"'!$B$1"),IF(VLOOKUP(U$1,INDIRECT("'"&amp;$A83&amp;"'!$A$12:$Z$41"),MATCH("Points (Auto-generate)",INDIRECT("'"&amp;$A83&amp;"'!$A$12:$Z$12"),0),0)="","?",VLOOKUP(U$1,INDIRECT("'"&amp;$A83&amp;"'!$A$12:$Z$41"),MATCH("Points (Auto-generate)",INDIRECT("'"&amp;$A83&amp;"'!$A$12:$Z$12"),0),0)),"ER"))</f>
        <v>?</v>
      </c>
      <c r="V83" s="87" t="str">
        <f aca="true">IF($H83=0,"NA",IF($A83=INDIRECT("'"&amp;$A83&amp;"'!$B$1"),IF(VLOOKUP(V$1,INDIRECT("'"&amp;$A83&amp;"'!$A$12:$Z$41"),MATCH("Points (Auto-generate)",INDIRECT("'"&amp;$A83&amp;"'!$A$12:$Z$12"),0),0)="","?",VLOOKUP(V$1,INDIRECT("'"&amp;$A83&amp;"'!$A$12:$Z$41"),MATCH("Points (Auto-generate)",INDIRECT("'"&amp;$A83&amp;"'!$A$12:$Z$12"),0),0)),"ER"))</f>
        <v>?</v>
      </c>
      <c r="W83" s="87" t="str">
        <f aca="true">IF($H83=0,"NA",IF($A83=INDIRECT("'"&amp;$A83&amp;"'!$B$1"),IF(VLOOKUP(W$1,INDIRECT("'"&amp;$A83&amp;"'!$A$12:$Z$41"),MATCH("Points (Auto-generate)",INDIRECT("'"&amp;$A83&amp;"'!$A$12:$Z$12"),0),0)="","?",VLOOKUP(W$1,INDIRECT("'"&amp;$A83&amp;"'!$A$12:$Z$41"),MATCH("Points (Auto-generate)",INDIRECT("'"&amp;$A83&amp;"'!$A$12:$Z$12"),0),0)),"ER"))</f>
        <v>?</v>
      </c>
      <c r="X83" s="87" t="str">
        <f aca="true">IF($H83=0,"NA",IF($A83=INDIRECT("'"&amp;$A83&amp;"'!$B$1"),IF(VLOOKUP(X$1,INDIRECT("'"&amp;$A83&amp;"'!$A$12:$Z$41"),MATCH("Points (Auto-generate)",INDIRECT("'"&amp;$A83&amp;"'!$A$12:$Z$12"),0),0)="","?",VLOOKUP(X$1,INDIRECT("'"&amp;$A83&amp;"'!$A$12:$Z$41"),MATCH("Points (Auto-generate)",INDIRECT("'"&amp;$A83&amp;"'!$A$12:$Z$12"),0),0)),"ER"))</f>
        <v>?</v>
      </c>
      <c r="Y83" s="87" t="str">
        <f aca="true">IF($H83=0,"NA",IF($A83=INDIRECT("'"&amp;$A83&amp;"'!$B$1"),IF(VLOOKUP(Y$1,INDIRECT("'"&amp;$A83&amp;"'!$A$12:$Z$41"),MATCH("Points (Auto-generate)",INDIRECT("'"&amp;$A83&amp;"'!$A$12:$Z$12"),0),0)="","?",VLOOKUP(Y$1,INDIRECT("'"&amp;$A83&amp;"'!$A$12:$Z$41"),MATCH("Points (Auto-generate)",INDIRECT("'"&amp;$A83&amp;"'!$A$12:$Z$12"),0),0)),"ER"))</f>
        <v>?</v>
      </c>
      <c r="Z83" s="87" t="str">
        <f aca="true">IF($H83=0,"NA",IF($A83=INDIRECT("'"&amp;$A83&amp;"'!$B$1"),IF(VLOOKUP(Z$1,INDIRECT("'"&amp;$A83&amp;"'!$A$12:$Z$41"),MATCH("Points (Auto-generate)",INDIRECT("'"&amp;$A83&amp;"'!$A$12:$Z$12"),0),0)="","?",VLOOKUP(Z$1,INDIRECT("'"&amp;$A83&amp;"'!$A$12:$Z$41"),MATCH("Points (Auto-generate)",INDIRECT("'"&amp;$A83&amp;"'!$A$12:$Z$12"),0),0)),"ER"))</f>
        <v>?</v>
      </c>
      <c r="AA83" s="87" t="str">
        <f aca="true">IF($H83=0,"NA",IF($A83=INDIRECT("'"&amp;$A83&amp;"'!$B$1"),IF(VLOOKUP(AA$1,INDIRECT("'"&amp;$A83&amp;"'!$A$12:$Z$41"),MATCH("Points (Auto-generate)",INDIRECT("'"&amp;$A83&amp;"'!$A$12:$Z$12"),0),0)="","?",VLOOKUP(AA$1,INDIRECT("'"&amp;$A83&amp;"'!$A$12:$Z$41"),MATCH("Points (Auto-generate)",INDIRECT("'"&amp;$A83&amp;"'!$A$12:$Z$12"),0),0)),"ER"))</f>
        <v>?</v>
      </c>
      <c r="AB83" s="87" t="str">
        <f aca="true">IF($H83=0,"NA",IF($A83=INDIRECT("'"&amp;$A83&amp;"'!$B$1"),IF(VLOOKUP(AB$1,INDIRECT("'"&amp;$A83&amp;"'!$A$12:$Z$41"),MATCH("Points (Auto-generate)",INDIRECT("'"&amp;$A83&amp;"'!$A$12:$Z$12"),0),0)="","?",VLOOKUP(AB$1,INDIRECT("'"&amp;$A83&amp;"'!$A$12:$Z$41"),MATCH("Points (Auto-generate)",INDIRECT("'"&amp;$A83&amp;"'!$A$12:$Z$12"),0),0)),"ER"))</f>
        <v>?</v>
      </c>
      <c r="AC83" s="87" t="str">
        <f aca="true">IF($H83=0,"NA",IF($A83=INDIRECT("'"&amp;$A83&amp;"'!$B$1"),IF(VLOOKUP(AC$1,INDIRECT("'"&amp;$A83&amp;"'!$A$12:$Z$41"),MATCH("Points (Auto-generate)",INDIRECT("'"&amp;$A83&amp;"'!$A$12:$Z$12"),0),0)="","?",VLOOKUP(AC$1,INDIRECT("'"&amp;$A83&amp;"'!$A$12:$Z$41"),MATCH("Points (Auto-generate)",INDIRECT("'"&amp;$A83&amp;"'!$A$12:$Z$12"),0),0)),"ER"))</f>
        <v>?</v>
      </c>
      <c r="AD83" s="87" t="str">
        <f aca="true">IF($H83=0,"NA",IF($A83=INDIRECT("'"&amp;$A83&amp;"'!$B$1"),IF(VLOOKUP(AD$1,INDIRECT("'"&amp;$A83&amp;"'!$A$12:$Z$41"),MATCH("Points (Auto-generate)",INDIRECT("'"&amp;$A83&amp;"'!$A$12:$Z$12"),0),0)="","?",VLOOKUP(AD$1,INDIRECT("'"&amp;$A83&amp;"'!$A$12:$Z$41"),MATCH("Points (Auto-generate)",INDIRECT("'"&amp;$A83&amp;"'!$A$12:$Z$12"),0),0)),"ER"))</f>
        <v>?</v>
      </c>
      <c r="AE83" s="87" t="str">
        <f aca="true">IF($H83=0,"NA",IF($A83=INDIRECT("'"&amp;$A83&amp;"'!$B$1"),IF(VLOOKUP(AE$1,INDIRECT("'"&amp;$A83&amp;"'!$A$12:$Z$41"),MATCH("Points (Auto-generate)",INDIRECT("'"&amp;$A83&amp;"'!$A$12:$Z$12"),0),0)="","?",VLOOKUP(AE$1,INDIRECT("'"&amp;$A83&amp;"'!$A$12:$Z$41"),MATCH("Points (Auto-generate)",INDIRECT("'"&amp;$A83&amp;"'!$A$12:$Z$12"),0),0)),"ER"))</f>
        <v>?</v>
      </c>
      <c r="AF83" s="87" t="str">
        <f aca="true">IF($H83=0,"NA",IF($A83=INDIRECT("'"&amp;$A83&amp;"'!$B$1"),IF(VLOOKUP(AF$1,INDIRECT("'"&amp;$A83&amp;"'!$A$12:$Z$41"),MATCH("Points (Auto-generate)",INDIRECT("'"&amp;$A83&amp;"'!$A$12:$Z$12"),0),0)="","?",VLOOKUP(AF$1,INDIRECT("'"&amp;$A83&amp;"'!$A$12:$Z$41"),MATCH("Points (Auto-generate)",INDIRECT("'"&amp;$A83&amp;"'!$A$12:$Z$12"),0),0)),"ER"))</f>
        <v>?</v>
      </c>
      <c r="AG83" s="87" t="str">
        <f aca="true">IF($H83=0,"NA",IF($A83=INDIRECT("'"&amp;$A83&amp;"'!$B$1"),IF(VLOOKUP(AG$1,INDIRECT("'"&amp;$A83&amp;"'!$A$12:$Z$41"),MATCH("Points (Auto-generate)",INDIRECT("'"&amp;$A83&amp;"'!$A$12:$Z$12"),0),0)="","?",VLOOKUP(AG$1,INDIRECT("'"&amp;$A83&amp;"'!$A$12:$Z$41"),MATCH("Points (Auto-generate)",INDIRECT("'"&amp;$A83&amp;"'!$A$12:$Z$12"),0),0)),"ER"))</f>
        <v>?</v>
      </c>
      <c r="AH83" s="87" t="str">
        <f aca="true">IF($H83=0,"NA",IF($A83=INDIRECT("'"&amp;$A83&amp;"'!$B$1"),IF(VLOOKUP(AH$1,INDIRECT("'"&amp;$A83&amp;"'!$A$12:$Z$41"),MATCH("Points (Auto-generate)",INDIRECT("'"&amp;$A83&amp;"'!$A$12:$Z$12"),0),0)="","?",VLOOKUP(AH$1,INDIRECT("'"&amp;$A83&amp;"'!$A$12:$Z$41"),MATCH("Points (Auto-generate)",INDIRECT("'"&amp;$A83&amp;"'!$A$12:$Z$12"),0),0)),"ER"))</f>
        <v>?</v>
      </c>
      <c r="AI83" s="87" t="str">
        <f aca="true">IF($H83=0,"NA",IF($A83=INDIRECT("'"&amp;$A83&amp;"'!$B$1"),IF(VLOOKUP(AI$1,INDIRECT("'"&amp;$A83&amp;"'!$A$12:$Z$41"),MATCH("Points (Auto-generate)",INDIRECT("'"&amp;$A83&amp;"'!$A$12:$Z$12"),0),0)="","?",VLOOKUP(AI$1,INDIRECT("'"&amp;$A83&amp;"'!$A$12:$Z$41"),MATCH("Points (Auto-generate)",INDIRECT("'"&amp;$A83&amp;"'!$A$12:$Z$12"),0),0)),"ER"))</f>
        <v>?</v>
      </c>
      <c r="AJ83" s="87" t="str">
        <f aca="true">IF($H83=0,"NA",IF($A83=INDIRECT("'"&amp;$A83&amp;"'!$B$1"),IF(VLOOKUP(AJ$1,INDIRECT("'"&amp;$A83&amp;"'!$A$12:$Z$41"),MATCH("Points (Auto-generate)",INDIRECT("'"&amp;$A83&amp;"'!$A$12:$Z$12"),0),0)="","?",VLOOKUP(AJ$1,INDIRECT("'"&amp;$A83&amp;"'!$A$12:$Z$41"),MATCH("Points (Auto-generate)",INDIRECT("'"&amp;$A83&amp;"'!$A$12:$Z$12"),0),0)),"ER"))</f>
        <v>?</v>
      </c>
      <c r="AK83" s="87" t="str">
        <f aca="true">IF($H83=0,"NA",IF($A83=INDIRECT("'"&amp;$A83&amp;"'!$B$1"),IF(VLOOKUP(AK$1,INDIRECT("'"&amp;$A83&amp;"'!$A$12:$Z$41"),MATCH("Points (Auto-generate)",INDIRECT("'"&amp;$A83&amp;"'!$A$12:$Z$12"),0),0)="","?",VLOOKUP(AK$1,INDIRECT("'"&amp;$A83&amp;"'!$A$12:$Z$41"),MATCH("Points (Auto-generate)",INDIRECT("'"&amp;$A83&amp;"'!$A$12:$Z$12"),0),0)),"ER"))</f>
        <v>?</v>
      </c>
    </row>
    <row r="84" customFormat="false" ht="14.25" hidden="false" customHeight="true" outlineLevel="0" collapsed="false">
      <c r="A84" s="83" t="s">
        <v>786</v>
      </c>
      <c r="B84" s="84" t="str">
        <f aca="false">IF(ISBLANK($A84),"NO_CODE",VLOOKUP($A84,'UPD Questions_290926 '!$E$1:$N$300,MATCH(B$1,'UPD Questions_290926 '!$E$1:$N$1,0),0)&amp;"")</f>
        <v>Implementation</v>
      </c>
      <c r="C84" s="84" t="str">
        <f aca="false">IF(ISBLANK($A84),"NO_CODE",VLOOKUP($A84,'UPD Questions_290926 '!$E$1:$N$300,MATCH(C$1,'UPD Questions_290926 '!$E$1:$N$1,0),0)&amp;"")</f>
        <v>Urban design, accessibility and parking</v>
      </c>
      <c r="D84" s="84" t="str">
        <f aca="false">IF(ISBLANK($A84),"NO_CODE",VLOOKUP($A84,'UPD Questions_290926 '!$E$1:$N$300,MATCH(D$1,'UPD Questions_290926 '!$E$1:$N$1,0),0)&amp;"")</f>
        <v>Urban design standards and universal accessibility</v>
      </c>
      <c r="E84" s="84" t="str">
        <f aca="false">IF(ISBLANK($A84),"NO_CODE",VLOOKUP($A84,'UPD Questions_290926 '!$E$1:$N$300,MATCH(E$1,'UPD Questions_290926 '!$E$1:$N$1,0),0)&amp;"")</f>
        <v>MQ</v>
      </c>
      <c r="F84" s="84" t="str">
        <f aca="false">IF(ISBLANK($A84),"NO_CODE",VLOOKUP($A84,'UPD Questions_290926 '!$E$1:$N$300,MATCH(F$1,'UPD Questions_290926 '!$E$1:$N$1,0),0)&amp;"")</f>
        <v>Are there prescribed urban design standards to guide the execution of urban projects, including standards for universal accessibility?</v>
      </c>
      <c r="G84" s="84" t="str">
        <f aca="false">IF(ISBLANK($A84),"NO_CODE",VLOOKUP($A84,'UPD Questions_290926 '!$E$1:$N$300,MATCH(G$1,'UPD Questions_290926 '!$E$1:$N$1,0),0)&amp;"")</f>
        <v>Law or Policy</v>
      </c>
      <c r="H84" s="86" t="n">
        <f aca="false">IF(ISBLANK($A84),"NO_CODE",VLOOKUP($A84,'UPD Questions_290926 '!$E$1:$N$300,MATCH(H$1,'UPD Questions_290926 '!$E$1:$N$1,0),0))</f>
        <v>10</v>
      </c>
      <c r="I84" s="87" t="str">
        <f aca="false">IF(OR(I85="ER",I86="ER"),"ER",IF(OR(I85="?",I86="?"),"?",IF(AND(I85="NA",I86="NA"),"NA",SUM(I85,I86)/((I85&lt;&gt;"NA")*$H$85+(I86&lt;&gt;"NA")*$H$86)*$H84)))</f>
        <v>?</v>
      </c>
      <c r="J84" s="87" t="str">
        <f aca="false">IF(OR(J85="ER",J86="ER"),"ER",IF(OR(J85="?",J86="?"),"?",IF(AND(J85="NA",J86="NA"),"NA",SUM(J85,J86)/((J85&lt;&gt;"NA")*$H$85+(J86&lt;&gt;"NA")*$H$86)*$H84)))</f>
        <v>?</v>
      </c>
      <c r="K84" s="87" t="str">
        <f aca="false">IF(OR(K85="ER",K86="ER"),"ER",IF(OR(K85="?",K86="?"),"?",IF(AND(K85="NA",K86="NA"),"NA",SUM(K85,K86)/((K85&lt;&gt;"NA")*$H$85+(K86&lt;&gt;"NA")*$H$86)*$H84)))</f>
        <v>?</v>
      </c>
      <c r="L84" s="87" t="str">
        <f aca="false">IF(OR(L85="ER",L86="ER"),"ER",IF(OR(L85="?",L86="?"),"?",IF(AND(L85="NA",L86="NA"),"NA",SUM(L85,L86)/((L85&lt;&gt;"NA")*$H$85+(L86&lt;&gt;"NA")*$H$86)*$H84)))</f>
        <v>?</v>
      </c>
      <c r="M84" s="87" t="str">
        <f aca="false">IF(OR(M85="ER",M86="ER"),"ER",IF(OR(M85="?",M86="?"),"?",IF(AND(M85="NA",M86="NA"),"NA",SUM(M85,M86)/((M85&lt;&gt;"NA")*$H$85+(M86&lt;&gt;"NA")*$H$86)*$H84)))</f>
        <v>?</v>
      </c>
      <c r="N84" s="87" t="str">
        <f aca="false">IF(OR(N85="ER",N86="ER"),"ER",IF(OR(N85="?",N86="?"),"?",IF(AND(N85="NA",N86="NA"),"NA",SUM(N85,N86)/((N85&lt;&gt;"NA")*$H$85+(N86&lt;&gt;"NA")*$H$86)*$H84)))</f>
        <v>?</v>
      </c>
      <c r="O84" s="87" t="str">
        <f aca="false">IF(OR(O85="ER",O86="ER"),"ER",IF(OR(O85="?",O86="?"),"?",IF(AND(O85="NA",O86="NA"),"NA",SUM(O85,O86)/((O85&lt;&gt;"NA")*$H$85+(O86&lt;&gt;"NA")*$H$86)*$H84)))</f>
        <v>?</v>
      </c>
      <c r="P84" s="87" t="str">
        <f aca="false">IF(OR(P85="ER",P86="ER"),"ER",IF(OR(P85="?",P86="?"),"?",IF(AND(P85="NA",P86="NA"),"NA",SUM(P85,P86)/((P85&lt;&gt;"NA")*$H$85+(P86&lt;&gt;"NA")*$H$86)*$H84)))</f>
        <v>?</v>
      </c>
      <c r="Q84" s="87" t="str">
        <f aca="false">IF(OR(Q85="ER",Q86="ER"),"ER",IF(OR(Q85="?",Q86="?"),"?",IF(AND(Q85="NA",Q86="NA"),"NA",SUM(Q85,Q86)/((Q85&lt;&gt;"NA")*$H$85+(Q86&lt;&gt;"NA")*$H$86)*$H84)))</f>
        <v>?</v>
      </c>
      <c r="R84" s="87" t="str">
        <f aca="false">IF(OR(R85="ER",R86="ER"),"ER",IF(OR(R85="?",R86="?"),"?",IF(AND(R85="NA",R86="NA"),"NA",SUM(R85,R86)/((R85&lt;&gt;"NA")*$H$85+(R86&lt;&gt;"NA")*$H$86)*$H84)))</f>
        <v>?</v>
      </c>
      <c r="S84" s="87" t="str">
        <f aca="false">IF(OR(S85="ER",S86="ER"),"ER",IF(OR(S85="?",S86="?"),"?",IF(AND(S85="NA",S86="NA"),"NA",SUM(S85,S86)/((S85&lt;&gt;"NA")*$H$85+(S86&lt;&gt;"NA")*$H$86)*$H84)))</f>
        <v>?</v>
      </c>
      <c r="T84" s="87" t="str">
        <f aca="false">IF(OR(T85="ER",T86="ER"),"ER",IF(OR(T85="?",T86="?"),"?",IF(AND(T85="NA",T86="NA"),"NA",SUM(T85,T86)/((T85&lt;&gt;"NA")*$H$85+(T86&lt;&gt;"NA")*$H$86)*$H84)))</f>
        <v>?</v>
      </c>
      <c r="U84" s="87" t="str">
        <f aca="false">IF(OR(U85="ER",U86="ER"),"ER",IF(OR(U85="?",U86="?"),"?",IF(AND(U85="NA",U86="NA"),"NA",SUM(U85,U86)/((U85&lt;&gt;"NA")*$H$85+(U86&lt;&gt;"NA")*$H$86)*$H84)))</f>
        <v>?</v>
      </c>
      <c r="V84" s="87" t="str">
        <f aca="false">IF(OR(V85="ER",V86="ER"),"ER",IF(OR(V85="?",V86="?"),"?",IF(AND(V85="NA",V86="NA"),"NA",SUM(V85,V86)/((V85&lt;&gt;"NA")*$H$85+(V86&lt;&gt;"NA")*$H$86)*$H84)))</f>
        <v>?</v>
      </c>
      <c r="W84" s="87" t="str">
        <f aca="false">IF(OR(W85="ER",W86="ER"),"ER",IF(OR(W85="?",W86="?"),"?",IF(AND(W85="NA",W86="NA"),"NA",SUM(W85,W86)/((W85&lt;&gt;"NA")*$H$85+(W86&lt;&gt;"NA")*$H$86)*$H84)))</f>
        <v>?</v>
      </c>
      <c r="X84" s="87" t="str">
        <f aca="false">IF(OR(X85="ER",X86="ER"),"ER",IF(OR(X85="?",X86="?"),"?",IF(AND(X85="NA",X86="NA"),"NA",SUM(X85,X86)/((X85&lt;&gt;"NA")*$H$85+(X86&lt;&gt;"NA")*$H$86)*$H84)))</f>
        <v>?</v>
      </c>
      <c r="Y84" s="87" t="str">
        <f aca="false">IF(OR(Y85="ER",Y86="ER"),"ER",IF(OR(Y85="?",Y86="?"),"?",IF(AND(Y85="NA",Y86="NA"),"NA",SUM(Y85,Y86)/((Y85&lt;&gt;"NA")*$H$85+(Y86&lt;&gt;"NA")*$H$86)*$H84)))</f>
        <v>?</v>
      </c>
      <c r="Z84" s="87" t="str">
        <f aca="false">IF(OR(Z85="ER",Z86="ER"),"ER",IF(OR(Z85="?",Z86="?"),"?",IF(AND(Z85="NA",Z86="NA"),"NA",SUM(Z85,Z86)/((Z85&lt;&gt;"NA")*$H$85+(Z86&lt;&gt;"NA")*$H$86)*$H84)))</f>
        <v>?</v>
      </c>
      <c r="AA84" s="87" t="str">
        <f aca="false">IF(OR(AA85="ER",AA86="ER"),"ER",IF(OR(AA85="?",AA86="?"),"?",IF(AND(AA85="NA",AA86="NA"),"NA",SUM(AA85,AA86)/((AA85&lt;&gt;"NA")*$H$85+(AA86&lt;&gt;"NA")*$H$86)*$H84)))</f>
        <v>?</v>
      </c>
      <c r="AB84" s="87" t="str">
        <f aca="false">IF(OR(AB85="ER",AB86="ER"),"ER",IF(OR(AB85="?",AB86="?"),"?",IF(AND(AB85="NA",AB86="NA"),"NA",SUM(AB85,AB86)/((AB85&lt;&gt;"NA")*$H$85+(AB86&lt;&gt;"NA")*$H$86)*$H84)))</f>
        <v>?</v>
      </c>
      <c r="AC84" s="87" t="str">
        <f aca="false">IF(OR(AC85="ER",AC86="ER"),"ER",IF(OR(AC85="?",AC86="?"),"?",IF(AND(AC85="NA",AC86="NA"),"NA",SUM(AC85,AC86)/((AC85&lt;&gt;"NA")*$H$85+(AC86&lt;&gt;"NA")*$H$86)*$H84)))</f>
        <v>?</v>
      </c>
      <c r="AD84" s="87" t="str">
        <f aca="false">IF(OR(AD85="ER",AD86="ER"),"ER",IF(OR(AD85="?",AD86="?"),"?",IF(AND(AD85="NA",AD86="NA"),"NA",SUM(AD85,AD86)/((AD85&lt;&gt;"NA")*$H$85+(AD86&lt;&gt;"NA")*$H$86)*$H84)))</f>
        <v>?</v>
      </c>
      <c r="AE84" s="87" t="str">
        <f aca="false">IF(OR(AE85="ER",AE86="ER"),"ER",IF(OR(AE85="?",AE86="?"),"?",IF(AND(AE85="NA",AE86="NA"),"NA",SUM(AE85,AE86)/((AE85&lt;&gt;"NA")*$H$85+(AE86&lt;&gt;"NA")*$H$86)*$H84)))</f>
        <v>?</v>
      </c>
      <c r="AF84" s="87" t="str">
        <f aca="false">IF(OR(AF85="ER",AF86="ER"),"ER",IF(OR(AF85="?",AF86="?"),"?",IF(AND(AF85="NA",AF86="NA"),"NA",SUM(AF85,AF86)/((AF85&lt;&gt;"NA")*$H$85+(AF86&lt;&gt;"NA")*$H$86)*$H84)))</f>
        <v>?</v>
      </c>
      <c r="AG84" s="87" t="str">
        <f aca="false">IF(OR(AG85="ER",AG86="ER"),"ER",IF(OR(AG85="?",AG86="?"),"?",IF(AND(AG85="NA",AG86="NA"),"NA",SUM(AG85,AG86)/((AG85&lt;&gt;"NA")*$H$85+(AG86&lt;&gt;"NA")*$H$86)*$H84)))</f>
        <v>?</v>
      </c>
      <c r="AH84" s="87" t="str">
        <f aca="false">IF(OR(AH85="ER",AH86="ER"),"ER",IF(OR(AH85="?",AH86="?"),"?",IF(AND(AH85="NA",AH86="NA"),"NA",SUM(AH85,AH86)/((AH85&lt;&gt;"NA")*$H$85+(AH86&lt;&gt;"NA")*$H$86)*$H84)))</f>
        <v>?</v>
      </c>
      <c r="AI84" s="87" t="str">
        <f aca="false">IF(OR(AI85="ER",AI86="ER"),"ER",IF(OR(AI85="?",AI86="?"),"?",IF(AND(AI85="NA",AI86="NA"),"NA",SUM(AI85,AI86)/((AI85&lt;&gt;"NA")*$H$85+(AI86&lt;&gt;"NA")*$H$86)*$H84)))</f>
        <v>?</v>
      </c>
      <c r="AJ84" s="87" t="str">
        <f aca="false">IF(OR(AJ85="ER",AJ86="ER"),"ER",IF(OR(AJ85="?",AJ86="?"),"?",IF(AND(AJ85="NA",AJ86="NA"),"NA",SUM(AJ85,AJ86)/((AJ85&lt;&gt;"NA")*$H$85+(AJ86&lt;&gt;"NA")*$H$86)*$H84)))</f>
        <v>?</v>
      </c>
      <c r="AK84" s="87" t="str">
        <f aca="false">IF(OR(AK85="ER",AK86="ER"),"ER",IF(OR(AK85="?",AK86="?"),"?",IF(AND(AK85="NA",AK86="NA"),"NA",SUM(AK85,AK86)/((AK85&lt;&gt;"NA")*$H$85+(AK86&lt;&gt;"NA")*$H$86)*$H84)))</f>
        <v>?</v>
      </c>
    </row>
    <row r="85" customFormat="false" ht="14.25" hidden="false" customHeight="true" outlineLevel="0" collapsed="false">
      <c r="A85" s="83" t="s">
        <v>457</v>
      </c>
      <c r="B85" s="84" t="str">
        <f aca="false">IF(ISBLANK($A85),"NO_CODE",VLOOKUP($A85,'UPD Questions_290926 '!$E$1:$N$300,MATCH(B$1,'UPD Questions_290926 '!$E$1:$N$1,0),0)&amp;"")</f>
        <v>Implementation</v>
      </c>
      <c r="C85" s="84" t="str">
        <f aca="false">IF(ISBLANK($A85),"NO_CODE",VLOOKUP($A85,'UPD Questions_290926 '!$E$1:$N$300,MATCH(C$1,'UPD Questions_290926 '!$E$1:$N$1,0),0)&amp;"")</f>
        <v>Urban design, accessibility and parking</v>
      </c>
      <c r="D85" s="84" t="str">
        <f aca="false">IF(ISBLANK($A85),"NO_CODE",VLOOKUP($A85,'UPD Questions_290926 '!$E$1:$N$300,MATCH(D$1,'UPD Questions_290926 '!$E$1:$N$1,0),0)&amp;"")</f>
        <v>Urban design standards and universal accessibility</v>
      </c>
      <c r="E85" s="84" t="str">
        <f aca="false">IF(ISBLANK($A85),"NO_CODE",VLOOKUP($A85,'UPD Questions_290926 '!$E$1:$N$300,MATCH(E$1,'UPD Questions_290926 '!$E$1:$N$1,0),0)&amp;"")</f>
        <v>SQ</v>
      </c>
      <c r="F85" s="84" t="str">
        <f aca="false">IF(ISBLANK($A85),"NO_CODE",VLOOKUP($A85,'UPD Questions_290926 '!$E$1:$N$300,MATCH(F$1,'UPD Questions_290926 '!$E$1:$N$1,0),0)&amp;"")</f>
        <v>Does the law mandate comprehensive urban design standards and universal accessibility?</v>
      </c>
      <c r="G85" s="84" t="str">
        <f aca="false">IF(ISBLANK($A85),"NO_CODE",VLOOKUP($A85,'UPD Questions_290926 '!$E$1:$N$300,MATCH(G$1,'UPD Questions_290926 '!$E$1:$N$1,0),0)&amp;"")</f>
        <v>Law or Policy</v>
      </c>
      <c r="H85" s="86" t="n">
        <f aca="false">IF(ISBLANK($A85),"NO_CODE",VLOOKUP($A85,'UPD Questions_290926 '!$E$1:$N$300,MATCH(H$1,'UPD Questions_290926 '!$E$1:$N$1,0),0))</f>
        <v>5</v>
      </c>
      <c r="I85" s="87" t="str">
        <f aca="true">IF($H85=0,"NA",IF($A85=INDIRECT("'"&amp;$A85&amp;"'!$B$1"),IF(VLOOKUP(I$1,INDIRECT("'"&amp;$A85&amp;"'!$A$12:$Z$41"),MATCH("Points (Auto-generate)",INDIRECT("'"&amp;$A85&amp;"'!$A$12:$Z$12"),0),0)="","?",VLOOKUP(I$1,INDIRECT("'"&amp;$A85&amp;"'!$A$12:$Z$41"),MATCH("Points (Auto-generate)",INDIRECT("'"&amp;$A85&amp;"'!$A$12:$Z$12"),0),0)),"ER"))</f>
        <v>?</v>
      </c>
      <c r="J85" s="87" t="str">
        <f aca="true">IF($H85=0,"NA",IF($A85=INDIRECT("'"&amp;$A85&amp;"'!$B$1"),IF(VLOOKUP(J$1,INDIRECT("'"&amp;$A85&amp;"'!$A$12:$Z$41"),MATCH("Points (Auto-generate)",INDIRECT("'"&amp;$A85&amp;"'!$A$12:$Z$12"),0),0)="","?",VLOOKUP(J$1,INDIRECT("'"&amp;$A85&amp;"'!$A$12:$Z$41"),MATCH("Points (Auto-generate)",INDIRECT("'"&amp;$A85&amp;"'!$A$12:$Z$12"),0),0)),"ER"))</f>
        <v>?</v>
      </c>
      <c r="K85" s="87" t="str">
        <f aca="true">IF($H85=0,"NA",IF($A85=INDIRECT("'"&amp;$A85&amp;"'!$B$1"),IF(VLOOKUP(K$1,INDIRECT("'"&amp;$A85&amp;"'!$A$12:$Z$41"),MATCH("Points (Auto-generate)",INDIRECT("'"&amp;$A85&amp;"'!$A$12:$Z$12"),0),0)="","?",VLOOKUP(K$1,INDIRECT("'"&amp;$A85&amp;"'!$A$12:$Z$41"),MATCH("Points (Auto-generate)",INDIRECT("'"&amp;$A85&amp;"'!$A$12:$Z$12"),0),0)),"ER"))</f>
        <v>?</v>
      </c>
      <c r="L85" s="87" t="str">
        <f aca="true">IF($H85=0,"NA",IF($A85=INDIRECT("'"&amp;$A85&amp;"'!$B$1"),IF(VLOOKUP(L$1,INDIRECT("'"&amp;$A85&amp;"'!$A$12:$Z$41"),MATCH("Points (Auto-generate)",INDIRECT("'"&amp;$A85&amp;"'!$A$12:$Z$12"),0),0)="","?",VLOOKUP(L$1,INDIRECT("'"&amp;$A85&amp;"'!$A$12:$Z$41"),MATCH("Points (Auto-generate)",INDIRECT("'"&amp;$A85&amp;"'!$A$12:$Z$12"),0),0)),"ER"))</f>
        <v>?</v>
      </c>
      <c r="M85" s="87" t="str">
        <f aca="true">IF($H85=0,"NA",IF($A85=INDIRECT("'"&amp;$A85&amp;"'!$B$1"),IF(VLOOKUP(M$1,INDIRECT("'"&amp;$A85&amp;"'!$A$12:$Z$41"),MATCH("Points (Auto-generate)",INDIRECT("'"&amp;$A85&amp;"'!$A$12:$Z$12"),0),0)="","?",VLOOKUP(M$1,INDIRECT("'"&amp;$A85&amp;"'!$A$12:$Z$41"),MATCH("Points (Auto-generate)",INDIRECT("'"&amp;$A85&amp;"'!$A$12:$Z$12"),0),0)),"ER"))</f>
        <v>?</v>
      </c>
      <c r="N85" s="87" t="str">
        <f aca="true">IF($H85=0,"NA",IF($A85=INDIRECT("'"&amp;$A85&amp;"'!$B$1"),IF(VLOOKUP(N$1,INDIRECT("'"&amp;$A85&amp;"'!$A$12:$Z$41"),MATCH("Points (Auto-generate)",INDIRECT("'"&amp;$A85&amp;"'!$A$12:$Z$12"),0),0)="","?",VLOOKUP(N$1,INDIRECT("'"&amp;$A85&amp;"'!$A$12:$Z$41"),MATCH("Points (Auto-generate)",INDIRECT("'"&amp;$A85&amp;"'!$A$12:$Z$12"),0),0)),"ER"))</f>
        <v>?</v>
      </c>
      <c r="O85" s="87" t="str">
        <f aca="true">IF($H85=0,"NA",IF($A85=INDIRECT("'"&amp;$A85&amp;"'!$B$1"),IF(VLOOKUP(O$1,INDIRECT("'"&amp;$A85&amp;"'!$A$12:$Z$41"),MATCH("Points (Auto-generate)",INDIRECT("'"&amp;$A85&amp;"'!$A$12:$Z$12"),0),0)="","?",VLOOKUP(O$1,INDIRECT("'"&amp;$A85&amp;"'!$A$12:$Z$41"),MATCH("Points (Auto-generate)",INDIRECT("'"&amp;$A85&amp;"'!$A$12:$Z$12"),0),0)),"ER"))</f>
        <v>?</v>
      </c>
      <c r="P85" s="87" t="str">
        <f aca="true">IF($H85=0,"NA",IF($A85=INDIRECT("'"&amp;$A85&amp;"'!$B$1"),IF(VLOOKUP(P$1,INDIRECT("'"&amp;$A85&amp;"'!$A$12:$Z$41"),MATCH("Points (Auto-generate)",INDIRECT("'"&amp;$A85&amp;"'!$A$12:$Z$12"),0),0)="","?",VLOOKUP(P$1,INDIRECT("'"&amp;$A85&amp;"'!$A$12:$Z$41"),MATCH("Points (Auto-generate)",INDIRECT("'"&amp;$A85&amp;"'!$A$12:$Z$12"),0),0)),"ER"))</f>
        <v>?</v>
      </c>
      <c r="Q85" s="87" t="str">
        <f aca="true">IF($H85=0,"NA",IF($A85=INDIRECT("'"&amp;$A85&amp;"'!$B$1"),IF(VLOOKUP(Q$1,INDIRECT("'"&amp;$A85&amp;"'!$A$12:$Z$41"),MATCH("Points (Auto-generate)",INDIRECT("'"&amp;$A85&amp;"'!$A$12:$Z$12"),0),0)="","?",VLOOKUP(Q$1,INDIRECT("'"&amp;$A85&amp;"'!$A$12:$Z$41"),MATCH("Points (Auto-generate)",INDIRECT("'"&amp;$A85&amp;"'!$A$12:$Z$12"),0),0)),"ER"))</f>
        <v>?</v>
      </c>
      <c r="R85" s="87" t="str">
        <f aca="true">IF($H85=0,"NA",IF($A85=INDIRECT("'"&amp;$A85&amp;"'!$B$1"),IF(VLOOKUP(R$1,INDIRECT("'"&amp;$A85&amp;"'!$A$12:$Z$41"),MATCH("Points (Auto-generate)",INDIRECT("'"&amp;$A85&amp;"'!$A$12:$Z$12"),0),0)="","?",VLOOKUP(R$1,INDIRECT("'"&amp;$A85&amp;"'!$A$12:$Z$41"),MATCH("Points (Auto-generate)",INDIRECT("'"&amp;$A85&amp;"'!$A$12:$Z$12"),0),0)),"ER"))</f>
        <v>?</v>
      </c>
      <c r="S85" s="87" t="str">
        <f aca="true">IF($H85=0,"NA",IF($A85=INDIRECT("'"&amp;$A85&amp;"'!$B$1"),IF(VLOOKUP(S$1,INDIRECT("'"&amp;$A85&amp;"'!$A$12:$Z$41"),MATCH("Points (Auto-generate)",INDIRECT("'"&amp;$A85&amp;"'!$A$12:$Z$12"),0),0)="","?",VLOOKUP(S$1,INDIRECT("'"&amp;$A85&amp;"'!$A$12:$Z$41"),MATCH("Points (Auto-generate)",INDIRECT("'"&amp;$A85&amp;"'!$A$12:$Z$12"),0),0)),"ER"))</f>
        <v>?</v>
      </c>
      <c r="T85" s="87" t="str">
        <f aca="true">IF($H85=0,"NA",IF($A85=INDIRECT("'"&amp;$A85&amp;"'!$B$1"),IF(VLOOKUP(T$1,INDIRECT("'"&amp;$A85&amp;"'!$A$12:$Z$41"),MATCH("Points (Auto-generate)",INDIRECT("'"&amp;$A85&amp;"'!$A$12:$Z$12"),0),0)="","?",VLOOKUP(T$1,INDIRECT("'"&amp;$A85&amp;"'!$A$12:$Z$41"),MATCH("Points (Auto-generate)",INDIRECT("'"&amp;$A85&amp;"'!$A$12:$Z$12"),0),0)),"ER"))</f>
        <v>?</v>
      </c>
      <c r="U85" s="87" t="str">
        <f aca="true">IF($H85=0,"NA",IF($A85=INDIRECT("'"&amp;$A85&amp;"'!$B$1"),IF(VLOOKUP(U$1,INDIRECT("'"&amp;$A85&amp;"'!$A$12:$Z$41"),MATCH("Points (Auto-generate)",INDIRECT("'"&amp;$A85&amp;"'!$A$12:$Z$12"),0),0)="","?",VLOOKUP(U$1,INDIRECT("'"&amp;$A85&amp;"'!$A$12:$Z$41"),MATCH("Points (Auto-generate)",INDIRECT("'"&amp;$A85&amp;"'!$A$12:$Z$12"),0),0)),"ER"))</f>
        <v>?</v>
      </c>
      <c r="V85" s="87" t="str">
        <f aca="true">IF($H85=0,"NA",IF($A85=INDIRECT("'"&amp;$A85&amp;"'!$B$1"),IF(VLOOKUP(V$1,INDIRECT("'"&amp;$A85&amp;"'!$A$12:$Z$41"),MATCH("Points (Auto-generate)",INDIRECT("'"&amp;$A85&amp;"'!$A$12:$Z$12"),0),0)="","?",VLOOKUP(V$1,INDIRECT("'"&amp;$A85&amp;"'!$A$12:$Z$41"),MATCH("Points (Auto-generate)",INDIRECT("'"&amp;$A85&amp;"'!$A$12:$Z$12"),0),0)),"ER"))</f>
        <v>?</v>
      </c>
      <c r="W85" s="87" t="str">
        <f aca="true">IF($H85=0,"NA",IF($A85=INDIRECT("'"&amp;$A85&amp;"'!$B$1"),IF(VLOOKUP(W$1,INDIRECT("'"&amp;$A85&amp;"'!$A$12:$Z$41"),MATCH("Points (Auto-generate)",INDIRECT("'"&amp;$A85&amp;"'!$A$12:$Z$12"),0),0)="","?",VLOOKUP(W$1,INDIRECT("'"&amp;$A85&amp;"'!$A$12:$Z$41"),MATCH("Points (Auto-generate)",INDIRECT("'"&amp;$A85&amp;"'!$A$12:$Z$12"),0),0)),"ER"))</f>
        <v>?</v>
      </c>
      <c r="X85" s="87" t="str">
        <f aca="true">IF($H85=0,"NA",IF($A85=INDIRECT("'"&amp;$A85&amp;"'!$B$1"),IF(VLOOKUP(X$1,INDIRECT("'"&amp;$A85&amp;"'!$A$12:$Z$41"),MATCH("Points (Auto-generate)",INDIRECT("'"&amp;$A85&amp;"'!$A$12:$Z$12"),0),0)="","?",VLOOKUP(X$1,INDIRECT("'"&amp;$A85&amp;"'!$A$12:$Z$41"),MATCH("Points (Auto-generate)",INDIRECT("'"&amp;$A85&amp;"'!$A$12:$Z$12"),0),0)),"ER"))</f>
        <v>?</v>
      </c>
      <c r="Y85" s="87" t="str">
        <f aca="true">IF($H85=0,"NA",IF($A85=INDIRECT("'"&amp;$A85&amp;"'!$B$1"),IF(VLOOKUP(Y$1,INDIRECT("'"&amp;$A85&amp;"'!$A$12:$Z$41"),MATCH("Points (Auto-generate)",INDIRECT("'"&amp;$A85&amp;"'!$A$12:$Z$12"),0),0)="","?",VLOOKUP(Y$1,INDIRECT("'"&amp;$A85&amp;"'!$A$12:$Z$41"),MATCH("Points (Auto-generate)",INDIRECT("'"&amp;$A85&amp;"'!$A$12:$Z$12"),0),0)),"ER"))</f>
        <v>?</v>
      </c>
      <c r="Z85" s="87" t="str">
        <f aca="true">IF($H85=0,"NA",IF($A85=INDIRECT("'"&amp;$A85&amp;"'!$B$1"),IF(VLOOKUP(Z$1,INDIRECT("'"&amp;$A85&amp;"'!$A$12:$Z$41"),MATCH("Points (Auto-generate)",INDIRECT("'"&amp;$A85&amp;"'!$A$12:$Z$12"),0),0)="","?",VLOOKUP(Z$1,INDIRECT("'"&amp;$A85&amp;"'!$A$12:$Z$41"),MATCH("Points (Auto-generate)",INDIRECT("'"&amp;$A85&amp;"'!$A$12:$Z$12"),0),0)),"ER"))</f>
        <v>?</v>
      </c>
      <c r="AA85" s="87" t="str">
        <f aca="true">IF($H85=0,"NA",IF($A85=INDIRECT("'"&amp;$A85&amp;"'!$B$1"),IF(VLOOKUP(AA$1,INDIRECT("'"&amp;$A85&amp;"'!$A$12:$Z$41"),MATCH("Points (Auto-generate)",INDIRECT("'"&amp;$A85&amp;"'!$A$12:$Z$12"),0),0)="","?",VLOOKUP(AA$1,INDIRECT("'"&amp;$A85&amp;"'!$A$12:$Z$41"),MATCH("Points (Auto-generate)",INDIRECT("'"&amp;$A85&amp;"'!$A$12:$Z$12"),0),0)),"ER"))</f>
        <v>?</v>
      </c>
      <c r="AB85" s="87" t="str">
        <f aca="true">IF($H85=0,"NA",IF($A85=INDIRECT("'"&amp;$A85&amp;"'!$B$1"),IF(VLOOKUP(AB$1,INDIRECT("'"&amp;$A85&amp;"'!$A$12:$Z$41"),MATCH("Points (Auto-generate)",INDIRECT("'"&amp;$A85&amp;"'!$A$12:$Z$12"),0),0)="","?",VLOOKUP(AB$1,INDIRECT("'"&amp;$A85&amp;"'!$A$12:$Z$41"),MATCH("Points (Auto-generate)",INDIRECT("'"&amp;$A85&amp;"'!$A$12:$Z$12"),0),0)),"ER"))</f>
        <v>?</v>
      </c>
      <c r="AC85" s="87" t="str">
        <f aca="true">IF($H85=0,"NA",IF($A85=INDIRECT("'"&amp;$A85&amp;"'!$B$1"),IF(VLOOKUP(AC$1,INDIRECT("'"&amp;$A85&amp;"'!$A$12:$Z$41"),MATCH("Points (Auto-generate)",INDIRECT("'"&amp;$A85&amp;"'!$A$12:$Z$12"),0),0)="","?",VLOOKUP(AC$1,INDIRECT("'"&amp;$A85&amp;"'!$A$12:$Z$41"),MATCH("Points (Auto-generate)",INDIRECT("'"&amp;$A85&amp;"'!$A$12:$Z$12"),0),0)),"ER"))</f>
        <v>?</v>
      </c>
      <c r="AD85" s="87" t="str">
        <f aca="true">IF($H85=0,"NA",IF($A85=INDIRECT("'"&amp;$A85&amp;"'!$B$1"),IF(VLOOKUP(AD$1,INDIRECT("'"&amp;$A85&amp;"'!$A$12:$Z$41"),MATCH("Points (Auto-generate)",INDIRECT("'"&amp;$A85&amp;"'!$A$12:$Z$12"),0),0)="","?",VLOOKUP(AD$1,INDIRECT("'"&amp;$A85&amp;"'!$A$12:$Z$41"),MATCH("Points (Auto-generate)",INDIRECT("'"&amp;$A85&amp;"'!$A$12:$Z$12"),0),0)),"ER"))</f>
        <v>?</v>
      </c>
      <c r="AE85" s="87" t="str">
        <f aca="true">IF($H85=0,"NA",IF($A85=INDIRECT("'"&amp;$A85&amp;"'!$B$1"),IF(VLOOKUP(AE$1,INDIRECT("'"&amp;$A85&amp;"'!$A$12:$Z$41"),MATCH("Points (Auto-generate)",INDIRECT("'"&amp;$A85&amp;"'!$A$12:$Z$12"),0),0)="","?",VLOOKUP(AE$1,INDIRECT("'"&amp;$A85&amp;"'!$A$12:$Z$41"),MATCH("Points (Auto-generate)",INDIRECT("'"&amp;$A85&amp;"'!$A$12:$Z$12"),0),0)),"ER"))</f>
        <v>?</v>
      </c>
      <c r="AF85" s="87" t="str">
        <f aca="true">IF($H85=0,"NA",IF($A85=INDIRECT("'"&amp;$A85&amp;"'!$B$1"),IF(VLOOKUP(AF$1,INDIRECT("'"&amp;$A85&amp;"'!$A$12:$Z$41"),MATCH("Points (Auto-generate)",INDIRECT("'"&amp;$A85&amp;"'!$A$12:$Z$12"),0),0)="","?",VLOOKUP(AF$1,INDIRECT("'"&amp;$A85&amp;"'!$A$12:$Z$41"),MATCH("Points (Auto-generate)",INDIRECT("'"&amp;$A85&amp;"'!$A$12:$Z$12"),0),0)),"ER"))</f>
        <v>?</v>
      </c>
      <c r="AG85" s="87" t="str">
        <f aca="true">IF($H85=0,"NA",IF($A85=INDIRECT("'"&amp;$A85&amp;"'!$B$1"),IF(VLOOKUP(AG$1,INDIRECT("'"&amp;$A85&amp;"'!$A$12:$Z$41"),MATCH("Points (Auto-generate)",INDIRECT("'"&amp;$A85&amp;"'!$A$12:$Z$12"),0),0)="","?",VLOOKUP(AG$1,INDIRECT("'"&amp;$A85&amp;"'!$A$12:$Z$41"),MATCH("Points (Auto-generate)",INDIRECT("'"&amp;$A85&amp;"'!$A$12:$Z$12"),0),0)),"ER"))</f>
        <v>?</v>
      </c>
      <c r="AH85" s="87" t="str">
        <f aca="true">IF($H85=0,"NA",IF($A85=INDIRECT("'"&amp;$A85&amp;"'!$B$1"),IF(VLOOKUP(AH$1,INDIRECT("'"&amp;$A85&amp;"'!$A$12:$Z$41"),MATCH("Points (Auto-generate)",INDIRECT("'"&amp;$A85&amp;"'!$A$12:$Z$12"),0),0)="","?",VLOOKUP(AH$1,INDIRECT("'"&amp;$A85&amp;"'!$A$12:$Z$41"),MATCH("Points (Auto-generate)",INDIRECT("'"&amp;$A85&amp;"'!$A$12:$Z$12"),0),0)),"ER"))</f>
        <v>?</v>
      </c>
      <c r="AI85" s="87" t="str">
        <f aca="true">IF($H85=0,"NA",IF($A85=INDIRECT("'"&amp;$A85&amp;"'!$B$1"),IF(VLOOKUP(AI$1,INDIRECT("'"&amp;$A85&amp;"'!$A$12:$Z$41"),MATCH("Points (Auto-generate)",INDIRECT("'"&amp;$A85&amp;"'!$A$12:$Z$12"),0),0)="","?",VLOOKUP(AI$1,INDIRECT("'"&amp;$A85&amp;"'!$A$12:$Z$41"),MATCH("Points (Auto-generate)",INDIRECT("'"&amp;$A85&amp;"'!$A$12:$Z$12"),0),0)),"ER"))</f>
        <v>?</v>
      </c>
      <c r="AJ85" s="87" t="str">
        <f aca="true">IF($H85=0,"NA",IF($A85=INDIRECT("'"&amp;$A85&amp;"'!$B$1"),IF(VLOOKUP(AJ$1,INDIRECT("'"&amp;$A85&amp;"'!$A$12:$Z$41"),MATCH("Points (Auto-generate)",INDIRECT("'"&amp;$A85&amp;"'!$A$12:$Z$12"),0),0)="","?",VLOOKUP(AJ$1,INDIRECT("'"&amp;$A85&amp;"'!$A$12:$Z$41"),MATCH("Points (Auto-generate)",INDIRECT("'"&amp;$A85&amp;"'!$A$12:$Z$12"),0),0)),"ER"))</f>
        <v>?</v>
      </c>
      <c r="AK85" s="87" t="str">
        <f aca="true">IF($H85=0,"NA",IF($A85=INDIRECT("'"&amp;$A85&amp;"'!$B$1"),IF(VLOOKUP(AK$1,INDIRECT("'"&amp;$A85&amp;"'!$A$12:$Z$41"),MATCH("Points (Auto-generate)",INDIRECT("'"&amp;$A85&amp;"'!$A$12:$Z$12"),0),0)="","?",VLOOKUP(AK$1,INDIRECT("'"&amp;$A85&amp;"'!$A$12:$Z$41"),MATCH("Points (Auto-generate)",INDIRECT("'"&amp;$A85&amp;"'!$A$12:$Z$12"),0),0)),"ER"))</f>
        <v>?</v>
      </c>
    </row>
    <row r="86" customFormat="false" ht="14.25" hidden="false" customHeight="true" outlineLevel="0" collapsed="false">
      <c r="A86" s="83" t="s">
        <v>469</v>
      </c>
      <c r="B86" s="84" t="str">
        <f aca="false">IF(ISBLANK($A86),"NO_CODE",VLOOKUP($A86,'UPD Questions_290926 '!$E$1:$N$300,MATCH(B$1,'UPD Questions_290926 '!$E$1:$N$1,0),0)&amp;"")</f>
        <v>Implementation</v>
      </c>
      <c r="C86" s="84" t="str">
        <f aca="false">IF(ISBLANK($A86),"NO_CODE",VLOOKUP($A86,'UPD Questions_290926 '!$E$1:$N$300,MATCH(C$1,'UPD Questions_290926 '!$E$1:$N$1,0),0)&amp;"")</f>
        <v>Urban design, accessibility and parking</v>
      </c>
      <c r="D86" s="84" t="str">
        <f aca="false">IF(ISBLANK($A86),"NO_CODE",VLOOKUP($A86,'UPD Questions_290926 '!$E$1:$N$300,MATCH(D$1,'UPD Questions_290926 '!$E$1:$N$1,0),0)&amp;"")</f>
        <v>Urban design standards and universal accessibility</v>
      </c>
      <c r="E86" s="84" t="str">
        <f aca="false">IF(ISBLANK($A86),"NO_CODE",VLOOKUP($A86,'UPD Questions_290926 '!$E$1:$N$300,MATCH(E$1,'UPD Questions_290926 '!$E$1:$N$1,0),0)&amp;"")</f>
        <v>SQ</v>
      </c>
      <c r="F86" s="84" t="str">
        <f aca="false">IF(ISBLANK($A86),"NO_CODE",VLOOKUP($A86,'UPD Questions_290926 '!$E$1:$N$300,MATCH(F$1,'UPD Questions_290926 '!$E$1:$N$1,0),0)&amp;"")</f>
        <v>Does the city have urban design standards to guide the execution of urban projects?</v>
      </c>
      <c r="G86" s="84" t="str">
        <f aca="false">IF(ISBLANK($A86),"NO_CODE",VLOOKUP($A86,'UPD Questions_290926 '!$E$1:$N$300,MATCH(G$1,'UPD Questions_290926 '!$E$1:$N$1,0),0)&amp;"")</f>
        <v>Implementation</v>
      </c>
      <c r="H86" s="86" t="n">
        <f aca="false">IF(ISBLANK($A86),"NO_CODE",VLOOKUP($A86,'UPD Questions_290926 '!$E$1:$N$300,MATCH(H$1,'UPD Questions_290926 '!$E$1:$N$1,0),0))</f>
        <v>5</v>
      </c>
      <c r="I86" s="87" t="str">
        <f aca="true">IF($H86=0,"NA",IF($A86=INDIRECT("'"&amp;$A86&amp;"'!$B$1"),IF(VLOOKUP(I$1,INDIRECT("'"&amp;$A86&amp;"'!$A$12:$Z$41"),MATCH("Points (Auto-generate)",INDIRECT("'"&amp;$A86&amp;"'!$A$12:$Z$12"),0),0)="","?",VLOOKUP(I$1,INDIRECT("'"&amp;$A86&amp;"'!$A$12:$Z$41"),MATCH("Points (Auto-generate)",INDIRECT("'"&amp;$A86&amp;"'!$A$12:$Z$12"),0),0)),"ER"))</f>
        <v>?</v>
      </c>
      <c r="J86" s="87" t="str">
        <f aca="true">IF($H86=0,"NA",IF($A86=INDIRECT("'"&amp;$A86&amp;"'!$B$1"),IF(VLOOKUP(J$1,INDIRECT("'"&amp;$A86&amp;"'!$A$12:$Z$41"),MATCH("Points (Auto-generate)",INDIRECT("'"&amp;$A86&amp;"'!$A$12:$Z$12"),0),0)="","?",VLOOKUP(J$1,INDIRECT("'"&amp;$A86&amp;"'!$A$12:$Z$41"),MATCH("Points (Auto-generate)",INDIRECT("'"&amp;$A86&amp;"'!$A$12:$Z$12"),0),0)),"ER"))</f>
        <v>?</v>
      </c>
      <c r="K86" s="87" t="str">
        <f aca="true">IF($H86=0,"NA",IF($A86=INDIRECT("'"&amp;$A86&amp;"'!$B$1"),IF(VLOOKUP(K$1,INDIRECT("'"&amp;$A86&amp;"'!$A$12:$Z$41"),MATCH("Points (Auto-generate)",INDIRECT("'"&amp;$A86&amp;"'!$A$12:$Z$12"),0),0)="","?",VLOOKUP(K$1,INDIRECT("'"&amp;$A86&amp;"'!$A$12:$Z$41"),MATCH("Points (Auto-generate)",INDIRECT("'"&amp;$A86&amp;"'!$A$12:$Z$12"),0),0)),"ER"))</f>
        <v>?</v>
      </c>
      <c r="L86" s="87" t="str">
        <f aca="true">IF($H86=0,"NA",IF($A86=INDIRECT("'"&amp;$A86&amp;"'!$B$1"),IF(VLOOKUP(L$1,INDIRECT("'"&amp;$A86&amp;"'!$A$12:$Z$41"),MATCH("Points (Auto-generate)",INDIRECT("'"&amp;$A86&amp;"'!$A$12:$Z$12"),0),0)="","?",VLOOKUP(L$1,INDIRECT("'"&amp;$A86&amp;"'!$A$12:$Z$41"),MATCH("Points (Auto-generate)",INDIRECT("'"&amp;$A86&amp;"'!$A$12:$Z$12"),0),0)),"ER"))</f>
        <v>?</v>
      </c>
      <c r="M86" s="87" t="str">
        <f aca="true">IF($H86=0,"NA",IF($A86=INDIRECT("'"&amp;$A86&amp;"'!$B$1"),IF(VLOOKUP(M$1,INDIRECT("'"&amp;$A86&amp;"'!$A$12:$Z$41"),MATCH("Points (Auto-generate)",INDIRECT("'"&amp;$A86&amp;"'!$A$12:$Z$12"),0),0)="","?",VLOOKUP(M$1,INDIRECT("'"&amp;$A86&amp;"'!$A$12:$Z$41"),MATCH("Points (Auto-generate)",INDIRECT("'"&amp;$A86&amp;"'!$A$12:$Z$12"),0),0)),"ER"))</f>
        <v>?</v>
      </c>
      <c r="N86" s="87" t="str">
        <f aca="true">IF($H86=0,"NA",IF($A86=INDIRECT("'"&amp;$A86&amp;"'!$B$1"),IF(VLOOKUP(N$1,INDIRECT("'"&amp;$A86&amp;"'!$A$12:$Z$41"),MATCH("Points (Auto-generate)",INDIRECT("'"&amp;$A86&amp;"'!$A$12:$Z$12"),0),0)="","?",VLOOKUP(N$1,INDIRECT("'"&amp;$A86&amp;"'!$A$12:$Z$41"),MATCH("Points (Auto-generate)",INDIRECT("'"&amp;$A86&amp;"'!$A$12:$Z$12"),0),0)),"ER"))</f>
        <v>?</v>
      </c>
      <c r="O86" s="87" t="str">
        <f aca="true">IF($H86=0,"NA",IF($A86=INDIRECT("'"&amp;$A86&amp;"'!$B$1"),IF(VLOOKUP(O$1,INDIRECT("'"&amp;$A86&amp;"'!$A$12:$Z$41"),MATCH("Points (Auto-generate)",INDIRECT("'"&amp;$A86&amp;"'!$A$12:$Z$12"),0),0)="","?",VLOOKUP(O$1,INDIRECT("'"&amp;$A86&amp;"'!$A$12:$Z$41"),MATCH("Points (Auto-generate)",INDIRECT("'"&amp;$A86&amp;"'!$A$12:$Z$12"),0),0)),"ER"))</f>
        <v>?</v>
      </c>
      <c r="P86" s="87" t="str">
        <f aca="true">IF($H86=0,"NA",IF($A86=INDIRECT("'"&amp;$A86&amp;"'!$B$1"),IF(VLOOKUP(P$1,INDIRECT("'"&amp;$A86&amp;"'!$A$12:$Z$41"),MATCH("Points (Auto-generate)",INDIRECT("'"&amp;$A86&amp;"'!$A$12:$Z$12"),0),0)="","?",VLOOKUP(P$1,INDIRECT("'"&amp;$A86&amp;"'!$A$12:$Z$41"),MATCH("Points (Auto-generate)",INDIRECT("'"&amp;$A86&amp;"'!$A$12:$Z$12"),0),0)),"ER"))</f>
        <v>?</v>
      </c>
      <c r="Q86" s="87" t="str">
        <f aca="true">IF($H86=0,"NA",IF($A86=INDIRECT("'"&amp;$A86&amp;"'!$B$1"),IF(VLOOKUP(Q$1,INDIRECT("'"&amp;$A86&amp;"'!$A$12:$Z$41"),MATCH("Points (Auto-generate)",INDIRECT("'"&amp;$A86&amp;"'!$A$12:$Z$12"),0),0)="","?",VLOOKUP(Q$1,INDIRECT("'"&amp;$A86&amp;"'!$A$12:$Z$41"),MATCH("Points (Auto-generate)",INDIRECT("'"&amp;$A86&amp;"'!$A$12:$Z$12"),0),0)),"ER"))</f>
        <v>?</v>
      </c>
      <c r="R86" s="87" t="str">
        <f aca="true">IF($H86=0,"NA",IF($A86=INDIRECT("'"&amp;$A86&amp;"'!$B$1"),IF(VLOOKUP(R$1,INDIRECT("'"&amp;$A86&amp;"'!$A$12:$Z$41"),MATCH("Points (Auto-generate)",INDIRECT("'"&amp;$A86&amp;"'!$A$12:$Z$12"),0),0)="","?",VLOOKUP(R$1,INDIRECT("'"&amp;$A86&amp;"'!$A$12:$Z$41"),MATCH("Points (Auto-generate)",INDIRECT("'"&amp;$A86&amp;"'!$A$12:$Z$12"),0),0)),"ER"))</f>
        <v>?</v>
      </c>
      <c r="S86" s="87" t="str">
        <f aca="true">IF($H86=0,"NA",IF($A86=INDIRECT("'"&amp;$A86&amp;"'!$B$1"),IF(VLOOKUP(S$1,INDIRECT("'"&amp;$A86&amp;"'!$A$12:$Z$41"),MATCH("Points (Auto-generate)",INDIRECT("'"&amp;$A86&amp;"'!$A$12:$Z$12"),0),0)="","?",VLOOKUP(S$1,INDIRECT("'"&amp;$A86&amp;"'!$A$12:$Z$41"),MATCH("Points (Auto-generate)",INDIRECT("'"&amp;$A86&amp;"'!$A$12:$Z$12"),0),0)),"ER"))</f>
        <v>?</v>
      </c>
      <c r="T86" s="87" t="str">
        <f aca="true">IF($H86=0,"NA",IF($A86=INDIRECT("'"&amp;$A86&amp;"'!$B$1"),IF(VLOOKUP(T$1,INDIRECT("'"&amp;$A86&amp;"'!$A$12:$Z$41"),MATCH("Points (Auto-generate)",INDIRECT("'"&amp;$A86&amp;"'!$A$12:$Z$12"),0),0)="","?",VLOOKUP(T$1,INDIRECT("'"&amp;$A86&amp;"'!$A$12:$Z$41"),MATCH("Points (Auto-generate)",INDIRECT("'"&amp;$A86&amp;"'!$A$12:$Z$12"),0),0)),"ER"))</f>
        <v>?</v>
      </c>
      <c r="U86" s="87" t="str">
        <f aca="true">IF($H86=0,"NA",IF($A86=INDIRECT("'"&amp;$A86&amp;"'!$B$1"),IF(VLOOKUP(U$1,INDIRECT("'"&amp;$A86&amp;"'!$A$12:$Z$41"),MATCH("Points (Auto-generate)",INDIRECT("'"&amp;$A86&amp;"'!$A$12:$Z$12"),0),0)="","?",VLOOKUP(U$1,INDIRECT("'"&amp;$A86&amp;"'!$A$12:$Z$41"),MATCH("Points (Auto-generate)",INDIRECT("'"&amp;$A86&amp;"'!$A$12:$Z$12"),0),0)),"ER"))</f>
        <v>?</v>
      </c>
      <c r="V86" s="87" t="str">
        <f aca="true">IF($H86=0,"NA",IF($A86=INDIRECT("'"&amp;$A86&amp;"'!$B$1"),IF(VLOOKUP(V$1,INDIRECT("'"&amp;$A86&amp;"'!$A$12:$Z$41"),MATCH("Points (Auto-generate)",INDIRECT("'"&amp;$A86&amp;"'!$A$12:$Z$12"),0),0)="","?",VLOOKUP(V$1,INDIRECT("'"&amp;$A86&amp;"'!$A$12:$Z$41"),MATCH("Points (Auto-generate)",INDIRECT("'"&amp;$A86&amp;"'!$A$12:$Z$12"),0),0)),"ER"))</f>
        <v>?</v>
      </c>
      <c r="W86" s="87" t="str">
        <f aca="true">IF($H86=0,"NA",IF($A86=INDIRECT("'"&amp;$A86&amp;"'!$B$1"),IF(VLOOKUP(W$1,INDIRECT("'"&amp;$A86&amp;"'!$A$12:$Z$41"),MATCH("Points (Auto-generate)",INDIRECT("'"&amp;$A86&amp;"'!$A$12:$Z$12"),0),0)="","?",VLOOKUP(W$1,INDIRECT("'"&amp;$A86&amp;"'!$A$12:$Z$41"),MATCH("Points (Auto-generate)",INDIRECT("'"&amp;$A86&amp;"'!$A$12:$Z$12"),0),0)),"ER"))</f>
        <v>?</v>
      </c>
      <c r="X86" s="87" t="str">
        <f aca="true">IF($H86=0,"NA",IF($A86=INDIRECT("'"&amp;$A86&amp;"'!$B$1"),IF(VLOOKUP(X$1,INDIRECT("'"&amp;$A86&amp;"'!$A$12:$Z$41"),MATCH("Points (Auto-generate)",INDIRECT("'"&amp;$A86&amp;"'!$A$12:$Z$12"),0),0)="","?",VLOOKUP(X$1,INDIRECT("'"&amp;$A86&amp;"'!$A$12:$Z$41"),MATCH("Points (Auto-generate)",INDIRECT("'"&amp;$A86&amp;"'!$A$12:$Z$12"),0),0)),"ER"))</f>
        <v>?</v>
      </c>
      <c r="Y86" s="87" t="str">
        <f aca="true">IF($H86=0,"NA",IF($A86=INDIRECT("'"&amp;$A86&amp;"'!$B$1"),IF(VLOOKUP(Y$1,INDIRECT("'"&amp;$A86&amp;"'!$A$12:$Z$41"),MATCH("Points (Auto-generate)",INDIRECT("'"&amp;$A86&amp;"'!$A$12:$Z$12"),0),0)="","?",VLOOKUP(Y$1,INDIRECT("'"&amp;$A86&amp;"'!$A$12:$Z$41"),MATCH("Points (Auto-generate)",INDIRECT("'"&amp;$A86&amp;"'!$A$12:$Z$12"),0),0)),"ER"))</f>
        <v>?</v>
      </c>
      <c r="Z86" s="87" t="str">
        <f aca="true">IF($H86=0,"NA",IF($A86=INDIRECT("'"&amp;$A86&amp;"'!$B$1"),IF(VLOOKUP(Z$1,INDIRECT("'"&amp;$A86&amp;"'!$A$12:$Z$41"),MATCH("Points (Auto-generate)",INDIRECT("'"&amp;$A86&amp;"'!$A$12:$Z$12"),0),0)="","?",VLOOKUP(Z$1,INDIRECT("'"&amp;$A86&amp;"'!$A$12:$Z$41"),MATCH("Points (Auto-generate)",INDIRECT("'"&amp;$A86&amp;"'!$A$12:$Z$12"),0),0)),"ER"))</f>
        <v>?</v>
      </c>
      <c r="AA86" s="87" t="str">
        <f aca="true">IF($H86=0,"NA",IF($A86=INDIRECT("'"&amp;$A86&amp;"'!$B$1"),IF(VLOOKUP(AA$1,INDIRECT("'"&amp;$A86&amp;"'!$A$12:$Z$41"),MATCH("Points (Auto-generate)",INDIRECT("'"&amp;$A86&amp;"'!$A$12:$Z$12"),0),0)="","?",VLOOKUP(AA$1,INDIRECT("'"&amp;$A86&amp;"'!$A$12:$Z$41"),MATCH("Points (Auto-generate)",INDIRECT("'"&amp;$A86&amp;"'!$A$12:$Z$12"),0),0)),"ER"))</f>
        <v>?</v>
      </c>
      <c r="AB86" s="87" t="str">
        <f aca="true">IF($H86=0,"NA",IF($A86=INDIRECT("'"&amp;$A86&amp;"'!$B$1"),IF(VLOOKUP(AB$1,INDIRECT("'"&amp;$A86&amp;"'!$A$12:$Z$41"),MATCH("Points (Auto-generate)",INDIRECT("'"&amp;$A86&amp;"'!$A$12:$Z$12"),0),0)="","?",VLOOKUP(AB$1,INDIRECT("'"&amp;$A86&amp;"'!$A$12:$Z$41"),MATCH("Points (Auto-generate)",INDIRECT("'"&amp;$A86&amp;"'!$A$12:$Z$12"),0),0)),"ER"))</f>
        <v>?</v>
      </c>
      <c r="AC86" s="87" t="str">
        <f aca="true">IF($H86=0,"NA",IF($A86=INDIRECT("'"&amp;$A86&amp;"'!$B$1"),IF(VLOOKUP(AC$1,INDIRECT("'"&amp;$A86&amp;"'!$A$12:$Z$41"),MATCH("Points (Auto-generate)",INDIRECT("'"&amp;$A86&amp;"'!$A$12:$Z$12"),0),0)="","?",VLOOKUP(AC$1,INDIRECT("'"&amp;$A86&amp;"'!$A$12:$Z$41"),MATCH("Points (Auto-generate)",INDIRECT("'"&amp;$A86&amp;"'!$A$12:$Z$12"),0),0)),"ER"))</f>
        <v>?</v>
      </c>
      <c r="AD86" s="87" t="str">
        <f aca="true">IF($H86=0,"NA",IF($A86=INDIRECT("'"&amp;$A86&amp;"'!$B$1"),IF(VLOOKUP(AD$1,INDIRECT("'"&amp;$A86&amp;"'!$A$12:$Z$41"),MATCH("Points (Auto-generate)",INDIRECT("'"&amp;$A86&amp;"'!$A$12:$Z$12"),0),0)="","?",VLOOKUP(AD$1,INDIRECT("'"&amp;$A86&amp;"'!$A$12:$Z$41"),MATCH("Points (Auto-generate)",INDIRECT("'"&amp;$A86&amp;"'!$A$12:$Z$12"),0),0)),"ER"))</f>
        <v>?</v>
      </c>
      <c r="AE86" s="87" t="str">
        <f aca="true">IF($H86=0,"NA",IF($A86=INDIRECT("'"&amp;$A86&amp;"'!$B$1"),IF(VLOOKUP(AE$1,INDIRECT("'"&amp;$A86&amp;"'!$A$12:$Z$41"),MATCH("Points (Auto-generate)",INDIRECT("'"&amp;$A86&amp;"'!$A$12:$Z$12"),0),0)="","?",VLOOKUP(AE$1,INDIRECT("'"&amp;$A86&amp;"'!$A$12:$Z$41"),MATCH("Points (Auto-generate)",INDIRECT("'"&amp;$A86&amp;"'!$A$12:$Z$12"),0),0)),"ER"))</f>
        <v>?</v>
      </c>
      <c r="AF86" s="87" t="str">
        <f aca="true">IF($H86=0,"NA",IF($A86=INDIRECT("'"&amp;$A86&amp;"'!$B$1"),IF(VLOOKUP(AF$1,INDIRECT("'"&amp;$A86&amp;"'!$A$12:$Z$41"),MATCH("Points (Auto-generate)",INDIRECT("'"&amp;$A86&amp;"'!$A$12:$Z$12"),0),0)="","?",VLOOKUP(AF$1,INDIRECT("'"&amp;$A86&amp;"'!$A$12:$Z$41"),MATCH("Points (Auto-generate)",INDIRECT("'"&amp;$A86&amp;"'!$A$12:$Z$12"),0),0)),"ER"))</f>
        <v>?</v>
      </c>
      <c r="AG86" s="87" t="str">
        <f aca="true">IF($H86=0,"NA",IF($A86=INDIRECT("'"&amp;$A86&amp;"'!$B$1"),IF(VLOOKUP(AG$1,INDIRECT("'"&amp;$A86&amp;"'!$A$12:$Z$41"),MATCH("Points (Auto-generate)",INDIRECT("'"&amp;$A86&amp;"'!$A$12:$Z$12"),0),0)="","?",VLOOKUP(AG$1,INDIRECT("'"&amp;$A86&amp;"'!$A$12:$Z$41"),MATCH("Points (Auto-generate)",INDIRECT("'"&amp;$A86&amp;"'!$A$12:$Z$12"),0),0)),"ER"))</f>
        <v>?</v>
      </c>
      <c r="AH86" s="87" t="str">
        <f aca="true">IF($H86=0,"NA",IF($A86=INDIRECT("'"&amp;$A86&amp;"'!$B$1"),IF(VLOOKUP(AH$1,INDIRECT("'"&amp;$A86&amp;"'!$A$12:$Z$41"),MATCH("Points (Auto-generate)",INDIRECT("'"&amp;$A86&amp;"'!$A$12:$Z$12"),0),0)="","?",VLOOKUP(AH$1,INDIRECT("'"&amp;$A86&amp;"'!$A$12:$Z$41"),MATCH("Points (Auto-generate)",INDIRECT("'"&amp;$A86&amp;"'!$A$12:$Z$12"),0),0)),"ER"))</f>
        <v>?</v>
      </c>
      <c r="AI86" s="87" t="str">
        <f aca="true">IF($H86=0,"NA",IF($A86=INDIRECT("'"&amp;$A86&amp;"'!$B$1"),IF(VLOOKUP(AI$1,INDIRECT("'"&amp;$A86&amp;"'!$A$12:$Z$41"),MATCH("Points (Auto-generate)",INDIRECT("'"&amp;$A86&amp;"'!$A$12:$Z$12"),0),0)="","?",VLOOKUP(AI$1,INDIRECT("'"&amp;$A86&amp;"'!$A$12:$Z$41"),MATCH("Points (Auto-generate)",INDIRECT("'"&amp;$A86&amp;"'!$A$12:$Z$12"),0),0)),"ER"))</f>
        <v>?</v>
      </c>
      <c r="AJ86" s="87" t="str">
        <f aca="true">IF($H86=0,"NA",IF($A86=INDIRECT("'"&amp;$A86&amp;"'!$B$1"),IF(VLOOKUP(AJ$1,INDIRECT("'"&amp;$A86&amp;"'!$A$12:$Z$41"),MATCH("Points (Auto-generate)",INDIRECT("'"&amp;$A86&amp;"'!$A$12:$Z$12"),0),0)="","?",VLOOKUP(AJ$1,INDIRECT("'"&amp;$A86&amp;"'!$A$12:$Z$41"),MATCH("Points (Auto-generate)",INDIRECT("'"&amp;$A86&amp;"'!$A$12:$Z$12"),0),0)),"ER"))</f>
        <v>?</v>
      </c>
      <c r="AK86" s="87" t="str">
        <f aca="true">IF($H86=0,"NA",IF($A86=INDIRECT("'"&amp;$A86&amp;"'!$B$1"),IF(VLOOKUP(AK$1,INDIRECT("'"&amp;$A86&amp;"'!$A$12:$Z$41"),MATCH("Points (Auto-generate)",INDIRECT("'"&amp;$A86&amp;"'!$A$12:$Z$12"),0),0)="","?",VLOOKUP(AK$1,INDIRECT("'"&amp;$A86&amp;"'!$A$12:$Z$41"),MATCH("Points (Auto-generate)",INDIRECT("'"&amp;$A86&amp;"'!$A$12:$Z$12"),0),0)),"ER"))</f>
        <v>?</v>
      </c>
    </row>
    <row r="87" customFormat="false" ht="14.25" hidden="false" customHeight="true" outlineLevel="0" collapsed="false">
      <c r="A87" s="83" t="s">
        <v>923</v>
      </c>
      <c r="B87" s="84" t="str">
        <f aca="false">IF(ISBLANK($A87),"NO_CODE",VLOOKUP($A87,'UPD Questions_290926 '!$E$1:$N$300,MATCH(B$1,'UPD Questions_290926 '!$E$1:$N$1,0),0)&amp;"")</f>
        <v>Implementation</v>
      </c>
      <c r="C87" s="84" t="str">
        <f aca="false">IF(ISBLANK($A87),"NO_CODE",VLOOKUP($A87,'UPD Questions_290926 '!$E$1:$N$300,MATCH(C$1,'UPD Questions_290926 '!$E$1:$N$1,0),0)&amp;"")</f>
        <v>Urban design, accessibility and parking</v>
      </c>
      <c r="D87" s="84" t="str">
        <f aca="false">IF(ISBLANK($A87),"NO_CODE",VLOOKUP($A87,'UPD Questions_290926 '!$E$1:$N$300,MATCH(D$1,'UPD Questions_290926 '!$E$1:$N$1,0),0)&amp;"")</f>
        <v>Parking policy</v>
      </c>
      <c r="E87" s="84" t="str">
        <f aca="false">IF(ISBLANK($A87),"NO_CODE",VLOOKUP($A87,'UPD Questions_290926 '!$E$1:$N$300,MATCH(E$1,'UPD Questions_290926 '!$E$1:$N$1,0),0)&amp;"")</f>
        <v>MQ</v>
      </c>
      <c r="F87" s="84" t="str">
        <f aca="false">IF(ISBLANK($A87),"NO_CODE",VLOOKUP($A87,'UPD Questions_290926 '!$E$1:$N$300,MATCH(F$1,'UPD Questions_290926 '!$E$1:$N$1,0),0)&amp;"")</f>
        <v>Does the city have a parking policy? </v>
      </c>
      <c r="G87" s="84" t="str">
        <f aca="false">IF(ISBLANK($A87),"NO_CODE",VLOOKUP($A87,'UPD Questions_290926 '!$E$1:$N$300,MATCH(G$1,'UPD Questions_290926 '!$E$1:$N$1,0),0)&amp;"")</f>
        <v>Implementation</v>
      </c>
      <c r="H87" s="86" t="n">
        <f aca="false">IF(ISBLANK($A87),"NO_CODE",VLOOKUP($A87,'UPD Questions_290926 '!$E$1:$N$300,MATCH(H$1,'UPD Questions_290926 '!$E$1:$N$1,0),0))</f>
        <v>10</v>
      </c>
      <c r="I87" s="87" t="str">
        <f aca="false">IF(OR(I88="ER",I89="ER"),"ER",IF(OR(I88="?",I89="?"),"?",IF(AND(I88="NA",I89="NA"),"NA",SUM(I88,I89)/((I88&lt;&gt;"NA")*$H$88+(I89&lt;&gt;"NA")*$H$89)*$H87)))</f>
        <v>?</v>
      </c>
      <c r="J87" s="87" t="str">
        <f aca="false">IF(OR(J88="ER",J89="ER"),"ER",IF(OR(J88="?",J89="?"),"?",IF(AND(J88="NA",J89="NA"),"NA",SUM(J88,J89)/((J88&lt;&gt;"NA")*$H$88+(J89&lt;&gt;"NA")*$H$89)*$H87)))</f>
        <v>?</v>
      </c>
      <c r="K87" s="87" t="str">
        <f aca="false">IF(OR(K88="ER",K89="ER"),"ER",IF(OR(K88="?",K89="?"),"?",IF(AND(K88="NA",K89="NA"),"NA",SUM(K88,K89)/((K88&lt;&gt;"NA")*$H$88+(K89&lt;&gt;"NA")*$H$89)*$H87)))</f>
        <v>?</v>
      </c>
      <c r="L87" s="87" t="str">
        <f aca="false">IF(OR(L88="ER",L89="ER"),"ER",IF(OR(L88="?",L89="?"),"?",IF(AND(L88="NA",L89="NA"),"NA",SUM(L88,L89)/((L88&lt;&gt;"NA")*$H$88+(L89&lt;&gt;"NA")*$H$89)*$H87)))</f>
        <v>?</v>
      </c>
      <c r="M87" s="87" t="str">
        <f aca="false">IF(OR(M88="ER",M89="ER"),"ER",IF(OR(M88="?",M89="?"),"?",IF(AND(M88="NA",M89="NA"),"NA",SUM(M88,M89)/((M88&lt;&gt;"NA")*$H$88+(M89&lt;&gt;"NA")*$H$89)*$H87)))</f>
        <v>?</v>
      </c>
      <c r="N87" s="87" t="str">
        <f aca="false">IF(OR(N88="ER",N89="ER"),"ER",IF(OR(N88="?",N89="?"),"?",IF(AND(N88="NA",N89="NA"),"NA",SUM(N88,N89)/((N88&lt;&gt;"NA")*$H$88+(N89&lt;&gt;"NA")*$H$89)*$H87)))</f>
        <v>?</v>
      </c>
      <c r="O87" s="87" t="str">
        <f aca="false">IF(OR(O88="ER",O89="ER"),"ER",IF(OR(O88="?",O89="?"),"?",IF(AND(O88="NA",O89="NA"),"NA",SUM(O88,O89)/((O88&lt;&gt;"NA")*$H$88+(O89&lt;&gt;"NA")*$H$89)*$H87)))</f>
        <v>?</v>
      </c>
      <c r="P87" s="87" t="str">
        <f aca="false">IF(OR(P88="ER",P89="ER"),"ER",IF(OR(P88="?",P89="?"),"?",IF(AND(P88="NA",P89="NA"),"NA",SUM(P88,P89)/((P88&lt;&gt;"NA")*$H$88+(P89&lt;&gt;"NA")*$H$89)*$H87)))</f>
        <v>?</v>
      </c>
      <c r="Q87" s="87" t="str">
        <f aca="false">IF(OR(Q88="ER",Q89="ER"),"ER",IF(OR(Q88="?",Q89="?"),"?",IF(AND(Q88="NA",Q89="NA"),"NA",SUM(Q88,Q89)/((Q88&lt;&gt;"NA")*$H$88+(Q89&lt;&gt;"NA")*$H$89)*$H87)))</f>
        <v>?</v>
      </c>
      <c r="R87" s="87" t="str">
        <f aca="false">IF(OR(R88="ER",R89="ER"),"ER",IF(OR(R88="?",R89="?"),"?",IF(AND(R88="NA",R89="NA"),"NA",SUM(R88,R89)/((R88&lt;&gt;"NA")*$H$88+(R89&lt;&gt;"NA")*$H$89)*$H87)))</f>
        <v>?</v>
      </c>
      <c r="S87" s="87" t="str">
        <f aca="false">IF(OR(S88="ER",S89="ER"),"ER",IF(OR(S88="?",S89="?"),"?",IF(AND(S88="NA",S89="NA"),"NA",SUM(S88,S89)/((S88&lt;&gt;"NA")*$H$88+(S89&lt;&gt;"NA")*$H$89)*$H87)))</f>
        <v>?</v>
      </c>
      <c r="T87" s="87" t="str">
        <f aca="false">IF(OR(T88="ER",T89="ER"),"ER",IF(OR(T88="?",T89="?"),"?",IF(AND(T88="NA",T89="NA"),"NA",SUM(T88,T89)/((T88&lt;&gt;"NA")*$H$88+(T89&lt;&gt;"NA")*$H$89)*$H87)))</f>
        <v>?</v>
      </c>
      <c r="U87" s="87" t="str">
        <f aca="false">IF(OR(U88="ER",U89="ER"),"ER",IF(OR(U88="?",U89="?"),"?",IF(AND(U88="NA",U89="NA"),"NA",SUM(U88,U89)/((U88&lt;&gt;"NA")*$H$88+(U89&lt;&gt;"NA")*$H$89)*$H87)))</f>
        <v>?</v>
      </c>
      <c r="V87" s="87" t="str">
        <f aca="false">IF(OR(V88="ER",V89="ER"),"ER",IF(OR(V88="?",V89="?"),"?",IF(AND(V88="NA",V89="NA"),"NA",SUM(V88,V89)/((V88&lt;&gt;"NA")*$H$88+(V89&lt;&gt;"NA")*$H$89)*$H87)))</f>
        <v>?</v>
      </c>
      <c r="W87" s="87" t="str">
        <f aca="false">IF(OR(W88="ER",W89="ER"),"ER",IF(OR(W88="?",W89="?"),"?",IF(AND(W88="NA",W89="NA"),"NA",SUM(W88,W89)/((W88&lt;&gt;"NA")*$H$88+(W89&lt;&gt;"NA")*$H$89)*$H87)))</f>
        <v>?</v>
      </c>
      <c r="X87" s="87" t="str">
        <f aca="false">IF(OR(X88="ER",X89="ER"),"ER",IF(OR(X88="?",X89="?"),"?",IF(AND(X88="NA",X89="NA"),"NA",SUM(X88,X89)/((X88&lt;&gt;"NA")*$H$88+(X89&lt;&gt;"NA")*$H$89)*$H87)))</f>
        <v>?</v>
      </c>
      <c r="Y87" s="87" t="str">
        <f aca="false">IF(OR(Y88="ER",Y89="ER"),"ER",IF(OR(Y88="?",Y89="?"),"?",IF(AND(Y88="NA",Y89="NA"),"NA",SUM(Y88,Y89)/((Y88&lt;&gt;"NA")*$H$88+(Y89&lt;&gt;"NA")*$H$89)*$H87)))</f>
        <v>?</v>
      </c>
      <c r="Z87" s="87" t="str">
        <f aca="false">IF(OR(Z88="ER",Z89="ER"),"ER",IF(OR(Z88="?",Z89="?"),"?",IF(AND(Z88="NA",Z89="NA"),"NA",SUM(Z88,Z89)/((Z88&lt;&gt;"NA")*$H$88+(Z89&lt;&gt;"NA")*$H$89)*$H87)))</f>
        <v>?</v>
      </c>
      <c r="AA87" s="87" t="str">
        <f aca="false">IF(OR(AA88="ER",AA89="ER"),"ER",IF(OR(AA88="?",AA89="?"),"?",IF(AND(AA88="NA",AA89="NA"),"NA",SUM(AA88,AA89)/((AA88&lt;&gt;"NA")*$H$88+(AA89&lt;&gt;"NA")*$H$89)*$H87)))</f>
        <v>?</v>
      </c>
      <c r="AB87" s="87" t="str">
        <f aca="false">IF(OR(AB88="ER",AB89="ER"),"ER",IF(OR(AB88="?",AB89="?"),"?",IF(AND(AB88="NA",AB89="NA"),"NA",SUM(AB88,AB89)/((AB88&lt;&gt;"NA")*$H$88+(AB89&lt;&gt;"NA")*$H$89)*$H87)))</f>
        <v>?</v>
      </c>
      <c r="AC87" s="87" t="str">
        <f aca="false">IF(OR(AC88="ER",AC89="ER"),"ER",IF(OR(AC88="?",AC89="?"),"?",IF(AND(AC88="NA",AC89="NA"),"NA",SUM(AC88,AC89)/((AC88&lt;&gt;"NA")*$H$88+(AC89&lt;&gt;"NA")*$H$89)*$H87)))</f>
        <v>?</v>
      </c>
      <c r="AD87" s="87" t="str">
        <f aca="false">IF(OR(AD88="ER",AD89="ER"),"ER",IF(OR(AD88="?",AD89="?"),"?",IF(AND(AD88="NA",AD89="NA"),"NA",SUM(AD88,AD89)/((AD88&lt;&gt;"NA")*$H$88+(AD89&lt;&gt;"NA")*$H$89)*$H87)))</f>
        <v>?</v>
      </c>
      <c r="AE87" s="87" t="str">
        <f aca="false">IF(OR(AE88="ER",AE89="ER"),"ER",IF(OR(AE88="?",AE89="?"),"?",IF(AND(AE88="NA",AE89="NA"),"NA",SUM(AE88,AE89)/((AE88&lt;&gt;"NA")*$H$88+(AE89&lt;&gt;"NA")*$H$89)*$H87)))</f>
        <v>?</v>
      </c>
      <c r="AF87" s="87" t="str">
        <f aca="false">IF(OR(AF88="ER",AF89="ER"),"ER",IF(OR(AF88="?",AF89="?"),"?",IF(AND(AF88="NA",AF89="NA"),"NA",SUM(AF88,AF89)/((AF88&lt;&gt;"NA")*$H$88+(AF89&lt;&gt;"NA")*$H$89)*$H87)))</f>
        <v>?</v>
      </c>
      <c r="AG87" s="87" t="str">
        <f aca="false">IF(OR(AG88="ER",AG89="ER"),"ER",IF(OR(AG88="?",AG89="?"),"?",IF(AND(AG88="NA",AG89="NA"),"NA",SUM(AG88,AG89)/((AG88&lt;&gt;"NA")*$H$88+(AG89&lt;&gt;"NA")*$H$89)*$H87)))</f>
        <v>?</v>
      </c>
      <c r="AH87" s="87" t="str">
        <f aca="false">IF(OR(AH88="ER",AH89="ER"),"ER",IF(OR(AH88="?",AH89="?"),"?",IF(AND(AH88="NA",AH89="NA"),"NA",SUM(AH88,AH89)/((AH88&lt;&gt;"NA")*$H$88+(AH89&lt;&gt;"NA")*$H$89)*$H87)))</f>
        <v>?</v>
      </c>
      <c r="AI87" s="87" t="str">
        <f aca="false">IF(OR(AI88="ER",AI89="ER"),"ER",IF(OR(AI88="?",AI89="?"),"?",IF(AND(AI88="NA",AI89="NA"),"NA",SUM(AI88,AI89)/((AI88&lt;&gt;"NA")*$H$88+(AI89&lt;&gt;"NA")*$H$89)*$H87)))</f>
        <v>?</v>
      </c>
      <c r="AJ87" s="87" t="str">
        <f aca="false">IF(OR(AJ88="ER",AJ89="ER"),"ER",IF(OR(AJ88="?",AJ89="?"),"?",IF(AND(AJ88="NA",AJ89="NA"),"NA",SUM(AJ88,AJ89)/((AJ88&lt;&gt;"NA")*$H$88+(AJ89&lt;&gt;"NA")*$H$89)*$H87)))</f>
        <v>?</v>
      </c>
      <c r="AK87" s="87" t="str">
        <f aca="false">IF(OR(AK88="ER",AK89="ER"),"ER",IF(OR(AK88="?",AK89="?"),"?",IF(AND(AK88="NA",AK89="NA"),"NA",SUM(AK88,AK89)/((AK88&lt;&gt;"NA")*$H$88+(AK89&lt;&gt;"NA")*$H$89)*$H87)))</f>
        <v>?</v>
      </c>
    </row>
    <row r="88" customFormat="false" ht="14.25" hidden="false" customHeight="true" outlineLevel="0" collapsed="false">
      <c r="A88" s="83" t="s">
        <v>478</v>
      </c>
      <c r="B88" s="84" t="str">
        <f aca="false">IF(ISBLANK($A88),"NO_CODE",VLOOKUP($A88,'UPD Questions_290926 '!$E$1:$N$300,MATCH(B$1,'UPD Questions_290926 '!$E$1:$N$1,0),0)&amp;"")</f>
        <v>Implementation</v>
      </c>
      <c r="C88" s="84" t="str">
        <f aca="false">IF(ISBLANK($A88),"NO_CODE",VLOOKUP($A88,'UPD Questions_290926 '!$E$1:$N$300,MATCH(C$1,'UPD Questions_290926 '!$E$1:$N$1,0),0)&amp;"")</f>
        <v>Urban design, accessibility and parking</v>
      </c>
      <c r="D88" s="84" t="str">
        <f aca="false">IF(ISBLANK($A88),"NO_CODE",VLOOKUP($A88,'UPD Questions_290926 '!$E$1:$N$300,MATCH(D$1,'UPD Questions_290926 '!$E$1:$N$1,0),0)&amp;"")</f>
        <v>Parking policy</v>
      </c>
      <c r="E88" s="84" t="str">
        <f aca="false">IF(ISBLANK($A88),"NO_CODE",VLOOKUP($A88,'UPD Questions_290926 '!$E$1:$N$300,MATCH(E$1,'UPD Questions_290926 '!$E$1:$N$1,0),0)&amp;"")</f>
        <v>SQ</v>
      </c>
      <c r="F88" s="84" t="str">
        <f aca="false">IF(ISBLANK($A88),"NO_CODE",VLOOKUP($A88,'UPD Questions_290926 '!$E$1:$N$300,MATCH(F$1,'UPD Questions_290926 '!$E$1:$N$1,0),0)&amp;"")</f>
        <v>Is there a clear mandate in the law for a parking policy?</v>
      </c>
      <c r="G88" s="84" t="str">
        <f aca="false">IF(ISBLANK($A88),"NO_CODE",VLOOKUP($A88,'UPD Questions_290926 '!$E$1:$N$300,MATCH(G$1,'UPD Questions_290926 '!$E$1:$N$1,0),0)&amp;"")</f>
        <v>Law or Policy</v>
      </c>
      <c r="H88" s="86" t="n">
        <f aca="false">IF(ISBLANK($A88),"NO_CODE",VLOOKUP($A88,'UPD Questions_290926 '!$E$1:$N$300,MATCH(H$1,'UPD Questions_290926 '!$E$1:$N$1,0),0))</f>
        <v>5</v>
      </c>
      <c r="I88" s="87" t="str">
        <f aca="true">IF($H88=0,"NA",IF($A88=INDIRECT("'"&amp;$A88&amp;"'!$B$1"),IF(VLOOKUP(I$1,INDIRECT("'"&amp;$A88&amp;"'!$A$12:$Z$41"),MATCH("Points (Auto-generate)",INDIRECT("'"&amp;$A88&amp;"'!$A$12:$Z$12"),0),0)="","?",VLOOKUP(I$1,INDIRECT("'"&amp;$A88&amp;"'!$A$12:$Z$41"),MATCH("Points (Auto-generate)",INDIRECT("'"&amp;$A88&amp;"'!$A$12:$Z$12"),0),0)),"ER"))</f>
        <v>?</v>
      </c>
      <c r="J88" s="87" t="str">
        <f aca="true">IF($H88=0,"NA",IF($A88=INDIRECT("'"&amp;$A88&amp;"'!$B$1"),IF(VLOOKUP(J$1,INDIRECT("'"&amp;$A88&amp;"'!$A$12:$Z$41"),MATCH("Points (Auto-generate)",INDIRECT("'"&amp;$A88&amp;"'!$A$12:$Z$12"),0),0)="","?",VLOOKUP(J$1,INDIRECT("'"&amp;$A88&amp;"'!$A$12:$Z$41"),MATCH("Points (Auto-generate)",INDIRECT("'"&amp;$A88&amp;"'!$A$12:$Z$12"),0),0)),"ER"))</f>
        <v>?</v>
      </c>
      <c r="K88" s="87" t="str">
        <f aca="true">IF($H88=0,"NA",IF($A88=INDIRECT("'"&amp;$A88&amp;"'!$B$1"),IF(VLOOKUP(K$1,INDIRECT("'"&amp;$A88&amp;"'!$A$12:$Z$41"),MATCH("Points (Auto-generate)",INDIRECT("'"&amp;$A88&amp;"'!$A$12:$Z$12"),0),0)="","?",VLOOKUP(K$1,INDIRECT("'"&amp;$A88&amp;"'!$A$12:$Z$41"),MATCH("Points (Auto-generate)",INDIRECT("'"&amp;$A88&amp;"'!$A$12:$Z$12"),0),0)),"ER"))</f>
        <v>?</v>
      </c>
      <c r="L88" s="87" t="str">
        <f aca="true">IF($H88=0,"NA",IF($A88=INDIRECT("'"&amp;$A88&amp;"'!$B$1"),IF(VLOOKUP(L$1,INDIRECT("'"&amp;$A88&amp;"'!$A$12:$Z$41"),MATCH("Points (Auto-generate)",INDIRECT("'"&amp;$A88&amp;"'!$A$12:$Z$12"),0),0)="","?",VLOOKUP(L$1,INDIRECT("'"&amp;$A88&amp;"'!$A$12:$Z$41"),MATCH("Points (Auto-generate)",INDIRECT("'"&amp;$A88&amp;"'!$A$12:$Z$12"),0),0)),"ER"))</f>
        <v>?</v>
      </c>
      <c r="M88" s="87" t="str">
        <f aca="true">IF($H88=0,"NA",IF($A88=INDIRECT("'"&amp;$A88&amp;"'!$B$1"),IF(VLOOKUP(M$1,INDIRECT("'"&amp;$A88&amp;"'!$A$12:$Z$41"),MATCH("Points (Auto-generate)",INDIRECT("'"&amp;$A88&amp;"'!$A$12:$Z$12"),0),0)="","?",VLOOKUP(M$1,INDIRECT("'"&amp;$A88&amp;"'!$A$12:$Z$41"),MATCH("Points (Auto-generate)",INDIRECT("'"&amp;$A88&amp;"'!$A$12:$Z$12"),0),0)),"ER"))</f>
        <v>?</v>
      </c>
      <c r="N88" s="87" t="str">
        <f aca="true">IF($H88=0,"NA",IF($A88=INDIRECT("'"&amp;$A88&amp;"'!$B$1"),IF(VLOOKUP(N$1,INDIRECT("'"&amp;$A88&amp;"'!$A$12:$Z$41"),MATCH("Points (Auto-generate)",INDIRECT("'"&amp;$A88&amp;"'!$A$12:$Z$12"),0),0)="","?",VLOOKUP(N$1,INDIRECT("'"&amp;$A88&amp;"'!$A$12:$Z$41"),MATCH("Points (Auto-generate)",INDIRECT("'"&amp;$A88&amp;"'!$A$12:$Z$12"),0),0)),"ER"))</f>
        <v>?</v>
      </c>
      <c r="O88" s="87" t="str">
        <f aca="true">IF($H88=0,"NA",IF($A88=INDIRECT("'"&amp;$A88&amp;"'!$B$1"),IF(VLOOKUP(O$1,INDIRECT("'"&amp;$A88&amp;"'!$A$12:$Z$41"),MATCH("Points (Auto-generate)",INDIRECT("'"&amp;$A88&amp;"'!$A$12:$Z$12"),0),0)="","?",VLOOKUP(O$1,INDIRECT("'"&amp;$A88&amp;"'!$A$12:$Z$41"),MATCH("Points (Auto-generate)",INDIRECT("'"&amp;$A88&amp;"'!$A$12:$Z$12"),0),0)),"ER"))</f>
        <v>?</v>
      </c>
      <c r="P88" s="87" t="str">
        <f aca="true">IF($H88=0,"NA",IF($A88=INDIRECT("'"&amp;$A88&amp;"'!$B$1"),IF(VLOOKUP(P$1,INDIRECT("'"&amp;$A88&amp;"'!$A$12:$Z$41"),MATCH("Points (Auto-generate)",INDIRECT("'"&amp;$A88&amp;"'!$A$12:$Z$12"),0),0)="","?",VLOOKUP(P$1,INDIRECT("'"&amp;$A88&amp;"'!$A$12:$Z$41"),MATCH("Points (Auto-generate)",INDIRECT("'"&amp;$A88&amp;"'!$A$12:$Z$12"),0),0)),"ER"))</f>
        <v>?</v>
      </c>
      <c r="Q88" s="87" t="str">
        <f aca="true">IF($H88=0,"NA",IF($A88=INDIRECT("'"&amp;$A88&amp;"'!$B$1"),IF(VLOOKUP(Q$1,INDIRECT("'"&amp;$A88&amp;"'!$A$12:$Z$41"),MATCH("Points (Auto-generate)",INDIRECT("'"&amp;$A88&amp;"'!$A$12:$Z$12"),0),0)="","?",VLOOKUP(Q$1,INDIRECT("'"&amp;$A88&amp;"'!$A$12:$Z$41"),MATCH("Points (Auto-generate)",INDIRECT("'"&amp;$A88&amp;"'!$A$12:$Z$12"),0),0)),"ER"))</f>
        <v>?</v>
      </c>
      <c r="R88" s="87" t="str">
        <f aca="true">IF($H88=0,"NA",IF($A88=INDIRECT("'"&amp;$A88&amp;"'!$B$1"),IF(VLOOKUP(R$1,INDIRECT("'"&amp;$A88&amp;"'!$A$12:$Z$41"),MATCH("Points (Auto-generate)",INDIRECT("'"&amp;$A88&amp;"'!$A$12:$Z$12"),0),0)="","?",VLOOKUP(R$1,INDIRECT("'"&amp;$A88&amp;"'!$A$12:$Z$41"),MATCH("Points (Auto-generate)",INDIRECT("'"&amp;$A88&amp;"'!$A$12:$Z$12"),0),0)),"ER"))</f>
        <v>?</v>
      </c>
      <c r="S88" s="87" t="str">
        <f aca="true">IF($H88=0,"NA",IF($A88=INDIRECT("'"&amp;$A88&amp;"'!$B$1"),IF(VLOOKUP(S$1,INDIRECT("'"&amp;$A88&amp;"'!$A$12:$Z$41"),MATCH("Points (Auto-generate)",INDIRECT("'"&amp;$A88&amp;"'!$A$12:$Z$12"),0),0)="","?",VLOOKUP(S$1,INDIRECT("'"&amp;$A88&amp;"'!$A$12:$Z$41"),MATCH("Points (Auto-generate)",INDIRECT("'"&amp;$A88&amp;"'!$A$12:$Z$12"),0),0)),"ER"))</f>
        <v>?</v>
      </c>
      <c r="T88" s="87" t="str">
        <f aca="true">IF($H88=0,"NA",IF($A88=INDIRECT("'"&amp;$A88&amp;"'!$B$1"),IF(VLOOKUP(T$1,INDIRECT("'"&amp;$A88&amp;"'!$A$12:$Z$41"),MATCH("Points (Auto-generate)",INDIRECT("'"&amp;$A88&amp;"'!$A$12:$Z$12"),0),0)="","?",VLOOKUP(T$1,INDIRECT("'"&amp;$A88&amp;"'!$A$12:$Z$41"),MATCH("Points (Auto-generate)",INDIRECT("'"&amp;$A88&amp;"'!$A$12:$Z$12"),0),0)),"ER"))</f>
        <v>?</v>
      </c>
      <c r="U88" s="87" t="str">
        <f aca="true">IF($H88=0,"NA",IF($A88=INDIRECT("'"&amp;$A88&amp;"'!$B$1"),IF(VLOOKUP(U$1,INDIRECT("'"&amp;$A88&amp;"'!$A$12:$Z$41"),MATCH("Points (Auto-generate)",INDIRECT("'"&amp;$A88&amp;"'!$A$12:$Z$12"),0),0)="","?",VLOOKUP(U$1,INDIRECT("'"&amp;$A88&amp;"'!$A$12:$Z$41"),MATCH("Points (Auto-generate)",INDIRECT("'"&amp;$A88&amp;"'!$A$12:$Z$12"),0),0)),"ER"))</f>
        <v>?</v>
      </c>
      <c r="V88" s="87" t="str">
        <f aca="true">IF($H88=0,"NA",IF($A88=INDIRECT("'"&amp;$A88&amp;"'!$B$1"),IF(VLOOKUP(V$1,INDIRECT("'"&amp;$A88&amp;"'!$A$12:$Z$41"),MATCH("Points (Auto-generate)",INDIRECT("'"&amp;$A88&amp;"'!$A$12:$Z$12"),0),0)="","?",VLOOKUP(V$1,INDIRECT("'"&amp;$A88&amp;"'!$A$12:$Z$41"),MATCH("Points (Auto-generate)",INDIRECT("'"&amp;$A88&amp;"'!$A$12:$Z$12"),0),0)),"ER"))</f>
        <v>?</v>
      </c>
      <c r="W88" s="87" t="str">
        <f aca="true">IF($H88=0,"NA",IF($A88=INDIRECT("'"&amp;$A88&amp;"'!$B$1"),IF(VLOOKUP(W$1,INDIRECT("'"&amp;$A88&amp;"'!$A$12:$Z$41"),MATCH("Points (Auto-generate)",INDIRECT("'"&amp;$A88&amp;"'!$A$12:$Z$12"),0),0)="","?",VLOOKUP(W$1,INDIRECT("'"&amp;$A88&amp;"'!$A$12:$Z$41"),MATCH("Points (Auto-generate)",INDIRECT("'"&amp;$A88&amp;"'!$A$12:$Z$12"),0),0)),"ER"))</f>
        <v>?</v>
      </c>
      <c r="X88" s="87" t="str">
        <f aca="true">IF($H88=0,"NA",IF($A88=INDIRECT("'"&amp;$A88&amp;"'!$B$1"),IF(VLOOKUP(X$1,INDIRECT("'"&amp;$A88&amp;"'!$A$12:$Z$41"),MATCH("Points (Auto-generate)",INDIRECT("'"&amp;$A88&amp;"'!$A$12:$Z$12"),0),0)="","?",VLOOKUP(X$1,INDIRECT("'"&amp;$A88&amp;"'!$A$12:$Z$41"),MATCH("Points (Auto-generate)",INDIRECT("'"&amp;$A88&amp;"'!$A$12:$Z$12"),0),0)),"ER"))</f>
        <v>?</v>
      </c>
      <c r="Y88" s="87" t="str">
        <f aca="true">IF($H88=0,"NA",IF($A88=INDIRECT("'"&amp;$A88&amp;"'!$B$1"),IF(VLOOKUP(Y$1,INDIRECT("'"&amp;$A88&amp;"'!$A$12:$Z$41"),MATCH("Points (Auto-generate)",INDIRECT("'"&amp;$A88&amp;"'!$A$12:$Z$12"),0),0)="","?",VLOOKUP(Y$1,INDIRECT("'"&amp;$A88&amp;"'!$A$12:$Z$41"),MATCH("Points (Auto-generate)",INDIRECT("'"&amp;$A88&amp;"'!$A$12:$Z$12"),0),0)),"ER"))</f>
        <v>?</v>
      </c>
      <c r="Z88" s="87" t="str">
        <f aca="true">IF($H88=0,"NA",IF($A88=INDIRECT("'"&amp;$A88&amp;"'!$B$1"),IF(VLOOKUP(Z$1,INDIRECT("'"&amp;$A88&amp;"'!$A$12:$Z$41"),MATCH("Points (Auto-generate)",INDIRECT("'"&amp;$A88&amp;"'!$A$12:$Z$12"),0),0)="","?",VLOOKUP(Z$1,INDIRECT("'"&amp;$A88&amp;"'!$A$12:$Z$41"),MATCH("Points (Auto-generate)",INDIRECT("'"&amp;$A88&amp;"'!$A$12:$Z$12"),0),0)),"ER"))</f>
        <v>?</v>
      </c>
      <c r="AA88" s="87" t="str">
        <f aca="true">IF($H88=0,"NA",IF($A88=INDIRECT("'"&amp;$A88&amp;"'!$B$1"),IF(VLOOKUP(AA$1,INDIRECT("'"&amp;$A88&amp;"'!$A$12:$Z$41"),MATCH("Points (Auto-generate)",INDIRECT("'"&amp;$A88&amp;"'!$A$12:$Z$12"),0),0)="","?",VLOOKUP(AA$1,INDIRECT("'"&amp;$A88&amp;"'!$A$12:$Z$41"),MATCH("Points (Auto-generate)",INDIRECT("'"&amp;$A88&amp;"'!$A$12:$Z$12"),0),0)),"ER"))</f>
        <v>?</v>
      </c>
      <c r="AB88" s="87" t="str">
        <f aca="true">IF($H88=0,"NA",IF($A88=INDIRECT("'"&amp;$A88&amp;"'!$B$1"),IF(VLOOKUP(AB$1,INDIRECT("'"&amp;$A88&amp;"'!$A$12:$Z$41"),MATCH("Points (Auto-generate)",INDIRECT("'"&amp;$A88&amp;"'!$A$12:$Z$12"),0),0)="","?",VLOOKUP(AB$1,INDIRECT("'"&amp;$A88&amp;"'!$A$12:$Z$41"),MATCH("Points (Auto-generate)",INDIRECT("'"&amp;$A88&amp;"'!$A$12:$Z$12"),0),0)),"ER"))</f>
        <v>?</v>
      </c>
      <c r="AC88" s="87" t="str">
        <f aca="true">IF($H88=0,"NA",IF($A88=INDIRECT("'"&amp;$A88&amp;"'!$B$1"),IF(VLOOKUP(AC$1,INDIRECT("'"&amp;$A88&amp;"'!$A$12:$Z$41"),MATCH("Points (Auto-generate)",INDIRECT("'"&amp;$A88&amp;"'!$A$12:$Z$12"),0),0)="","?",VLOOKUP(AC$1,INDIRECT("'"&amp;$A88&amp;"'!$A$12:$Z$41"),MATCH("Points (Auto-generate)",INDIRECT("'"&amp;$A88&amp;"'!$A$12:$Z$12"),0),0)),"ER"))</f>
        <v>?</v>
      </c>
      <c r="AD88" s="87" t="str">
        <f aca="true">IF($H88=0,"NA",IF($A88=INDIRECT("'"&amp;$A88&amp;"'!$B$1"),IF(VLOOKUP(AD$1,INDIRECT("'"&amp;$A88&amp;"'!$A$12:$Z$41"),MATCH("Points (Auto-generate)",INDIRECT("'"&amp;$A88&amp;"'!$A$12:$Z$12"),0),0)="","?",VLOOKUP(AD$1,INDIRECT("'"&amp;$A88&amp;"'!$A$12:$Z$41"),MATCH("Points (Auto-generate)",INDIRECT("'"&amp;$A88&amp;"'!$A$12:$Z$12"),0),0)),"ER"))</f>
        <v>?</v>
      </c>
      <c r="AE88" s="87" t="str">
        <f aca="true">IF($H88=0,"NA",IF($A88=INDIRECT("'"&amp;$A88&amp;"'!$B$1"),IF(VLOOKUP(AE$1,INDIRECT("'"&amp;$A88&amp;"'!$A$12:$Z$41"),MATCH("Points (Auto-generate)",INDIRECT("'"&amp;$A88&amp;"'!$A$12:$Z$12"),0),0)="","?",VLOOKUP(AE$1,INDIRECT("'"&amp;$A88&amp;"'!$A$12:$Z$41"),MATCH("Points (Auto-generate)",INDIRECT("'"&amp;$A88&amp;"'!$A$12:$Z$12"),0),0)),"ER"))</f>
        <v>?</v>
      </c>
      <c r="AF88" s="87" t="str">
        <f aca="true">IF($H88=0,"NA",IF($A88=INDIRECT("'"&amp;$A88&amp;"'!$B$1"),IF(VLOOKUP(AF$1,INDIRECT("'"&amp;$A88&amp;"'!$A$12:$Z$41"),MATCH("Points (Auto-generate)",INDIRECT("'"&amp;$A88&amp;"'!$A$12:$Z$12"),0),0)="","?",VLOOKUP(AF$1,INDIRECT("'"&amp;$A88&amp;"'!$A$12:$Z$41"),MATCH("Points (Auto-generate)",INDIRECT("'"&amp;$A88&amp;"'!$A$12:$Z$12"),0),0)),"ER"))</f>
        <v>?</v>
      </c>
      <c r="AG88" s="87" t="str">
        <f aca="true">IF($H88=0,"NA",IF($A88=INDIRECT("'"&amp;$A88&amp;"'!$B$1"),IF(VLOOKUP(AG$1,INDIRECT("'"&amp;$A88&amp;"'!$A$12:$Z$41"),MATCH("Points (Auto-generate)",INDIRECT("'"&amp;$A88&amp;"'!$A$12:$Z$12"),0),0)="","?",VLOOKUP(AG$1,INDIRECT("'"&amp;$A88&amp;"'!$A$12:$Z$41"),MATCH("Points (Auto-generate)",INDIRECT("'"&amp;$A88&amp;"'!$A$12:$Z$12"),0),0)),"ER"))</f>
        <v>?</v>
      </c>
      <c r="AH88" s="87" t="str">
        <f aca="true">IF($H88=0,"NA",IF($A88=INDIRECT("'"&amp;$A88&amp;"'!$B$1"),IF(VLOOKUP(AH$1,INDIRECT("'"&amp;$A88&amp;"'!$A$12:$Z$41"),MATCH("Points (Auto-generate)",INDIRECT("'"&amp;$A88&amp;"'!$A$12:$Z$12"),0),0)="","?",VLOOKUP(AH$1,INDIRECT("'"&amp;$A88&amp;"'!$A$12:$Z$41"),MATCH("Points (Auto-generate)",INDIRECT("'"&amp;$A88&amp;"'!$A$12:$Z$12"),0),0)),"ER"))</f>
        <v>?</v>
      </c>
      <c r="AI88" s="87" t="str">
        <f aca="true">IF($H88=0,"NA",IF($A88=INDIRECT("'"&amp;$A88&amp;"'!$B$1"),IF(VLOOKUP(AI$1,INDIRECT("'"&amp;$A88&amp;"'!$A$12:$Z$41"),MATCH("Points (Auto-generate)",INDIRECT("'"&amp;$A88&amp;"'!$A$12:$Z$12"),0),0)="","?",VLOOKUP(AI$1,INDIRECT("'"&amp;$A88&amp;"'!$A$12:$Z$41"),MATCH("Points (Auto-generate)",INDIRECT("'"&amp;$A88&amp;"'!$A$12:$Z$12"),0),0)),"ER"))</f>
        <v>?</v>
      </c>
      <c r="AJ88" s="87" t="str">
        <f aca="true">IF($H88=0,"NA",IF($A88=INDIRECT("'"&amp;$A88&amp;"'!$B$1"),IF(VLOOKUP(AJ$1,INDIRECT("'"&amp;$A88&amp;"'!$A$12:$Z$41"),MATCH("Points (Auto-generate)",INDIRECT("'"&amp;$A88&amp;"'!$A$12:$Z$12"),0),0)="","?",VLOOKUP(AJ$1,INDIRECT("'"&amp;$A88&amp;"'!$A$12:$Z$41"),MATCH("Points (Auto-generate)",INDIRECT("'"&amp;$A88&amp;"'!$A$12:$Z$12"),0),0)),"ER"))</f>
        <v>?</v>
      </c>
      <c r="AK88" s="87" t="str">
        <f aca="true">IF($H88=0,"NA",IF($A88=INDIRECT("'"&amp;$A88&amp;"'!$B$1"),IF(VLOOKUP(AK$1,INDIRECT("'"&amp;$A88&amp;"'!$A$12:$Z$41"),MATCH("Points (Auto-generate)",INDIRECT("'"&amp;$A88&amp;"'!$A$12:$Z$12"),0),0)="","?",VLOOKUP(AK$1,INDIRECT("'"&amp;$A88&amp;"'!$A$12:$Z$41"),MATCH("Points (Auto-generate)",INDIRECT("'"&amp;$A88&amp;"'!$A$12:$Z$12"),0),0)),"ER"))</f>
        <v>?</v>
      </c>
    </row>
    <row r="89" customFormat="false" ht="14.25" hidden="false" customHeight="true" outlineLevel="0" collapsed="false">
      <c r="A89" s="83" t="s">
        <v>489</v>
      </c>
      <c r="B89" s="84" t="str">
        <f aca="false">IF(ISBLANK($A89),"NO_CODE",VLOOKUP($A89,'UPD Questions_290926 '!$E$1:$N$300,MATCH(B$1,'UPD Questions_290926 '!$E$1:$N$1,0),0)&amp;"")</f>
        <v>Implementation</v>
      </c>
      <c r="C89" s="84" t="str">
        <f aca="false">IF(ISBLANK($A89),"NO_CODE",VLOOKUP($A89,'UPD Questions_290926 '!$E$1:$N$300,MATCH(C$1,'UPD Questions_290926 '!$E$1:$N$1,0),0)&amp;"")</f>
        <v>Urban design, accessibility and parking</v>
      </c>
      <c r="D89" s="84" t="str">
        <f aca="false">IF(ISBLANK($A89),"NO_CODE",VLOOKUP($A89,'UPD Questions_290926 '!$E$1:$N$300,MATCH(D$1,'UPD Questions_290926 '!$E$1:$N$1,0),0)&amp;"")</f>
        <v>Parking policy</v>
      </c>
      <c r="E89" s="84" t="str">
        <f aca="false">IF(ISBLANK($A89),"NO_CODE",VLOOKUP($A89,'UPD Questions_290926 '!$E$1:$N$300,MATCH(E$1,'UPD Questions_290926 '!$E$1:$N$1,0),0)&amp;"")</f>
        <v>SQ</v>
      </c>
      <c r="F89" s="84" t="str">
        <f aca="false">IF(ISBLANK($A89),"NO_CODE",VLOOKUP($A89,'UPD Questions_290926 '!$E$1:$N$300,MATCH(F$1,'UPD Questions_290926 '!$E$1:$N$1,0),0)&amp;"")</f>
        <v>Has the parking policy been implemented?</v>
      </c>
      <c r="G89" s="84" t="str">
        <f aca="false">IF(ISBLANK($A89),"NO_CODE",VLOOKUP($A89,'UPD Questions_290926 '!$E$1:$N$300,MATCH(G$1,'UPD Questions_290926 '!$E$1:$N$1,0),0)&amp;"")</f>
        <v>Implementation</v>
      </c>
      <c r="H89" s="86" t="n">
        <f aca="false">IF(ISBLANK($A89),"NO_CODE",VLOOKUP($A89,'UPD Questions_290926 '!$E$1:$N$300,MATCH(H$1,'UPD Questions_290926 '!$E$1:$N$1,0),0))</f>
        <v>5</v>
      </c>
      <c r="I89" s="87" t="str">
        <f aca="true">IF($H89=0,"NA",IF($A89=INDIRECT("'"&amp;$A89&amp;"'!$B$1"),IF(VLOOKUP(I$1,INDIRECT("'"&amp;$A89&amp;"'!$A$12:$Z$41"),MATCH("Points (Auto-generate)",INDIRECT("'"&amp;$A89&amp;"'!$A$12:$Z$12"),0),0)="","?",VLOOKUP(I$1,INDIRECT("'"&amp;$A89&amp;"'!$A$12:$Z$41"),MATCH("Points (Auto-generate)",INDIRECT("'"&amp;$A89&amp;"'!$A$12:$Z$12"),0),0)),"ER"))</f>
        <v>?</v>
      </c>
      <c r="J89" s="87" t="n">
        <f aca="true">IF($H89=0,"NA",IF($A89=INDIRECT("'"&amp;$A89&amp;"'!$B$1"),IF(VLOOKUP(J$1,INDIRECT("'"&amp;$A89&amp;"'!$A$12:$Z$41"),MATCH("Points (Auto-generate)",INDIRECT("'"&amp;$A89&amp;"'!$A$12:$Z$12"),0),0)="","?",VLOOKUP(J$1,INDIRECT("'"&amp;$A89&amp;"'!$A$12:$Z$41"),MATCH("Points (Auto-generate)",INDIRECT("'"&amp;$A89&amp;"'!$A$12:$Z$12"),0),0)),"ER"))</f>
        <v>5</v>
      </c>
      <c r="K89" s="87" t="str">
        <f aca="true">IF($H89=0,"NA",IF($A89=INDIRECT("'"&amp;$A89&amp;"'!$B$1"),IF(VLOOKUP(K$1,INDIRECT("'"&amp;$A89&amp;"'!$A$12:$Z$41"),MATCH("Points (Auto-generate)",INDIRECT("'"&amp;$A89&amp;"'!$A$12:$Z$12"),0),0)="","?",VLOOKUP(K$1,INDIRECT("'"&amp;$A89&amp;"'!$A$12:$Z$41"),MATCH("Points (Auto-generate)",INDIRECT("'"&amp;$A89&amp;"'!$A$12:$Z$12"),0),0)),"ER"))</f>
        <v>?</v>
      </c>
      <c r="L89" s="87" t="str">
        <f aca="true">IF($H89=0,"NA",IF($A89=INDIRECT("'"&amp;$A89&amp;"'!$B$1"),IF(VLOOKUP(L$1,INDIRECT("'"&amp;$A89&amp;"'!$A$12:$Z$41"),MATCH("Points (Auto-generate)",INDIRECT("'"&amp;$A89&amp;"'!$A$12:$Z$12"),0),0)="","?",VLOOKUP(L$1,INDIRECT("'"&amp;$A89&amp;"'!$A$12:$Z$41"),MATCH("Points (Auto-generate)",INDIRECT("'"&amp;$A89&amp;"'!$A$12:$Z$12"),0),0)),"ER"))</f>
        <v>?</v>
      </c>
      <c r="M89" s="87" t="str">
        <f aca="true">IF($H89=0,"NA",IF($A89=INDIRECT("'"&amp;$A89&amp;"'!$B$1"),IF(VLOOKUP(M$1,INDIRECT("'"&amp;$A89&amp;"'!$A$12:$Z$41"),MATCH("Points (Auto-generate)",INDIRECT("'"&amp;$A89&amp;"'!$A$12:$Z$12"),0),0)="","?",VLOOKUP(M$1,INDIRECT("'"&amp;$A89&amp;"'!$A$12:$Z$41"),MATCH("Points (Auto-generate)",INDIRECT("'"&amp;$A89&amp;"'!$A$12:$Z$12"),0),0)),"ER"))</f>
        <v>?</v>
      </c>
      <c r="N89" s="87" t="str">
        <f aca="true">IF($H89=0,"NA",IF($A89=INDIRECT("'"&amp;$A89&amp;"'!$B$1"),IF(VLOOKUP(N$1,INDIRECT("'"&amp;$A89&amp;"'!$A$12:$Z$41"),MATCH("Points (Auto-generate)",INDIRECT("'"&amp;$A89&amp;"'!$A$12:$Z$12"),0),0)="","?",VLOOKUP(N$1,INDIRECT("'"&amp;$A89&amp;"'!$A$12:$Z$41"),MATCH("Points (Auto-generate)",INDIRECT("'"&amp;$A89&amp;"'!$A$12:$Z$12"),0),0)),"ER"))</f>
        <v>?</v>
      </c>
      <c r="O89" s="87" t="str">
        <f aca="true">IF($H89=0,"NA",IF($A89=INDIRECT("'"&amp;$A89&amp;"'!$B$1"),IF(VLOOKUP(O$1,INDIRECT("'"&amp;$A89&amp;"'!$A$12:$Z$41"),MATCH("Points (Auto-generate)",INDIRECT("'"&amp;$A89&amp;"'!$A$12:$Z$12"),0),0)="","?",VLOOKUP(O$1,INDIRECT("'"&amp;$A89&amp;"'!$A$12:$Z$41"),MATCH("Points (Auto-generate)",INDIRECT("'"&amp;$A89&amp;"'!$A$12:$Z$12"),0),0)),"ER"))</f>
        <v>?</v>
      </c>
      <c r="P89" s="87" t="str">
        <f aca="true">IF($H89=0,"NA",IF($A89=INDIRECT("'"&amp;$A89&amp;"'!$B$1"),IF(VLOOKUP(P$1,INDIRECT("'"&amp;$A89&amp;"'!$A$12:$Z$41"),MATCH("Points (Auto-generate)",INDIRECT("'"&amp;$A89&amp;"'!$A$12:$Z$12"),0),0)="","?",VLOOKUP(P$1,INDIRECT("'"&amp;$A89&amp;"'!$A$12:$Z$41"),MATCH("Points (Auto-generate)",INDIRECT("'"&amp;$A89&amp;"'!$A$12:$Z$12"),0),0)),"ER"))</f>
        <v>?</v>
      </c>
      <c r="Q89" s="87" t="str">
        <f aca="true">IF($H89=0,"NA",IF($A89=INDIRECT("'"&amp;$A89&amp;"'!$B$1"),IF(VLOOKUP(Q$1,INDIRECT("'"&amp;$A89&amp;"'!$A$12:$Z$41"),MATCH("Points (Auto-generate)",INDIRECT("'"&amp;$A89&amp;"'!$A$12:$Z$12"),0),0)="","?",VLOOKUP(Q$1,INDIRECT("'"&amp;$A89&amp;"'!$A$12:$Z$41"),MATCH("Points (Auto-generate)",INDIRECT("'"&amp;$A89&amp;"'!$A$12:$Z$12"),0),0)),"ER"))</f>
        <v>?</v>
      </c>
      <c r="R89" s="87" t="str">
        <f aca="true">IF($H89=0,"NA",IF($A89=INDIRECT("'"&amp;$A89&amp;"'!$B$1"),IF(VLOOKUP(R$1,INDIRECT("'"&amp;$A89&amp;"'!$A$12:$Z$41"),MATCH("Points (Auto-generate)",INDIRECT("'"&amp;$A89&amp;"'!$A$12:$Z$12"),0),0)="","?",VLOOKUP(R$1,INDIRECT("'"&amp;$A89&amp;"'!$A$12:$Z$41"),MATCH("Points (Auto-generate)",INDIRECT("'"&amp;$A89&amp;"'!$A$12:$Z$12"),0),0)),"ER"))</f>
        <v>?</v>
      </c>
      <c r="S89" s="87" t="str">
        <f aca="true">IF($H89=0,"NA",IF($A89=INDIRECT("'"&amp;$A89&amp;"'!$B$1"),IF(VLOOKUP(S$1,INDIRECT("'"&amp;$A89&amp;"'!$A$12:$Z$41"),MATCH("Points (Auto-generate)",INDIRECT("'"&amp;$A89&amp;"'!$A$12:$Z$12"),0),0)="","?",VLOOKUP(S$1,INDIRECT("'"&amp;$A89&amp;"'!$A$12:$Z$41"),MATCH("Points (Auto-generate)",INDIRECT("'"&amp;$A89&amp;"'!$A$12:$Z$12"),0),0)),"ER"))</f>
        <v>?</v>
      </c>
      <c r="T89" s="87" t="str">
        <f aca="true">IF($H89=0,"NA",IF($A89=INDIRECT("'"&amp;$A89&amp;"'!$B$1"),IF(VLOOKUP(T$1,INDIRECT("'"&amp;$A89&amp;"'!$A$12:$Z$41"),MATCH("Points (Auto-generate)",INDIRECT("'"&amp;$A89&amp;"'!$A$12:$Z$12"),0),0)="","?",VLOOKUP(T$1,INDIRECT("'"&amp;$A89&amp;"'!$A$12:$Z$41"),MATCH("Points (Auto-generate)",INDIRECT("'"&amp;$A89&amp;"'!$A$12:$Z$12"),0),0)),"ER"))</f>
        <v>?</v>
      </c>
      <c r="U89" s="87" t="str">
        <f aca="true">IF($H89=0,"NA",IF($A89=INDIRECT("'"&amp;$A89&amp;"'!$B$1"),IF(VLOOKUP(U$1,INDIRECT("'"&amp;$A89&amp;"'!$A$12:$Z$41"),MATCH("Points (Auto-generate)",INDIRECT("'"&amp;$A89&amp;"'!$A$12:$Z$12"),0),0)="","?",VLOOKUP(U$1,INDIRECT("'"&amp;$A89&amp;"'!$A$12:$Z$41"),MATCH("Points (Auto-generate)",INDIRECT("'"&amp;$A89&amp;"'!$A$12:$Z$12"),0),0)),"ER"))</f>
        <v>?</v>
      </c>
      <c r="V89" s="87" t="str">
        <f aca="true">IF($H89=0,"NA",IF($A89=INDIRECT("'"&amp;$A89&amp;"'!$B$1"),IF(VLOOKUP(V$1,INDIRECT("'"&amp;$A89&amp;"'!$A$12:$Z$41"),MATCH("Points (Auto-generate)",INDIRECT("'"&amp;$A89&amp;"'!$A$12:$Z$12"),0),0)="","?",VLOOKUP(V$1,INDIRECT("'"&amp;$A89&amp;"'!$A$12:$Z$41"),MATCH("Points (Auto-generate)",INDIRECT("'"&amp;$A89&amp;"'!$A$12:$Z$12"),0),0)),"ER"))</f>
        <v>?</v>
      </c>
      <c r="W89" s="87" t="str">
        <f aca="true">IF($H89=0,"NA",IF($A89=INDIRECT("'"&amp;$A89&amp;"'!$B$1"),IF(VLOOKUP(W$1,INDIRECT("'"&amp;$A89&amp;"'!$A$12:$Z$41"),MATCH("Points (Auto-generate)",INDIRECT("'"&amp;$A89&amp;"'!$A$12:$Z$12"),0),0)="","?",VLOOKUP(W$1,INDIRECT("'"&amp;$A89&amp;"'!$A$12:$Z$41"),MATCH("Points (Auto-generate)",INDIRECT("'"&amp;$A89&amp;"'!$A$12:$Z$12"),0),0)),"ER"))</f>
        <v>?</v>
      </c>
      <c r="X89" s="87" t="str">
        <f aca="true">IF($H89=0,"NA",IF($A89=INDIRECT("'"&amp;$A89&amp;"'!$B$1"),IF(VLOOKUP(X$1,INDIRECT("'"&amp;$A89&amp;"'!$A$12:$Z$41"),MATCH("Points (Auto-generate)",INDIRECT("'"&amp;$A89&amp;"'!$A$12:$Z$12"),0),0)="","?",VLOOKUP(X$1,INDIRECT("'"&amp;$A89&amp;"'!$A$12:$Z$41"),MATCH("Points (Auto-generate)",INDIRECT("'"&amp;$A89&amp;"'!$A$12:$Z$12"),0),0)),"ER"))</f>
        <v>?</v>
      </c>
      <c r="Y89" s="87" t="str">
        <f aca="true">IF($H89=0,"NA",IF($A89=INDIRECT("'"&amp;$A89&amp;"'!$B$1"),IF(VLOOKUP(Y$1,INDIRECT("'"&amp;$A89&amp;"'!$A$12:$Z$41"),MATCH("Points (Auto-generate)",INDIRECT("'"&amp;$A89&amp;"'!$A$12:$Z$12"),0),0)="","?",VLOOKUP(Y$1,INDIRECT("'"&amp;$A89&amp;"'!$A$12:$Z$41"),MATCH("Points (Auto-generate)",INDIRECT("'"&amp;$A89&amp;"'!$A$12:$Z$12"),0),0)),"ER"))</f>
        <v>?</v>
      </c>
      <c r="Z89" s="87" t="str">
        <f aca="true">IF($H89=0,"NA",IF($A89=INDIRECT("'"&amp;$A89&amp;"'!$B$1"),IF(VLOOKUP(Z$1,INDIRECT("'"&amp;$A89&amp;"'!$A$12:$Z$41"),MATCH("Points (Auto-generate)",INDIRECT("'"&amp;$A89&amp;"'!$A$12:$Z$12"),0),0)="","?",VLOOKUP(Z$1,INDIRECT("'"&amp;$A89&amp;"'!$A$12:$Z$41"),MATCH("Points (Auto-generate)",INDIRECT("'"&amp;$A89&amp;"'!$A$12:$Z$12"),0),0)),"ER"))</f>
        <v>?</v>
      </c>
      <c r="AA89" s="87" t="str">
        <f aca="true">IF($H89=0,"NA",IF($A89=INDIRECT("'"&amp;$A89&amp;"'!$B$1"),IF(VLOOKUP(AA$1,INDIRECT("'"&amp;$A89&amp;"'!$A$12:$Z$41"),MATCH("Points (Auto-generate)",INDIRECT("'"&amp;$A89&amp;"'!$A$12:$Z$12"),0),0)="","?",VLOOKUP(AA$1,INDIRECT("'"&amp;$A89&amp;"'!$A$12:$Z$41"),MATCH("Points (Auto-generate)",INDIRECT("'"&amp;$A89&amp;"'!$A$12:$Z$12"),0),0)),"ER"))</f>
        <v>?</v>
      </c>
      <c r="AB89" s="87" t="str">
        <f aca="true">IF($H89=0,"NA",IF($A89=INDIRECT("'"&amp;$A89&amp;"'!$B$1"),IF(VLOOKUP(AB$1,INDIRECT("'"&amp;$A89&amp;"'!$A$12:$Z$41"),MATCH("Points (Auto-generate)",INDIRECT("'"&amp;$A89&amp;"'!$A$12:$Z$12"),0),0)="","?",VLOOKUP(AB$1,INDIRECT("'"&amp;$A89&amp;"'!$A$12:$Z$41"),MATCH("Points (Auto-generate)",INDIRECT("'"&amp;$A89&amp;"'!$A$12:$Z$12"),0),0)),"ER"))</f>
        <v>?</v>
      </c>
      <c r="AC89" s="87" t="n">
        <f aca="true">IF($H89=0,"NA",IF($A89=INDIRECT("'"&amp;$A89&amp;"'!$B$1"),IF(VLOOKUP(AC$1,INDIRECT("'"&amp;$A89&amp;"'!$A$12:$Z$41"),MATCH("Points (Auto-generate)",INDIRECT("'"&amp;$A89&amp;"'!$A$12:$Z$12"),0),0)="","?",VLOOKUP(AC$1,INDIRECT("'"&amp;$A89&amp;"'!$A$12:$Z$41"),MATCH("Points (Auto-generate)",INDIRECT("'"&amp;$A89&amp;"'!$A$12:$Z$12"),0),0)),"ER"))</f>
        <v>5</v>
      </c>
      <c r="AD89" s="87" t="str">
        <f aca="true">IF($H89=0,"NA",IF($A89=INDIRECT("'"&amp;$A89&amp;"'!$B$1"),IF(VLOOKUP(AD$1,INDIRECT("'"&amp;$A89&amp;"'!$A$12:$Z$41"),MATCH("Points (Auto-generate)",INDIRECT("'"&amp;$A89&amp;"'!$A$12:$Z$12"),0),0)="","?",VLOOKUP(AD$1,INDIRECT("'"&amp;$A89&amp;"'!$A$12:$Z$41"),MATCH("Points (Auto-generate)",INDIRECT("'"&amp;$A89&amp;"'!$A$12:$Z$12"),0),0)),"ER"))</f>
        <v>?</v>
      </c>
      <c r="AE89" s="87" t="str">
        <f aca="true">IF($H89=0,"NA",IF($A89=INDIRECT("'"&amp;$A89&amp;"'!$B$1"),IF(VLOOKUP(AE$1,INDIRECT("'"&amp;$A89&amp;"'!$A$12:$Z$41"),MATCH("Points (Auto-generate)",INDIRECT("'"&amp;$A89&amp;"'!$A$12:$Z$12"),0),0)="","?",VLOOKUP(AE$1,INDIRECT("'"&amp;$A89&amp;"'!$A$12:$Z$41"),MATCH("Points (Auto-generate)",INDIRECT("'"&amp;$A89&amp;"'!$A$12:$Z$12"),0),0)),"ER"))</f>
        <v>?</v>
      </c>
      <c r="AF89" s="87" t="str">
        <f aca="true">IF($H89=0,"NA",IF($A89=INDIRECT("'"&amp;$A89&amp;"'!$B$1"),IF(VLOOKUP(AF$1,INDIRECT("'"&amp;$A89&amp;"'!$A$12:$Z$41"),MATCH("Points (Auto-generate)",INDIRECT("'"&amp;$A89&amp;"'!$A$12:$Z$12"),0),0)="","?",VLOOKUP(AF$1,INDIRECT("'"&amp;$A89&amp;"'!$A$12:$Z$41"),MATCH("Points (Auto-generate)",INDIRECT("'"&amp;$A89&amp;"'!$A$12:$Z$12"),0),0)),"ER"))</f>
        <v>?</v>
      </c>
      <c r="AG89" s="87" t="str">
        <f aca="true">IF($H89=0,"NA",IF($A89=INDIRECT("'"&amp;$A89&amp;"'!$B$1"),IF(VLOOKUP(AG$1,INDIRECT("'"&amp;$A89&amp;"'!$A$12:$Z$41"),MATCH("Points (Auto-generate)",INDIRECT("'"&amp;$A89&amp;"'!$A$12:$Z$12"),0),0)="","?",VLOOKUP(AG$1,INDIRECT("'"&amp;$A89&amp;"'!$A$12:$Z$41"),MATCH("Points (Auto-generate)",INDIRECT("'"&amp;$A89&amp;"'!$A$12:$Z$12"),0),0)),"ER"))</f>
        <v>?</v>
      </c>
      <c r="AH89" s="87" t="str">
        <f aca="true">IF($H89=0,"NA",IF($A89=INDIRECT("'"&amp;$A89&amp;"'!$B$1"),IF(VLOOKUP(AH$1,INDIRECT("'"&amp;$A89&amp;"'!$A$12:$Z$41"),MATCH("Points (Auto-generate)",INDIRECT("'"&amp;$A89&amp;"'!$A$12:$Z$12"),0),0)="","?",VLOOKUP(AH$1,INDIRECT("'"&amp;$A89&amp;"'!$A$12:$Z$41"),MATCH("Points (Auto-generate)",INDIRECT("'"&amp;$A89&amp;"'!$A$12:$Z$12"),0),0)),"ER"))</f>
        <v>?</v>
      </c>
      <c r="AI89" s="87" t="str">
        <f aca="true">IF($H89=0,"NA",IF($A89=INDIRECT("'"&amp;$A89&amp;"'!$B$1"),IF(VLOOKUP(AI$1,INDIRECT("'"&amp;$A89&amp;"'!$A$12:$Z$41"),MATCH("Points (Auto-generate)",INDIRECT("'"&amp;$A89&amp;"'!$A$12:$Z$12"),0),0)="","?",VLOOKUP(AI$1,INDIRECT("'"&amp;$A89&amp;"'!$A$12:$Z$41"),MATCH("Points (Auto-generate)",INDIRECT("'"&amp;$A89&amp;"'!$A$12:$Z$12"),0),0)),"ER"))</f>
        <v>?</v>
      </c>
      <c r="AJ89" s="87" t="str">
        <f aca="true">IF($H89=0,"NA",IF($A89=INDIRECT("'"&amp;$A89&amp;"'!$B$1"),IF(VLOOKUP(AJ$1,INDIRECT("'"&amp;$A89&amp;"'!$A$12:$Z$41"),MATCH("Points (Auto-generate)",INDIRECT("'"&amp;$A89&amp;"'!$A$12:$Z$12"),0),0)="","?",VLOOKUP(AJ$1,INDIRECT("'"&amp;$A89&amp;"'!$A$12:$Z$41"),MATCH("Points (Auto-generate)",INDIRECT("'"&amp;$A89&amp;"'!$A$12:$Z$12"),0),0)),"ER"))</f>
        <v>?</v>
      </c>
      <c r="AK89" s="87" t="str">
        <f aca="true">IF($H89=0,"NA",IF($A89=INDIRECT("'"&amp;$A89&amp;"'!$B$1"),IF(VLOOKUP(AK$1,INDIRECT("'"&amp;$A89&amp;"'!$A$12:$Z$41"),MATCH("Points (Auto-generate)",INDIRECT("'"&amp;$A89&amp;"'!$A$12:$Z$12"),0),0)="","?",VLOOKUP(AK$1,INDIRECT("'"&amp;$A89&amp;"'!$A$12:$Z$41"),MATCH("Points (Auto-generate)",INDIRECT("'"&amp;$A89&amp;"'!$A$12:$Z$12"),0),0)),"ER"))</f>
        <v>?</v>
      </c>
    </row>
    <row r="90" customFormat="false" ht="14.25" hidden="false" customHeight="true" outlineLevel="0" collapsed="false">
      <c r="A90" s="83" t="s">
        <v>501</v>
      </c>
      <c r="B90" s="84" t="str">
        <f aca="false">IF(ISBLANK($A90),"NO_CODE",VLOOKUP($A90,'UPD Questions_290926 '!$E$1:$N$300,MATCH(B$1,'UPD Questions_290926 '!$E$1:$N$1,0),0)&amp;"")</f>
        <v>Implementation</v>
      </c>
      <c r="C90" s="84" t="str">
        <f aca="false">IF(ISBLANK($A90),"NO_CODE",VLOOKUP($A90,'UPD Questions_290926 '!$E$1:$N$300,MATCH(C$1,'UPD Questions_290926 '!$E$1:$N$1,0),0)&amp;"")</f>
        <v>Development Control Regulations and land-management instruments</v>
      </c>
      <c r="D90" s="84" t="str">
        <f aca="false">IF(ISBLANK($A90),"NO_CODE",VLOOKUP($A90,'UPD Questions_290926 '!$E$1:$N$300,MATCH(D$1,'UPD Questions_290926 '!$E$1:$N$1,0),0)&amp;"")</f>
        <v>Applicability and currency of DCRs</v>
      </c>
      <c r="E90" s="84" t="str">
        <f aca="false">IF(ISBLANK($A90),"NO_CODE",VLOOKUP($A90,'UPD Questions_290926 '!$E$1:$N$300,MATCH(E$1,'UPD Questions_290926 '!$E$1:$N$1,0),0)&amp;"")</f>
        <v>MQ</v>
      </c>
      <c r="F90" s="84" t="str">
        <f aca="false">IF(ISBLANK($A90),"NO_CODE",VLOOKUP($A90,'UPD Questions_290926 '!$E$1:$N$300,MATCH(F$1,'UPD Questions_290926 '!$E$1:$N$1,0),0)&amp;"")</f>
        <v>Does the city have a city-specific Development Control Regulation (DCR)?</v>
      </c>
      <c r="G90" s="84" t="str">
        <f aca="false">IF(ISBLANK($A90),"NO_CODE",VLOOKUP($A90,'UPD Questions_290926 '!$E$1:$N$300,MATCH(G$1,'UPD Questions_290926 '!$E$1:$N$1,0),0)&amp;"")</f>
        <v>Law or Policy &amp; Implementation</v>
      </c>
      <c r="H90" s="86" t="n">
        <f aca="false">IF(ISBLANK($A90),"NO_CODE",VLOOKUP($A90,'UPD Questions_290926 '!$E$1:$N$300,MATCH(H$1,'UPD Questions_290926 '!$E$1:$N$1,0),0))</f>
        <v>10</v>
      </c>
      <c r="I90" s="87" t="str">
        <f aca="true">IF($H90=0,"NA",IF($A90=INDIRECT("'"&amp;$A90&amp;"'!$B$1"),IF(VLOOKUP(I$1,INDIRECT("'"&amp;$A90&amp;"'!$A$12:$Z$41"),MATCH("Points (Auto-generate)",INDIRECT("'"&amp;$A90&amp;"'!$A$12:$Z$12"),0),0)="","?",VLOOKUP(I$1,INDIRECT("'"&amp;$A90&amp;"'!$A$12:$Z$41"),MATCH("Points (Auto-generate)",INDIRECT("'"&amp;$A90&amp;"'!$A$12:$Z$12"),0),0)),"ER"))</f>
        <v>?</v>
      </c>
      <c r="J90" s="87" t="n">
        <f aca="true">IF($H90=0,"NA",IF($A90=INDIRECT("'"&amp;$A90&amp;"'!$B$1"),IF(VLOOKUP(J$1,INDIRECT("'"&amp;$A90&amp;"'!$A$12:$Z$41"),MATCH("Points (Auto-generate)",INDIRECT("'"&amp;$A90&amp;"'!$A$12:$Z$12"),0),0)="","?",VLOOKUP(J$1,INDIRECT("'"&amp;$A90&amp;"'!$A$12:$Z$41"),MATCH("Points (Auto-generate)",INDIRECT("'"&amp;$A90&amp;"'!$A$12:$Z$12"),0),0)),"ER"))</f>
        <v>10</v>
      </c>
      <c r="K90" s="87" t="str">
        <f aca="true">IF($H90=0,"NA",IF($A90=INDIRECT("'"&amp;$A90&amp;"'!$B$1"),IF(VLOOKUP(K$1,INDIRECT("'"&amp;$A90&amp;"'!$A$12:$Z$41"),MATCH("Points (Auto-generate)",INDIRECT("'"&amp;$A90&amp;"'!$A$12:$Z$12"),0),0)="","?",VLOOKUP(K$1,INDIRECT("'"&amp;$A90&amp;"'!$A$12:$Z$41"),MATCH("Points (Auto-generate)",INDIRECT("'"&amp;$A90&amp;"'!$A$12:$Z$12"),0),0)),"ER"))</f>
        <v>?</v>
      </c>
      <c r="L90" s="87" t="str">
        <f aca="true">IF($H90=0,"NA",IF($A90=INDIRECT("'"&amp;$A90&amp;"'!$B$1"),IF(VLOOKUP(L$1,INDIRECT("'"&amp;$A90&amp;"'!$A$12:$Z$41"),MATCH("Points (Auto-generate)",INDIRECT("'"&amp;$A90&amp;"'!$A$12:$Z$12"),0),0)="","?",VLOOKUP(L$1,INDIRECT("'"&amp;$A90&amp;"'!$A$12:$Z$41"),MATCH("Points (Auto-generate)",INDIRECT("'"&amp;$A90&amp;"'!$A$12:$Z$12"),0),0)),"ER"))</f>
        <v>?</v>
      </c>
      <c r="M90" s="87" t="str">
        <f aca="true">IF($H90=0,"NA",IF($A90=INDIRECT("'"&amp;$A90&amp;"'!$B$1"),IF(VLOOKUP(M$1,INDIRECT("'"&amp;$A90&amp;"'!$A$12:$Z$41"),MATCH("Points (Auto-generate)",INDIRECT("'"&amp;$A90&amp;"'!$A$12:$Z$12"),0),0)="","?",VLOOKUP(M$1,INDIRECT("'"&amp;$A90&amp;"'!$A$12:$Z$41"),MATCH("Points (Auto-generate)",INDIRECT("'"&amp;$A90&amp;"'!$A$12:$Z$12"),0),0)),"ER"))</f>
        <v>?</v>
      </c>
      <c r="N90" s="87" t="str">
        <f aca="true">IF($H90=0,"NA",IF($A90=INDIRECT("'"&amp;$A90&amp;"'!$B$1"),IF(VLOOKUP(N$1,INDIRECT("'"&amp;$A90&amp;"'!$A$12:$Z$41"),MATCH("Points (Auto-generate)",INDIRECT("'"&amp;$A90&amp;"'!$A$12:$Z$12"),0),0)="","?",VLOOKUP(N$1,INDIRECT("'"&amp;$A90&amp;"'!$A$12:$Z$41"),MATCH("Points (Auto-generate)",INDIRECT("'"&amp;$A90&amp;"'!$A$12:$Z$12"),0),0)),"ER"))</f>
        <v>?</v>
      </c>
      <c r="O90" s="87" t="str">
        <f aca="true">IF($H90=0,"NA",IF($A90=INDIRECT("'"&amp;$A90&amp;"'!$B$1"),IF(VLOOKUP(O$1,INDIRECT("'"&amp;$A90&amp;"'!$A$12:$Z$41"),MATCH("Points (Auto-generate)",INDIRECT("'"&amp;$A90&amp;"'!$A$12:$Z$12"),0),0)="","?",VLOOKUP(O$1,INDIRECT("'"&amp;$A90&amp;"'!$A$12:$Z$41"),MATCH("Points (Auto-generate)",INDIRECT("'"&amp;$A90&amp;"'!$A$12:$Z$12"),0),0)),"ER"))</f>
        <v>?</v>
      </c>
      <c r="P90" s="87" t="str">
        <f aca="true">IF($H90=0,"NA",IF($A90=INDIRECT("'"&amp;$A90&amp;"'!$B$1"),IF(VLOOKUP(P$1,INDIRECT("'"&amp;$A90&amp;"'!$A$12:$Z$41"),MATCH("Points (Auto-generate)",INDIRECT("'"&amp;$A90&amp;"'!$A$12:$Z$12"),0),0)="","?",VLOOKUP(P$1,INDIRECT("'"&amp;$A90&amp;"'!$A$12:$Z$41"),MATCH("Points (Auto-generate)",INDIRECT("'"&amp;$A90&amp;"'!$A$12:$Z$12"),0),0)),"ER"))</f>
        <v>?</v>
      </c>
      <c r="Q90" s="87" t="str">
        <f aca="true">IF($H90=0,"NA",IF($A90=INDIRECT("'"&amp;$A90&amp;"'!$B$1"),IF(VLOOKUP(Q$1,INDIRECT("'"&amp;$A90&amp;"'!$A$12:$Z$41"),MATCH("Points (Auto-generate)",INDIRECT("'"&amp;$A90&amp;"'!$A$12:$Z$12"),0),0)="","?",VLOOKUP(Q$1,INDIRECT("'"&amp;$A90&amp;"'!$A$12:$Z$41"),MATCH("Points (Auto-generate)",INDIRECT("'"&amp;$A90&amp;"'!$A$12:$Z$12"),0),0)),"ER"))</f>
        <v>?</v>
      </c>
      <c r="R90" s="87" t="str">
        <f aca="true">IF($H90=0,"NA",IF($A90=INDIRECT("'"&amp;$A90&amp;"'!$B$1"),IF(VLOOKUP(R$1,INDIRECT("'"&amp;$A90&amp;"'!$A$12:$Z$41"),MATCH("Points (Auto-generate)",INDIRECT("'"&amp;$A90&amp;"'!$A$12:$Z$12"),0),0)="","?",VLOOKUP(R$1,INDIRECT("'"&amp;$A90&amp;"'!$A$12:$Z$41"),MATCH("Points (Auto-generate)",INDIRECT("'"&amp;$A90&amp;"'!$A$12:$Z$12"),0),0)),"ER"))</f>
        <v>?</v>
      </c>
      <c r="S90" s="87" t="str">
        <f aca="true">IF($H90=0,"NA",IF($A90=INDIRECT("'"&amp;$A90&amp;"'!$B$1"),IF(VLOOKUP(S$1,INDIRECT("'"&amp;$A90&amp;"'!$A$12:$Z$41"),MATCH("Points (Auto-generate)",INDIRECT("'"&amp;$A90&amp;"'!$A$12:$Z$12"),0),0)="","?",VLOOKUP(S$1,INDIRECT("'"&amp;$A90&amp;"'!$A$12:$Z$41"),MATCH("Points (Auto-generate)",INDIRECT("'"&amp;$A90&amp;"'!$A$12:$Z$12"),0),0)),"ER"))</f>
        <v>?</v>
      </c>
      <c r="T90" s="87" t="str">
        <f aca="true">IF($H90=0,"NA",IF($A90=INDIRECT("'"&amp;$A90&amp;"'!$B$1"),IF(VLOOKUP(T$1,INDIRECT("'"&amp;$A90&amp;"'!$A$12:$Z$41"),MATCH("Points (Auto-generate)",INDIRECT("'"&amp;$A90&amp;"'!$A$12:$Z$12"),0),0)="","?",VLOOKUP(T$1,INDIRECT("'"&amp;$A90&amp;"'!$A$12:$Z$41"),MATCH("Points (Auto-generate)",INDIRECT("'"&amp;$A90&amp;"'!$A$12:$Z$12"),0),0)),"ER"))</f>
        <v>?</v>
      </c>
      <c r="U90" s="87" t="str">
        <f aca="true">IF($H90=0,"NA",IF($A90=INDIRECT("'"&amp;$A90&amp;"'!$B$1"),IF(VLOOKUP(U$1,INDIRECT("'"&amp;$A90&amp;"'!$A$12:$Z$41"),MATCH("Points (Auto-generate)",INDIRECT("'"&amp;$A90&amp;"'!$A$12:$Z$12"),0),0)="","?",VLOOKUP(U$1,INDIRECT("'"&amp;$A90&amp;"'!$A$12:$Z$41"),MATCH("Points (Auto-generate)",INDIRECT("'"&amp;$A90&amp;"'!$A$12:$Z$12"),0),0)),"ER"))</f>
        <v>?</v>
      </c>
      <c r="V90" s="87" t="str">
        <f aca="true">IF($H90=0,"NA",IF($A90=INDIRECT("'"&amp;$A90&amp;"'!$B$1"),IF(VLOOKUP(V$1,INDIRECT("'"&amp;$A90&amp;"'!$A$12:$Z$41"),MATCH("Points (Auto-generate)",INDIRECT("'"&amp;$A90&amp;"'!$A$12:$Z$12"),0),0)="","?",VLOOKUP(V$1,INDIRECT("'"&amp;$A90&amp;"'!$A$12:$Z$41"),MATCH("Points (Auto-generate)",INDIRECT("'"&amp;$A90&amp;"'!$A$12:$Z$12"),0),0)),"ER"))</f>
        <v>?</v>
      </c>
      <c r="W90" s="87" t="str">
        <f aca="true">IF($H90=0,"NA",IF($A90=INDIRECT("'"&amp;$A90&amp;"'!$B$1"),IF(VLOOKUP(W$1,INDIRECT("'"&amp;$A90&amp;"'!$A$12:$Z$41"),MATCH("Points (Auto-generate)",INDIRECT("'"&amp;$A90&amp;"'!$A$12:$Z$12"),0),0)="","?",VLOOKUP(W$1,INDIRECT("'"&amp;$A90&amp;"'!$A$12:$Z$41"),MATCH("Points (Auto-generate)",INDIRECT("'"&amp;$A90&amp;"'!$A$12:$Z$12"),0),0)),"ER"))</f>
        <v>?</v>
      </c>
      <c r="X90" s="87" t="str">
        <f aca="true">IF($H90=0,"NA",IF($A90=INDIRECT("'"&amp;$A90&amp;"'!$B$1"),IF(VLOOKUP(X$1,INDIRECT("'"&amp;$A90&amp;"'!$A$12:$Z$41"),MATCH("Points (Auto-generate)",INDIRECT("'"&amp;$A90&amp;"'!$A$12:$Z$12"),0),0)="","?",VLOOKUP(X$1,INDIRECT("'"&amp;$A90&amp;"'!$A$12:$Z$41"),MATCH("Points (Auto-generate)",INDIRECT("'"&amp;$A90&amp;"'!$A$12:$Z$12"),0),0)),"ER"))</f>
        <v>?</v>
      </c>
      <c r="Y90" s="87" t="str">
        <f aca="true">IF($H90=0,"NA",IF($A90=INDIRECT("'"&amp;$A90&amp;"'!$B$1"),IF(VLOOKUP(Y$1,INDIRECT("'"&amp;$A90&amp;"'!$A$12:$Z$41"),MATCH("Points (Auto-generate)",INDIRECT("'"&amp;$A90&amp;"'!$A$12:$Z$12"),0),0)="","?",VLOOKUP(Y$1,INDIRECT("'"&amp;$A90&amp;"'!$A$12:$Z$41"),MATCH("Points (Auto-generate)",INDIRECT("'"&amp;$A90&amp;"'!$A$12:$Z$12"),0),0)),"ER"))</f>
        <v>?</v>
      </c>
      <c r="Z90" s="87" t="str">
        <f aca="true">IF($H90=0,"NA",IF($A90=INDIRECT("'"&amp;$A90&amp;"'!$B$1"),IF(VLOOKUP(Z$1,INDIRECT("'"&amp;$A90&amp;"'!$A$12:$Z$41"),MATCH("Points (Auto-generate)",INDIRECT("'"&amp;$A90&amp;"'!$A$12:$Z$12"),0),0)="","?",VLOOKUP(Z$1,INDIRECT("'"&amp;$A90&amp;"'!$A$12:$Z$41"),MATCH("Points (Auto-generate)",INDIRECT("'"&amp;$A90&amp;"'!$A$12:$Z$12"),0),0)),"ER"))</f>
        <v>?</v>
      </c>
      <c r="AA90" s="87" t="str">
        <f aca="true">IF($H90=0,"NA",IF($A90=INDIRECT("'"&amp;$A90&amp;"'!$B$1"),IF(VLOOKUP(AA$1,INDIRECT("'"&amp;$A90&amp;"'!$A$12:$Z$41"),MATCH("Points (Auto-generate)",INDIRECT("'"&amp;$A90&amp;"'!$A$12:$Z$12"),0),0)="","?",VLOOKUP(AA$1,INDIRECT("'"&amp;$A90&amp;"'!$A$12:$Z$41"),MATCH("Points (Auto-generate)",INDIRECT("'"&amp;$A90&amp;"'!$A$12:$Z$12"),0),0)),"ER"))</f>
        <v>?</v>
      </c>
      <c r="AB90" s="87" t="str">
        <f aca="true">IF($H90=0,"NA",IF($A90=INDIRECT("'"&amp;$A90&amp;"'!$B$1"),IF(VLOOKUP(AB$1,INDIRECT("'"&amp;$A90&amp;"'!$A$12:$Z$41"),MATCH("Points (Auto-generate)",INDIRECT("'"&amp;$A90&amp;"'!$A$12:$Z$12"),0),0)="","?",VLOOKUP(AB$1,INDIRECT("'"&amp;$A90&amp;"'!$A$12:$Z$41"),MATCH("Points (Auto-generate)",INDIRECT("'"&amp;$A90&amp;"'!$A$12:$Z$12"),0),0)),"ER"))</f>
        <v>?</v>
      </c>
      <c r="AC90" s="87" t="str">
        <f aca="true">IF($H90=0,"NA",IF($A90=INDIRECT("'"&amp;$A90&amp;"'!$B$1"),IF(VLOOKUP(AC$1,INDIRECT("'"&amp;$A90&amp;"'!$A$12:$Z$41"),MATCH("Points (Auto-generate)",INDIRECT("'"&amp;$A90&amp;"'!$A$12:$Z$12"),0),0)="","?",VLOOKUP(AC$1,INDIRECT("'"&amp;$A90&amp;"'!$A$12:$Z$41"),MATCH("Points (Auto-generate)",INDIRECT("'"&amp;$A90&amp;"'!$A$12:$Z$12"),0),0)),"ER"))</f>
        <v>?</v>
      </c>
      <c r="AD90" s="87" t="str">
        <f aca="true">IF($H90=0,"NA",IF($A90=INDIRECT("'"&amp;$A90&amp;"'!$B$1"),IF(VLOOKUP(AD$1,INDIRECT("'"&amp;$A90&amp;"'!$A$12:$Z$41"),MATCH("Points (Auto-generate)",INDIRECT("'"&amp;$A90&amp;"'!$A$12:$Z$12"),0),0)="","?",VLOOKUP(AD$1,INDIRECT("'"&amp;$A90&amp;"'!$A$12:$Z$41"),MATCH("Points (Auto-generate)",INDIRECT("'"&amp;$A90&amp;"'!$A$12:$Z$12"),0),0)),"ER"))</f>
        <v>?</v>
      </c>
      <c r="AE90" s="87" t="str">
        <f aca="true">IF($H90=0,"NA",IF($A90=INDIRECT("'"&amp;$A90&amp;"'!$B$1"),IF(VLOOKUP(AE$1,INDIRECT("'"&amp;$A90&amp;"'!$A$12:$Z$41"),MATCH("Points (Auto-generate)",INDIRECT("'"&amp;$A90&amp;"'!$A$12:$Z$12"),0),0)="","?",VLOOKUP(AE$1,INDIRECT("'"&amp;$A90&amp;"'!$A$12:$Z$41"),MATCH("Points (Auto-generate)",INDIRECT("'"&amp;$A90&amp;"'!$A$12:$Z$12"),0),0)),"ER"))</f>
        <v>?</v>
      </c>
      <c r="AF90" s="87" t="str">
        <f aca="true">IF($H90=0,"NA",IF($A90=INDIRECT("'"&amp;$A90&amp;"'!$B$1"),IF(VLOOKUP(AF$1,INDIRECT("'"&amp;$A90&amp;"'!$A$12:$Z$41"),MATCH("Points (Auto-generate)",INDIRECT("'"&amp;$A90&amp;"'!$A$12:$Z$12"),0),0)="","?",VLOOKUP(AF$1,INDIRECT("'"&amp;$A90&amp;"'!$A$12:$Z$41"),MATCH("Points (Auto-generate)",INDIRECT("'"&amp;$A90&amp;"'!$A$12:$Z$12"),0),0)),"ER"))</f>
        <v>?</v>
      </c>
      <c r="AG90" s="87" t="str">
        <f aca="true">IF($H90=0,"NA",IF($A90=INDIRECT("'"&amp;$A90&amp;"'!$B$1"),IF(VLOOKUP(AG$1,INDIRECT("'"&amp;$A90&amp;"'!$A$12:$Z$41"),MATCH("Points (Auto-generate)",INDIRECT("'"&amp;$A90&amp;"'!$A$12:$Z$12"),0),0)="","?",VLOOKUP(AG$1,INDIRECT("'"&amp;$A90&amp;"'!$A$12:$Z$41"),MATCH("Points (Auto-generate)",INDIRECT("'"&amp;$A90&amp;"'!$A$12:$Z$12"),0),0)),"ER"))</f>
        <v>?</v>
      </c>
      <c r="AH90" s="87" t="str">
        <f aca="true">IF($H90=0,"NA",IF($A90=INDIRECT("'"&amp;$A90&amp;"'!$B$1"),IF(VLOOKUP(AH$1,INDIRECT("'"&amp;$A90&amp;"'!$A$12:$Z$41"),MATCH("Points (Auto-generate)",INDIRECT("'"&amp;$A90&amp;"'!$A$12:$Z$12"),0),0)="","?",VLOOKUP(AH$1,INDIRECT("'"&amp;$A90&amp;"'!$A$12:$Z$41"),MATCH("Points (Auto-generate)",INDIRECT("'"&amp;$A90&amp;"'!$A$12:$Z$12"),0),0)),"ER"))</f>
        <v>?</v>
      </c>
      <c r="AI90" s="87" t="str">
        <f aca="true">IF($H90=0,"NA",IF($A90=INDIRECT("'"&amp;$A90&amp;"'!$B$1"),IF(VLOOKUP(AI$1,INDIRECT("'"&amp;$A90&amp;"'!$A$12:$Z$41"),MATCH("Points (Auto-generate)",INDIRECT("'"&amp;$A90&amp;"'!$A$12:$Z$12"),0),0)="","?",VLOOKUP(AI$1,INDIRECT("'"&amp;$A90&amp;"'!$A$12:$Z$41"),MATCH("Points (Auto-generate)",INDIRECT("'"&amp;$A90&amp;"'!$A$12:$Z$12"),0),0)),"ER"))</f>
        <v>?</v>
      </c>
      <c r="AJ90" s="87" t="str">
        <f aca="true">IF($H90=0,"NA",IF($A90=INDIRECT("'"&amp;$A90&amp;"'!$B$1"),IF(VLOOKUP(AJ$1,INDIRECT("'"&amp;$A90&amp;"'!$A$12:$Z$41"),MATCH("Points (Auto-generate)",INDIRECT("'"&amp;$A90&amp;"'!$A$12:$Z$12"),0),0)="","?",VLOOKUP(AJ$1,INDIRECT("'"&amp;$A90&amp;"'!$A$12:$Z$41"),MATCH("Points (Auto-generate)",INDIRECT("'"&amp;$A90&amp;"'!$A$12:$Z$12"),0),0)),"ER"))</f>
        <v>?</v>
      </c>
      <c r="AK90" s="87" t="str">
        <f aca="true">IF($H90=0,"NA",IF($A90=INDIRECT("'"&amp;$A90&amp;"'!$B$1"),IF(VLOOKUP(AK$1,INDIRECT("'"&amp;$A90&amp;"'!$A$12:$Z$41"),MATCH("Points (Auto-generate)",INDIRECT("'"&amp;$A90&amp;"'!$A$12:$Z$12"),0),0)="","?",VLOOKUP(AK$1,INDIRECT("'"&amp;$A90&amp;"'!$A$12:$Z$41"),MATCH("Points (Auto-generate)",INDIRECT("'"&amp;$A90&amp;"'!$A$12:$Z$12"),0),0)),"ER"))</f>
        <v>?</v>
      </c>
    </row>
    <row r="91" customFormat="false" ht="14.25" hidden="false" customHeight="true" outlineLevel="0" collapsed="false">
      <c r="A91" s="83" t="s">
        <v>939</v>
      </c>
      <c r="B91" s="84" t="str">
        <f aca="false">IF(ISBLANK($A91),"NO_CODE",VLOOKUP($A91,'UPD Questions_290926 '!$E$1:$N$300,MATCH(B$1,'UPD Questions_290926 '!$E$1:$N$1,0),0)&amp;"")</f>
        <v>Implementation</v>
      </c>
      <c r="C91" s="84" t="str">
        <f aca="false">IF(ISBLANK($A91),"NO_CODE",VLOOKUP($A91,'UPD Questions_290926 '!$E$1:$N$300,MATCH(C$1,'UPD Questions_290926 '!$E$1:$N$1,0),0)&amp;"")</f>
        <v>Development Control Regulations and land-management instruments</v>
      </c>
      <c r="D91" s="84" t="str">
        <f aca="false">IF(ISBLANK($A91),"NO_CODE",VLOOKUP($A91,'UPD Questions_290926 '!$E$1:$N$300,MATCH(D$1,'UPD Questions_290926 '!$E$1:$N$1,0),0)&amp;"")</f>
        <v>DCR revision and public consultation</v>
      </c>
      <c r="E91" s="84" t="str">
        <f aca="false">IF(ISBLANK($A91),"NO_CODE",VLOOKUP($A91,'UPD Questions_290926 '!$E$1:$N$300,MATCH(E$1,'UPD Questions_290926 '!$E$1:$N$1,0),0)&amp;"")</f>
        <v>MQ</v>
      </c>
      <c r="F91" s="84" t="str">
        <f aca="false">IF(ISBLANK($A91),"NO_CODE",VLOOKUP($A91,'UPD Questions_290926 '!$E$1:$N$300,MATCH(F$1,'UPD Questions_290926 '!$E$1:$N$1,0),0)&amp;"")</f>
        <v>Does the city’s DCR provide development controls, standards or incentives that enable positive economic, environmental, public health, heritage, and inclusion outcomes?</v>
      </c>
      <c r="G91" s="84" t="str">
        <f aca="false">IF(ISBLANK($A91),"NO_CODE",VLOOKUP($A91,'UPD Questions_290926 '!$E$1:$N$300,MATCH(G$1,'UPD Questions_290926 '!$E$1:$N$1,0),0)&amp;"")</f>
        <v>Law or Policy</v>
      </c>
      <c r="H91" s="86" t="n">
        <f aca="false">IF(ISBLANK($A91),"NO_CODE",VLOOKUP($A91,'UPD Questions_290926 '!$E$1:$N$300,MATCH(H$1,'UPD Questions_290926 '!$E$1:$N$1,0),0))</f>
        <v>10</v>
      </c>
      <c r="I91" s="87" t="str">
        <f aca="false">IF(OR(I92="ER",I93="ER",I94="ER",I95="ER",I96="ER"),"ER",IF(OR(I92="?",I93="?",I94="?",I95="?",I96="?"),"?",IF(AND(I92="NA",I93="NA",I94="NA",I95="NA",I96="NA"),"NA",SUM(I92,I93,I94,I95,I96)/((I92&lt;&gt;"NA")*$H$92+(I93&lt;&gt;"NA")*$H$93+(I94&lt;&gt;"NA")*$H$94+(I95&lt;&gt;"NA")*$H$95+(I96&lt;&gt;"NA")*$H$96)*$H91)))</f>
        <v>?</v>
      </c>
      <c r="J91" s="87" t="n">
        <f aca="false">IF(OR(J92="ER",J93="ER",J94="ER",J95="ER",J96="ER"),"ER",IF(OR(J92="?",J93="?",J94="?",J95="?",J96="?"),"?",IF(AND(J92="NA",J93="NA",J94="NA",J95="NA",J96="NA"),"NA",SUM(J92,J93,J94,J95,J96)/((J92&lt;&gt;"NA")*$H$92+(J93&lt;&gt;"NA")*$H$93+(J94&lt;&gt;"NA")*$H$94+(J95&lt;&gt;"NA")*$H$95+(J96&lt;&gt;"NA")*$H$96)*$H91)))</f>
        <v>0</v>
      </c>
      <c r="K91" s="87" t="str">
        <f aca="false">IF(OR(K92="ER",K93="ER",K94="ER",K95="ER",K96="ER"),"ER",IF(OR(K92="?",K93="?",K94="?",K95="?",K96="?"),"?",IF(AND(K92="NA",K93="NA",K94="NA",K95="NA",K96="NA"),"NA",SUM(K92,K93,K94,K95,K96)/((K92&lt;&gt;"NA")*$H$92+(K93&lt;&gt;"NA")*$H$93+(K94&lt;&gt;"NA")*$H$94+(K95&lt;&gt;"NA")*$H$95+(K96&lt;&gt;"NA")*$H$96)*$H91)))</f>
        <v>?</v>
      </c>
      <c r="L91" s="87" t="str">
        <f aca="false">IF(OR(L92="ER",L93="ER",L94="ER",L95="ER",L96="ER"),"ER",IF(OR(L92="?",L93="?",L94="?",L95="?",L96="?"),"?",IF(AND(L92="NA",L93="NA",L94="NA",L95="NA",L96="NA"),"NA",SUM(L92,L93,L94,L95,L96)/((L92&lt;&gt;"NA")*$H$92+(L93&lt;&gt;"NA")*$H$93+(L94&lt;&gt;"NA")*$H$94+(L95&lt;&gt;"NA")*$H$95+(L96&lt;&gt;"NA")*$H$96)*$H91)))</f>
        <v>?</v>
      </c>
      <c r="M91" s="87" t="str">
        <f aca="false">IF(OR(M92="ER",M93="ER",M94="ER",M95="ER",M96="ER"),"ER",IF(OR(M92="?",M93="?",M94="?",M95="?",M96="?"),"?",IF(AND(M92="NA",M93="NA",M94="NA",M95="NA",M96="NA"),"NA",SUM(M92,M93,M94,M95,M96)/((M92&lt;&gt;"NA")*$H$92+(M93&lt;&gt;"NA")*$H$93+(M94&lt;&gt;"NA")*$H$94+(M95&lt;&gt;"NA")*$H$95+(M96&lt;&gt;"NA")*$H$96)*$H91)))</f>
        <v>?</v>
      </c>
      <c r="N91" s="87" t="str">
        <f aca="false">IF(OR(N92="ER",N93="ER",N94="ER",N95="ER",N96="ER"),"ER",IF(OR(N92="?",N93="?",N94="?",N95="?",N96="?"),"?",IF(AND(N92="NA",N93="NA",N94="NA",N95="NA",N96="NA"),"NA",SUM(N92,N93,N94,N95,N96)/((N92&lt;&gt;"NA")*$H$92+(N93&lt;&gt;"NA")*$H$93+(N94&lt;&gt;"NA")*$H$94+(N95&lt;&gt;"NA")*$H$95+(N96&lt;&gt;"NA")*$H$96)*$H91)))</f>
        <v>?</v>
      </c>
      <c r="O91" s="87" t="str">
        <f aca="false">IF(OR(O92="ER",O93="ER",O94="ER",O95="ER",O96="ER"),"ER",IF(OR(O92="?",O93="?",O94="?",O95="?",O96="?"),"?",IF(AND(O92="NA",O93="NA",O94="NA",O95="NA",O96="NA"),"NA",SUM(O92,O93,O94,O95,O96)/((O92&lt;&gt;"NA")*$H$92+(O93&lt;&gt;"NA")*$H$93+(O94&lt;&gt;"NA")*$H$94+(O95&lt;&gt;"NA")*$H$95+(O96&lt;&gt;"NA")*$H$96)*$H91)))</f>
        <v>?</v>
      </c>
      <c r="P91" s="87" t="str">
        <f aca="false">IF(OR(P92="ER",P93="ER",P94="ER",P95="ER",P96="ER"),"ER",IF(OR(P92="?",P93="?",P94="?",P95="?",P96="?"),"?",IF(AND(P92="NA",P93="NA",P94="NA",P95="NA",P96="NA"),"NA",SUM(P92,P93,P94,P95,P96)/((P92&lt;&gt;"NA")*$H$92+(P93&lt;&gt;"NA")*$H$93+(P94&lt;&gt;"NA")*$H$94+(P95&lt;&gt;"NA")*$H$95+(P96&lt;&gt;"NA")*$H$96)*$H91)))</f>
        <v>?</v>
      </c>
      <c r="Q91" s="87" t="str">
        <f aca="false">IF(OR(Q92="ER",Q93="ER",Q94="ER",Q95="ER",Q96="ER"),"ER",IF(OR(Q92="?",Q93="?",Q94="?",Q95="?",Q96="?"),"?",IF(AND(Q92="NA",Q93="NA",Q94="NA",Q95="NA",Q96="NA"),"NA",SUM(Q92,Q93,Q94,Q95,Q96)/((Q92&lt;&gt;"NA")*$H$92+(Q93&lt;&gt;"NA")*$H$93+(Q94&lt;&gt;"NA")*$H$94+(Q95&lt;&gt;"NA")*$H$95+(Q96&lt;&gt;"NA")*$H$96)*$H91)))</f>
        <v>?</v>
      </c>
      <c r="R91" s="87" t="str">
        <f aca="false">IF(OR(R92="ER",R93="ER",R94="ER",R95="ER",R96="ER"),"ER",IF(OR(R92="?",R93="?",R94="?",R95="?",R96="?"),"?",IF(AND(R92="NA",R93="NA",R94="NA",R95="NA",R96="NA"),"NA",SUM(R92,R93,R94,R95,R96)/((R92&lt;&gt;"NA")*$H$92+(R93&lt;&gt;"NA")*$H$93+(R94&lt;&gt;"NA")*$H$94+(R95&lt;&gt;"NA")*$H$95+(R96&lt;&gt;"NA")*$H$96)*$H91)))</f>
        <v>?</v>
      </c>
      <c r="S91" s="87" t="str">
        <f aca="false">IF(OR(S92="ER",S93="ER",S94="ER",S95="ER",S96="ER"),"ER",IF(OR(S92="?",S93="?",S94="?",S95="?",S96="?"),"?",IF(AND(S92="NA",S93="NA",S94="NA",S95="NA",S96="NA"),"NA",SUM(S92,S93,S94,S95,S96)/((S92&lt;&gt;"NA")*$H$92+(S93&lt;&gt;"NA")*$H$93+(S94&lt;&gt;"NA")*$H$94+(S95&lt;&gt;"NA")*$H$95+(S96&lt;&gt;"NA")*$H$96)*$H91)))</f>
        <v>?</v>
      </c>
      <c r="T91" s="87" t="str">
        <f aca="false">IF(OR(T92="ER",T93="ER",T94="ER",T95="ER",T96="ER"),"ER",IF(OR(T92="?",T93="?",T94="?",T95="?",T96="?"),"?",IF(AND(T92="NA",T93="NA",T94="NA",T95="NA",T96="NA"),"NA",SUM(T92,T93,T94,T95,T96)/((T92&lt;&gt;"NA")*$H$92+(T93&lt;&gt;"NA")*$H$93+(T94&lt;&gt;"NA")*$H$94+(T95&lt;&gt;"NA")*$H$95+(T96&lt;&gt;"NA")*$H$96)*$H91)))</f>
        <v>?</v>
      </c>
      <c r="U91" s="87" t="str">
        <f aca="false">IF(OR(U92="ER",U93="ER",U94="ER",U95="ER",U96="ER"),"ER",IF(OR(U92="?",U93="?",U94="?",U95="?",U96="?"),"?",IF(AND(U92="NA",U93="NA",U94="NA",U95="NA",U96="NA"),"NA",SUM(U92,U93,U94,U95,U96)/((U92&lt;&gt;"NA")*$H$92+(U93&lt;&gt;"NA")*$H$93+(U94&lt;&gt;"NA")*$H$94+(U95&lt;&gt;"NA")*$H$95+(U96&lt;&gt;"NA")*$H$96)*$H91)))</f>
        <v>?</v>
      </c>
      <c r="V91" s="87" t="str">
        <f aca="false">IF(OR(V92="ER",V93="ER",V94="ER",V95="ER",V96="ER"),"ER",IF(OR(V92="?",V93="?",V94="?",V95="?",V96="?"),"?",IF(AND(V92="NA",V93="NA",V94="NA",V95="NA",V96="NA"),"NA",SUM(V92,V93,V94,V95,V96)/((V92&lt;&gt;"NA")*$H$92+(V93&lt;&gt;"NA")*$H$93+(V94&lt;&gt;"NA")*$H$94+(V95&lt;&gt;"NA")*$H$95+(V96&lt;&gt;"NA")*$H$96)*$H91)))</f>
        <v>?</v>
      </c>
      <c r="W91" s="87" t="str">
        <f aca="false">IF(OR(W92="ER",W93="ER",W94="ER",W95="ER",W96="ER"),"ER",IF(OR(W92="?",W93="?",W94="?",W95="?",W96="?"),"?",IF(AND(W92="NA",W93="NA",W94="NA",W95="NA",W96="NA"),"NA",SUM(W92,W93,W94,W95,W96)/((W92&lt;&gt;"NA")*$H$92+(W93&lt;&gt;"NA")*$H$93+(W94&lt;&gt;"NA")*$H$94+(W95&lt;&gt;"NA")*$H$95+(W96&lt;&gt;"NA")*$H$96)*$H91)))</f>
        <v>?</v>
      </c>
      <c r="X91" s="87" t="str">
        <f aca="false">IF(OR(X92="ER",X93="ER",X94="ER",X95="ER",X96="ER"),"ER",IF(OR(X92="?",X93="?",X94="?",X95="?",X96="?"),"?",IF(AND(X92="NA",X93="NA",X94="NA",X95="NA",X96="NA"),"NA",SUM(X92,X93,X94,X95,X96)/((X92&lt;&gt;"NA")*$H$92+(X93&lt;&gt;"NA")*$H$93+(X94&lt;&gt;"NA")*$H$94+(X95&lt;&gt;"NA")*$H$95+(X96&lt;&gt;"NA")*$H$96)*$H91)))</f>
        <v>?</v>
      </c>
      <c r="Y91" s="87" t="str">
        <f aca="false">IF(OR(Y92="ER",Y93="ER",Y94="ER",Y95="ER",Y96="ER"),"ER",IF(OR(Y92="?",Y93="?",Y94="?",Y95="?",Y96="?"),"?",IF(AND(Y92="NA",Y93="NA",Y94="NA",Y95="NA",Y96="NA"),"NA",SUM(Y92,Y93,Y94,Y95,Y96)/((Y92&lt;&gt;"NA")*$H$92+(Y93&lt;&gt;"NA")*$H$93+(Y94&lt;&gt;"NA")*$H$94+(Y95&lt;&gt;"NA")*$H$95+(Y96&lt;&gt;"NA")*$H$96)*$H91)))</f>
        <v>?</v>
      </c>
      <c r="Z91" s="87" t="str">
        <f aca="false">IF(OR(Z92="ER",Z93="ER",Z94="ER",Z95="ER",Z96="ER"),"ER",IF(OR(Z92="?",Z93="?",Z94="?",Z95="?",Z96="?"),"?",IF(AND(Z92="NA",Z93="NA",Z94="NA",Z95="NA",Z96="NA"),"NA",SUM(Z92,Z93,Z94,Z95,Z96)/((Z92&lt;&gt;"NA")*$H$92+(Z93&lt;&gt;"NA")*$H$93+(Z94&lt;&gt;"NA")*$H$94+(Z95&lt;&gt;"NA")*$H$95+(Z96&lt;&gt;"NA")*$H$96)*$H91)))</f>
        <v>?</v>
      </c>
      <c r="AA91" s="87" t="str">
        <f aca="false">IF(OR(AA92="ER",AA93="ER",AA94="ER",AA95="ER",AA96="ER"),"ER",IF(OR(AA92="?",AA93="?",AA94="?",AA95="?",AA96="?"),"?",IF(AND(AA92="NA",AA93="NA",AA94="NA",AA95="NA",AA96="NA"),"NA",SUM(AA92,AA93,AA94,AA95,AA96)/((AA92&lt;&gt;"NA")*$H$92+(AA93&lt;&gt;"NA")*$H$93+(AA94&lt;&gt;"NA")*$H$94+(AA95&lt;&gt;"NA")*$H$95+(AA96&lt;&gt;"NA")*$H$96)*$H91)))</f>
        <v>?</v>
      </c>
      <c r="AB91" s="87" t="str">
        <f aca="false">IF(OR(AB92="ER",AB93="ER",AB94="ER",AB95="ER",AB96="ER"),"ER",IF(OR(AB92="?",AB93="?",AB94="?",AB95="?",AB96="?"),"?",IF(AND(AB92="NA",AB93="NA",AB94="NA",AB95="NA",AB96="NA"),"NA",SUM(AB92,AB93,AB94,AB95,AB96)/((AB92&lt;&gt;"NA")*$H$92+(AB93&lt;&gt;"NA")*$H$93+(AB94&lt;&gt;"NA")*$H$94+(AB95&lt;&gt;"NA")*$H$95+(AB96&lt;&gt;"NA")*$H$96)*$H91)))</f>
        <v>?</v>
      </c>
      <c r="AC91" s="87" t="n">
        <f aca="false">IF(OR(AC92="ER",AC93="ER",AC94="ER",AC95="ER",AC96="ER"),"ER",IF(OR(AC92="?",AC93="?",AC94="?",AC95="?",AC96="?"),"?",IF(AND(AC92="NA",AC93="NA",AC94="NA",AC95="NA",AC96="NA"),"NA",SUM(AC92,AC93,AC94,AC95,AC96)/((AC92&lt;&gt;"NA")*$H$92+(AC93&lt;&gt;"NA")*$H$93+(AC94&lt;&gt;"NA")*$H$94+(AC95&lt;&gt;"NA")*$H$95+(AC96&lt;&gt;"NA")*$H$96)*$H91)))</f>
        <v>8</v>
      </c>
      <c r="AD91" s="87" t="str">
        <f aca="false">IF(OR(AD92="ER",AD93="ER",AD94="ER",AD95="ER",AD96="ER"),"ER",IF(OR(AD92="?",AD93="?",AD94="?",AD95="?",AD96="?"),"?",IF(AND(AD92="NA",AD93="NA",AD94="NA",AD95="NA",AD96="NA"),"NA",SUM(AD92,AD93,AD94,AD95,AD96)/((AD92&lt;&gt;"NA")*$H$92+(AD93&lt;&gt;"NA")*$H$93+(AD94&lt;&gt;"NA")*$H$94+(AD95&lt;&gt;"NA")*$H$95+(AD96&lt;&gt;"NA")*$H$96)*$H91)))</f>
        <v>?</v>
      </c>
      <c r="AE91" s="87" t="str">
        <f aca="false">IF(OR(AE92="ER",AE93="ER",AE94="ER",AE95="ER",AE96="ER"),"ER",IF(OR(AE92="?",AE93="?",AE94="?",AE95="?",AE96="?"),"?",IF(AND(AE92="NA",AE93="NA",AE94="NA",AE95="NA",AE96="NA"),"NA",SUM(AE92,AE93,AE94,AE95,AE96)/((AE92&lt;&gt;"NA")*$H$92+(AE93&lt;&gt;"NA")*$H$93+(AE94&lt;&gt;"NA")*$H$94+(AE95&lt;&gt;"NA")*$H$95+(AE96&lt;&gt;"NA")*$H$96)*$H91)))</f>
        <v>?</v>
      </c>
      <c r="AF91" s="87" t="str">
        <f aca="false">IF(OR(AF92="ER",AF93="ER",AF94="ER",AF95="ER",AF96="ER"),"ER",IF(OR(AF92="?",AF93="?",AF94="?",AF95="?",AF96="?"),"?",IF(AND(AF92="NA",AF93="NA",AF94="NA",AF95="NA",AF96="NA"),"NA",SUM(AF92,AF93,AF94,AF95,AF96)/((AF92&lt;&gt;"NA")*$H$92+(AF93&lt;&gt;"NA")*$H$93+(AF94&lt;&gt;"NA")*$H$94+(AF95&lt;&gt;"NA")*$H$95+(AF96&lt;&gt;"NA")*$H$96)*$H91)))</f>
        <v>?</v>
      </c>
      <c r="AG91" s="87" t="str">
        <f aca="false">IF(OR(AG92="ER",AG93="ER",AG94="ER",AG95="ER",AG96="ER"),"ER",IF(OR(AG92="?",AG93="?",AG94="?",AG95="?",AG96="?"),"?",IF(AND(AG92="NA",AG93="NA",AG94="NA",AG95="NA",AG96="NA"),"NA",SUM(AG92,AG93,AG94,AG95,AG96)/((AG92&lt;&gt;"NA")*$H$92+(AG93&lt;&gt;"NA")*$H$93+(AG94&lt;&gt;"NA")*$H$94+(AG95&lt;&gt;"NA")*$H$95+(AG96&lt;&gt;"NA")*$H$96)*$H91)))</f>
        <v>?</v>
      </c>
      <c r="AH91" s="87" t="str">
        <f aca="false">IF(OR(AH92="ER",AH93="ER",AH94="ER",AH95="ER",AH96="ER"),"ER",IF(OR(AH92="?",AH93="?",AH94="?",AH95="?",AH96="?"),"?",IF(AND(AH92="NA",AH93="NA",AH94="NA",AH95="NA",AH96="NA"),"NA",SUM(AH92,AH93,AH94,AH95,AH96)/((AH92&lt;&gt;"NA")*$H$92+(AH93&lt;&gt;"NA")*$H$93+(AH94&lt;&gt;"NA")*$H$94+(AH95&lt;&gt;"NA")*$H$95+(AH96&lt;&gt;"NA")*$H$96)*$H91)))</f>
        <v>?</v>
      </c>
      <c r="AI91" s="87" t="str">
        <f aca="false">IF(OR(AI92="ER",AI93="ER",AI94="ER",AI95="ER",AI96="ER"),"ER",IF(OR(AI92="?",AI93="?",AI94="?",AI95="?",AI96="?"),"?",IF(AND(AI92="NA",AI93="NA",AI94="NA",AI95="NA",AI96="NA"),"NA",SUM(AI92,AI93,AI94,AI95,AI96)/((AI92&lt;&gt;"NA")*$H$92+(AI93&lt;&gt;"NA")*$H$93+(AI94&lt;&gt;"NA")*$H$94+(AI95&lt;&gt;"NA")*$H$95+(AI96&lt;&gt;"NA")*$H$96)*$H91)))</f>
        <v>?</v>
      </c>
      <c r="AJ91" s="87" t="str">
        <f aca="false">IF(OR(AJ92="ER",AJ93="ER",AJ94="ER",AJ95="ER",AJ96="ER"),"ER",IF(OR(AJ92="?",AJ93="?",AJ94="?",AJ95="?",AJ96="?"),"?",IF(AND(AJ92="NA",AJ93="NA",AJ94="NA",AJ95="NA",AJ96="NA"),"NA",SUM(AJ92,AJ93,AJ94,AJ95,AJ96)/((AJ92&lt;&gt;"NA")*$H$92+(AJ93&lt;&gt;"NA")*$H$93+(AJ94&lt;&gt;"NA")*$H$94+(AJ95&lt;&gt;"NA")*$H$95+(AJ96&lt;&gt;"NA")*$H$96)*$H91)))</f>
        <v>?</v>
      </c>
      <c r="AK91" s="87" t="str">
        <f aca="false">IF(OR(AK92="ER",AK93="ER",AK94="ER",AK95="ER",AK96="ER"),"ER",IF(OR(AK92="?",AK93="?",AK94="?",AK95="?",AK96="?"),"?",IF(AND(AK92="NA",AK93="NA",AK94="NA",AK95="NA",AK96="NA"),"NA",SUM(AK92,AK93,AK94,AK95,AK96)/((AK92&lt;&gt;"NA")*$H$92+(AK93&lt;&gt;"NA")*$H$93+(AK94&lt;&gt;"NA")*$H$94+(AK95&lt;&gt;"NA")*$H$95+(AK96&lt;&gt;"NA")*$H$96)*$H91)))</f>
        <v>?</v>
      </c>
    </row>
    <row r="92" customFormat="false" ht="14.25" hidden="false" customHeight="true" outlineLevel="0" collapsed="false">
      <c r="A92" s="83" t="s">
        <v>509</v>
      </c>
      <c r="B92" s="84" t="str">
        <f aca="false">IF(ISBLANK($A92),"NO_CODE",VLOOKUP($A92,'UPD Questions_290926 '!$E$1:$N$300,MATCH(B$1,'UPD Questions_290926 '!$E$1:$N$1,0),0)&amp;"")</f>
        <v>Implementation</v>
      </c>
      <c r="C92" s="84" t="str">
        <f aca="false">IF(ISBLANK($A92),"NO_CODE",VLOOKUP($A92,'UPD Questions_290926 '!$E$1:$N$300,MATCH(C$1,'UPD Questions_290926 '!$E$1:$N$1,0),0)&amp;"")</f>
        <v>Development Control Regulations and land-management instruments</v>
      </c>
      <c r="D92" s="84" t="str">
        <f aca="false">IF(ISBLANK($A92),"NO_CODE",VLOOKUP($A92,'UPD Questions_290926 '!$E$1:$N$300,MATCH(D$1,'UPD Questions_290926 '!$E$1:$N$1,0),0)&amp;"")</f>
        <v>DCR revision and public consultation</v>
      </c>
      <c r="E92" s="84" t="str">
        <f aca="false">IF(ISBLANK($A92),"NO_CODE",VLOOKUP($A92,'UPD Questions_290926 '!$E$1:$N$300,MATCH(E$1,'UPD Questions_290926 '!$E$1:$N$1,0),0)&amp;"")</f>
        <v>SQ</v>
      </c>
      <c r="F92" s="84" t="str">
        <f aca="false">IF(ISBLANK($A92),"NO_CODE",VLOOKUP($A92,'UPD Questions_290926 '!$E$1:$N$300,MATCH(F$1,'UPD Questions_290926 '!$E$1:$N$1,0),0)&amp;"")</f>
        <v>Do the DCRs provide development controls, standards or incentives that enable different types and scales of economic activity?</v>
      </c>
      <c r="G92" s="84" t="str">
        <f aca="false">IF(ISBLANK($A92),"NO_CODE",VLOOKUP($A92,'UPD Questions_290926 '!$E$1:$N$300,MATCH(G$1,'UPD Questions_290926 '!$E$1:$N$1,0),0)&amp;"")</f>
        <v>Law or Policy</v>
      </c>
      <c r="H92" s="86" t="n">
        <f aca="false">IF(ISBLANK($A92),"NO_CODE",VLOOKUP($A92,'UPD Questions_290926 '!$E$1:$N$300,MATCH(H$1,'UPD Questions_290926 '!$E$1:$N$1,0),0))</f>
        <v>2</v>
      </c>
      <c r="I92" s="87" t="str">
        <f aca="true">IF($H92=0,"NA",IF($A92=INDIRECT("'"&amp;$A92&amp;"'!$B$1"),IF(VLOOKUP(I$1,INDIRECT("'"&amp;$A92&amp;"'!$A$12:$Z$41"),MATCH("Points (Auto-generate)",INDIRECT("'"&amp;$A92&amp;"'!$A$12:$Z$12"),0),0)="","?",VLOOKUP(I$1,INDIRECT("'"&amp;$A92&amp;"'!$A$12:$Z$41"),MATCH("Points (Auto-generate)",INDIRECT("'"&amp;$A92&amp;"'!$A$12:$Z$12"),0),0)),"ER"))</f>
        <v>?</v>
      </c>
      <c r="J92" s="87" t="n">
        <f aca="true">IF($H92=0,"NA",IF($A92=INDIRECT("'"&amp;$A92&amp;"'!$B$1"),IF(VLOOKUP(J$1,INDIRECT("'"&amp;$A92&amp;"'!$A$12:$Z$41"),MATCH("Points (Auto-generate)",INDIRECT("'"&amp;$A92&amp;"'!$A$12:$Z$12"),0),0)="","?",VLOOKUP(J$1,INDIRECT("'"&amp;$A92&amp;"'!$A$12:$Z$41"),MATCH("Points (Auto-generate)",INDIRECT("'"&amp;$A92&amp;"'!$A$12:$Z$12"),0),0)),"ER"))</f>
        <v>0</v>
      </c>
      <c r="K92" s="87" t="str">
        <f aca="true">IF($H92=0,"NA",IF($A92=INDIRECT("'"&amp;$A92&amp;"'!$B$1"),IF(VLOOKUP(K$1,INDIRECT("'"&amp;$A92&amp;"'!$A$12:$Z$41"),MATCH("Points (Auto-generate)",INDIRECT("'"&amp;$A92&amp;"'!$A$12:$Z$12"),0),0)="","?",VLOOKUP(K$1,INDIRECT("'"&amp;$A92&amp;"'!$A$12:$Z$41"),MATCH("Points (Auto-generate)",INDIRECT("'"&amp;$A92&amp;"'!$A$12:$Z$12"),0),0)),"ER"))</f>
        <v>?</v>
      </c>
      <c r="L92" s="87" t="str">
        <f aca="true">IF($H92=0,"NA",IF($A92=INDIRECT("'"&amp;$A92&amp;"'!$B$1"),IF(VLOOKUP(L$1,INDIRECT("'"&amp;$A92&amp;"'!$A$12:$Z$41"),MATCH("Points (Auto-generate)",INDIRECT("'"&amp;$A92&amp;"'!$A$12:$Z$12"),0),0)="","?",VLOOKUP(L$1,INDIRECT("'"&amp;$A92&amp;"'!$A$12:$Z$41"),MATCH("Points (Auto-generate)",INDIRECT("'"&amp;$A92&amp;"'!$A$12:$Z$12"),0),0)),"ER"))</f>
        <v>?</v>
      </c>
      <c r="M92" s="87" t="str">
        <f aca="true">IF($H92=0,"NA",IF($A92=INDIRECT("'"&amp;$A92&amp;"'!$B$1"),IF(VLOOKUP(M$1,INDIRECT("'"&amp;$A92&amp;"'!$A$12:$Z$41"),MATCH("Points (Auto-generate)",INDIRECT("'"&amp;$A92&amp;"'!$A$12:$Z$12"),0),0)="","?",VLOOKUP(M$1,INDIRECT("'"&amp;$A92&amp;"'!$A$12:$Z$41"),MATCH("Points (Auto-generate)",INDIRECT("'"&amp;$A92&amp;"'!$A$12:$Z$12"),0),0)),"ER"))</f>
        <v>?</v>
      </c>
      <c r="N92" s="87" t="str">
        <f aca="true">IF($H92=0,"NA",IF($A92=INDIRECT("'"&amp;$A92&amp;"'!$B$1"),IF(VLOOKUP(N$1,INDIRECT("'"&amp;$A92&amp;"'!$A$12:$Z$41"),MATCH("Points (Auto-generate)",INDIRECT("'"&amp;$A92&amp;"'!$A$12:$Z$12"),0),0)="","?",VLOOKUP(N$1,INDIRECT("'"&amp;$A92&amp;"'!$A$12:$Z$41"),MATCH("Points (Auto-generate)",INDIRECT("'"&amp;$A92&amp;"'!$A$12:$Z$12"),0),0)),"ER"))</f>
        <v>?</v>
      </c>
      <c r="O92" s="87" t="str">
        <f aca="true">IF($H92=0,"NA",IF($A92=INDIRECT("'"&amp;$A92&amp;"'!$B$1"),IF(VLOOKUP(O$1,INDIRECT("'"&amp;$A92&amp;"'!$A$12:$Z$41"),MATCH("Points (Auto-generate)",INDIRECT("'"&amp;$A92&amp;"'!$A$12:$Z$12"),0),0)="","?",VLOOKUP(O$1,INDIRECT("'"&amp;$A92&amp;"'!$A$12:$Z$41"),MATCH("Points (Auto-generate)",INDIRECT("'"&amp;$A92&amp;"'!$A$12:$Z$12"),0),0)),"ER"))</f>
        <v>?</v>
      </c>
      <c r="P92" s="87" t="str">
        <f aca="true">IF($H92=0,"NA",IF($A92=INDIRECT("'"&amp;$A92&amp;"'!$B$1"),IF(VLOOKUP(P$1,INDIRECT("'"&amp;$A92&amp;"'!$A$12:$Z$41"),MATCH("Points (Auto-generate)",INDIRECT("'"&amp;$A92&amp;"'!$A$12:$Z$12"),0),0)="","?",VLOOKUP(P$1,INDIRECT("'"&amp;$A92&amp;"'!$A$12:$Z$41"),MATCH("Points (Auto-generate)",INDIRECT("'"&amp;$A92&amp;"'!$A$12:$Z$12"),0),0)),"ER"))</f>
        <v>?</v>
      </c>
      <c r="Q92" s="87" t="str">
        <f aca="true">IF($H92=0,"NA",IF($A92=INDIRECT("'"&amp;$A92&amp;"'!$B$1"),IF(VLOOKUP(Q$1,INDIRECT("'"&amp;$A92&amp;"'!$A$12:$Z$41"),MATCH("Points (Auto-generate)",INDIRECT("'"&amp;$A92&amp;"'!$A$12:$Z$12"),0),0)="","?",VLOOKUP(Q$1,INDIRECT("'"&amp;$A92&amp;"'!$A$12:$Z$41"),MATCH("Points (Auto-generate)",INDIRECT("'"&amp;$A92&amp;"'!$A$12:$Z$12"),0),0)),"ER"))</f>
        <v>?</v>
      </c>
      <c r="R92" s="87" t="str">
        <f aca="true">IF($H92=0,"NA",IF($A92=INDIRECT("'"&amp;$A92&amp;"'!$B$1"),IF(VLOOKUP(R$1,INDIRECT("'"&amp;$A92&amp;"'!$A$12:$Z$41"),MATCH("Points (Auto-generate)",INDIRECT("'"&amp;$A92&amp;"'!$A$12:$Z$12"),0),0)="","?",VLOOKUP(R$1,INDIRECT("'"&amp;$A92&amp;"'!$A$12:$Z$41"),MATCH("Points (Auto-generate)",INDIRECT("'"&amp;$A92&amp;"'!$A$12:$Z$12"),0),0)),"ER"))</f>
        <v>?</v>
      </c>
      <c r="S92" s="87" t="str">
        <f aca="true">IF($H92=0,"NA",IF($A92=INDIRECT("'"&amp;$A92&amp;"'!$B$1"),IF(VLOOKUP(S$1,INDIRECT("'"&amp;$A92&amp;"'!$A$12:$Z$41"),MATCH("Points (Auto-generate)",INDIRECT("'"&amp;$A92&amp;"'!$A$12:$Z$12"),0),0)="","?",VLOOKUP(S$1,INDIRECT("'"&amp;$A92&amp;"'!$A$12:$Z$41"),MATCH("Points (Auto-generate)",INDIRECT("'"&amp;$A92&amp;"'!$A$12:$Z$12"),0),0)),"ER"))</f>
        <v>?</v>
      </c>
      <c r="T92" s="87" t="str">
        <f aca="true">IF($H92=0,"NA",IF($A92=INDIRECT("'"&amp;$A92&amp;"'!$B$1"),IF(VLOOKUP(T$1,INDIRECT("'"&amp;$A92&amp;"'!$A$12:$Z$41"),MATCH("Points (Auto-generate)",INDIRECT("'"&amp;$A92&amp;"'!$A$12:$Z$12"),0),0)="","?",VLOOKUP(T$1,INDIRECT("'"&amp;$A92&amp;"'!$A$12:$Z$41"),MATCH("Points (Auto-generate)",INDIRECT("'"&amp;$A92&amp;"'!$A$12:$Z$12"),0),0)),"ER"))</f>
        <v>?</v>
      </c>
      <c r="U92" s="87" t="str">
        <f aca="true">IF($H92=0,"NA",IF($A92=INDIRECT("'"&amp;$A92&amp;"'!$B$1"),IF(VLOOKUP(U$1,INDIRECT("'"&amp;$A92&amp;"'!$A$12:$Z$41"),MATCH("Points (Auto-generate)",INDIRECT("'"&amp;$A92&amp;"'!$A$12:$Z$12"),0),0)="","?",VLOOKUP(U$1,INDIRECT("'"&amp;$A92&amp;"'!$A$12:$Z$41"),MATCH("Points (Auto-generate)",INDIRECT("'"&amp;$A92&amp;"'!$A$12:$Z$12"),0),0)),"ER"))</f>
        <v>?</v>
      </c>
      <c r="V92" s="87" t="str">
        <f aca="true">IF($H92=0,"NA",IF($A92=INDIRECT("'"&amp;$A92&amp;"'!$B$1"),IF(VLOOKUP(V$1,INDIRECT("'"&amp;$A92&amp;"'!$A$12:$Z$41"),MATCH("Points (Auto-generate)",INDIRECT("'"&amp;$A92&amp;"'!$A$12:$Z$12"),0),0)="","?",VLOOKUP(V$1,INDIRECT("'"&amp;$A92&amp;"'!$A$12:$Z$41"),MATCH("Points (Auto-generate)",INDIRECT("'"&amp;$A92&amp;"'!$A$12:$Z$12"),0),0)),"ER"))</f>
        <v>?</v>
      </c>
      <c r="W92" s="87" t="str">
        <f aca="true">IF($H92=0,"NA",IF($A92=INDIRECT("'"&amp;$A92&amp;"'!$B$1"),IF(VLOOKUP(W$1,INDIRECT("'"&amp;$A92&amp;"'!$A$12:$Z$41"),MATCH("Points (Auto-generate)",INDIRECT("'"&amp;$A92&amp;"'!$A$12:$Z$12"),0),0)="","?",VLOOKUP(W$1,INDIRECT("'"&amp;$A92&amp;"'!$A$12:$Z$41"),MATCH("Points (Auto-generate)",INDIRECT("'"&amp;$A92&amp;"'!$A$12:$Z$12"),0),0)),"ER"))</f>
        <v>?</v>
      </c>
      <c r="X92" s="87" t="str">
        <f aca="true">IF($H92=0,"NA",IF($A92=INDIRECT("'"&amp;$A92&amp;"'!$B$1"),IF(VLOOKUP(X$1,INDIRECT("'"&amp;$A92&amp;"'!$A$12:$Z$41"),MATCH("Points (Auto-generate)",INDIRECT("'"&amp;$A92&amp;"'!$A$12:$Z$12"),0),0)="","?",VLOOKUP(X$1,INDIRECT("'"&amp;$A92&amp;"'!$A$12:$Z$41"),MATCH("Points (Auto-generate)",INDIRECT("'"&amp;$A92&amp;"'!$A$12:$Z$12"),0),0)),"ER"))</f>
        <v>?</v>
      </c>
      <c r="Y92" s="87" t="str">
        <f aca="true">IF($H92=0,"NA",IF($A92=INDIRECT("'"&amp;$A92&amp;"'!$B$1"),IF(VLOOKUP(Y$1,INDIRECT("'"&amp;$A92&amp;"'!$A$12:$Z$41"),MATCH("Points (Auto-generate)",INDIRECT("'"&amp;$A92&amp;"'!$A$12:$Z$12"),0),0)="","?",VLOOKUP(Y$1,INDIRECT("'"&amp;$A92&amp;"'!$A$12:$Z$41"),MATCH("Points (Auto-generate)",INDIRECT("'"&amp;$A92&amp;"'!$A$12:$Z$12"),0),0)),"ER"))</f>
        <v>?</v>
      </c>
      <c r="Z92" s="87" t="str">
        <f aca="true">IF($H92=0,"NA",IF($A92=INDIRECT("'"&amp;$A92&amp;"'!$B$1"),IF(VLOOKUP(Z$1,INDIRECT("'"&amp;$A92&amp;"'!$A$12:$Z$41"),MATCH("Points (Auto-generate)",INDIRECT("'"&amp;$A92&amp;"'!$A$12:$Z$12"),0),0)="","?",VLOOKUP(Z$1,INDIRECT("'"&amp;$A92&amp;"'!$A$12:$Z$41"),MATCH("Points (Auto-generate)",INDIRECT("'"&amp;$A92&amp;"'!$A$12:$Z$12"),0),0)),"ER"))</f>
        <v>?</v>
      </c>
      <c r="AA92" s="87" t="str">
        <f aca="true">IF($H92=0,"NA",IF($A92=INDIRECT("'"&amp;$A92&amp;"'!$B$1"),IF(VLOOKUP(AA$1,INDIRECT("'"&amp;$A92&amp;"'!$A$12:$Z$41"),MATCH("Points (Auto-generate)",INDIRECT("'"&amp;$A92&amp;"'!$A$12:$Z$12"),0),0)="","?",VLOOKUP(AA$1,INDIRECT("'"&amp;$A92&amp;"'!$A$12:$Z$41"),MATCH("Points (Auto-generate)",INDIRECT("'"&amp;$A92&amp;"'!$A$12:$Z$12"),0),0)),"ER"))</f>
        <v>?</v>
      </c>
      <c r="AB92" s="87" t="str">
        <f aca="true">IF($H92=0,"NA",IF($A92=INDIRECT("'"&amp;$A92&amp;"'!$B$1"),IF(VLOOKUP(AB$1,INDIRECT("'"&amp;$A92&amp;"'!$A$12:$Z$41"),MATCH("Points (Auto-generate)",INDIRECT("'"&amp;$A92&amp;"'!$A$12:$Z$12"),0),0)="","?",VLOOKUP(AB$1,INDIRECT("'"&amp;$A92&amp;"'!$A$12:$Z$41"),MATCH("Points (Auto-generate)",INDIRECT("'"&amp;$A92&amp;"'!$A$12:$Z$12"),0),0)),"ER"))</f>
        <v>?</v>
      </c>
      <c r="AC92" s="87" t="n">
        <f aca="true">IF($H92=0,"NA",IF($A92=INDIRECT("'"&amp;$A92&amp;"'!$B$1"),IF(VLOOKUP(AC$1,INDIRECT("'"&amp;$A92&amp;"'!$A$12:$Z$41"),MATCH("Points (Auto-generate)",INDIRECT("'"&amp;$A92&amp;"'!$A$12:$Z$12"),0),0)="","?",VLOOKUP(AC$1,INDIRECT("'"&amp;$A92&amp;"'!$A$12:$Z$41"),MATCH("Points (Auto-generate)",INDIRECT("'"&amp;$A92&amp;"'!$A$12:$Z$12"),0),0)),"ER"))</f>
        <v>2</v>
      </c>
      <c r="AD92" s="87" t="str">
        <f aca="true">IF($H92=0,"NA",IF($A92=INDIRECT("'"&amp;$A92&amp;"'!$B$1"),IF(VLOOKUP(AD$1,INDIRECT("'"&amp;$A92&amp;"'!$A$12:$Z$41"),MATCH("Points (Auto-generate)",INDIRECT("'"&amp;$A92&amp;"'!$A$12:$Z$12"),0),0)="","?",VLOOKUP(AD$1,INDIRECT("'"&amp;$A92&amp;"'!$A$12:$Z$41"),MATCH("Points (Auto-generate)",INDIRECT("'"&amp;$A92&amp;"'!$A$12:$Z$12"),0),0)),"ER"))</f>
        <v>?</v>
      </c>
      <c r="AE92" s="87" t="str">
        <f aca="true">IF($H92=0,"NA",IF($A92=INDIRECT("'"&amp;$A92&amp;"'!$B$1"),IF(VLOOKUP(AE$1,INDIRECT("'"&amp;$A92&amp;"'!$A$12:$Z$41"),MATCH("Points (Auto-generate)",INDIRECT("'"&amp;$A92&amp;"'!$A$12:$Z$12"),0),0)="","?",VLOOKUP(AE$1,INDIRECT("'"&amp;$A92&amp;"'!$A$12:$Z$41"),MATCH("Points (Auto-generate)",INDIRECT("'"&amp;$A92&amp;"'!$A$12:$Z$12"),0),0)),"ER"))</f>
        <v>?</v>
      </c>
      <c r="AF92" s="87" t="str">
        <f aca="true">IF($H92=0,"NA",IF($A92=INDIRECT("'"&amp;$A92&amp;"'!$B$1"),IF(VLOOKUP(AF$1,INDIRECT("'"&amp;$A92&amp;"'!$A$12:$Z$41"),MATCH("Points (Auto-generate)",INDIRECT("'"&amp;$A92&amp;"'!$A$12:$Z$12"),0),0)="","?",VLOOKUP(AF$1,INDIRECT("'"&amp;$A92&amp;"'!$A$12:$Z$41"),MATCH("Points (Auto-generate)",INDIRECT("'"&amp;$A92&amp;"'!$A$12:$Z$12"),0),0)),"ER"))</f>
        <v>?</v>
      </c>
      <c r="AG92" s="87" t="str">
        <f aca="true">IF($H92=0,"NA",IF($A92=INDIRECT("'"&amp;$A92&amp;"'!$B$1"),IF(VLOOKUP(AG$1,INDIRECT("'"&amp;$A92&amp;"'!$A$12:$Z$41"),MATCH("Points (Auto-generate)",INDIRECT("'"&amp;$A92&amp;"'!$A$12:$Z$12"),0),0)="","?",VLOOKUP(AG$1,INDIRECT("'"&amp;$A92&amp;"'!$A$12:$Z$41"),MATCH("Points (Auto-generate)",INDIRECT("'"&amp;$A92&amp;"'!$A$12:$Z$12"),0),0)),"ER"))</f>
        <v>?</v>
      </c>
      <c r="AH92" s="87" t="str">
        <f aca="true">IF($H92=0,"NA",IF($A92=INDIRECT("'"&amp;$A92&amp;"'!$B$1"),IF(VLOOKUP(AH$1,INDIRECT("'"&amp;$A92&amp;"'!$A$12:$Z$41"),MATCH("Points (Auto-generate)",INDIRECT("'"&amp;$A92&amp;"'!$A$12:$Z$12"),0),0)="","?",VLOOKUP(AH$1,INDIRECT("'"&amp;$A92&amp;"'!$A$12:$Z$41"),MATCH("Points (Auto-generate)",INDIRECT("'"&amp;$A92&amp;"'!$A$12:$Z$12"),0),0)),"ER"))</f>
        <v>?</v>
      </c>
      <c r="AI92" s="87" t="str">
        <f aca="true">IF($H92=0,"NA",IF($A92=INDIRECT("'"&amp;$A92&amp;"'!$B$1"),IF(VLOOKUP(AI$1,INDIRECT("'"&amp;$A92&amp;"'!$A$12:$Z$41"),MATCH("Points (Auto-generate)",INDIRECT("'"&amp;$A92&amp;"'!$A$12:$Z$12"),0),0)="","?",VLOOKUP(AI$1,INDIRECT("'"&amp;$A92&amp;"'!$A$12:$Z$41"),MATCH("Points (Auto-generate)",INDIRECT("'"&amp;$A92&amp;"'!$A$12:$Z$12"),0),0)),"ER"))</f>
        <v>?</v>
      </c>
      <c r="AJ92" s="87" t="str">
        <f aca="true">IF($H92=0,"NA",IF($A92=INDIRECT("'"&amp;$A92&amp;"'!$B$1"),IF(VLOOKUP(AJ$1,INDIRECT("'"&amp;$A92&amp;"'!$A$12:$Z$41"),MATCH("Points (Auto-generate)",INDIRECT("'"&amp;$A92&amp;"'!$A$12:$Z$12"),0),0)="","?",VLOOKUP(AJ$1,INDIRECT("'"&amp;$A92&amp;"'!$A$12:$Z$41"),MATCH("Points (Auto-generate)",INDIRECT("'"&amp;$A92&amp;"'!$A$12:$Z$12"),0),0)),"ER"))</f>
        <v>?</v>
      </c>
      <c r="AK92" s="87" t="str">
        <f aca="true">IF($H92=0,"NA",IF($A92=INDIRECT("'"&amp;$A92&amp;"'!$B$1"),IF(VLOOKUP(AK$1,INDIRECT("'"&amp;$A92&amp;"'!$A$12:$Z$41"),MATCH("Points (Auto-generate)",INDIRECT("'"&amp;$A92&amp;"'!$A$12:$Z$12"),0),0)="","?",VLOOKUP(AK$1,INDIRECT("'"&amp;$A92&amp;"'!$A$12:$Z$41"),MATCH("Points (Auto-generate)",INDIRECT("'"&amp;$A92&amp;"'!$A$12:$Z$12"),0),0)),"ER"))</f>
        <v>?</v>
      </c>
    </row>
    <row r="93" customFormat="false" ht="14.25" hidden="false" customHeight="true" outlineLevel="0" collapsed="false">
      <c r="A93" s="83" t="s">
        <v>516</v>
      </c>
      <c r="B93" s="84" t="str">
        <f aca="false">IF(ISBLANK($A93),"NO_CODE",VLOOKUP($A93,'UPD Questions_290926 '!$E$1:$N$300,MATCH(B$1,'UPD Questions_290926 '!$E$1:$N$1,0),0)&amp;"")</f>
        <v>Implementation</v>
      </c>
      <c r="C93" s="84" t="str">
        <f aca="false">IF(ISBLANK($A93),"NO_CODE",VLOOKUP($A93,'UPD Questions_290926 '!$E$1:$N$300,MATCH(C$1,'UPD Questions_290926 '!$E$1:$N$1,0),0)&amp;"")</f>
        <v>Development Control Regulations and land-management instruments</v>
      </c>
      <c r="D93" s="84" t="str">
        <f aca="false">IF(ISBLANK($A93),"NO_CODE",VLOOKUP($A93,'UPD Questions_290926 '!$E$1:$N$300,MATCH(D$1,'UPD Questions_290926 '!$E$1:$N$1,0),0)&amp;"")</f>
        <v>DCR revision and public consultation</v>
      </c>
      <c r="E93" s="84" t="str">
        <f aca="false">IF(ISBLANK($A93),"NO_CODE",VLOOKUP($A93,'UPD Questions_290926 '!$E$1:$N$300,MATCH(E$1,'UPD Questions_290926 '!$E$1:$N$1,0),0)&amp;"")</f>
        <v>SQ</v>
      </c>
      <c r="F93" s="84" t="str">
        <f aca="false">IF(ISBLANK($A93),"NO_CODE",VLOOKUP($A93,'UPD Questions_290926 '!$E$1:$N$300,MATCH(F$1,'UPD Questions_290926 '!$E$1:$N$1,0),0)&amp;"")</f>
        <v>Do the DCRs provide development controls, standards or incentives that improve access, safety, affordability and development outcomes for women and the urban poor?</v>
      </c>
      <c r="G93" s="84" t="str">
        <f aca="false">IF(ISBLANK($A93),"NO_CODE",VLOOKUP($A93,'UPD Questions_290926 '!$E$1:$N$300,MATCH(G$1,'UPD Questions_290926 '!$E$1:$N$1,0),0)&amp;"")</f>
        <v>Law or Policy</v>
      </c>
      <c r="H93" s="86" t="n">
        <f aca="false">IF(ISBLANK($A93),"NO_CODE",VLOOKUP($A93,'UPD Questions_290926 '!$E$1:$N$300,MATCH(H$1,'UPD Questions_290926 '!$E$1:$N$1,0),0))</f>
        <v>2</v>
      </c>
      <c r="I93" s="87" t="str">
        <f aca="true">IF($H93=0,"NA",IF($A93=INDIRECT("'"&amp;$A93&amp;"'!$B$1"),IF(VLOOKUP(I$1,INDIRECT("'"&amp;$A93&amp;"'!$A$12:$Z$41"),MATCH("Points (Auto-generate)",INDIRECT("'"&amp;$A93&amp;"'!$A$12:$Z$12"),0),0)="","?",VLOOKUP(I$1,INDIRECT("'"&amp;$A93&amp;"'!$A$12:$Z$41"),MATCH("Points (Auto-generate)",INDIRECT("'"&amp;$A93&amp;"'!$A$12:$Z$12"),0),0)),"ER"))</f>
        <v>?</v>
      </c>
      <c r="J93" s="87" t="n">
        <f aca="true">IF($H93=0,"NA",IF($A93=INDIRECT("'"&amp;$A93&amp;"'!$B$1"),IF(VLOOKUP(J$1,INDIRECT("'"&amp;$A93&amp;"'!$A$12:$Z$41"),MATCH("Points (Auto-generate)",INDIRECT("'"&amp;$A93&amp;"'!$A$12:$Z$12"),0),0)="","?",VLOOKUP(J$1,INDIRECT("'"&amp;$A93&amp;"'!$A$12:$Z$41"),MATCH("Points (Auto-generate)",INDIRECT("'"&amp;$A93&amp;"'!$A$12:$Z$12"),0),0)),"ER"))</f>
        <v>0</v>
      </c>
      <c r="K93" s="87" t="str">
        <f aca="true">IF($H93=0,"NA",IF($A93=INDIRECT("'"&amp;$A93&amp;"'!$B$1"),IF(VLOOKUP(K$1,INDIRECT("'"&amp;$A93&amp;"'!$A$12:$Z$41"),MATCH("Points (Auto-generate)",INDIRECT("'"&amp;$A93&amp;"'!$A$12:$Z$12"),0),0)="","?",VLOOKUP(K$1,INDIRECT("'"&amp;$A93&amp;"'!$A$12:$Z$41"),MATCH("Points (Auto-generate)",INDIRECT("'"&amp;$A93&amp;"'!$A$12:$Z$12"),0),0)),"ER"))</f>
        <v>?</v>
      </c>
      <c r="L93" s="87" t="str">
        <f aca="true">IF($H93=0,"NA",IF($A93=INDIRECT("'"&amp;$A93&amp;"'!$B$1"),IF(VLOOKUP(L$1,INDIRECT("'"&amp;$A93&amp;"'!$A$12:$Z$41"),MATCH("Points (Auto-generate)",INDIRECT("'"&amp;$A93&amp;"'!$A$12:$Z$12"),0),0)="","?",VLOOKUP(L$1,INDIRECT("'"&amp;$A93&amp;"'!$A$12:$Z$41"),MATCH("Points (Auto-generate)",INDIRECT("'"&amp;$A93&amp;"'!$A$12:$Z$12"),0),0)),"ER"))</f>
        <v>?</v>
      </c>
      <c r="M93" s="87" t="str">
        <f aca="true">IF($H93=0,"NA",IF($A93=INDIRECT("'"&amp;$A93&amp;"'!$B$1"),IF(VLOOKUP(M$1,INDIRECT("'"&amp;$A93&amp;"'!$A$12:$Z$41"),MATCH("Points (Auto-generate)",INDIRECT("'"&amp;$A93&amp;"'!$A$12:$Z$12"),0),0)="","?",VLOOKUP(M$1,INDIRECT("'"&amp;$A93&amp;"'!$A$12:$Z$41"),MATCH("Points (Auto-generate)",INDIRECT("'"&amp;$A93&amp;"'!$A$12:$Z$12"),0),0)),"ER"))</f>
        <v>?</v>
      </c>
      <c r="N93" s="87" t="str">
        <f aca="true">IF($H93=0,"NA",IF($A93=INDIRECT("'"&amp;$A93&amp;"'!$B$1"),IF(VLOOKUP(N$1,INDIRECT("'"&amp;$A93&amp;"'!$A$12:$Z$41"),MATCH("Points (Auto-generate)",INDIRECT("'"&amp;$A93&amp;"'!$A$12:$Z$12"),0),0)="","?",VLOOKUP(N$1,INDIRECT("'"&amp;$A93&amp;"'!$A$12:$Z$41"),MATCH("Points (Auto-generate)",INDIRECT("'"&amp;$A93&amp;"'!$A$12:$Z$12"),0),0)),"ER"))</f>
        <v>?</v>
      </c>
      <c r="O93" s="87" t="str">
        <f aca="true">IF($H93=0,"NA",IF($A93=INDIRECT("'"&amp;$A93&amp;"'!$B$1"),IF(VLOOKUP(O$1,INDIRECT("'"&amp;$A93&amp;"'!$A$12:$Z$41"),MATCH("Points (Auto-generate)",INDIRECT("'"&amp;$A93&amp;"'!$A$12:$Z$12"),0),0)="","?",VLOOKUP(O$1,INDIRECT("'"&amp;$A93&amp;"'!$A$12:$Z$41"),MATCH("Points (Auto-generate)",INDIRECT("'"&amp;$A93&amp;"'!$A$12:$Z$12"),0),0)),"ER"))</f>
        <v>?</v>
      </c>
      <c r="P93" s="87" t="str">
        <f aca="true">IF($H93=0,"NA",IF($A93=INDIRECT("'"&amp;$A93&amp;"'!$B$1"),IF(VLOOKUP(P$1,INDIRECT("'"&amp;$A93&amp;"'!$A$12:$Z$41"),MATCH("Points (Auto-generate)",INDIRECT("'"&amp;$A93&amp;"'!$A$12:$Z$12"),0),0)="","?",VLOOKUP(P$1,INDIRECT("'"&amp;$A93&amp;"'!$A$12:$Z$41"),MATCH("Points (Auto-generate)",INDIRECT("'"&amp;$A93&amp;"'!$A$12:$Z$12"),0),0)),"ER"))</f>
        <v>?</v>
      </c>
      <c r="Q93" s="87" t="str">
        <f aca="true">IF($H93=0,"NA",IF($A93=INDIRECT("'"&amp;$A93&amp;"'!$B$1"),IF(VLOOKUP(Q$1,INDIRECT("'"&amp;$A93&amp;"'!$A$12:$Z$41"),MATCH("Points (Auto-generate)",INDIRECT("'"&amp;$A93&amp;"'!$A$12:$Z$12"),0),0)="","?",VLOOKUP(Q$1,INDIRECT("'"&amp;$A93&amp;"'!$A$12:$Z$41"),MATCH("Points (Auto-generate)",INDIRECT("'"&amp;$A93&amp;"'!$A$12:$Z$12"),0),0)),"ER"))</f>
        <v>?</v>
      </c>
      <c r="R93" s="87" t="str">
        <f aca="true">IF($H93=0,"NA",IF($A93=INDIRECT("'"&amp;$A93&amp;"'!$B$1"),IF(VLOOKUP(R$1,INDIRECT("'"&amp;$A93&amp;"'!$A$12:$Z$41"),MATCH("Points (Auto-generate)",INDIRECT("'"&amp;$A93&amp;"'!$A$12:$Z$12"),0),0)="","?",VLOOKUP(R$1,INDIRECT("'"&amp;$A93&amp;"'!$A$12:$Z$41"),MATCH("Points (Auto-generate)",INDIRECT("'"&amp;$A93&amp;"'!$A$12:$Z$12"),0),0)),"ER"))</f>
        <v>?</v>
      </c>
      <c r="S93" s="87" t="str">
        <f aca="true">IF($H93=0,"NA",IF($A93=INDIRECT("'"&amp;$A93&amp;"'!$B$1"),IF(VLOOKUP(S$1,INDIRECT("'"&amp;$A93&amp;"'!$A$12:$Z$41"),MATCH("Points (Auto-generate)",INDIRECT("'"&amp;$A93&amp;"'!$A$12:$Z$12"),0),0)="","?",VLOOKUP(S$1,INDIRECT("'"&amp;$A93&amp;"'!$A$12:$Z$41"),MATCH("Points (Auto-generate)",INDIRECT("'"&amp;$A93&amp;"'!$A$12:$Z$12"),0),0)),"ER"))</f>
        <v>?</v>
      </c>
      <c r="T93" s="87" t="str">
        <f aca="true">IF($H93=0,"NA",IF($A93=INDIRECT("'"&amp;$A93&amp;"'!$B$1"),IF(VLOOKUP(T$1,INDIRECT("'"&amp;$A93&amp;"'!$A$12:$Z$41"),MATCH("Points (Auto-generate)",INDIRECT("'"&amp;$A93&amp;"'!$A$12:$Z$12"),0),0)="","?",VLOOKUP(T$1,INDIRECT("'"&amp;$A93&amp;"'!$A$12:$Z$41"),MATCH("Points (Auto-generate)",INDIRECT("'"&amp;$A93&amp;"'!$A$12:$Z$12"),0),0)),"ER"))</f>
        <v>?</v>
      </c>
      <c r="U93" s="87" t="str">
        <f aca="true">IF($H93=0,"NA",IF($A93=INDIRECT("'"&amp;$A93&amp;"'!$B$1"),IF(VLOOKUP(U$1,INDIRECT("'"&amp;$A93&amp;"'!$A$12:$Z$41"),MATCH("Points (Auto-generate)",INDIRECT("'"&amp;$A93&amp;"'!$A$12:$Z$12"),0),0)="","?",VLOOKUP(U$1,INDIRECT("'"&amp;$A93&amp;"'!$A$12:$Z$41"),MATCH("Points (Auto-generate)",INDIRECT("'"&amp;$A93&amp;"'!$A$12:$Z$12"),0),0)),"ER"))</f>
        <v>?</v>
      </c>
      <c r="V93" s="87" t="str">
        <f aca="true">IF($H93=0,"NA",IF($A93=INDIRECT("'"&amp;$A93&amp;"'!$B$1"),IF(VLOOKUP(V$1,INDIRECT("'"&amp;$A93&amp;"'!$A$12:$Z$41"),MATCH("Points (Auto-generate)",INDIRECT("'"&amp;$A93&amp;"'!$A$12:$Z$12"),0),0)="","?",VLOOKUP(V$1,INDIRECT("'"&amp;$A93&amp;"'!$A$12:$Z$41"),MATCH("Points (Auto-generate)",INDIRECT("'"&amp;$A93&amp;"'!$A$12:$Z$12"),0),0)),"ER"))</f>
        <v>?</v>
      </c>
      <c r="W93" s="87" t="str">
        <f aca="true">IF($H93=0,"NA",IF($A93=INDIRECT("'"&amp;$A93&amp;"'!$B$1"),IF(VLOOKUP(W$1,INDIRECT("'"&amp;$A93&amp;"'!$A$12:$Z$41"),MATCH("Points (Auto-generate)",INDIRECT("'"&amp;$A93&amp;"'!$A$12:$Z$12"),0),0)="","?",VLOOKUP(W$1,INDIRECT("'"&amp;$A93&amp;"'!$A$12:$Z$41"),MATCH("Points (Auto-generate)",INDIRECT("'"&amp;$A93&amp;"'!$A$12:$Z$12"),0),0)),"ER"))</f>
        <v>?</v>
      </c>
      <c r="X93" s="87" t="str">
        <f aca="true">IF($H93=0,"NA",IF($A93=INDIRECT("'"&amp;$A93&amp;"'!$B$1"),IF(VLOOKUP(X$1,INDIRECT("'"&amp;$A93&amp;"'!$A$12:$Z$41"),MATCH("Points (Auto-generate)",INDIRECT("'"&amp;$A93&amp;"'!$A$12:$Z$12"),0),0)="","?",VLOOKUP(X$1,INDIRECT("'"&amp;$A93&amp;"'!$A$12:$Z$41"),MATCH("Points (Auto-generate)",INDIRECT("'"&amp;$A93&amp;"'!$A$12:$Z$12"),0),0)),"ER"))</f>
        <v>?</v>
      </c>
      <c r="Y93" s="87" t="str">
        <f aca="true">IF($H93=0,"NA",IF($A93=INDIRECT("'"&amp;$A93&amp;"'!$B$1"),IF(VLOOKUP(Y$1,INDIRECT("'"&amp;$A93&amp;"'!$A$12:$Z$41"),MATCH("Points (Auto-generate)",INDIRECT("'"&amp;$A93&amp;"'!$A$12:$Z$12"),0),0)="","?",VLOOKUP(Y$1,INDIRECT("'"&amp;$A93&amp;"'!$A$12:$Z$41"),MATCH("Points (Auto-generate)",INDIRECT("'"&amp;$A93&amp;"'!$A$12:$Z$12"),0),0)),"ER"))</f>
        <v>?</v>
      </c>
      <c r="Z93" s="87" t="str">
        <f aca="true">IF($H93=0,"NA",IF($A93=INDIRECT("'"&amp;$A93&amp;"'!$B$1"),IF(VLOOKUP(Z$1,INDIRECT("'"&amp;$A93&amp;"'!$A$12:$Z$41"),MATCH("Points (Auto-generate)",INDIRECT("'"&amp;$A93&amp;"'!$A$12:$Z$12"),0),0)="","?",VLOOKUP(Z$1,INDIRECT("'"&amp;$A93&amp;"'!$A$12:$Z$41"),MATCH("Points (Auto-generate)",INDIRECT("'"&amp;$A93&amp;"'!$A$12:$Z$12"),0),0)),"ER"))</f>
        <v>?</v>
      </c>
      <c r="AA93" s="87" t="str">
        <f aca="true">IF($H93=0,"NA",IF($A93=INDIRECT("'"&amp;$A93&amp;"'!$B$1"),IF(VLOOKUP(AA$1,INDIRECT("'"&amp;$A93&amp;"'!$A$12:$Z$41"),MATCH("Points (Auto-generate)",INDIRECT("'"&amp;$A93&amp;"'!$A$12:$Z$12"),0),0)="","?",VLOOKUP(AA$1,INDIRECT("'"&amp;$A93&amp;"'!$A$12:$Z$41"),MATCH("Points (Auto-generate)",INDIRECT("'"&amp;$A93&amp;"'!$A$12:$Z$12"),0),0)),"ER"))</f>
        <v>?</v>
      </c>
      <c r="AB93" s="87" t="str">
        <f aca="true">IF($H93=0,"NA",IF($A93=INDIRECT("'"&amp;$A93&amp;"'!$B$1"),IF(VLOOKUP(AB$1,INDIRECT("'"&amp;$A93&amp;"'!$A$12:$Z$41"),MATCH("Points (Auto-generate)",INDIRECT("'"&amp;$A93&amp;"'!$A$12:$Z$12"),0),0)="","?",VLOOKUP(AB$1,INDIRECT("'"&amp;$A93&amp;"'!$A$12:$Z$41"),MATCH("Points (Auto-generate)",INDIRECT("'"&amp;$A93&amp;"'!$A$12:$Z$12"),0),0)),"ER"))</f>
        <v>?</v>
      </c>
      <c r="AC93" s="87" t="n">
        <f aca="true">IF($H93=0,"NA",IF($A93=INDIRECT("'"&amp;$A93&amp;"'!$B$1"),IF(VLOOKUP(AC$1,INDIRECT("'"&amp;$A93&amp;"'!$A$12:$Z$41"),MATCH("Points (Auto-generate)",INDIRECT("'"&amp;$A93&amp;"'!$A$12:$Z$12"),0),0)="","?",VLOOKUP(AC$1,INDIRECT("'"&amp;$A93&amp;"'!$A$12:$Z$41"),MATCH("Points (Auto-generate)",INDIRECT("'"&amp;$A93&amp;"'!$A$12:$Z$12"),0),0)),"ER"))</f>
        <v>1</v>
      </c>
      <c r="AD93" s="87" t="str">
        <f aca="true">IF($H93=0,"NA",IF($A93=INDIRECT("'"&amp;$A93&amp;"'!$B$1"),IF(VLOOKUP(AD$1,INDIRECT("'"&amp;$A93&amp;"'!$A$12:$Z$41"),MATCH("Points (Auto-generate)",INDIRECT("'"&amp;$A93&amp;"'!$A$12:$Z$12"),0),0)="","?",VLOOKUP(AD$1,INDIRECT("'"&amp;$A93&amp;"'!$A$12:$Z$41"),MATCH("Points (Auto-generate)",INDIRECT("'"&amp;$A93&amp;"'!$A$12:$Z$12"),0),0)),"ER"))</f>
        <v>?</v>
      </c>
      <c r="AE93" s="87" t="str">
        <f aca="true">IF($H93=0,"NA",IF($A93=INDIRECT("'"&amp;$A93&amp;"'!$B$1"),IF(VLOOKUP(AE$1,INDIRECT("'"&amp;$A93&amp;"'!$A$12:$Z$41"),MATCH("Points (Auto-generate)",INDIRECT("'"&amp;$A93&amp;"'!$A$12:$Z$12"),0),0)="","?",VLOOKUP(AE$1,INDIRECT("'"&amp;$A93&amp;"'!$A$12:$Z$41"),MATCH("Points (Auto-generate)",INDIRECT("'"&amp;$A93&amp;"'!$A$12:$Z$12"),0),0)),"ER"))</f>
        <v>?</v>
      </c>
      <c r="AF93" s="87" t="str">
        <f aca="true">IF($H93=0,"NA",IF($A93=INDIRECT("'"&amp;$A93&amp;"'!$B$1"),IF(VLOOKUP(AF$1,INDIRECT("'"&amp;$A93&amp;"'!$A$12:$Z$41"),MATCH("Points (Auto-generate)",INDIRECT("'"&amp;$A93&amp;"'!$A$12:$Z$12"),0),0)="","?",VLOOKUP(AF$1,INDIRECT("'"&amp;$A93&amp;"'!$A$12:$Z$41"),MATCH("Points (Auto-generate)",INDIRECT("'"&amp;$A93&amp;"'!$A$12:$Z$12"),0),0)),"ER"))</f>
        <v>?</v>
      </c>
      <c r="AG93" s="87" t="str">
        <f aca="true">IF($H93=0,"NA",IF($A93=INDIRECT("'"&amp;$A93&amp;"'!$B$1"),IF(VLOOKUP(AG$1,INDIRECT("'"&amp;$A93&amp;"'!$A$12:$Z$41"),MATCH("Points (Auto-generate)",INDIRECT("'"&amp;$A93&amp;"'!$A$12:$Z$12"),0),0)="","?",VLOOKUP(AG$1,INDIRECT("'"&amp;$A93&amp;"'!$A$12:$Z$41"),MATCH("Points (Auto-generate)",INDIRECT("'"&amp;$A93&amp;"'!$A$12:$Z$12"),0),0)),"ER"))</f>
        <v>?</v>
      </c>
      <c r="AH93" s="87" t="str">
        <f aca="true">IF($H93=0,"NA",IF($A93=INDIRECT("'"&amp;$A93&amp;"'!$B$1"),IF(VLOOKUP(AH$1,INDIRECT("'"&amp;$A93&amp;"'!$A$12:$Z$41"),MATCH("Points (Auto-generate)",INDIRECT("'"&amp;$A93&amp;"'!$A$12:$Z$12"),0),0)="","?",VLOOKUP(AH$1,INDIRECT("'"&amp;$A93&amp;"'!$A$12:$Z$41"),MATCH("Points (Auto-generate)",INDIRECT("'"&amp;$A93&amp;"'!$A$12:$Z$12"),0),0)),"ER"))</f>
        <v>?</v>
      </c>
      <c r="AI93" s="87" t="str">
        <f aca="true">IF($H93=0,"NA",IF($A93=INDIRECT("'"&amp;$A93&amp;"'!$B$1"),IF(VLOOKUP(AI$1,INDIRECT("'"&amp;$A93&amp;"'!$A$12:$Z$41"),MATCH("Points (Auto-generate)",INDIRECT("'"&amp;$A93&amp;"'!$A$12:$Z$12"),0),0)="","?",VLOOKUP(AI$1,INDIRECT("'"&amp;$A93&amp;"'!$A$12:$Z$41"),MATCH("Points (Auto-generate)",INDIRECT("'"&amp;$A93&amp;"'!$A$12:$Z$12"),0),0)),"ER"))</f>
        <v>?</v>
      </c>
      <c r="AJ93" s="87" t="str">
        <f aca="true">IF($H93=0,"NA",IF($A93=INDIRECT("'"&amp;$A93&amp;"'!$B$1"),IF(VLOOKUP(AJ$1,INDIRECT("'"&amp;$A93&amp;"'!$A$12:$Z$41"),MATCH("Points (Auto-generate)",INDIRECT("'"&amp;$A93&amp;"'!$A$12:$Z$12"),0),0)="","?",VLOOKUP(AJ$1,INDIRECT("'"&amp;$A93&amp;"'!$A$12:$Z$41"),MATCH("Points (Auto-generate)",INDIRECT("'"&amp;$A93&amp;"'!$A$12:$Z$12"),0),0)),"ER"))</f>
        <v>?</v>
      </c>
      <c r="AK93" s="87" t="str">
        <f aca="true">IF($H93=0,"NA",IF($A93=INDIRECT("'"&amp;$A93&amp;"'!$B$1"),IF(VLOOKUP(AK$1,INDIRECT("'"&amp;$A93&amp;"'!$A$12:$Z$41"),MATCH("Points (Auto-generate)",INDIRECT("'"&amp;$A93&amp;"'!$A$12:$Z$12"),0),0)="","?",VLOOKUP(AK$1,INDIRECT("'"&amp;$A93&amp;"'!$A$12:$Z$41"),MATCH("Points (Auto-generate)",INDIRECT("'"&amp;$A93&amp;"'!$A$12:$Z$12"),0),0)),"ER"))</f>
        <v>?</v>
      </c>
    </row>
    <row r="94" customFormat="false" ht="14.25" hidden="false" customHeight="true" outlineLevel="0" collapsed="false">
      <c r="A94" s="83" t="s">
        <v>522</v>
      </c>
      <c r="B94" s="84" t="str">
        <f aca="false">IF(ISBLANK($A94),"NO_CODE",VLOOKUP($A94,'UPD Questions_290926 '!$E$1:$N$300,MATCH(B$1,'UPD Questions_290926 '!$E$1:$N$1,0),0)&amp;"")</f>
        <v>Implementation</v>
      </c>
      <c r="C94" s="84" t="str">
        <f aca="false">IF(ISBLANK($A94),"NO_CODE",VLOOKUP($A94,'UPD Questions_290926 '!$E$1:$N$300,MATCH(C$1,'UPD Questions_290926 '!$E$1:$N$1,0),0)&amp;"")</f>
        <v>Development Control Regulations and land-management instruments</v>
      </c>
      <c r="D94" s="84" t="str">
        <f aca="false">IF(ISBLANK($A94),"NO_CODE",VLOOKUP($A94,'UPD Questions_290926 '!$E$1:$N$300,MATCH(D$1,'UPD Questions_290926 '!$E$1:$N$1,0),0)&amp;"")</f>
        <v>DCR revision and public consultation</v>
      </c>
      <c r="E94" s="84" t="str">
        <f aca="false">IF(ISBLANK($A94),"NO_CODE",VLOOKUP($A94,'UPD Questions_290926 '!$E$1:$N$300,MATCH(E$1,'UPD Questions_290926 '!$E$1:$N$1,0),0)&amp;"")</f>
        <v>SQ</v>
      </c>
      <c r="F94" s="84" t="str">
        <f aca="false">IF(ISBLANK($A94),"NO_CODE",VLOOKUP($A94,'UPD Questions_290926 '!$E$1:$N$300,MATCH(F$1,'UPD Questions_290926 '!$E$1:$N$1,0),0)&amp;"")</f>
        <v>Do the DCRs provide development controls, standards or incentives that promote environmental sustainability and climate resilience?</v>
      </c>
      <c r="G94" s="84" t="str">
        <f aca="false">IF(ISBLANK($A94),"NO_CODE",VLOOKUP($A94,'UPD Questions_290926 '!$E$1:$N$300,MATCH(G$1,'UPD Questions_290926 '!$E$1:$N$1,0),0)&amp;"")</f>
        <v>Law or Policy</v>
      </c>
      <c r="H94" s="86" t="n">
        <f aca="false">IF(ISBLANK($A94),"NO_CODE",VLOOKUP($A94,'UPD Questions_290926 '!$E$1:$N$300,MATCH(H$1,'UPD Questions_290926 '!$E$1:$N$1,0),0))</f>
        <v>2</v>
      </c>
      <c r="I94" s="87" t="str">
        <f aca="true">IF($H94=0,"NA",IF($A94=INDIRECT("'"&amp;$A94&amp;"'!$B$1"),IF(VLOOKUP(I$1,INDIRECT("'"&amp;$A94&amp;"'!$A$12:$Z$41"),MATCH("Points (Auto-generate)",INDIRECT("'"&amp;$A94&amp;"'!$A$12:$Z$12"),0),0)="","?",VLOOKUP(I$1,INDIRECT("'"&amp;$A94&amp;"'!$A$12:$Z$41"),MATCH("Points (Auto-generate)",INDIRECT("'"&amp;$A94&amp;"'!$A$12:$Z$12"),0),0)),"ER"))</f>
        <v>?</v>
      </c>
      <c r="J94" s="87" t="n">
        <f aca="true">IF($H94=0,"NA",IF($A94=INDIRECT("'"&amp;$A94&amp;"'!$B$1"),IF(VLOOKUP(J$1,INDIRECT("'"&amp;$A94&amp;"'!$A$12:$Z$41"),MATCH("Points (Auto-generate)",INDIRECT("'"&amp;$A94&amp;"'!$A$12:$Z$12"),0),0)="","?",VLOOKUP(J$1,INDIRECT("'"&amp;$A94&amp;"'!$A$12:$Z$41"),MATCH("Points (Auto-generate)",INDIRECT("'"&amp;$A94&amp;"'!$A$12:$Z$12"),0),0)),"ER"))</f>
        <v>0</v>
      </c>
      <c r="K94" s="87" t="str">
        <f aca="true">IF($H94=0,"NA",IF($A94=INDIRECT("'"&amp;$A94&amp;"'!$B$1"),IF(VLOOKUP(K$1,INDIRECT("'"&amp;$A94&amp;"'!$A$12:$Z$41"),MATCH("Points (Auto-generate)",INDIRECT("'"&amp;$A94&amp;"'!$A$12:$Z$12"),0),0)="","?",VLOOKUP(K$1,INDIRECT("'"&amp;$A94&amp;"'!$A$12:$Z$41"),MATCH("Points (Auto-generate)",INDIRECT("'"&amp;$A94&amp;"'!$A$12:$Z$12"),0),0)),"ER"))</f>
        <v>?</v>
      </c>
      <c r="L94" s="87" t="str">
        <f aca="true">IF($H94=0,"NA",IF($A94=INDIRECT("'"&amp;$A94&amp;"'!$B$1"),IF(VLOOKUP(L$1,INDIRECT("'"&amp;$A94&amp;"'!$A$12:$Z$41"),MATCH("Points (Auto-generate)",INDIRECT("'"&amp;$A94&amp;"'!$A$12:$Z$12"),0),0)="","?",VLOOKUP(L$1,INDIRECT("'"&amp;$A94&amp;"'!$A$12:$Z$41"),MATCH("Points (Auto-generate)",INDIRECT("'"&amp;$A94&amp;"'!$A$12:$Z$12"),0),0)),"ER"))</f>
        <v>?</v>
      </c>
      <c r="M94" s="87" t="str">
        <f aca="true">IF($H94=0,"NA",IF($A94=INDIRECT("'"&amp;$A94&amp;"'!$B$1"),IF(VLOOKUP(M$1,INDIRECT("'"&amp;$A94&amp;"'!$A$12:$Z$41"),MATCH("Points (Auto-generate)",INDIRECT("'"&amp;$A94&amp;"'!$A$12:$Z$12"),0),0)="","?",VLOOKUP(M$1,INDIRECT("'"&amp;$A94&amp;"'!$A$12:$Z$41"),MATCH("Points (Auto-generate)",INDIRECT("'"&amp;$A94&amp;"'!$A$12:$Z$12"),0),0)),"ER"))</f>
        <v>?</v>
      </c>
      <c r="N94" s="87" t="str">
        <f aca="true">IF($H94=0,"NA",IF($A94=INDIRECT("'"&amp;$A94&amp;"'!$B$1"),IF(VLOOKUP(N$1,INDIRECT("'"&amp;$A94&amp;"'!$A$12:$Z$41"),MATCH("Points (Auto-generate)",INDIRECT("'"&amp;$A94&amp;"'!$A$12:$Z$12"),0),0)="","?",VLOOKUP(N$1,INDIRECT("'"&amp;$A94&amp;"'!$A$12:$Z$41"),MATCH("Points (Auto-generate)",INDIRECT("'"&amp;$A94&amp;"'!$A$12:$Z$12"),0),0)),"ER"))</f>
        <v>?</v>
      </c>
      <c r="O94" s="87" t="str">
        <f aca="true">IF($H94=0,"NA",IF($A94=INDIRECT("'"&amp;$A94&amp;"'!$B$1"),IF(VLOOKUP(O$1,INDIRECT("'"&amp;$A94&amp;"'!$A$12:$Z$41"),MATCH("Points (Auto-generate)",INDIRECT("'"&amp;$A94&amp;"'!$A$12:$Z$12"),0),0)="","?",VLOOKUP(O$1,INDIRECT("'"&amp;$A94&amp;"'!$A$12:$Z$41"),MATCH("Points (Auto-generate)",INDIRECT("'"&amp;$A94&amp;"'!$A$12:$Z$12"),0),0)),"ER"))</f>
        <v>?</v>
      </c>
      <c r="P94" s="87" t="str">
        <f aca="true">IF($H94=0,"NA",IF($A94=INDIRECT("'"&amp;$A94&amp;"'!$B$1"),IF(VLOOKUP(P$1,INDIRECT("'"&amp;$A94&amp;"'!$A$12:$Z$41"),MATCH("Points (Auto-generate)",INDIRECT("'"&amp;$A94&amp;"'!$A$12:$Z$12"),0),0)="","?",VLOOKUP(P$1,INDIRECT("'"&amp;$A94&amp;"'!$A$12:$Z$41"),MATCH("Points (Auto-generate)",INDIRECT("'"&amp;$A94&amp;"'!$A$12:$Z$12"),0),0)),"ER"))</f>
        <v>?</v>
      </c>
      <c r="Q94" s="87" t="str">
        <f aca="true">IF($H94=0,"NA",IF($A94=INDIRECT("'"&amp;$A94&amp;"'!$B$1"),IF(VLOOKUP(Q$1,INDIRECT("'"&amp;$A94&amp;"'!$A$12:$Z$41"),MATCH("Points (Auto-generate)",INDIRECT("'"&amp;$A94&amp;"'!$A$12:$Z$12"),0),0)="","?",VLOOKUP(Q$1,INDIRECT("'"&amp;$A94&amp;"'!$A$12:$Z$41"),MATCH("Points (Auto-generate)",INDIRECT("'"&amp;$A94&amp;"'!$A$12:$Z$12"),0),0)),"ER"))</f>
        <v>?</v>
      </c>
      <c r="R94" s="87" t="str">
        <f aca="true">IF($H94=0,"NA",IF($A94=INDIRECT("'"&amp;$A94&amp;"'!$B$1"),IF(VLOOKUP(R$1,INDIRECT("'"&amp;$A94&amp;"'!$A$12:$Z$41"),MATCH("Points (Auto-generate)",INDIRECT("'"&amp;$A94&amp;"'!$A$12:$Z$12"),0),0)="","?",VLOOKUP(R$1,INDIRECT("'"&amp;$A94&amp;"'!$A$12:$Z$41"),MATCH("Points (Auto-generate)",INDIRECT("'"&amp;$A94&amp;"'!$A$12:$Z$12"),0),0)),"ER"))</f>
        <v>?</v>
      </c>
      <c r="S94" s="87" t="str">
        <f aca="true">IF($H94=0,"NA",IF($A94=INDIRECT("'"&amp;$A94&amp;"'!$B$1"),IF(VLOOKUP(S$1,INDIRECT("'"&amp;$A94&amp;"'!$A$12:$Z$41"),MATCH("Points (Auto-generate)",INDIRECT("'"&amp;$A94&amp;"'!$A$12:$Z$12"),0),0)="","?",VLOOKUP(S$1,INDIRECT("'"&amp;$A94&amp;"'!$A$12:$Z$41"),MATCH("Points (Auto-generate)",INDIRECT("'"&amp;$A94&amp;"'!$A$12:$Z$12"),0),0)),"ER"))</f>
        <v>?</v>
      </c>
      <c r="T94" s="87" t="str">
        <f aca="true">IF($H94=0,"NA",IF($A94=INDIRECT("'"&amp;$A94&amp;"'!$B$1"),IF(VLOOKUP(T$1,INDIRECT("'"&amp;$A94&amp;"'!$A$12:$Z$41"),MATCH("Points (Auto-generate)",INDIRECT("'"&amp;$A94&amp;"'!$A$12:$Z$12"),0),0)="","?",VLOOKUP(T$1,INDIRECT("'"&amp;$A94&amp;"'!$A$12:$Z$41"),MATCH("Points (Auto-generate)",INDIRECT("'"&amp;$A94&amp;"'!$A$12:$Z$12"),0),0)),"ER"))</f>
        <v>?</v>
      </c>
      <c r="U94" s="87" t="str">
        <f aca="true">IF($H94=0,"NA",IF($A94=INDIRECT("'"&amp;$A94&amp;"'!$B$1"),IF(VLOOKUP(U$1,INDIRECT("'"&amp;$A94&amp;"'!$A$12:$Z$41"),MATCH("Points (Auto-generate)",INDIRECT("'"&amp;$A94&amp;"'!$A$12:$Z$12"),0),0)="","?",VLOOKUP(U$1,INDIRECT("'"&amp;$A94&amp;"'!$A$12:$Z$41"),MATCH("Points (Auto-generate)",INDIRECT("'"&amp;$A94&amp;"'!$A$12:$Z$12"),0),0)),"ER"))</f>
        <v>?</v>
      </c>
      <c r="V94" s="87" t="str">
        <f aca="true">IF($H94=0,"NA",IF($A94=INDIRECT("'"&amp;$A94&amp;"'!$B$1"),IF(VLOOKUP(V$1,INDIRECT("'"&amp;$A94&amp;"'!$A$12:$Z$41"),MATCH("Points (Auto-generate)",INDIRECT("'"&amp;$A94&amp;"'!$A$12:$Z$12"),0),0)="","?",VLOOKUP(V$1,INDIRECT("'"&amp;$A94&amp;"'!$A$12:$Z$41"),MATCH("Points (Auto-generate)",INDIRECT("'"&amp;$A94&amp;"'!$A$12:$Z$12"),0),0)),"ER"))</f>
        <v>?</v>
      </c>
      <c r="W94" s="87" t="str">
        <f aca="true">IF($H94=0,"NA",IF($A94=INDIRECT("'"&amp;$A94&amp;"'!$B$1"),IF(VLOOKUP(W$1,INDIRECT("'"&amp;$A94&amp;"'!$A$12:$Z$41"),MATCH("Points (Auto-generate)",INDIRECT("'"&amp;$A94&amp;"'!$A$12:$Z$12"),0),0)="","?",VLOOKUP(W$1,INDIRECT("'"&amp;$A94&amp;"'!$A$12:$Z$41"),MATCH("Points (Auto-generate)",INDIRECT("'"&amp;$A94&amp;"'!$A$12:$Z$12"),0),0)),"ER"))</f>
        <v>?</v>
      </c>
      <c r="X94" s="87" t="str">
        <f aca="true">IF($H94=0,"NA",IF($A94=INDIRECT("'"&amp;$A94&amp;"'!$B$1"),IF(VLOOKUP(X$1,INDIRECT("'"&amp;$A94&amp;"'!$A$12:$Z$41"),MATCH("Points (Auto-generate)",INDIRECT("'"&amp;$A94&amp;"'!$A$12:$Z$12"),0),0)="","?",VLOOKUP(X$1,INDIRECT("'"&amp;$A94&amp;"'!$A$12:$Z$41"),MATCH("Points (Auto-generate)",INDIRECT("'"&amp;$A94&amp;"'!$A$12:$Z$12"),0),0)),"ER"))</f>
        <v>?</v>
      </c>
      <c r="Y94" s="87" t="str">
        <f aca="true">IF($H94=0,"NA",IF($A94=INDIRECT("'"&amp;$A94&amp;"'!$B$1"),IF(VLOOKUP(Y$1,INDIRECT("'"&amp;$A94&amp;"'!$A$12:$Z$41"),MATCH("Points (Auto-generate)",INDIRECT("'"&amp;$A94&amp;"'!$A$12:$Z$12"),0),0)="","?",VLOOKUP(Y$1,INDIRECT("'"&amp;$A94&amp;"'!$A$12:$Z$41"),MATCH("Points (Auto-generate)",INDIRECT("'"&amp;$A94&amp;"'!$A$12:$Z$12"),0),0)),"ER"))</f>
        <v>?</v>
      </c>
      <c r="Z94" s="87" t="str">
        <f aca="true">IF($H94=0,"NA",IF($A94=INDIRECT("'"&amp;$A94&amp;"'!$B$1"),IF(VLOOKUP(Z$1,INDIRECT("'"&amp;$A94&amp;"'!$A$12:$Z$41"),MATCH("Points (Auto-generate)",INDIRECT("'"&amp;$A94&amp;"'!$A$12:$Z$12"),0),0)="","?",VLOOKUP(Z$1,INDIRECT("'"&amp;$A94&amp;"'!$A$12:$Z$41"),MATCH("Points (Auto-generate)",INDIRECT("'"&amp;$A94&amp;"'!$A$12:$Z$12"),0),0)),"ER"))</f>
        <v>?</v>
      </c>
      <c r="AA94" s="87" t="str">
        <f aca="true">IF($H94=0,"NA",IF($A94=INDIRECT("'"&amp;$A94&amp;"'!$B$1"),IF(VLOOKUP(AA$1,INDIRECT("'"&amp;$A94&amp;"'!$A$12:$Z$41"),MATCH("Points (Auto-generate)",INDIRECT("'"&amp;$A94&amp;"'!$A$12:$Z$12"),0),0)="","?",VLOOKUP(AA$1,INDIRECT("'"&amp;$A94&amp;"'!$A$12:$Z$41"),MATCH("Points (Auto-generate)",INDIRECT("'"&amp;$A94&amp;"'!$A$12:$Z$12"),0),0)),"ER"))</f>
        <v>?</v>
      </c>
      <c r="AB94" s="87" t="str">
        <f aca="true">IF($H94=0,"NA",IF($A94=INDIRECT("'"&amp;$A94&amp;"'!$B$1"),IF(VLOOKUP(AB$1,INDIRECT("'"&amp;$A94&amp;"'!$A$12:$Z$41"),MATCH("Points (Auto-generate)",INDIRECT("'"&amp;$A94&amp;"'!$A$12:$Z$12"),0),0)="","?",VLOOKUP(AB$1,INDIRECT("'"&amp;$A94&amp;"'!$A$12:$Z$41"),MATCH("Points (Auto-generate)",INDIRECT("'"&amp;$A94&amp;"'!$A$12:$Z$12"),0),0)),"ER"))</f>
        <v>?</v>
      </c>
      <c r="AC94" s="87" t="n">
        <f aca="true">IF($H94=0,"NA",IF($A94=INDIRECT("'"&amp;$A94&amp;"'!$B$1"),IF(VLOOKUP(AC$1,INDIRECT("'"&amp;$A94&amp;"'!$A$12:$Z$41"),MATCH("Points (Auto-generate)",INDIRECT("'"&amp;$A94&amp;"'!$A$12:$Z$12"),0),0)="","?",VLOOKUP(AC$1,INDIRECT("'"&amp;$A94&amp;"'!$A$12:$Z$41"),MATCH("Points (Auto-generate)",INDIRECT("'"&amp;$A94&amp;"'!$A$12:$Z$12"),0),0)),"ER"))</f>
        <v>2</v>
      </c>
      <c r="AD94" s="87" t="str">
        <f aca="true">IF($H94=0,"NA",IF($A94=INDIRECT("'"&amp;$A94&amp;"'!$B$1"),IF(VLOOKUP(AD$1,INDIRECT("'"&amp;$A94&amp;"'!$A$12:$Z$41"),MATCH("Points (Auto-generate)",INDIRECT("'"&amp;$A94&amp;"'!$A$12:$Z$12"),0),0)="","?",VLOOKUP(AD$1,INDIRECT("'"&amp;$A94&amp;"'!$A$12:$Z$41"),MATCH("Points (Auto-generate)",INDIRECT("'"&amp;$A94&amp;"'!$A$12:$Z$12"),0),0)),"ER"))</f>
        <v>?</v>
      </c>
      <c r="AE94" s="87" t="str">
        <f aca="true">IF($H94=0,"NA",IF($A94=INDIRECT("'"&amp;$A94&amp;"'!$B$1"),IF(VLOOKUP(AE$1,INDIRECT("'"&amp;$A94&amp;"'!$A$12:$Z$41"),MATCH("Points (Auto-generate)",INDIRECT("'"&amp;$A94&amp;"'!$A$12:$Z$12"),0),0)="","?",VLOOKUP(AE$1,INDIRECT("'"&amp;$A94&amp;"'!$A$12:$Z$41"),MATCH("Points (Auto-generate)",INDIRECT("'"&amp;$A94&amp;"'!$A$12:$Z$12"),0),0)),"ER"))</f>
        <v>?</v>
      </c>
      <c r="AF94" s="87" t="str">
        <f aca="true">IF($H94=0,"NA",IF($A94=INDIRECT("'"&amp;$A94&amp;"'!$B$1"),IF(VLOOKUP(AF$1,INDIRECT("'"&amp;$A94&amp;"'!$A$12:$Z$41"),MATCH("Points (Auto-generate)",INDIRECT("'"&amp;$A94&amp;"'!$A$12:$Z$12"),0),0)="","?",VLOOKUP(AF$1,INDIRECT("'"&amp;$A94&amp;"'!$A$12:$Z$41"),MATCH("Points (Auto-generate)",INDIRECT("'"&amp;$A94&amp;"'!$A$12:$Z$12"),0),0)),"ER"))</f>
        <v>?</v>
      </c>
      <c r="AG94" s="87" t="str">
        <f aca="true">IF($H94=0,"NA",IF($A94=INDIRECT("'"&amp;$A94&amp;"'!$B$1"),IF(VLOOKUP(AG$1,INDIRECT("'"&amp;$A94&amp;"'!$A$12:$Z$41"),MATCH("Points (Auto-generate)",INDIRECT("'"&amp;$A94&amp;"'!$A$12:$Z$12"),0),0)="","?",VLOOKUP(AG$1,INDIRECT("'"&amp;$A94&amp;"'!$A$12:$Z$41"),MATCH("Points (Auto-generate)",INDIRECT("'"&amp;$A94&amp;"'!$A$12:$Z$12"),0),0)),"ER"))</f>
        <v>?</v>
      </c>
      <c r="AH94" s="87" t="str">
        <f aca="true">IF($H94=0,"NA",IF($A94=INDIRECT("'"&amp;$A94&amp;"'!$B$1"),IF(VLOOKUP(AH$1,INDIRECT("'"&amp;$A94&amp;"'!$A$12:$Z$41"),MATCH("Points (Auto-generate)",INDIRECT("'"&amp;$A94&amp;"'!$A$12:$Z$12"),0),0)="","?",VLOOKUP(AH$1,INDIRECT("'"&amp;$A94&amp;"'!$A$12:$Z$41"),MATCH("Points (Auto-generate)",INDIRECT("'"&amp;$A94&amp;"'!$A$12:$Z$12"),0),0)),"ER"))</f>
        <v>?</v>
      </c>
      <c r="AI94" s="87" t="str">
        <f aca="true">IF($H94=0,"NA",IF($A94=INDIRECT("'"&amp;$A94&amp;"'!$B$1"),IF(VLOOKUP(AI$1,INDIRECT("'"&amp;$A94&amp;"'!$A$12:$Z$41"),MATCH("Points (Auto-generate)",INDIRECT("'"&amp;$A94&amp;"'!$A$12:$Z$12"),0),0)="","?",VLOOKUP(AI$1,INDIRECT("'"&amp;$A94&amp;"'!$A$12:$Z$41"),MATCH("Points (Auto-generate)",INDIRECT("'"&amp;$A94&amp;"'!$A$12:$Z$12"),0),0)),"ER"))</f>
        <v>?</v>
      </c>
      <c r="AJ94" s="87" t="str">
        <f aca="true">IF($H94=0,"NA",IF($A94=INDIRECT("'"&amp;$A94&amp;"'!$B$1"),IF(VLOOKUP(AJ$1,INDIRECT("'"&amp;$A94&amp;"'!$A$12:$Z$41"),MATCH("Points (Auto-generate)",INDIRECT("'"&amp;$A94&amp;"'!$A$12:$Z$12"),0),0)="","?",VLOOKUP(AJ$1,INDIRECT("'"&amp;$A94&amp;"'!$A$12:$Z$41"),MATCH("Points (Auto-generate)",INDIRECT("'"&amp;$A94&amp;"'!$A$12:$Z$12"),0),0)),"ER"))</f>
        <v>?</v>
      </c>
      <c r="AK94" s="87" t="str">
        <f aca="true">IF($H94=0,"NA",IF($A94=INDIRECT("'"&amp;$A94&amp;"'!$B$1"),IF(VLOOKUP(AK$1,INDIRECT("'"&amp;$A94&amp;"'!$A$12:$Z$41"),MATCH("Points (Auto-generate)",INDIRECT("'"&amp;$A94&amp;"'!$A$12:$Z$12"),0),0)="","?",VLOOKUP(AK$1,INDIRECT("'"&amp;$A94&amp;"'!$A$12:$Z$41"),MATCH("Points (Auto-generate)",INDIRECT("'"&amp;$A94&amp;"'!$A$12:$Z$12"),0),0)),"ER"))</f>
        <v>?</v>
      </c>
    </row>
    <row r="95" customFormat="false" ht="14.25" hidden="false" customHeight="true" outlineLevel="0" collapsed="false">
      <c r="A95" s="83" t="s">
        <v>533</v>
      </c>
      <c r="B95" s="84" t="str">
        <f aca="false">IF(ISBLANK($A95),"NO_CODE",VLOOKUP($A95,'UPD Questions_290926 '!$E$1:$N$300,MATCH(B$1,'UPD Questions_290926 '!$E$1:$N$1,0),0)&amp;"")</f>
        <v>Implementation</v>
      </c>
      <c r="C95" s="84" t="str">
        <f aca="false">IF(ISBLANK($A95),"NO_CODE",VLOOKUP($A95,'UPD Questions_290926 '!$E$1:$N$300,MATCH(C$1,'UPD Questions_290926 '!$E$1:$N$1,0),0)&amp;"")</f>
        <v>Development Control Regulations and land-management instruments</v>
      </c>
      <c r="D95" s="84" t="str">
        <f aca="false">IF(ISBLANK($A95),"NO_CODE",VLOOKUP($A95,'UPD Questions_290926 '!$E$1:$N$300,MATCH(D$1,'UPD Questions_290926 '!$E$1:$N$1,0),0)&amp;"")</f>
        <v>DCR revision and public consultation</v>
      </c>
      <c r="E95" s="84" t="str">
        <f aca="false">IF(ISBLANK($A95),"NO_CODE",VLOOKUP($A95,'UPD Questions_290926 '!$E$1:$N$300,MATCH(E$1,'UPD Questions_290926 '!$E$1:$N$1,0),0)&amp;"")</f>
        <v>SQ</v>
      </c>
      <c r="F95" s="84" t="str">
        <f aca="false">IF(ISBLANK($A95),"NO_CODE",VLOOKUP($A95,'UPD Questions_290926 '!$E$1:$N$300,MATCH(F$1,'UPD Questions_290926 '!$E$1:$N$1,0),0)&amp;"")</f>
        <v>Do the DCRs provide development controls or standards that promote positive public-health outcomes?</v>
      </c>
      <c r="G95" s="84" t="str">
        <f aca="false">IF(ISBLANK($A95),"NO_CODE",VLOOKUP($A95,'UPD Questions_290926 '!$E$1:$N$300,MATCH(G$1,'UPD Questions_290926 '!$E$1:$N$1,0),0)&amp;"")</f>
        <v>Law or Policy</v>
      </c>
      <c r="H95" s="86" t="n">
        <f aca="false">IF(ISBLANK($A95),"NO_CODE",VLOOKUP($A95,'UPD Questions_290926 '!$E$1:$N$300,MATCH(H$1,'UPD Questions_290926 '!$E$1:$N$1,0),0))</f>
        <v>2</v>
      </c>
      <c r="I95" s="87" t="str">
        <f aca="true">IF($H95=0,"NA",IF($A95=INDIRECT("'"&amp;$A95&amp;"'!$B$1"),IF(VLOOKUP(I$1,INDIRECT("'"&amp;$A95&amp;"'!$A$12:$Z$41"),MATCH("Points (Auto-generate)",INDIRECT("'"&amp;$A95&amp;"'!$A$12:$Z$12"),0),0)="","?",VLOOKUP(I$1,INDIRECT("'"&amp;$A95&amp;"'!$A$12:$Z$41"),MATCH("Points (Auto-generate)",INDIRECT("'"&amp;$A95&amp;"'!$A$12:$Z$12"),0),0)),"ER"))</f>
        <v>?</v>
      </c>
      <c r="J95" s="87" t="n">
        <f aca="true">IF($H95=0,"NA",IF($A95=INDIRECT("'"&amp;$A95&amp;"'!$B$1"),IF(VLOOKUP(J$1,INDIRECT("'"&amp;$A95&amp;"'!$A$12:$Z$41"),MATCH("Points (Auto-generate)",INDIRECT("'"&amp;$A95&amp;"'!$A$12:$Z$12"),0),0)="","?",VLOOKUP(J$1,INDIRECT("'"&amp;$A95&amp;"'!$A$12:$Z$41"),MATCH("Points (Auto-generate)",INDIRECT("'"&amp;$A95&amp;"'!$A$12:$Z$12"),0),0)),"ER"))</f>
        <v>0</v>
      </c>
      <c r="K95" s="87" t="str">
        <f aca="true">IF($H95=0,"NA",IF($A95=INDIRECT("'"&amp;$A95&amp;"'!$B$1"),IF(VLOOKUP(K$1,INDIRECT("'"&amp;$A95&amp;"'!$A$12:$Z$41"),MATCH("Points (Auto-generate)",INDIRECT("'"&amp;$A95&amp;"'!$A$12:$Z$12"),0),0)="","?",VLOOKUP(K$1,INDIRECT("'"&amp;$A95&amp;"'!$A$12:$Z$41"),MATCH("Points (Auto-generate)",INDIRECT("'"&amp;$A95&amp;"'!$A$12:$Z$12"),0),0)),"ER"))</f>
        <v>?</v>
      </c>
      <c r="L95" s="87" t="str">
        <f aca="true">IF($H95=0,"NA",IF($A95=INDIRECT("'"&amp;$A95&amp;"'!$B$1"),IF(VLOOKUP(L$1,INDIRECT("'"&amp;$A95&amp;"'!$A$12:$Z$41"),MATCH("Points (Auto-generate)",INDIRECT("'"&amp;$A95&amp;"'!$A$12:$Z$12"),0),0)="","?",VLOOKUP(L$1,INDIRECT("'"&amp;$A95&amp;"'!$A$12:$Z$41"),MATCH("Points (Auto-generate)",INDIRECT("'"&amp;$A95&amp;"'!$A$12:$Z$12"),0),0)),"ER"))</f>
        <v>?</v>
      </c>
      <c r="M95" s="87" t="str">
        <f aca="true">IF($H95=0,"NA",IF($A95=INDIRECT("'"&amp;$A95&amp;"'!$B$1"),IF(VLOOKUP(M$1,INDIRECT("'"&amp;$A95&amp;"'!$A$12:$Z$41"),MATCH("Points (Auto-generate)",INDIRECT("'"&amp;$A95&amp;"'!$A$12:$Z$12"),0),0)="","?",VLOOKUP(M$1,INDIRECT("'"&amp;$A95&amp;"'!$A$12:$Z$41"),MATCH("Points (Auto-generate)",INDIRECT("'"&amp;$A95&amp;"'!$A$12:$Z$12"),0),0)),"ER"))</f>
        <v>?</v>
      </c>
      <c r="N95" s="87" t="str">
        <f aca="true">IF($H95=0,"NA",IF($A95=INDIRECT("'"&amp;$A95&amp;"'!$B$1"),IF(VLOOKUP(N$1,INDIRECT("'"&amp;$A95&amp;"'!$A$12:$Z$41"),MATCH("Points (Auto-generate)",INDIRECT("'"&amp;$A95&amp;"'!$A$12:$Z$12"),0),0)="","?",VLOOKUP(N$1,INDIRECT("'"&amp;$A95&amp;"'!$A$12:$Z$41"),MATCH("Points (Auto-generate)",INDIRECT("'"&amp;$A95&amp;"'!$A$12:$Z$12"),0),0)),"ER"))</f>
        <v>?</v>
      </c>
      <c r="O95" s="87" t="str">
        <f aca="true">IF($H95=0,"NA",IF($A95=INDIRECT("'"&amp;$A95&amp;"'!$B$1"),IF(VLOOKUP(O$1,INDIRECT("'"&amp;$A95&amp;"'!$A$12:$Z$41"),MATCH("Points (Auto-generate)",INDIRECT("'"&amp;$A95&amp;"'!$A$12:$Z$12"),0),0)="","?",VLOOKUP(O$1,INDIRECT("'"&amp;$A95&amp;"'!$A$12:$Z$41"),MATCH("Points (Auto-generate)",INDIRECT("'"&amp;$A95&amp;"'!$A$12:$Z$12"),0),0)),"ER"))</f>
        <v>?</v>
      </c>
      <c r="P95" s="87" t="str">
        <f aca="true">IF($H95=0,"NA",IF($A95=INDIRECT("'"&amp;$A95&amp;"'!$B$1"),IF(VLOOKUP(P$1,INDIRECT("'"&amp;$A95&amp;"'!$A$12:$Z$41"),MATCH("Points (Auto-generate)",INDIRECT("'"&amp;$A95&amp;"'!$A$12:$Z$12"),0),0)="","?",VLOOKUP(P$1,INDIRECT("'"&amp;$A95&amp;"'!$A$12:$Z$41"),MATCH("Points (Auto-generate)",INDIRECT("'"&amp;$A95&amp;"'!$A$12:$Z$12"),0),0)),"ER"))</f>
        <v>?</v>
      </c>
      <c r="Q95" s="87" t="str">
        <f aca="true">IF($H95=0,"NA",IF($A95=INDIRECT("'"&amp;$A95&amp;"'!$B$1"),IF(VLOOKUP(Q$1,INDIRECT("'"&amp;$A95&amp;"'!$A$12:$Z$41"),MATCH("Points (Auto-generate)",INDIRECT("'"&amp;$A95&amp;"'!$A$12:$Z$12"),0),0)="","?",VLOOKUP(Q$1,INDIRECT("'"&amp;$A95&amp;"'!$A$12:$Z$41"),MATCH("Points (Auto-generate)",INDIRECT("'"&amp;$A95&amp;"'!$A$12:$Z$12"),0),0)),"ER"))</f>
        <v>?</v>
      </c>
      <c r="R95" s="87" t="str">
        <f aca="true">IF($H95=0,"NA",IF($A95=INDIRECT("'"&amp;$A95&amp;"'!$B$1"),IF(VLOOKUP(R$1,INDIRECT("'"&amp;$A95&amp;"'!$A$12:$Z$41"),MATCH("Points (Auto-generate)",INDIRECT("'"&amp;$A95&amp;"'!$A$12:$Z$12"),0),0)="","?",VLOOKUP(R$1,INDIRECT("'"&amp;$A95&amp;"'!$A$12:$Z$41"),MATCH("Points (Auto-generate)",INDIRECT("'"&amp;$A95&amp;"'!$A$12:$Z$12"),0),0)),"ER"))</f>
        <v>?</v>
      </c>
      <c r="S95" s="87" t="str">
        <f aca="true">IF($H95=0,"NA",IF($A95=INDIRECT("'"&amp;$A95&amp;"'!$B$1"),IF(VLOOKUP(S$1,INDIRECT("'"&amp;$A95&amp;"'!$A$12:$Z$41"),MATCH("Points (Auto-generate)",INDIRECT("'"&amp;$A95&amp;"'!$A$12:$Z$12"),0),0)="","?",VLOOKUP(S$1,INDIRECT("'"&amp;$A95&amp;"'!$A$12:$Z$41"),MATCH("Points (Auto-generate)",INDIRECT("'"&amp;$A95&amp;"'!$A$12:$Z$12"),0),0)),"ER"))</f>
        <v>?</v>
      </c>
      <c r="T95" s="87" t="str">
        <f aca="true">IF($H95=0,"NA",IF($A95=INDIRECT("'"&amp;$A95&amp;"'!$B$1"),IF(VLOOKUP(T$1,INDIRECT("'"&amp;$A95&amp;"'!$A$12:$Z$41"),MATCH("Points (Auto-generate)",INDIRECT("'"&amp;$A95&amp;"'!$A$12:$Z$12"),0),0)="","?",VLOOKUP(T$1,INDIRECT("'"&amp;$A95&amp;"'!$A$12:$Z$41"),MATCH("Points (Auto-generate)",INDIRECT("'"&amp;$A95&amp;"'!$A$12:$Z$12"),0),0)),"ER"))</f>
        <v>?</v>
      </c>
      <c r="U95" s="87" t="str">
        <f aca="true">IF($H95=0,"NA",IF($A95=INDIRECT("'"&amp;$A95&amp;"'!$B$1"),IF(VLOOKUP(U$1,INDIRECT("'"&amp;$A95&amp;"'!$A$12:$Z$41"),MATCH("Points (Auto-generate)",INDIRECT("'"&amp;$A95&amp;"'!$A$12:$Z$12"),0),0)="","?",VLOOKUP(U$1,INDIRECT("'"&amp;$A95&amp;"'!$A$12:$Z$41"),MATCH("Points (Auto-generate)",INDIRECT("'"&amp;$A95&amp;"'!$A$12:$Z$12"),0),0)),"ER"))</f>
        <v>?</v>
      </c>
      <c r="V95" s="87" t="str">
        <f aca="true">IF($H95=0,"NA",IF($A95=INDIRECT("'"&amp;$A95&amp;"'!$B$1"),IF(VLOOKUP(V$1,INDIRECT("'"&amp;$A95&amp;"'!$A$12:$Z$41"),MATCH("Points (Auto-generate)",INDIRECT("'"&amp;$A95&amp;"'!$A$12:$Z$12"),0),0)="","?",VLOOKUP(V$1,INDIRECT("'"&amp;$A95&amp;"'!$A$12:$Z$41"),MATCH("Points (Auto-generate)",INDIRECT("'"&amp;$A95&amp;"'!$A$12:$Z$12"),0),0)),"ER"))</f>
        <v>?</v>
      </c>
      <c r="W95" s="87" t="str">
        <f aca="true">IF($H95=0,"NA",IF($A95=INDIRECT("'"&amp;$A95&amp;"'!$B$1"),IF(VLOOKUP(W$1,INDIRECT("'"&amp;$A95&amp;"'!$A$12:$Z$41"),MATCH("Points (Auto-generate)",INDIRECT("'"&amp;$A95&amp;"'!$A$12:$Z$12"),0),0)="","?",VLOOKUP(W$1,INDIRECT("'"&amp;$A95&amp;"'!$A$12:$Z$41"),MATCH("Points (Auto-generate)",INDIRECT("'"&amp;$A95&amp;"'!$A$12:$Z$12"),0),0)),"ER"))</f>
        <v>?</v>
      </c>
      <c r="X95" s="87" t="str">
        <f aca="true">IF($H95=0,"NA",IF($A95=INDIRECT("'"&amp;$A95&amp;"'!$B$1"),IF(VLOOKUP(X$1,INDIRECT("'"&amp;$A95&amp;"'!$A$12:$Z$41"),MATCH("Points (Auto-generate)",INDIRECT("'"&amp;$A95&amp;"'!$A$12:$Z$12"),0),0)="","?",VLOOKUP(X$1,INDIRECT("'"&amp;$A95&amp;"'!$A$12:$Z$41"),MATCH("Points (Auto-generate)",INDIRECT("'"&amp;$A95&amp;"'!$A$12:$Z$12"),0),0)),"ER"))</f>
        <v>?</v>
      </c>
      <c r="Y95" s="87" t="str">
        <f aca="true">IF($H95=0,"NA",IF($A95=INDIRECT("'"&amp;$A95&amp;"'!$B$1"),IF(VLOOKUP(Y$1,INDIRECT("'"&amp;$A95&amp;"'!$A$12:$Z$41"),MATCH("Points (Auto-generate)",INDIRECT("'"&amp;$A95&amp;"'!$A$12:$Z$12"),0),0)="","?",VLOOKUP(Y$1,INDIRECT("'"&amp;$A95&amp;"'!$A$12:$Z$41"),MATCH("Points (Auto-generate)",INDIRECT("'"&amp;$A95&amp;"'!$A$12:$Z$12"),0),0)),"ER"))</f>
        <v>?</v>
      </c>
      <c r="Z95" s="87" t="str">
        <f aca="true">IF($H95=0,"NA",IF($A95=INDIRECT("'"&amp;$A95&amp;"'!$B$1"),IF(VLOOKUP(Z$1,INDIRECT("'"&amp;$A95&amp;"'!$A$12:$Z$41"),MATCH("Points (Auto-generate)",INDIRECT("'"&amp;$A95&amp;"'!$A$12:$Z$12"),0),0)="","?",VLOOKUP(Z$1,INDIRECT("'"&amp;$A95&amp;"'!$A$12:$Z$41"),MATCH("Points (Auto-generate)",INDIRECT("'"&amp;$A95&amp;"'!$A$12:$Z$12"),0),0)),"ER"))</f>
        <v>?</v>
      </c>
      <c r="AA95" s="87" t="str">
        <f aca="true">IF($H95=0,"NA",IF($A95=INDIRECT("'"&amp;$A95&amp;"'!$B$1"),IF(VLOOKUP(AA$1,INDIRECT("'"&amp;$A95&amp;"'!$A$12:$Z$41"),MATCH("Points (Auto-generate)",INDIRECT("'"&amp;$A95&amp;"'!$A$12:$Z$12"),0),0)="","?",VLOOKUP(AA$1,INDIRECT("'"&amp;$A95&amp;"'!$A$12:$Z$41"),MATCH("Points (Auto-generate)",INDIRECT("'"&amp;$A95&amp;"'!$A$12:$Z$12"),0),0)),"ER"))</f>
        <v>?</v>
      </c>
      <c r="AB95" s="87" t="str">
        <f aca="true">IF($H95=0,"NA",IF($A95=INDIRECT("'"&amp;$A95&amp;"'!$B$1"),IF(VLOOKUP(AB$1,INDIRECT("'"&amp;$A95&amp;"'!$A$12:$Z$41"),MATCH("Points (Auto-generate)",INDIRECT("'"&amp;$A95&amp;"'!$A$12:$Z$12"),0),0)="","?",VLOOKUP(AB$1,INDIRECT("'"&amp;$A95&amp;"'!$A$12:$Z$41"),MATCH("Points (Auto-generate)",INDIRECT("'"&amp;$A95&amp;"'!$A$12:$Z$12"),0),0)),"ER"))</f>
        <v>?</v>
      </c>
      <c r="AC95" s="87" t="n">
        <f aca="true">IF($H95=0,"NA",IF($A95=INDIRECT("'"&amp;$A95&amp;"'!$B$1"),IF(VLOOKUP(AC$1,INDIRECT("'"&amp;$A95&amp;"'!$A$12:$Z$41"),MATCH("Points (Auto-generate)",INDIRECT("'"&amp;$A95&amp;"'!$A$12:$Z$12"),0),0)="","?",VLOOKUP(AC$1,INDIRECT("'"&amp;$A95&amp;"'!$A$12:$Z$41"),MATCH("Points (Auto-generate)",INDIRECT("'"&amp;$A95&amp;"'!$A$12:$Z$12"),0),0)),"ER"))</f>
        <v>2</v>
      </c>
      <c r="AD95" s="87" t="str">
        <f aca="true">IF($H95=0,"NA",IF($A95=INDIRECT("'"&amp;$A95&amp;"'!$B$1"),IF(VLOOKUP(AD$1,INDIRECT("'"&amp;$A95&amp;"'!$A$12:$Z$41"),MATCH("Points (Auto-generate)",INDIRECT("'"&amp;$A95&amp;"'!$A$12:$Z$12"),0),0)="","?",VLOOKUP(AD$1,INDIRECT("'"&amp;$A95&amp;"'!$A$12:$Z$41"),MATCH("Points (Auto-generate)",INDIRECT("'"&amp;$A95&amp;"'!$A$12:$Z$12"),0),0)),"ER"))</f>
        <v>?</v>
      </c>
      <c r="AE95" s="87" t="str">
        <f aca="true">IF($H95=0,"NA",IF($A95=INDIRECT("'"&amp;$A95&amp;"'!$B$1"),IF(VLOOKUP(AE$1,INDIRECT("'"&amp;$A95&amp;"'!$A$12:$Z$41"),MATCH("Points (Auto-generate)",INDIRECT("'"&amp;$A95&amp;"'!$A$12:$Z$12"),0),0)="","?",VLOOKUP(AE$1,INDIRECT("'"&amp;$A95&amp;"'!$A$12:$Z$41"),MATCH("Points (Auto-generate)",INDIRECT("'"&amp;$A95&amp;"'!$A$12:$Z$12"),0),0)),"ER"))</f>
        <v>?</v>
      </c>
      <c r="AF95" s="87" t="str">
        <f aca="true">IF($H95=0,"NA",IF($A95=INDIRECT("'"&amp;$A95&amp;"'!$B$1"),IF(VLOOKUP(AF$1,INDIRECT("'"&amp;$A95&amp;"'!$A$12:$Z$41"),MATCH("Points (Auto-generate)",INDIRECT("'"&amp;$A95&amp;"'!$A$12:$Z$12"),0),0)="","?",VLOOKUP(AF$1,INDIRECT("'"&amp;$A95&amp;"'!$A$12:$Z$41"),MATCH("Points (Auto-generate)",INDIRECT("'"&amp;$A95&amp;"'!$A$12:$Z$12"),0),0)),"ER"))</f>
        <v>?</v>
      </c>
      <c r="AG95" s="87" t="str">
        <f aca="true">IF($H95=0,"NA",IF($A95=INDIRECT("'"&amp;$A95&amp;"'!$B$1"),IF(VLOOKUP(AG$1,INDIRECT("'"&amp;$A95&amp;"'!$A$12:$Z$41"),MATCH("Points (Auto-generate)",INDIRECT("'"&amp;$A95&amp;"'!$A$12:$Z$12"),0),0)="","?",VLOOKUP(AG$1,INDIRECT("'"&amp;$A95&amp;"'!$A$12:$Z$41"),MATCH("Points (Auto-generate)",INDIRECT("'"&amp;$A95&amp;"'!$A$12:$Z$12"),0),0)),"ER"))</f>
        <v>?</v>
      </c>
      <c r="AH95" s="87" t="str">
        <f aca="true">IF($H95=0,"NA",IF($A95=INDIRECT("'"&amp;$A95&amp;"'!$B$1"),IF(VLOOKUP(AH$1,INDIRECT("'"&amp;$A95&amp;"'!$A$12:$Z$41"),MATCH("Points (Auto-generate)",INDIRECT("'"&amp;$A95&amp;"'!$A$12:$Z$12"),0),0)="","?",VLOOKUP(AH$1,INDIRECT("'"&amp;$A95&amp;"'!$A$12:$Z$41"),MATCH("Points (Auto-generate)",INDIRECT("'"&amp;$A95&amp;"'!$A$12:$Z$12"),0),0)),"ER"))</f>
        <v>?</v>
      </c>
      <c r="AI95" s="87" t="str">
        <f aca="true">IF($H95=0,"NA",IF($A95=INDIRECT("'"&amp;$A95&amp;"'!$B$1"),IF(VLOOKUP(AI$1,INDIRECT("'"&amp;$A95&amp;"'!$A$12:$Z$41"),MATCH("Points (Auto-generate)",INDIRECT("'"&amp;$A95&amp;"'!$A$12:$Z$12"),0),0)="","?",VLOOKUP(AI$1,INDIRECT("'"&amp;$A95&amp;"'!$A$12:$Z$41"),MATCH("Points (Auto-generate)",INDIRECT("'"&amp;$A95&amp;"'!$A$12:$Z$12"),0),0)),"ER"))</f>
        <v>?</v>
      </c>
      <c r="AJ95" s="87" t="str">
        <f aca="true">IF($H95=0,"NA",IF($A95=INDIRECT("'"&amp;$A95&amp;"'!$B$1"),IF(VLOOKUP(AJ$1,INDIRECT("'"&amp;$A95&amp;"'!$A$12:$Z$41"),MATCH("Points (Auto-generate)",INDIRECT("'"&amp;$A95&amp;"'!$A$12:$Z$12"),0),0)="","?",VLOOKUP(AJ$1,INDIRECT("'"&amp;$A95&amp;"'!$A$12:$Z$41"),MATCH("Points (Auto-generate)",INDIRECT("'"&amp;$A95&amp;"'!$A$12:$Z$12"),0),0)),"ER"))</f>
        <v>?</v>
      </c>
      <c r="AK95" s="87" t="str">
        <f aca="true">IF($H95=0,"NA",IF($A95=INDIRECT("'"&amp;$A95&amp;"'!$B$1"),IF(VLOOKUP(AK$1,INDIRECT("'"&amp;$A95&amp;"'!$A$12:$Z$41"),MATCH("Points (Auto-generate)",INDIRECT("'"&amp;$A95&amp;"'!$A$12:$Z$12"),0),0)="","?",VLOOKUP(AK$1,INDIRECT("'"&amp;$A95&amp;"'!$A$12:$Z$41"),MATCH("Points (Auto-generate)",INDIRECT("'"&amp;$A95&amp;"'!$A$12:$Z$12"),0),0)),"ER"))</f>
        <v>?</v>
      </c>
    </row>
    <row r="96" customFormat="false" ht="14.25" hidden="false" customHeight="true" outlineLevel="0" collapsed="false">
      <c r="A96" s="83" t="s">
        <v>539</v>
      </c>
      <c r="B96" s="84" t="str">
        <f aca="false">IF(ISBLANK($A96),"NO_CODE",VLOOKUP($A96,'UPD Questions_290926 '!$E$1:$N$300,MATCH(B$1,'UPD Questions_290926 '!$E$1:$N$1,0),0)&amp;"")</f>
        <v>Implementation</v>
      </c>
      <c r="C96" s="84" t="str">
        <f aca="false">IF(ISBLANK($A96),"NO_CODE",VLOOKUP($A96,'UPD Questions_290926 '!$E$1:$N$300,MATCH(C$1,'UPD Questions_290926 '!$E$1:$N$1,0),0)&amp;"")</f>
        <v>Development Control Regulations and land-management instruments</v>
      </c>
      <c r="D96" s="84" t="str">
        <f aca="false">IF(ISBLANK($A96),"NO_CODE",VLOOKUP($A96,'UPD Questions_290926 '!$E$1:$N$300,MATCH(D$1,'UPD Questions_290926 '!$E$1:$N$1,0),0)&amp;"")</f>
        <v>DCR revision and public consultation</v>
      </c>
      <c r="E96" s="84" t="str">
        <f aca="false">IF(ISBLANK($A96),"NO_CODE",VLOOKUP($A96,'UPD Questions_290926 '!$E$1:$N$300,MATCH(E$1,'UPD Questions_290926 '!$E$1:$N$1,0),0)&amp;"")</f>
        <v>SQ</v>
      </c>
      <c r="F96" s="84" t="str">
        <f aca="false">IF(ISBLANK($A96),"NO_CODE",VLOOKUP($A96,'UPD Questions_290926 '!$E$1:$N$300,MATCH(F$1,'UPD Questions_290926 '!$E$1:$N$1,0),0)&amp;"")</f>
        <v>Do the DCRs provide development controls, standards or incentives that enable the conservation and adaptive reuse of heritage buildings, precincts or historic areas?</v>
      </c>
      <c r="G96" s="84" t="str">
        <f aca="false">IF(ISBLANK($A96),"NO_CODE",VLOOKUP($A96,'UPD Questions_290926 '!$E$1:$N$300,MATCH(G$1,'UPD Questions_290926 '!$E$1:$N$1,0),0)&amp;"")</f>
        <v>Law or Policy</v>
      </c>
      <c r="H96" s="86" t="n">
        <f aca="false">IF(ISBLANK($A96),"NO_CODE",VLOOKUP($A96,'UPD Questions_290926 '!$E$1:$N$300,MATCH(H$1,'UPD Questions_290926 '!$E$1:$N$1,0),0))</f>
        <v>2</v>
      </c>
      <c r="I96" s="87" t="str">
        <f aca="true">IF($H96=0,"NA",IF($A96=INDIRECT("'"&amp;$A96&amp;"'!$B$1"),IF(VLOOKUP(I$1,INDIRECT("'"&amp;$A96&amp;"'!$A$12:$Z$41"),MATCH("Points (Auto-generate)",INDIRECT("'"&amp;$A96&amp;"'!$A$12:$Z$12"),0),0)="","?",VLOOKUP(I$1,INDIRECT("'"&amp;$A96&amp;"'!$A$12:$Z$41"),MATCH("Points (Auto-generate)",INDIRECT("'"&amp;$A96&amp;"'!$A$12:$Z$12"),0),0)),"ER"))</f>
        <v>?</v>
      </c>
      <c r="J96" s="87" t="n">
        <f aca="true">IF($H96=0,"NA",IF($A96=INDIRECT("'"&amp;$A96&amp;"'!$B$1"),IF(VLOOKUP(J$1,INDIRECT("'"&amp;$A96&amp;"'!$A$12:$Z$41"),MATCH("Points (Auto-generate)",INDIRECT("'"&amp;$A96&amp;"'!$A$12:$Z$12"),0),0)="","?",VLOOKUP(J$1,INDIRECT("'"&amp;$A96&amp;"'!$A$12:$Z$41"),MATCH("Points (Auto-generate)",INDIRECT("'"&amp;$A96&amp;"'!$A$12:$Z$12"),0),0)),"ER"))</f>
        <v>0</v>
      </c>
      <c r="K96" s="87" t="str">
        <f aca="true">IF($H96=0,"NA",IF($A96=INDIRECT("'"&amp;$A96&amp;"'!$B$1"),IF(VLOOKUP(K$1,INDIRECT("'"&amp;$A96&amp;"'!$A$12:$Z$41"),MATCH("Points (Auto-generate)",INDIRECT("'"&amp;$A96&amp;"'!$A$12:$Z$12"),0),0)="","?",VLOOKUP(K$1,INDIRECT("'"&amp;$A96&amp;"'!$A$12:$Z$41"),MATCH("Points (Auto-generate)",INDIRECT("'"&amp;$A96&amp;"'!$A$12:$Z$12"),0),0)),"ER"))</f>
        <v>?</v>
      </c>
      <c r="L96" s="87" t="str">
        <f aca="true">IF($H96=0,"NA",IF($A96=INDIRECT("'"&amp;$A96&amp;"'!$B$1"),IF(VLOOKUP(L$1,INDIRECT("'"&amp;$A96&amp;"'!$A$12:$Z$41"),MATCH("Points (Auto-generate)",INDIRECT("'"&amp;$A96&amp;"'!$A$12:$Z$12"),0),0)="","?",VLOOKUP(L$1,INDIRECT("'"&amp;$A96&amp;"'!$A$12:$Z$41"),MATCH("Points (Auto-generate)",INDIRECT("'"&amp;$A96&amp;"'!$A$12:$Z$12"),0),0)),"ER"))</f>
        <v>?</v>
      </c>
      <c r="M96" s="87" t="str">
        <f aca="true">IF($H96=0,"NA",IF($A96=INDIRECT("'"&amp;$A96&amp;"'!$B$1"),IF(VLOOKUP(M$1,INDIRECT("'"&amp;$A96&amp;"'!$A$12:$Z$41"),MATCH("Points (Auto-generate)",INDIRECT("'"&amp;$A96&amp;"'!$A$12:$Z$12"),0),0)="","?",VLOOKUP(M$1,INDIRECT("'"&amp;$A96&amp;"'!$A$12:$Z$41"),MATCH("Points (Auto-generate)",INDIRECT("'"&amp;$A96&amp;"'!$A$12:$Z$12"),0),0)),"ER"))</f>
        <v>?</v>
      </c>
      <c r="N96" s="87" t="str">
        <f aca="true">IF($H96=0,"NA",IF($A96=INDIRECT("'"&amp;$A96&amp;"'!$B$1"),IF(VLOOKUP(N$1,INDIRECT("'"&amp;$A96&amp;"'!$A$12:$Z$41"),MATCH("Points (Auto-generate)",INDIRECT("'"&amp;$A96&amp;"'!$A$12:$Z$12"),0),0)="","?",VLOOKUP(N$1,INDIRECT("'"&amp;$A96&amp;"'!$A$12:$Z$41"),MATCH("Points (Auto-generate)",INDIRECT("'"&amp;$A96&amp;"'!$A$12:$Z$12"),0),0)),"ER"))</f>
        <v>?</v>
      </c>
      <c r="O96" s="87" t="str">
        <f aca="true">IF($H96=0,"NA",IF($A96=INDIRECT("'"&amp;$A96&amp;"'!$B$1"),IF(VLOOKUP(O$1,INDIRECT("'"&amp;$A96&amp;"'!$A$12:$Z$41"),MATCH("Points (Auto-generate)",INDIRECT("'"&amp;$A96&amp;"'!$A$12:$Z$12"),0),0)="","?",VLOOKUP(O$1,INDIRECT("'"&amp;$A96&amp;"'!$A$12:$Z$41"),MATCH("Points (Auto-generate)",INDIRECT("'"&amp;$A96&amp;"'!$A$12:$Z$12"),0),0)),"ER"))</f>
        <v>?</v>
      </c>
      <c r="P96" s="87" t="str">
        <f aca="true">IF($H96=0,"NA",IF($A96=INDIRECT("'"&amp;$A96&amp;"'!$B$1"),IF(VLOOKUP(P$1,INDIRECT("'"&amp;$A96&amp;"'!$A$12:$Z$41"),MATCH("Points (Auto-generate)",INDIRECT("'"&amp;$A96&amp;"'!$A$12:$Z$12"),0),0)="","?",VLOOKUP(P$1,INDIRECT("'"&amp;$A96&amp;"'!$A$12:$Z$41"),MATCH("Points (Auto-generate)",INDIRECT("'"&amp;$A96&amp;"'!$A$12:$Z$12"),0),0)),"ER"))</f>
        <v>?</v>
      </c>
      <c r="Q96" s="87" t="str">
        <f aca="true">IF($H96=0,"NA",IF($A96=INDIRECT("'"&amp;$A96&amp;"'!$B$1"),IF(VLOOKUP(Q$1,INDIRECT("'"&amp;$A96&amp;"'!$A$12:$Z$41"),MATCH("Points (Auto-generate)",INDIRECT("'"&amp;$A96&amp;"'!$A$12:$Z$12"),0),0)="","?",VLOOKUP(Q$1,INDIRECT("'"&amp;$A96&amp;"'!$A$12:$Z$41"),MATCH("Points (Auto-generate)",INDIRECT("'"&amp;$A96&amp;"'!$A$12:$Z$12"),0),0)),"ER"))</f>
        <v>?</v>
      </c>
      <c r="R96" s="87" t="str">
        <f aca="true">IF($H96=0,"NA",IF($A96=INDIRECT("'"&amp;$A96&amp;"'!$B$1"),IF(VLOOKUP(R$1,INDIRECT("'"&amp;$A96&amp;"'!$A$12:$Z$41"),MATCH("Points (Auto-generate)",INDIRECT("'"&amp;$A96&amp;"'!$A$12:$Z$12"),0),0)="","?",VLOOKUP(R$1,INDIRECT("'"&amp;$A96&amp;"'!$A$12:$Z$41"),MATCH("Points (Auto-generate)",INDIRECT("'"&amp;$A96&amp;"'!$A$12:$Z$12"),0),0)),"ER"))</f>
        <v>?</v>
      </c>
      <c r="S96" s="87" t="str">
        <f aca="true">IF($H96=0,"NA",IF($A96=INDIRECT("'"&amp;$A96&amp;"'!$B$1"),IF(VLOOKUP(S$1,INDIRECT("'"&amp;$A96&amp;"'!$A$12:$Z$41"),MATCH("Points (Auto-generate)",INDIRECT("'"&amp;$A96&amp;"'!$A$12:$Z$12"),0),0)="","?",VLOOKUP(S$1,INDIRECT("'"&amp;$A96&amp;"'!$A$12:$Z$41"),MATCH("Points (Auto-generate)",INDIRECT("'"&amp;$A96&amp;"'!$A$12:$Z$12"),0),0)),"ER"))</f>
        <v>?</v>
      </c>
      <c r="T96" s="87" t="str">
        <f aca="true">IF($H96=0,"NA",IF($A96=INDIRECT("'"&amp;$A96&amp;"'!$B$1"),IF(VLOOKUP(T$1,INDIRECT("'"&amp;$A96&amp;"'!$A$12:$Z$41"),MATCH("Points (Auto-generate)",INDIRECT("'"&amp;$A96&amp;"'!$A$12:$Z$12"),0),0)="","?",VLOOKUP(T$1,INDIRECT("'"&amp;$A96&amp;"'!$A$12:$Z$41"),MATCH("Points (Auto-generate)",INDIRECT("'"&amp;$A96&amp;"'!$A$12:$Z$12"),0),0)),"ER"))</f>
        <v>?</v>
      </c>
      <c r="U96" s="87" t="str">
        <f aca="true">IF($H96=0,"NA",IF($A96=INDIRECT("'"&amp;$A96&amp;"'!$B$1"),IF(VLOOKUP(U$1,INDIRECT("'"&amp;$A96&amp;"'!$A$12:$Z$41"),MATCH("Points (Auto-generate)",INDIRECT("'"&amp;$A96&amp;"'!$A$12:$Z$12"),0),0)="","?",VLOOKUP(U$1,INDIRECT("'"&amp;$A96&amp;"'!$A$12:$Z$41"),MATCH("Points (Auto-generate)",INDIRECT("'"&amp;$A96&amp;"'!$A$12:$Z$12"),0),0)),"ER"))</f>
        <v>?</v>
      </c>
      <c r="V96" s="87" t="str">
        <f aca="true">IF($H96=0,"NA",IF($A96=INDIRECT("'"&amp;$A96&amp;"'!$B$1"),IF(VLOOKUP(V$1,INDIRECT("'"&amp;$A96&amp;"'!$A$12:$Z$41"),MATCH("Points (Auto-generate)",INDIRECT("'"&amp;$A96&amp;"'!$A$12:$Z$12"),0),0)="","?",VLOOKUP(V$1,INDIRECT("'"&amp;$A96&amp;"'!$A$12:$Z$41"),MATCH("Points (Auto-generate)",INDIRECT("'"&amp;$A96&amp;"'!$A$12:$Z$12"),0),0)),"ER"))</f>
        <v>?</v>
      </c>
      <c r="W96" s="87" t="str">
        <f aca="true">IF($H96=0,"NA",IF($A96=INDIRECT("'"&amp;$A96&amp;"'!$B$1"),IF(VLOOKUP(W$1,INDIRECT("'"&amp;$A96&amp;"'!$A$12:$Z$41"),MATCH("Points (Auto-generate)",INDIRECT("'"&amp;$A96&amp;"'!$A$12:$Z$12"),0),0)="","?",VLOOKUP(W$1,INDIRECT("'"&amp;$A96&amp;"'!$A$12:$Z$41"),MATCH("Points (Auto-generate)",INDIRECT("'"&amp;$A96&amp;"'!$A$12:$Z$12"),0),0)),"ER"))</f>
        <v>?</v>
      </c>
      <c r="X96" s="87" t="str">
        <f aca="true">IF($H96=0,"NA",IF($A96=INDIRECT("'"&amp;$A96&amp;"'!$B$1"),IF(VLOOKUP(X$1,INDIRECT("'"&amp;$A96&amp;"'!$A$12:$Z$41"),MATCH("Points (Auto-generate)",INDIRECT("'"&amp;$A96&amp;"'!$A$12:$Z$12"),0),0)="","?",VLOOKUP(X$1,INDIRECT("'"&amp;$A96&amp;"'!$A$12:$Z$41"),MATCH("Points (Auto-generate)",INDIRECT("'"&amp;$A96&amp;"'!$A$12:$Z$12"),0),0)),"ER"))</f>
        <v>?</v>
      </c>
      <c r="Y96" s="87" t="str">
        <f aca="true">IF($H96=0,"NA",IF($A96=INDIRECT("'"&amp;$A96&amp;"'!$B$1"),IF(VLOOKUP(Y$1,INDIRECT("'"&amp;$A96&amp;"'!$A$12:$Z$41"),MATCH("Points (Auto-generate)",INDIRECT("'"&amp;$A96&amp;"'!$A$12:$Z$12"),0),0)="","?",VLOOKUP(Y$1,INDIRECT("'"&amp;$A96&amp;"'!$A$12:$Z$41"),MATCH("Points (Auto-generate)",INDIRECT("'"&amp;$A96&amp;"'!$A$12:$Z$12"),0),0)),"ER"))</f>
        <v>?</v>
      </c>
      <c r="Z96" s="87" t="str">
        <f aca="true">IF($H96=0,"NA",IF($A96=INDIRECT("'"&amp;$A96&amp;"'!$B$1"),IF(VLOOKUP(Z$1,INDIRECT("'"&amp;$A96&amp;"'!$A$12:$Z$41"),MATCH("Points (Auto-generate)",INDIRECT("'"&amp;$A96&amp;"'!$A$12:$Z$12"),0),0)="","?",VLOOKUP(Z$1,INDIRECT("'"&amp;$A96&amp;"'!$A$12:$Z$41"),MATCH("Points (Auto-generate)",INDIRECT("'"&amp;$A96&amp;"'!$A$12:$Z$12"),0),0)),"ER"))</f>
        <v>?</v>
      </c>
      <c r="AA96" s="87" t="str">
        <f aca="true">IF($H96=0,"NA",IF($A96=INDIRECT("'"&amp;$A96&amp;"'!$B$1"),IF(VLOOKUP(AA$1,INDIRECT("'"&amp;$A96&amp;"'!$A$12:$Z$41"),MATCH("Points (Auto-generate)",INDIRECT("'"&amp;$A96&amp;"'!$A$12:$Z$12"),0),0)="","?",VLOOKUP(AA$1,INDIRECT("'"&amp;$A96&amp;"'!$A$12:$Z$41"),MATCH("Points (Auto-generate)",INDIRECT("'"&amp;$A96&amp;"'!$A$12:$Z$12"),0),0)),"ER"))</f>
        <v>?</v>
      </c>
      <c r="AB96" s="87" t="str">
        <f aca="true">IF($H96=0,"NA",IF($A96=INDIRECT("'"&amp;$A96&amp;"'!$B$1"),IF(VLOOKUP(AB$1,INDIRECT("'"&amp;$A96&amp;"'!$A$12:$Z$41"),MATCH("Points (Auto-generate)",INDIRECT("'"&amp;$A96&amp;"'!$A$12:$Z$12"),0),0)="","?",VLOOKUP(AB$1,INDIRECT("'"&amp;$A96&amp;"'!$A$12:$Z$41"),MATCH("Points (Auto-generate)",INDIRECT("'"&amp;$A96&amp;"'!$A$12:$Z$12"),0),0)),"ER"))</f>
        <v>?</v>
      </c>
      <c r="AC96" s="87" t="n">
        <f aca="true">IF($H96=0,"NA",IF($A96=INDIRECT("'"&amp;$A96&amp;"'!$B$1"),IF(VLOOKUP(AC$1,INDIRECT("'"&amp;$A96&amp;"'!$A$12:$Z$41"),MATCH("Points (Auto-generate)",INDIRECT("'"&amp;$A96&amp;"'!$A$12:$Z$12"),0),0)="","?",VLOOKUP(AC$1,INDIRECT("'"&amp;$A96&amp;"'!$A$12:$Z$41"),MATCH("Points (Auto-generate)",INDIRECT("'"&amp;$A96&amp;"'!$A$12:$Z$12"),0),0)),"ER"))</f>
        <v>1</v>
      </c>
      <c r="AD96" s="87" t="str">
        <f aca="true">IF($H96=0,"NA",IF($A96=INDIRECT("'"&amp;$A96&amp;"'!$B$1"),IF(VLOOKUP(AD$1,INDIRECT("'"&amp;$A96&amp;"'!$A$12:$Z$41"),MATCH("Points (Auto-generate)",INDIRECT("'"&amp;$A96&amp;"'!$A$12:$Z$12"),0),0)="","?",VLOOKUP(AD$1,INDIRECT("'"&amp;$A96&amp;"'!$A$12:$Z$41"),MATCH("Points (Auto-generate)",INDIRECT("'"&amp;$A96&amp;"'!$A$12:$Z$12"),0),0)),"ER"))</f>
        <v>?</v>
      </c>
      <c r="AE96" s="87" t="str">
        <f aca="true">IF($H96=0,"NA",IF($A96=INDIRECT("'"&amp;$A96&amp;"'!$B$1"),IF(VLOOKUP(AE$1,INDIRECT("'"&amp;$A96&amp;"'!$A$12:$Z$41"),MATCH("Points (Auto-generate)",INDIRECT("'"&amp;$A96&amp;"'!$A$12:$Z$12"),0),0)="","?",VLOOKUP(AE$1,INDIRECT("'"&amp;$A96&amp;"'!$A$12:$Z$41"),MATCH("Points (Auto-generate)",INDIRECT("'"&amp;$A96&amp;"'!$A$12:$Z$12"),0),0)),"ER"))</f>
        <v>?</v>
      </c>
      <c r="AF96" s="87" t="str">
        <f aca="true">IF($H96=0,"NA",IF($A96=INDIRECT("'"&amp;$A96&amp;"'!$B$1"),IF(VLOOKUP(AF$1,INDIRECT("'"&amp;$A96&amp;"'!$A$12:$Z$41"),MATCH("Points (Auto-generate)",INDIRECT("'"&amp;$A96&amp;"'!$A$12:$Z$12"),0),0)="","?",VLOOKUP(AF$1,INDIRECT("'"&amp;$A96&amp;"'!$A$12:$Z$41"),MATCH("Points (Auto-generate)",INDIRECT("'"&amp;$A96&amp;"'!$A$12:$Z$12"),0),0)),"ER"))</f>
        <v>?</v>
      </c>
      <c r="AG96" s="87" t="str">
        <f aca="true">IF($H96=0,"NA",IF($A96=INDIRECT("'"&amp;$A96&amp;"'!$B$1"),IF(VLOOKUP(AG$1,INDIRECT("'"&amp;$A96&amp;"'!$A$12:$Z$41"),MATCH("Points (Auto-generate)",INDIRECT("'"&amp;$A96&amp;"'!$A$12:$Z$12"),0),0)="","?",VLOOKUP(AG$1,INDIRECT("'"&amp;$A96&amp;"'!$A$12:$Z$41"),MATCH("Points (Auto-generate)",INDIRECT("'"&amp;$A96&amp;"'!$A$12:$Z$12"),0),0)),"ER"))</f>
        <v>?</v>
      </c>
      <c r="AH96" s="87" t="str">
        <f aca="true">IF($H96=0,"NA",IF($A96=INDIRECT("'"&amp;$A96&amp;"'!$B$1"),IF(VLOOKUP(AH$1,INDIRECT("'"&amp;$A96&amp;"'!$A$12:$Z$41"),MATCH("Points (Auto-generate)",INDIRECT("'"&amp;$A96&amp;"'!$A$12:$Z$12"),0),0)="","?",VLOOKUP(AH$1,INDIRECT("'"&amp;$A96&amp;"'!$A$12:$Z$41"),MATCH("Points (Auto-generate)",INDIRECT("'"&amp;$A96&amp;"'!$A$12:$Z$12"),0),0)),"ER"))</f>
        <v>?</v>
      </c>
      <c r="AI96" s="87" t="str">
        <f aca="true">IF($H96=0,"NA",IF($A96=INDIRECT("'"&amp;$A96&amp;"'!$B$1"),IF(VLOOKUP(AI$1,INDIRECT("'"&amp;$A96&amp;"'!$A$12:$Z$41"),MATCH("Points (Auto-generate)",INDIRECT("'"&amp;$A96&amp;"'!$A$12:$Z$12"),0),0)="","?",VLOOKUP(AI$1,INDIRECT("'"&amp;$A96&amp;"'!$A$12:$Z$41"),MATCH("Points (Auto-generate)",INDIRECT("'"&amp;$A96&amp;"'!$A$12:$Z$12"),0),0)),"ER"))</f>
        <v>?</v>
      </c>
      <c r="AJ96" s="87" t="str">
        <f aca="true">IF($H96=0,"NA",IF($A96=INDIRECT("'"&amp;$A96&amp;"'!$B$1"),IF(VLOOKUP(AJ$1,INDIRECT("'"&amp;$A96&amp;"'!$A$12:$Z$41"),MATCH("Points (Auto-generate)",INDIRECT("'"&amp;$A96&amp;"'!$A$12:$Z$12"),0),0)="","?",VLOOKUP(AJ$1,INDIRECT("'"&amp;$A96&amp;"'!$A$12:$Z$41"),MATCH("Points (Auto-generate)",INDIRECT("'"&amp;$A96&amp;"'!$A$12:$Z$12"),0),0)),"ER"))</f>
        <v>?</v>
      </c>
      <c r="AK96" s="87" t="str">
        <f aca="true">IF($H96=0,"NA",IF($A96=INDIRECT("'"&amp;$A96&amp;"'!$B$1"),IF(VLOOKUP(AK$1,INDIRECT("'"&amp;$A96&amp;"'!$A$12:$Z$41"),MATCH("Points (Auto-generate)",INDIRECT("'"&amp;$A96&amp;"'!$A$12:$Z$12"),0),0)="","?",VLOOKUP(AK$1,INDIRECT("'"&amp;$A96&amp;"'!$A$12:$Z$41"),MATCH("Points (Auto-generate)",INDIRECT("'"&amp;$A96&amp;"'!$A$12:$Z$12"),0),0)),"ER"))</f>
        <v>?</v>
      </c>
    </row>
    <row r="97" customFormat="false" ht="14.25" hidden="false" customHeight="true" outlineLevel="0" collapsed="false">
      <c r="A97" s="83" t="s">
        <v>695</v>
      </c>
      <c r="B97" s="84" t="str">
        <f aca="false">IF(ISBLANK($A97),"NO_CODE",VLOOKUP($A97,'UPD Questions_290926 '!$E$1:$N$300,MATCH(B$1,'UPD Questions_290926 '!$E$1:$N$1,0),0)&amp;"")</f>
        <v>Implementation</v>
      </c>
      <c r="C97" s="84" t="str">
        <f aca="false">IF(ISBLANK($A97),"NO_CODE",VLOOKUP($A97,'UPD Questions_290926 '!$E$1:$N$300,MATCH(C$1,'UPD Questions_290926 '!$E$1:$N$1,0),0)&amp;"")</f>
        <v>Development Control Regulations and land-management instruments</v>
      </c>
      <c r="D97" s="84" t="str">
        <f aca="false">IF(ISBLANK($A97),"NO_CODE",VLOOKUP($A97,'UPD Questions_290926 '!$E$1:$N$300,MATCH(D$1,'UPD Questions_290926 '!$E$1:$N$1,0),0)&amp;"")</f>
        <v>Green-building incentives</v>
      </c>
      <c r="E97" s="84" t="str">
        <f aca="false">IF(ISBLANK($A97),"NO_CODE",VLOOKUP($A97,'UPD Questions_290926 '!$E$1:$N$300,MATCH(E$1,'UPD Questions_290926 '!$E$1:$N$1,0),0)&amp;"")</f>
        <v>MQ</v>
      </c>
      <c r="F97" s="84" t="str">
        <f aca="false">IF(ISBLANK($A97),"NO_CODE",VLOOKUP($A97,'UPD Questions_290926 '!$E$1:$N$300,MATCH(F$1,'UPD Questions_290926 '!$E$1:$N$1,0),0)&amp;"")</f>
        <v>Does the city have a mandate to provide incentives for green buildings, and are these incentives operationalised?</v>
      </c>
      <c r="G97" s="84" t="str">
        <f aca="false">IF(ISBLANK($A97),"NO_CODE",VLOOKUP($A97,'UPD Questions_290926 '!$E$1:$N$300,MATCH(G$1,'UPD Questions_290926 '!$E$1:$N$1,0),0)&amp;"")</f>
        <v>Law or Policy &amp; Implementation</v>
      </c>
      <c r="H97" s="86" t="n">
        <f aca="false">IF(ISBLANK($A97),"NO_CODE",VLOOKUP($A97,'UPD Questions_290926 '!$E$1:$N$300,MATCH(H$1,'UPD Questions_290926 '!$E$1:$N$1,0),0))</f>
        <v>10</v>
      </c>
      <c r="I97" s="87" t="str">
        <f aca="false">IF(OR(I98="ER",I99="ER"),"ER",IF(OR(I98="?",I99="?"),"?",IF(AND(I98="NA",I99="NA"),"NA",SUM(I98,I99)/((I98&lt;&gt;"NA")*$H$98+(I99&lt;&gt;"NA")*$H$99)*$H97)))</f>
        <v>?</v>
      </c>
      <c r="J97" s="87" t="str">
        <f aca="false">IF(OR(J98="ER",J99="ER"),"ER",IF(OR(J98="?",J99="?"),"?",IF(AND(J98="NA",J99="NA"),"NA",SUM(J98,J99)/((J98&lt;&gt;"NA")*$H$98+(J99&lt;&gt;"NA")*$H$99)*$H97)))</f>
        <v>?</v>
      </c>
      <c r="K97" s="87" t="str">
        <f aca="false">IF(OR(K98="ER",K99="ER"),"ER",IF(OR(K98="?",K99="?"),"?",IF(AND(K98="NA",K99="NA"),"NA",SUM(K98,K99)/((K98&lt;&gt;"NA")*$H$98+(K99&lt;&gt;"NA")*$H$99)*$H97)))</f>
        <v>?</v>
      </c>
      <c r="L97" s="87" t="str">
        <f aca="false">IF(OR(L98="ER",L99="ER"),"ER",IF(OR(L98="?",L99="?"),"?",IF(AND(L98="NA",L99="NA"),"NA",SUM(L98,L99)/((L98&lt;&gt;"NA")*$H$98+(L99&lt;&gt;"NA")*$H$99)*$H97)))</f>
        <v>?</v>
      </c>
      <c r="M97" s="87" t="str">
        <f aca="false">IF(OR(M98="ER",M99="ER"),"ER",IF(OR(M98="?",M99="?"),"?",IF(AND(M98="NA",M99="NA"),"NA",SUM(M98,M99)/((M98&lt;&gt;"NA")*$H$98+(M99&lt;&gt;"NA")*$H$99)*$H97)))</f>
        <v>?</v>
      </c>
      <c r="N97" s="87" t="str">
        <f aca="false">IF(OR(N98="ER",N99="ER"),"ER",IF(OR(N98="?",N99="?"),"?",IF(AND(N98="NA",N99="NA"),"NA",SUM(N98,N99)/((N98&lt;&gt;"NA")*$H$98+(N99&lt;&gt;"NA")*$H$99)*$H97)))</f>
        <v>?</v>
      </c>
      <c r="O97" s="87" t="str">
        <f aca="false">IF(OR(O98="ER",O99="ER"),"ER",IF(OR(O98="?",O99="?"),"?",IF(AND(O98="NA",O99="NA"),"NA",SUM(O98,O99)/((O98&lt;&gt;"NA")*$H$98+(O99&lt;&gt;"NA")*$H$99)*$H97)))</f>
        <v>?</v>
      </c>
      <c r="P97" s="87" t="str">
        <f aca="false">IF(OR(P98="ER",P99="ER"),"ER",IF(OR(P98="?",P99="?"),"?",IF(AND(P98="NA",P99="NA"),"NA",SUM(P98,P99)/((P98&lt;&gt;"NA")*$H$98+(P99&lt;&gt;"NA")*$H$99)*$H97)))</f>
        <v>?</v>
      </c>
      <c r="Q97" s="87" t="str">
        <f aca="false">IF(OR(Q98="ER",Q99="ER"),"ER",IF(OR(Q98="?",Q99="?"),"?",IF(AND(Q98="NA",Q99="NA"),"NA",SUM(Q98,Q99)/((Q98&lt;&gt;"NA")*$H$98+(Q99&lt;&gt;"NA")*$H$99)*$H97)))</f>
        <v>?</v>
      </c>
      <c r="R97" s="87" t="str">
        <f aca="false">IF(OR(R98="ER",R99="ER"),"ER",IF(OR(R98="?",R99="?"),"?",IF(AND(R98="NA",R99="NA"),"NA",SUM(R98,R99)/((R98&lt;&gt;"NA")*$H$98+(R99&lt;&gt;"NA")*$H$99)*$H97)))</f>
        <v>?</v>
      </c>
      <c r="S97" s="87" t="str">
        <f aca="false">IF(OR(S98="ER",S99="ER"),"ER",IF(OR(S98="?",S99="?"),"?",IF(AND(S98="NA",S99="NA"),"NA",SUM(S98,S99)/((S98&lt;&gt;"NA")*$H$98+(S99&lt;&gt;"NA")*$H$99)*$H97)))</f>
        <v>?</v>
      </c>
      <c r="T97" s="87" t="str">
        <f aca="false">IF(OR(T98="ER",T99="ER"),"ER",IF(OR(T98="?",T99="?"),"?",IF(AND(T98="NA",T99="NA"),"NA",SUM(T98,T99)/((T98&lt;&gt;"NA")*$H$98+(T99&lt;&gt;"NA")*$H$99)*$H97)))</f>
        <v>?</v>
      </c>
      <c r="U97" s="87" t="str">
        <f aca="false">IF(OR(U98="ER",U99="ER"),"ER",IF(OR(U98="?",U99="?"),"?",IF(AND(U98="NA",U99="NA"),"NA",SUM(U98,U99)/((U98&lt;&gt;"NA")*$H$98+(U99&lt;&gt;"NA")*$H$99)*$H97)))</f>
        <v>?</v>
      </c>
      <c r="V97" s="87" t="str">
        <f aca="false">IF(OR(V98="ER",V99="ER"),"ER",IF(OR(V98="?",V99="?"),"?",IF(AND(V98="NA",V99="NA"),"NA",SUM(V98,V99)/((V98&lt;&gt;"NA")*$H$98+(V99&lt;&gt;"NA")*$H$99)*$H97)))</f>
        <v>?</v>
      </c>
      <c r="W97" s="87" t="str">
        <f aca="false">IF(OR(W98="ER",W99="ER"),"ER",IF(OR(W98="?",W99="?"),"?",IF(AND(W98="NA",W99="NA"),"NA",SUM(W98,W99)/((W98&lt;&gt;"NA")*$H$98+(W99&lt;&gt;"NA")*$H$99)*$H97)))</f>
        <v>?</v>
      </c>
      <c r="X97" s="87" t="str">
        <f aca="false">IF(OR(X98="ER",X99="ER"),"ER",IF(OR(X98="?",X99="?"),"?",IF(AND(X98="NA",X99="NA"),"NA",SUM(X98,X99)/((X98&lt;&gt;"NA")*$H$98+(X99&lt;&gt;"NA")*$H$99)*$H97)))</f>
        <v>?</v>
      </c>
      <c r="Y97" s="87" t="str">
        <f aca="false">IF(OR(Y98="ER",Y99="ER"),"ER",IF(OR(Y98="?",Y99="?"),"?",IF(AND(Y98="NA",Y99="NA"),"NA",SUM(Y98,Y99)/((Y98&lt;&gt;"NA")*$H$98+(Y99&lt;&gt;"NA")*$H$99)*$H97)))</f>
        <v>?</v>
      </c>
      <c r="Z97" s="87" t="str">
        <f aca="false">IF(OR(Z98="ER",Z99="ER"),"ER",IF(OR(Z98="?",Z99="?"),"?",IF(AND(Z98="NA",Z99="NA"),"NA",SUM(Z98,Z99)/((Z98&lt;&gt;"NA")*$H$98+(Z99&lt;&gt;"NA")*$H$99)*$H97)))</f>
        <v>?</v>
      </c>
      <c r="AA97" s="87" t="str">
        <f aca="false">IF(OR(AA98="ER",AA99="ER"),"ER",IF(OR(AA98="?",AA99="?"),"?",IF(AND(AA98="NA",AA99="NA"),"NA",SUM(AA98,AA99)/((AA98&lt;&gt;"NA")*$H$98+(AA99&lt;&gt;"NA")*$H$99)*$H97)))</f>
        <v>?</v>
      </c>
      <c r="AB97" s="87" t="str">
        <f aca="false">IF(OR(AB98="ER",AB99="ER"),"ER",IF(OR(AB98="?",AB99="?"),"?",IF(AND(AB98="NA",AB99="NA"),"NA",SUM(AB98,AB99)/((AB98&lt;&gt;"NA")*$H$98+(AB99&lt;&gt;"NA")*$H$99)*$H97)))</f>
        <v>?</v>
      </c>
      <c r="AC97" s="87" t="str">
        <f aca="false">IF(OR(AC98="ER",AC99="ER"),"ER",IF(OR(AC98="?",AC99="?"),"?",IF(AND(AC98="NA",AC99="NA"),"NA",SUM(AC98,AC99)/((AC98&lt;&gt;"NA")*$H$98+(AC99&lt;&gt;"NA")*$H$99)*$H97)))</f>
        <v>?</v>
      </c>
      <c r="AD97" s="87" t="str">
        <f aca="false">IF(OR(AD98="ER",AD99="ER"),"ER",IF(OR(AD98="?",AD99="?"),"?",IF(AND(AD98="NA",AD99="NA"),"NA",SUM(AD98,AD99)/((AD98&lt;&gt;"NA")*$H$98+(AD99&lt;&gt;"NA")*$H$99)*$H97)))</f>
        <v>?</v>
      </c>
      <c r="AE97" s="87" t="str">
        <f aca="false">IF(OR(AE98="ER",AE99="ER"),"ER",IF(OR(AE98="?",AE99="?"),"?",IF(AND(AE98="NA",AE99="NA"),"NA",SUM(AE98,AE99)/((AE98&lt;&gt;"NA")*$H$98+(AE99&lt;&gt;"NA")*$H$99)*$H97)))</f>
        <v>?</v>
      </c>
      <c r="AF97" s="87" t="str">
        <f aca="false">IF(OR(AF98="ER",AF99="ER"),"ER",IF(OR(AF98="?",AF99="?"),"?",IF(AND(AF98="NA",AF99="NA"),"NA",SUM(AF98,AF99)/((AF98&lt;&gt;"NA")*$H$98+(AF99&lt;&gt;"NA")*$H$99)*$H97)))</f>
        <v>?</v>
      </c>
      <c r="AG97" s="87" t="str">
        <f aca="false">IF(OR(AG98="ER",AG99="ER"),"ER",IF(OR(AG98="?",AG99="?"),"?",IF(AND(AG98="NA",AG99="NA"),"NA",SUM(AG98,AG99)/((AG98&lt;&gt;"NA")*$H$98+(AG99&lt;&gt;"NA")*$H$99)*$H97)))</f>
        <v>?</v>
      </c>
      <c r="AH97" s="87" t="str">
        <f aca="false">IF(OR(AH98="ER",AH99="ER"),"ER",IF(OR(AH98="?",AH99="?"),"?",IF(AND(AH98="NA",AH99="NA"),"NA",SUM(AH98,AH99)/((AH98&lt;&gt;"NA")*$H$98+(AH99&lt;&gt;"NA")*$H$99)*$H97)))</f>
        <v>?</v>
      </c>
      <c r="AI97" s="87" t="str">
        <f aca="false">IF(OR(AI98="ER",AI99="ER"),"ER",IF(OR(AI98="?",AI99="?"),"?",IF(AND(AI98="NA",AI99="NA"),"NA",SUM(AI98,AI99)/((AI98&lt;&gt;"NA")*$H$98+(AI99&lt;&gt;"NA")*$H$99)*$H97)))</f>
        <v>?</v>
      </c>
      <c r="AJ97" s="87" t="str">
        <f aca="false">IF(OR(AJ98="ER",AJ99="ER"),"ER",IF(OR(AJ98="?",AJ99="?"),"?",IF(AND(AJ98="NA",AJ99="NA"),"NA",SUM(AJ98,AJ99)/((AJ98&lt;&gt;"NA")*$H$98+(AJ99&lt;&gt;"NA")*$H$99)*$H97)))</f>
        <v>?</v>
      </c>
      <c r="AK97" s="87" t="str">
        <f aca="false">IF(OR(AK98="ER",AK99="ER"),"ER",IF(OR(AK98="?",AK99="?"),"?",IF(AND(AK98="NA",AK99="NA"),"NA",SUM(AK98,AK99)/((AK98&lt;&gt;"NA")*$H$98+(AK99&lt;&gt;"NA")*$H$99)*$H97)))</f>
        <v>?</v>
      </c>
    </row>
    <row r="98" customFormat="false" ht="14.25" hidden="false" customHeight="true" outlineLevel="0" collapsed="false">
      <c r="A98" s="83" t="s">
        <v>549</v>
      </c>
      <c r="B98" s="84" t="str">
        <f aca="false">IF(ISBLANK($A98),"NO_CODE",VLOOKUP($A98,'UPD Questions_290926 '!$E$1:$N$300,MATCH(B$1,'UPD Questions_290926 '!$E$1:$N$1,0),0)&amp;"")</f>
        <v>Implementation</v>
      </c>
      <c r="C98" s="84" t="str">
        <f aca="false">IF(ISBLANK($A98),"NO_CODE",VLOOKUP($A98,'UPD Questions_290926 '!$E$1:$N$300,MATCH(C$1,'UPD Questions_290926 '!$E$1:$N$1,0),0)&amp;"")</f>
        <v>Development Control Regulations and land-management instruments</v>
      </c>
      <c r="D98" s="84" t="str">
        <f aca="false">IF(ISBLANK($A98),"NO_CODE",VLOOKUP($A98,'UPD Questions_290926 '!$E$1:$N$300,MATCH(D$1,'UPD Questions_290926 '!$E$1:$N$1,0),0)&amp;"")</f>
        <v>Green-building incentives</v>
      </c>
      <c r="E98" s="84" t="str">
        <f aca="false">IF(ISBLANK($A98),"NO_CODE",VLOOKUP($A98,'UPD Questions_290926 '!$E$1:$N$300,MATCH(E$1,'UPD Questions_290926 '!$E$1:$N$1,0),0)&amp;"")</f>
        <v>SQ</v>
      </c>
      <c r="F98" s="84" t="str">
        <f aca="false">IF(ISBLANK($A98),"NO_CODE",VLOOKUP($A98,'UPD Questions_290926 '!$E$1:$N$300,MATCH(F$1,'UPD Questions_290926 '!$E$1:$N$1,0),0)&amp;"")</f>
        <v>Does the law mandate incentives for green buildings ?</v>
      </c>
      <c r="G98" s="84" t="str">
        <f aca="false">IF(ISBLANK($A98),"NO_CODE",VLOOKUP($A98,'UPD Questions_290926 '!$E$1:$N$300,MATCH(G$1,'UPD Questions_290926 '!$E$1:$N$1,0),0)&amp;"")</f>
        <v>Law or Policy</v>
      </c>
      <c r="H98" s="86" t="n">
        <f aca="false">IF(ISBLANK($A98),"NO_CODE",VLOOKUP($A98,'UPD Questions_290926 '!$E$1:$N$300,MATCH(H$1,'UPD Questions_290926 '!$E$1:$N$1,0),0))</f>
        <v>5</v>
      </c>
      <c r="I98" s="87" t="str">
        <f aca="true">IF($H98=0,"NA",IF($A98=INDIRECT("'"&amp;$A98&amp;"'!$B$1"),IF(VLOOKUP(I$1,INDIRECT("'"&amp;$A98&amp;"'!$A$12:$Z$41"),MATCH("Points (Auto-generate)",INDIRECT("'"&amp;$A98&amp;"'!$A$12:$Z$12"),0),0)="","?",VLOOKUP(I$1,INDIRECT("'"&amp;$A98&amp;"'!$A$12:$Z$41"),MATCH("Points (Auto-generate)",INDIRECT("'"&amp;$A98&amp;"'!$A$12:$Z$12"),0),0)),"ER"))</f>
        <v>?</v>
      </c>
      <c r="J98" s="87" t="str">
        <f aca="true">IF($H98=0,"NA",IF($A98=INDIRECT("'"&amp;$A98&amp;"'!$B$1"),IF(VLOOKUP(J$1,INDIRECT("'"&amp;$A98&amp;"'!$A$12:$Z$41"),MATCH("Points (Auto-generate)",INDIRECT("'"&amp;$A98&amp;"'!$A$12:$Z$12"),0),0)="","?",VLOOKUP(J$1,INDIRECT("'"&amp;$A98&amp;"'!$A$12:$Z$41"),MATCH("Points (Auto-generate)",INDIRECT("'"&amp;$A98&amp;"'!$A$12:$Z$12"),0),0)),"ER"))</f>
        <v>?</v>
      </c>
      <c r="K98" s="87" t="str">
        <f aca="true">IF($H98=0,"NA",IF($A98=INDIRECT("'"&amp;$A98&amp;"'!$B$1"),IF(VLOOKUP(K$1,INDIRECT("'"&amp;$A98&amp;"'!$A$12:$Z$41"),MATCH("Points (Auto-generate)",INDIRECT("'"&amp;$A98&amp;"'!$A$12:$Z$12"),0),0)="","?",VLOOKUP(K$1,INDIRECT("'"&amp;$A98&amp;"'!$A$12:$Z$41"),MATCH("Points (Auto-generate)",INDIRECT("'"&amp;$A98&amp;"'!$A$12:$Z$12"),0),0)),"ER"))</f>
        <v>?</v>
      </c>
      <c r="L98" s="87" t="str">
        <f aca="true">IF($H98=0,"NA",IF($A98=INDIRECT("'"&amp;$A98&amp;"'!$B$1"),IF(VLOOKUP(L$1,INDIRECT("'"&amp;$A98&amp;"'!$A$12:$Z$41"),MATCH("Points (Auto-generate)",INDIRECT("'"&amp;$A98&amp;"'!$A$12:$Z$12"),0),0)="","?",VLOOKUP(L$1,INDIRECT("'"&amp;$A98&amp;"'!$A$12:$Z$41"),MATCH("Points (Auto-generate)",INDIRECT("'"&amp;$A98&amp;"'!$A$12:$Z$12"),0),0)),"ER"))</f>
        <v>?</v>
      </c>
      <c r="M98" s="87" t="str">
        <f aca="true">IF($H98=0,"NA",IF($A98=INDIRECT("'"&amp;$A98&amp;"'!$B$1"),IF(VLOOKUP(M$1,INDIRECT("'"&amp;$A98&amp;"'!$A$12:$Z$41"),MATCH("Points (Auto-generate)",INDIRECT("'"&amp;$A98&amp;"'!$A$12:$Z$12"),0),0)="","?",VLOOKUP(M$1,INDIRECT("'"&amp;$A98&amp;"'!$A$12:$Z$41"),MATCH("Points (Auto-generate)",INDIRECT("'"&amp;$A98&amp;"'!$A$12:$Z$12"),0),0)),"ER"))</f>
        <v>?</v>
      </c>
      <c r="N98" s="87" t="str">
        <f aca="true">IF($H98=0,"NA",IF($A98=INDIRECT("'"&amp;$A98&amp;"'!$B$1"),IF(VLOOKUP(N$1,INDIRECT("'"&amp;$A98&amp;"'!$A$12:$Z$41"),MATCH("Points (Auto-generate)",INDIRECT("'"&amp;$A98&amp;"'!$A$12:$Z$12"),0),0)="","?",VLOOKUP(N$1,INDIRECT("'"&amp;$A98&amp;"'!$A$12:$Z$41"),MATCH("Points (Auto-generate)",INDIRECT("'"&amp;$A98&amp;"'!$A$12:$Z$12"),0),0)),"ER"))</f>
        <v>?</v>
      </c>
      <c r="O98" s="87" t="str">
        <f aca="true">IF($H98=0,"NA",IF($A98=INDIRECT("'"&amp;$A98&amp;"'!$B$1"),IF(VLOOKUP(O$1,INDIRECT("'"&amp;$A98&amp;"'!$A$12:$Z$41"),MATCH("Points (Auto-generate)",INDIRECT("'"&amp;$A98&amp;"'!$A$12:$Z$12"),0),0)="","?",VLOOKUP(O$1,INDIRECT("'"&amp;$A98&amp;"'!$A$12:$Z$41"),MATCH("Points (Auto-generate)",INDIRECT("'"&amp;$A98&amp;"'!$A$12:$Z$12"),0),0)),"ER"))</f>
        <v>?</v>
      </c>
      <c r="P98" s="87" t="str">
        <f aca="true">IF($H98=0,"NA",IF($A98=INDIRECT("'"&amp;$A98&amp;"'!$B$1"),IF(VLOOKUP(P$1,INDIRECT("'"&amp;$A98&amp;"'!$A$12:$Z$41"),MATCH("Points (Auto-generate)",INDIRECT("'"&amp;$A98&amp;"'!$A$12:$Z$12"),0),0)="","?",VLOOKUP(P$1,INDIRECT("'"&amp;$A98&amp;"'!$A$12:$Z$41"),MATCH("Points (Auto-generate)",INDIRECT("'"&amp;$A98&amp;"'!$A$12:$Z$12"),0),0)),"ER"))</f>
        <v>?</v>
      </c>
      <c r="Q98" s="87" t="str">
        <f aca="true">IF($H98=0,"NA",IF($A98=INDIRECT("'"&amp;$A98&amp;"'!$B$1"),IF(VLOOKUP(Q$1,INDIRECT("'"&amp;$A98&amp;"'!$A$12:$Z$41"),MATCH("Points (Auto-generate)",INDIRECT("'"&amp;$A98&amp;"'!$A$12:$Z$12"),0),0)="","?",VLOOKUP(Q$1,INDIRECT("'"&amp;$A98&amp;"'!$A$12:$Z$41"),MATCH("Points (Auto-generate)",INDIRECT("'"&amp;$A98&amp;"'!$A$12:$Z$12"),0),0)),"ER"))</f>
        <v>?</v>
      </c>
      <c r="R98" s="87" t="str">
        <f aca="true">IF($H98=0,"NA",IF($A98=INDIRECT("'"&amp;$A98&amp;"'!$B$1"),IF(VLOOKUP(R$1,INDIRECT("'"&amp;$A98&amp;"'!$A$12:$Z$41"),MATCH("Points (Auto-generate)",INDIRECT("'"&amp;$A98&amp;"'!$A$12:$Z$12"),0),0)="","?",VLOOKUP(R$1,INDIRECT("'"&amp;$A98&amp;"'!$A$12:$Z$41"),MATCH("Points (Auto-generate)",INDIRECT("'"&amp;$A98&amp;"'!$A$12:$Z$12"),0),0)),"ER"))</f>
        <v>?</v>
      </c>
      <c r="S98" s="87" t="str">
        <f aca="true">IF($H98=0,"NA",IF($A98=INDIRECT("'"&amp;$A98&amp;"'!$B$1"),IF(VLOOKUP(S$1,INDIRECT("'"&amp;$A98&amp;"'!$A$12:$Z$41"),MATCH("Points (Auto-generate)",INDIRECT("'"&amp;$A98&amp;"'!$A$12:$Z$12"),0),0)="","?",VLOOKUP(S$1,INDIRECT("'"&amp;$A98&amp;"'!$A$12:$Z$41"),MATCH("Points (Auto-generate)",INDIRECT("'"&amp;$A98&amp;"'!$A$12:$Z$12"),0),0)),"ER"))</f>
        <v>?</v>
      </c>
      <c r="T98" s="87" t="str">
        <f aca="true">IF($H98=0,"NA",IF($A98=INDIRECT("'"&amp;$A98&amp;"'!$B$1"),IF(VLOOKUP(T$1,INDIRECT("'"&amp;$A98&amp;"'!$A$12:$Z$41"),MATCH("Points (Auto-generate)",INDIRECT("'"&amp;$A98&amp;"'!$A$12:$Z$12"),0),0)="","?",VLOOKUP(T$1,INDIRECT("'"&amp;$A98&amp;"'!$A$12:$Z$41"),MATCH("Points (Auto-generate)",INDIRECT("'"&amp;$A98&amp;"'!$A$12:$Z$12"),0),0)),"ER"))</f>
        <v>?</v>
      </c>
      <c r="U98" s="87" t="str">
        <f aca="true">IF($H98=0,"NA",IF($A98=INDIRECT("'"&amp;$A98&amp;"'!$B$1"),IF(VLOOKUP(U$1,INDIRECT("'"&amp;$A98&amp;"'!$A$12:$Z$41"),MATCH("Points (Auto-generate)",INDIRECT("'"&amp;$A98&amp;"'!$A$12:$Z$12"),0),0)="","?",VLOOKUP(U$1,INDIRECT("'"&amp;$A98&amp;"'!$A$12:$Z$41"),MATCH("Points (Auto-generate)",INDIRECT("'"&amp;$A98&amp;"'!$A$12:$Z$12"),0),0)),"ER"))</f>
        <v>?</v>
      </c>
      <c r="V98" s="87" t="str">
        <f aca="true">IF($H98=0,"NA",IF($A98=INDIRECT("'"&amp;$A98&amp;"'!$B$1"),IF(VLOOKUP(V$1,INDIRECT("'"&amp;$A98&amp;"'!$A$12:$Z$41"),MATCH("Points (Auto-generate)",INDIRECT("'"&amp;$A98&amp;"'!$A$12:$Z$12"),0),0)="","?",VLOOKUP(V$1,INDIRECT("'"&amp;$A98&amp;"'!$A$12:$Z$41"),MATCH("Points (Auto-generate)",INDIRECT("'"&amp;$A98&amp;"'!$A$12:$Z$12"),0),0)),"ER"))</f>
        <v>?</v>
      </c>
      <c r="W98" s="87" t="str">
        <f aca="true">IF($H98=0,"NA",IF($A98=INDIRECT("'"&amp;$A98&amp;"'!$B$1"),IF(VLOOKUP(W$1,INDIRECT("'"&amp;$A98&amp;"'!$A$12:$Z$41"),MATCH("Points (Auto-generate)",INDIRECT("'"&amp;$A98&amp;"'!$A$12:$Z$12"),0),0)="","?",VLOOKUP(W$1,INDIRECT("'"&amp;$A98&amp;"'!$A$12:$Z$41"),MATCH("Points (Auto-generate)",INDIRECT("'"&amp;$A98&amp;"'!$A$12:$Z$12"),0),0)),"ER"))</f>
        <v>?</v>
      </c>
      <c r="X98" s="87" t="str">
        <f aca="true">IF($H98=0,"NA",IF($A98=INDIRECT("'"&amp;$A98&amp;"'!$B$1"),IF(VLOOKUP(X$1,INDIRECT("'"&amp;$A98&amp;"'!$A$12:$Z$41"),MATCH("Points (Auto-generate)",INDIRECT("'"&amp;$A98&amp;"'!$A$12:$Z$12"),0),0)="","?",VLOOKUP(X$1,INDIRECT("'"&amp;$A98&amp;"'!$A$12:$Z$41"),MATCH("Points (Auto-generate)",INDIRECT("'"&amp;$A98&amp;"'!$A$12:$Z$12"),0),0)),"ER"))</f>
        <v>?</v>
      </c>
      <c r="Y98" s="87" t="str">
        <f aca="true">IF($H98=0,"NA",IF($A98=INDIRECT("'"&amp;$A98&amp;"'!$B$1"),IF(VLOOKUP(Y$1,INDIRECT("'"&amp;$A98&amp;"'!$A$12:$Z$41"),MATCH("Points (Auto-generate)",INDIRECT("'"&amp;$A98&amp;"'!$A$12:$Z$12"),0),0)="","?",VLOOKUP(Y$1,INDIRECT("'"&amp;$A98&amp;"'!$A$12:$Z$41"),MATCH("Points (Auto-generate)",INDIRECT("'"&amp;$A98&amp;"'!$A$12:$Z$12"),0),0)),"ER"))</f>
        <v>?</v>
      </c>
      <c r="Z98" s="87" t="str">
        <f aca="true">IF($H98=0,"NA",IF($A98=INDIRECT("'"&amp;$A98&amp;"'!$B$1"),IF(VLOOKUP(Z$1,INDIRECT("'"&amp;$A98&amp;"'!$A$12:$Z$41"),MATCH("Points (Auto-generate)",INDIRECT("'"&amp;$A98&amp;"'!$A$12:$Z$12"),0),0)="","?",VLOOKUP(Z$1,INDIRECT("'"&amp;$A98&amp;"'!$A$12:$Z$41"),MATCH("Points (Auto-generate)",INDIRECT("'"&amp;$A98&amp;"'!$A$12:$Z$12"),0),0)),"ER"))</f>
        <v>?</v>
      </c>
      <c r="AA98" s="87" t="str">
        <f aca="true">IF($H98=0,"NA",IF($A98=INDIRECT("'"&amp;$A98&amp;"'!$B$1"),IF(VLOOKUP(AA$1,INDIRECT("'"&amp;$A98&amp;"'!$A$12:$Z$41"),MATCH("Points (Auto-generate)",INDIRECT("'"&amp;$A98&amp;"'!$A$12:$Z$12"),0),0)="","?",VLOOKUP(AA$1,INDIRECT("'"&amp;$A98&amp;"'!$A$12:$Z$41"),MATCH("Points (Auto-generate)",INDIRECT("'"&amp;$A98&amp;"'!$A$12:$Z$12"),0),0)),"ER"))</f>
        <v>?</v>
      </c>
      <c r="AB98" s="87" t="str">
        <f aca="true">IF($H98=0,"NA",IF($A98=INDIRECT("'"&amp;$A98&amp;"'!$B$1"),IF(VLOOKUP(AB$1,INDIRECT("'"&amp;$A98&amp;"'!$A$12:$Z$41"),MATCH("Points (Auto-generate)",INDIRECT("'"&amp;$A98&amp;"'!$A$12:$Z$12"),0),0)="","?",VLOOKUP(AB$1,INDIRECT("'"&amp;$A98&amp;"'!$A$12:$Z$41"),MATCH("Points (Auto-generate)",INDIRECT("'"&amp;$A98&amp;"'!$A$12:$Z$12"),0),0)),"ER"))</f>
        <v>?</v>
      </c>
      <c r="AC98" s="87" t="str">
        <f aca="true">IF($H98=0,"NA",IF($A98=INDIRECT("'"&amp;$A98&amp;"'!$B$1"),IF(VLOOKUP(AC$1,INDIRECT("'"&amp;$A98&amp;"'!$A$12:$Z$41"),MATCH("Points (Auto-generate)",INDIRECT("'"&amp;$A98&amp;"'!$A$12:$Z$12"),0),0)="","?",VLOOKUP(AC$1,INDIRECT("'"&amp;$A98&amp;"'!$A$12:$Z$41"),MATCH("Points (Auto-generate)",INDIRECT("'"&amp;$A98&amp;"'!$A$12:$Z$12"),0),0)),"ER"))</f>
        <v>?</v>
      </c>
      <c r="AD98" s="87" t="str">
        <f aca="true">IF($H98=0,"NA",IF($A98=INDIRECT("'"&amp;$A98&amp;"'!$B$1"),IF(VLOOKUP(AD$1,INDIRECT("'"&amp;$A98&amp;"'!$A$12:$Z$41"),MATCH("Points (Auto-generate)",INDIRECT("'"&amp;$A98&amp;"'!$A$12:$Z$12"),0),0)="","?",VLOOKUP(AD$1,INDIRECT("'"&amp;$A98&amp;"'!$A$12:$Z$41"),MATCH("Points (Auto-generate)",INDIRECT("'"&amp;$A98&amp;"'!$A$12:$Z$12"),0),0)),"ER"))</f>
        <v>?</v>
      </c>
      <c r="AE98" s="87" t="str">
        <f aca="true">IF($H98=0,"NA",IF($A98=INDIRECT("'"&amp;$A98&amp;"'!$B$1"),IF(VLOOKUP(AE$1,INDIRECT("'"&amp;$A98&amp;"'!$A$12:$Z$41"),MATCH("Points (Auto-generate)",INDIRECT("'"&amp;$A98&amp;"'!$A$12:$Z$12"),0),0)="","?",VLOOKUP(AE$1,INDIRECT("'"&amp;$A98&amp;"'!$A$12:$Z$41"),MATCH("Points (Auto-generate)",INDIRECT("'"&amp;$A98&amp;"'!$A$12:$Z$12"),0),0)),"ER"))</f>
        <v>?</v>
      </c>
      <c r="AF98" s="87" t="str">
        <f aca="true">IF($H98=0,"NA",IF($A98=INDIRECT("'"&amp;$A98&amp;"'!$B$1"),IF(VLOOKUP(AF$1,INDIRECT("'"&amp;$A98&amp;"'!$A$12:$Z$41"),MATCH("Points (Auto-generate)",INDIRECT("'"&amp;$A98&amp;"'!$A$12:$Z$12"),0),0)="","?",VLOOKUP(AF$1,INDIRECT("'"&amp;$A98&amp;"'!$A$12:$Z$41"),MATCH("Points (Auto-generate)",INDIRECT("'"&amp;$A98&amp;"'!$A$12:$Z$12"),0),0)),"ER"))</f>
        <v>?</v>
      </c>
      <c r="AG98" s="87" t="str">
        <f aca="true">IF($H98=0,"NA",IF($A98=INDIRECT("'"&amp;$A98&amp;"'!$B$1"),IF(VLOOKUP(AG$1,INDIRECT("'"&amp;$A98&amp;"'!$A$12:$Z$41"),MATCH("Points (Auto-generate)",INDIRECT("'"&amp;$A98&amp;"'!$A$12:$Z$12"),0),0)="","?",VLOOKUP(AG$1,INDIRECT("'"&amp;$A98&amp;"'!$A$12:$Z$41"),MATCH("Points (Auto-generate)",INDIRECT("'"&amp;$A98&amp;"'!$A$12:$Z$12"),0),0)),"ER"))</f>
        <v>?</v>
      </c>
      <c r="AH98" s="87" t="str">
        <f aca="true">IF($H98=0,"NA",IF($A98=INDIRECT("'"&amp;$A98&amp;"'!$B$1"),IF(VLOOKUP(AH$1,INDIRECT("'"&amp;$A98&amp;"'!$A$12:$Z$41"),MATCH("Points (Auto-generate)",INDIRECT("'"&amp;$A98&amp;"'!$A$12:$Z$12"),0),0)="","?",VLOOKUP(AH$1,INDIRECT("'"&amp;$A98&amp;"'!$A$12:$Z$41"),MATCH("Points (Auto-generate)",INDIRECT("'"&amp;$A98&amp;"'!$A$12:$Z$12"),0),0)),"ER"))</f>
        <v>?</v>
      </c>
      <c r="AI98" s="87" t="str">
        <f aca="true">IF($H98=0,"NA",IF($A98=INDIRECT("'"&amp;$A98&amp;"'!$B$1"),IF(VLOOKUP(AI$1,INDIRECT("'"&amp;$A98&amp;"'!$A$12:$Z$41"),MATCH("Points (Auto-generate)",INDIRECT("'"&amp;$A98&amp;"'!$A$12:$Z$12"),0),0)="","?",VLOOKUP(AI$1,INDIRECT("'"&amp;$A98&amp;"'!$A$12:$Z$41"),MATCH("Points (Auto-generate)",INDIRECT("'"&amp;$A98&amp;"'!$A$12:$Z$12"),0),0)),"ER"))</f>
        <v>?</v>
      </c>
      <c r="AJ98" s="87" t="str">
        <f aca="true">IF($H98=0,"NA",IF($A98=INDIRECT("'"&amp;$A98&amp;"'!$B$1"),IF(VLOOKUP(AJ$1,INDIRECT("'"&amp;$A98&amp;"'!$A$12:$Z$41"),MATCH("Points (Auto-generate)",INDIRECT("'"&amp;$A98&amp;"'!$A$12:$Z$12"),0),0)="","?",VLOOKUP(AJ$1,INDIRECT("'"&amp;$A98&amp;"'!$A$12:$Z$41"),MATCH("Points (Auto-generate)",INDIRECT("'"&amp;$A98&amp;"'!$A$12:$Z$12"),0),0)),"ER"))</f>
        <v>?</v>
      </c>
      <c r="AK98" s="87" t="str">
        <f aca="true">IF($H98=0,"NA",IF($A98=INDIRECT("'"&amp;$A98&amp;"'!$B$1"),IF(VLOOKUP(AK$1,INDIRECT("'"&amp;$A98&amp;"'!$A$12:$Z$41"),MATCH("Points (Auto-generate)",INDIRECT("'"&amp;$A98&amp;"'!$A$12:$Z$12"),0),0)="","?",VLOOKUP(AK$1,INDIRECT("'"&amp;$A98&amp;"'!$A$12:$Z$41"),MATCH("Points (Auto-generate)",INDIRECT("'"&amp;$A98&amp;"'!$A$12:$Z$12"),0),0)),"ER"))</f>
        <v>?</v>
      </c>
    </row>
    <row r="99" customFormat="false" ht="14.25" hidden="false" customHeight="true" outlineLevel="0" collapsed="false">
      <c r="A99" s="83" t="s">
        <v>556</v>
      </c>
      <c r="B99" s="84" t="str">
        <f aca="false">IF(ISBLANK($A99),"NO_CODE",VLOOKUP($A99,'UPD Questions_290926 '!$E$1:$N$300,MATCH(B$1,'UPD Questions_290926 '!$E$1:$N$1,0),0)&amp;"")</f>
        <v>Implementation</v>
      </c>
      <c r="C99" s="84" t="str">
        <f aca="false">IF(ISBLANK($A99),"NO_CODE",VLOOKUP($A99,'UPD Questions_290926 '!$E$1:$N$300,MATCH(C$1,'UPD Questions_290926 '!$E$1:$N$1,0),0)&amp;"")</f>
        <v>Development Control Regulations and land-management instruments</v>
      </c>
      <c r="D99" s="84" t="str">
        <f aca="false">IF(ISBLANK($A99),"NO_CODE",VLOOKUP($A99,'UPD Questions_290926 '!$E$1:$N$300,MATCH(D$1,'UPD Questions_290926 '!$E$1:$N$1,0),0)&amp;"")</f>
        <v>Green-building incentives</v>
      </c>
      <c r="E99" s="84" t="str">
        <f aca="false">IF(ISBLANK($A99),"NO_CODE",VLOOKUP($A99,'UPD Questions_290926 '!$E$1:$N$300,MATCH(E$1,'UPD Questions_290926 '!$E$1:$N$1,0),0)&amp;"")</f>
        <v>SQ</v>
      </c>
      <c r="F99" s="84" t="str">
        <f aca="false">IF(ISBLANK($A99),"NO_CODE",VLOOKUP($A99,'UPD Questions_290926 '!$E$1:$N$300,MATCH(F$1,'UPD Questions_290926 '!$E$1:$N$1,0),0)&amp;"")</f>
        <v>Does your city give incentives for green buildings ?</v>
      </c>
      <c r="G99" s="84" t="str">
        <f aca="false">IF(ISBLANK($A99),"NO_CODE",VLOOKUP($A99,'UPD Questions_290926 '!$E$1:$N$300,MATCH(G$1,'UPD Questions_290926 '!$E$1:$N$1,0),0)&amp;"")</f>
        <v>Implementation</v>
      </c>
      <c r="H99" s="86" t="n">
        <f aca="false">IF(ISBLANK($A99),"NO_CODE",VLOOKUP($A99,'UPD Questions_290926 '!$E$1:$N$300,MATCH(H$1,'UPD Questions_290926 '!$E$1:$N$1,0),0))</f>
        <v>5</v>
      </c>
      <c r="I99" s="87" t="str">
        <f aca="true">IF($H99=0,"NA",IF($A99=INDIRECT("'"&amp;$A99&amp;"'!$B$1"),IF(VLOOKUP(I$1,INDIRECT("'"&amp;$A99&amp;"'!$A$12:$Z$41"),MATCH("Points (Auto-generate)",INDIRECT("'"&amp;$A99&amp;"'!$A$12:$Z$12"),0),0)="","?",VLOOKUP(I$1,INDIRECT("'"&amp;$A99&amp;"'!$A$12:$Z$41"),MATCH("Points (Auto-generate)",INDIRECT("'"&amp;$A99&amp;"'!$A$12:$Z$12"),0),0)),"ER"))</f>
        <v>?</v>
      </c>
      <c r="J99" s="87" t="str">
        <f aca="true">IF($H99=0,"NA",IF($A99=INDIRECT("'"&amp;$A99&amp;"'!$B$1"),IF(VLOOKUP(J$1,INDIRECT("'"&amp;$A99&amp;"'!$A$12:$Z$41"),MATCH("Points (Auto-generate)",INDIRECT("'"&amp;$A99&amp;"'!$A$12:$Z$12"),0),0)="","?",VLOOKUP(J$1,INDIRECT("'"&amp;$A99&amp;"'!$A$12:$Z$41"),MATCH("Points (Auto-generate)",INDIRECT("'"&amp;$A99&amp;"'!$A$12:$Z$12"),0),0)),"ER"))</f>
        <v>?</v>
      </c>
      <c r="K99" s="87" t="str">
        <f aca="true">IF($H99=0,"NA",IF($A99=INDIRECT("'"&amp;$A99&amp;"'!$B$1"),IF(VLOOKUP(K$1,INDIRECT("'"&amp;$A99&amp;"'!$A$12:$Z$41"),MATCH("Points (Auto-generate)",INDIRECT("'"&amp;$A99&amp;"'!$A$12:$Z$12"),0),0)="","?",VLOOKUP(K$1,INDIRECT("'"&amp;$A99&amp;"'!$A$12:$Z$41"),MATCH("Points (Auto-generate)",INDIRECT("'"&amp;$A99&amp;"'!$A$12:$Z$12"),0),0)),"ER"))</f>
        <v>?</v>
      </c>
      <c r="L99" s="87" t="str">
        <f aca="true">IF($H99=0,"NA",IF($A99=INDIRECT("'"&amp;$A99&amp;"'!$B$1"),IF(VLOOKUP(L$1,INDIRECT("'"&amp;$A99&amp;"'!$A$12:$Z$41"),MATCH("Points (Auto-generate)",INDIRECT("'"&amp;$A99&amp;"'!$A$12:$Z$12"),0),0)="","?",VLOOKUP(L$1,INDIRECT("'"&amp;$A99&amp;"'!$A$12:$Z$41"),MATCH("Points (Auto-generate)",INDIRECT("'"&amp;$A99&amp;"'!$A$12:$Z$12"),0),0)),"ER"))</f>
        <v>?</v>
      </c>
      <c r="M99" s="87" t="str">
        <f aca="true">IF($H99=0,"NA",IF($A99=INDIRECT("'"&amp;$A99&amp;"'!$B$1"),IF(VLOOKUP(M$1,INDIRECT("'"&amp;$A99&amp;"'!$A$12:$Z$41"),MATCH("Points (Auto-generate)",INDIRECT("'"&amp;$A99&amp;"'!$A$12:$Z$12"),0),0)="","?",VLOOKUP(M$1,INDIRECT("'"&amp;$A99&amp;"'!$A$12:$Z$41"),MATCH("Points (Auto-generate)",INDIRECT("'"&amp;$A99&amp;"'!$A$12:$Z$12"),0),0)),"ER"))</f>
        <v>?</v>
      </c>
      <c r="N99" s="87" t="str">
        <f aca="true">IF($H99=0,"NA",IF($A99=INDIRECT("'"&amp;$A99&amp;"'!$B$1"),IF(VLOOKUP(N$1,INDIRECT("'"&amp;$A99&amp;"'!$A$12:$Z$41"),MATCH("Points (Auto-generate)",INDIRECT("'"&amp;$A99&amp;"'!$A$12:$Z$12"),0),0)="","?",VLOOKUP(N$1,INDIRECT("'"&amp;$A99&amp;"'!$A$12:$Z$41"),MATCH("Points (Auto-generate)",INDIRECT("'"&amp;$A99&amp;"'!$A$12:$Z$12"),0),0)),"ER"))</f>
        <v>?</v>
      </c>
      <c r="O99" s="87" t="str">
        <f aca="true">IF($H99=0,"NA",IF($A99=INDIRECT("'"&amp;$A99&amp;"'!$B$1"),IF(VLOOKUP(O$1,INDIRECT("'"&amp;$A99&amp;"'!$A$12:$Z$41"),MATCH("Points (Auto-generate)",INDIRECT("'"&amp;$A99&amp;"'!$A$12:$Z$12"),0),0)="","?",VLOOKUP(O$1,INDIRECT("'"&amp;$A99&amp;"'!$A$12:$Z$41"),MATCH("Points (Auto-generate)",INDIRECT("'"&amp;$A99&amp;"'!$A$12:$Z$12"),0),0)),"ER"))</f>
        <v>?</v>
      </c>
      <c r="P99" s="87" t="str">
        <f aca="true">IF($H99=0,"NA",IF($A99=INDIRECT("'"&amp;$A99&amp;"'!$B$1"),IF(VLOOKUP(P$1,INDIRECT("'"&amp;$A99&amp;"'!$A$12:$Z$41"),MATCH("Points (Auto-generate)",INDIRECT("'"&amp;$A99&amp;"'!$A$12:$Z$12"),0),0)="","?",VLOOKUP(P$1,INDIRECT("'"&amp;$A99&amp;"'!$A$12:$Z$41"),MATCH("Points (Auto-generate)",INDIRECT("'"&amp;$A99&amp;"'!$A$12:$Z$12"),0),0)),"ER"))</f>
        <v>?</v>
      </c>
      <c r="Q99" s="87" t="str">
        <f aca="true">IF($H99=0,"NA",IF($A99=INDIRECT("'"&amp;$A99&amp;"'!$B$1"),IF(VLOOKUP(Q$1,INDIRECT("'"&amp;$A99&amp;"'!$A$12:$Z$41"),MATCH("Points (Auto-generate)",INDIRECT("'"&amp;$A99&amp;"'!$A$12:$Z$12"),0),0)="","?",VLOOKUP(Q$1,INDIRECT("'"&amp;$A99&amp;"'!$A$12:$Z$41"),MATCH("Points (Auto-generate)",INDIRECT("'"&amp;$A99&amp;"'!$A$12:$Z$12"),0),0)),"ER"))</f>
        <v>?</v>
      </c>
      <c r="R99" s="87" t="str">
        <f aca="true">IF($H99=0,"NA",IF($A99=INDIRECT("'"&amp;$A99&amp;"'!$B$1"),IF(VLOOKUP(R$1,INDIRECT("'"&amp;$A99&amp;"'!$A$12:$Z$41"),MATCH("Points (Auto-generate)",INDIRECT("'"&amp;$A99&amp;"'!$A$12:$Z$12"),0),0)="","?",VLOOKUP(R$1,INDIRECT("'"&amp;$A99&amp;"'!$A$12:$Z$41"),MATCH("Points (Auto-generate)",INDIRECT("'"&amp;$A99&amp;"'!$A$12:$Z$12"),0),0)),"ER"))</f>
        <v>?</v>
      </c>
      <c r="S99" s="87" t="str">
        <f aca="true">IF($H99=0,"NA",IF($A99=INDIRECT("'"&amp;$A99&amp;"'!$B$1"),IF(VLOOKUP(S$1,INDIRECT("'"&amp;$A99&amp;"'!$A$12:$Z$41"),MATCH("Points (Auto-generate)",INDIRECT("'"&amp;$A99&amp;"'!$A$12:$Z$12"),0),0)="","?",VLOOKUP(S$1,INDIRECT("'"&amp;$A99&amp;"'!$A$12:$Z$41"),MATCH("Points (Auto-generate)",INDIRECT("'"&amp;$A99&amp;"'!$A$12:$Z$12"),0),0)),"ER"))</f>
        <v>?</v>
      </c>
      <c r="T99" s="87" t="str">
        <f aca="true">IF($H99=0,"NA",IF($A99=INDIRECT("'"&amp;$A99&amp;"'!$B$1"),IF(VLOOKUP(T$1,INDIRECT("'"&amp;$A99&amp;"'!$A$12:$Z$41"),MATCH("Points (Auto-generate)",INDIRECT("'"&amp;$A99&amp;"'!$A$12:$Z$12"),0),0)="","?",VLOOKUP(T$1,INDIRECT("'"&amp;$A99&amp;"'!$A$12:$Z$41"),MATCH("Points (Auto-generate)",INDIRECT("'"&amp;$A99&amp;"'!$A$12:$Z$12"),0),0)),"ER"))</f>
        <v>?</v>
      </c>
      <c r="U99" s="87" t="str">
        <f aca="true">IF($H99=0,"NA",IF($A99=INDIRECT("'"&amp;$A99&amp;"'!$B$1"),IF(VLOOKUP(U$1,INDIRECT("'"&amp;$A99&amp;"'!$A$12:$Z$41"),MATCH("Points (Auto-generate)",INDIRECT("'"&amp;$A99&amp;"'!$A$12:$Z$12"),0),0)="","?",VLOOKUP(U$1,INDIRECT("'"&amp;$A99&amp;"'!$A$12:$Z$41"),MATCH("Points (Auto-generate)",INDIRECT("'"&amp;$A99&amp;"'!$A$12:$Z$12"),0),0)),"ER"))</f>
        <v>?</v>
      </c>
      <c r="V99" s="87" t="str">
        <f aca="true">IF($H99=0,"NA",IF($A99=INDIRECT("'"&amp;$A99&amp;"'!$B$1"),IF(VLOOKUP(V$1,INDIRECT("'"&amp;$A99&amp;"'!$A$12:$Z$41"),MATCH("Points (Auto-generate)",INDIRECT("'"&amp;$A99&amp;"'!$A$12:$Z$12"),0),0)="","?",VLOOKUP(V$1,INDIRECT("'"&amp;$A99&amp;"'!$A$12:$Z$41"),MATCH("Points (Auto-generate)",INDIRECT("'"&amp;$A99&amp;"'!$A$12:$Z$12"),0),0)),"ER"))</f>
        <v>?</v>
      </c>
      <c r="W99" s="87" t="str">
        <f aca="true">IF($H99=0,"NA",IF($A99=INDIRECT("'"&amp;$A99&amp;"'!$B$1"),IF(VLOOKUP(W$1,INDIRECT("'"&amp;$A99&amp;"'!$A$12:$Z$41"),MATCH("Points (Auto-generate)",INDIRECT("'"&amp;$A99&amp;"'!$A$12:$Z$12"),0),0)="","?",VLOOKUP(W$1,INDIRECT("'"&amp;$A99&amp;"'!$A$12:$Z$41"),MATCH("Points (Auto-generate)",INDIRECT("'"&amp;$A99&amp;"'!$A$12:$Z$12"),0),0)),"ER"))</f>
        <v>?</v>
      </c>
      <c r="X99" s="87" t="str">
        <f aca="true">IF($H99=0,"NA",IF($A99=INDIRECT("'"&amp;$A99&amp;"'!$B$1"),IF(VLOOKUP(X$1,INDIRECT("'"&amp;$A99&amp;"'!$A$12:$Z$41"),MATCH("Points (Auto-generate)",INDIRECT("'"&amp;$A99&amp;"'!$A$12:$Z$12"),0),0)="","?",VLOOKUP(X$1,INDIRECT("'"&amp;$A99&amp;"'!$A$12:$Z$41"),MATCH("Points (Auto-generate)",INDIRECT("'"&amp;$A99&amp;"'!$A$12:$Z$12"),0),0)),"ER"))</f>
        <v>?</v>
      </c>
      <c r="Y99" s="87" t="str">
        <f aca="true">IF($H99=0,"NA",IF($A99=INDIRECT("'"&amp;$A99&amp;"'!$B$1"),IF(VLOOKUP(Y$1,INDIRECT("'"&amp;$A99&amp;"'!$A$12:$Z$41"),MATCH("Points (Auto-generate)",INDIRECT("'"&amp;$A99&amp;"'!$A$12:$Z$12"),0),0)="","?",VLOOKUP(Y$1,INDIRECT("'"&amp;$A99&amp;"'!$A$12:$Z$41"),MATCH("Points (Auto-generate)",INDIRECT("'"&amp;$A99&amp;"'!$A$12:$Z$12"),0),0)),"ER"))</f>
        <v>?</v>
      </c>
      <c r="Z99" s="87" t="str">
        <f aca="true">IF($H99=0,"NA",IF($A99=INDIRECT("'"&amp;$A99&amp;"'!$B$1"),IF(VLOOKUP(Z$1,INDIRECT("'"&amp;$A99&amp;"'!$A$12:$Z$41"),MATCH("Points (Auto-generate)",INDIRECT("'"&amp;$A99&amp;"'!$A$12:$Z$12"),0),0)="","?",VLOOKUP(Z$1,INDIRECT("'"&amp;$A99&amp;"'!$A$12:$Z$41"),MATCH("Points (Auto-generate)",INDIRECT("'"&amp;$A99&amp;"'!$A$12:$Z$12"),0),0)),"ER"))</f>
        <v>?</v>
      </c>
      <c r="AA99" s="87" t="str">
        <f aca="true">IF($H99=0,"NA",IF($A99=INDIRECT("'"&amp;$A99&amp;"'!$B$1"),IF(VLOOKUP(AA$1,INDIRECT("'"&amp;$A99&amp;"'!$A$12:$Z$41"),MATCH("Points (Auto-generate)",INDIRECT("'"&amp;$A99&amp;"'!$A$12:$Z$12"),0),0)="","?",VLOOKUP(AA$1,INDIRECT("'"&amp;$A99&amp;"'!$A$12:$Z$41"),MATCH("Points (Auto-generate)",INDIRECT("'"&amp;$A99&amp;"'!$A$12:$Z$12"),0),0)),"ER"))</f>
        <v>?</v>
      </c>
      <c r="AB99" s="87" t="str">
        <f aca="true">IF($H99=0,"NA",IF($A99=INDIRECT("'"&amp;$A99&amp;"'!$B$1"),IF(VLOOKUP(AB$1,INDIRECT("'"&amp;$A99&amp;"'!$A$12:$Z$41"),MATCH("Points (Auto-generate)",INDIRECT("'"&amp;$A99&amp;"'!$A$12:$Z$12"),0),0)="","?",VLOOKUP(AB$1,INDIRECT("'"&amp;$A99&amp;"'!$A$12:$Z$41"),MATCH("Points (Auto-generate)",INDIRECT("'"&amp;$A99&amp;"'!$A$12:$Z$12"),0),0)),"ER"))</f>
        <v>?</v>
      </c>
      <c r="AC99" s="87" t="str">
        <f aca="true">IF($H99=0,"NA",IF($A99=INDIRECT("'"&amp;$A99&amp;"'!$B$1"),IF(VLOOKUP(AC$1,INDIRECT("'"&amp;$A99&amp;"'!$A$12:$Z$41"),MATCH("Points (Auto-generate)",INDIRECT("'"&amp;$A99&amp;"'!$A$12:$Z$12"),0),0)="","?",VLOOKUP(AC$1,INDIRECT("'"&amp;$A99&amp;"'!$A$12:$Z$41"),MATCH("Points (Auto-generate)",INDIRECT("'"&amp;$A99&amp;"'!$A$12:$Z$12"),0),0)),"ER"))</f>
        <v>?</v>
      </c>
      <c r="AD99" s="87" t="str">
        <f aca="true">IF($H99=0,"NA",IF($A99=INDIRECT("'"&amp;$A99&amp;"'!$B$1"),IF(VLOOKUP(AD$1,INDIRECT("'"&amp;$A99&amp;"'!$A$12:$Z$41"),MATCH("Points (Auto-generate)",INDIRECT("'"&amp;$A99&amp;"'!$A$12:$Z$12"),0),0)="","?",VLOOKUP(AD$1,INDIRECT("'"&amp;$A99&amp;"'!$A$12:$Z$41"),MATCH("Points (Auto-generate)",INDIRECT("'"&amp;$A99&amp;"'!$A$12:$Z$12"),0),0)),"ER"))</f>
        <v>?</v>
      </c>
      <c r="AE99" s="87" t="str">
        <f aca="true">IF($H99=0,"NA",IF($A99=INDIRECT("'"&amp;$A99&amp;"'!$B$1"),IF(VLOOKUP(AE$1,INDIRECT("'"&amp;$A99&amp;"'!$A$12:$Z$41"),MATCH("Points (Auto-generate)",INDIRECT("'"&amp;$A99&amp;"'!$A$12:$Z$12"),0),0)="","?",VLOOKUP(AE$1,INDIRECT("'"&amp;$A99&amp;"'!$A$12:$Z$41"),MATCH("Points (Auto-generate)",INDIRECT("'"&amp;$A99&amp;"'!$A$12:$Z$12"),0),0)),"ER"))</f>
        <v>?</v>
      </c>
      <c r="AF99" s="87" t="str">
        <f aca="true">IF($H99=0,"NA",IF($A99=INDIRECT("'"&amp;$A99&amp;"'!$B$1"),IF(VLOOKUP(AF$1,INDIRECT("'"&amp;$A99&amp;"'!$A$12:$Z$41"),MATCH("Points (Auto-generate)",INDIRECT("'"&amp;$A99&amp;"'!$A$12:$Z$12"),0),0)="","?",VLOOKUP(AF$1,INDIRECT("'"&amp;$A99&amp;"'!$A$12:$Z$41"),MATCH("Points (Auto-generate)",INDIRECT("'"&amp;$A99&amp;"'!$A$12:$Z$12"),0),0)),"ER"))</f>
        <v>?</v>
      </c>
      <c r="AG99" s="87" t="str">
        <f aca="true">IF($H99=0,"NA",IF($A99=INDIRECT("'"&amp;$A99&amp;"'!$B$1"),IF(VLOOKUP(AG$1,INDIRECT("'"&amp;$A99&amp;"'!$A$12:$Z$41"),MATCH("Points (Auto-generate)",INDIRECT("'"&amp;$A99&amp;"'!$A$12:$Z$12"),0),0)="","?",VLOOKUP(AG$1,INDIRECT("'"&amp;$A99&amp;"'!$A$12:$Z$41"),MATCH("Points (Auto-generate)",INDIRECT("'"&amp;$A99&amp;"'!$A$12:$Z$12"),0),0)),"ER"))</f>
        <v>?</v>
      </c>
      <c r="AH99" s="87" t="str">
        <f aca="true">IF($H99=0,"NA",IF($A99=INDIRECT("'"&amp;$A99&amp;"'!$B$1"),IF(VLOOKUP(AH$1,INDIRECT("'"&amp;$A99&amp;"'!$A$12:$Z$41"),MATCH("Points (Auto-generate)",INDIRECT("'"&amp;$A99&amp;"'!$A$12:$Z$12"),0),0)="","?",VLOOKUP(AH$1,INDIRECT("'"&amp;$A99&amp;"'!$A$12:$Z$41"),MATCH("Points (Auto-generate)",INDIRECT("'"&amp;$A99&amp;"'!$A$12:$Z$12"),0),0)),"ER"))</f>
        <v>?</v>
      </c>
      <c r="AI99" s="87" t="str">
        <f aca="true">IF($H99=0,"NA",IF($A99=INDIRECT("'"&amp;$A99&amp;"'!$B$1"),IF(VLOOKUP(AI$1,INDIRECT("'"&amp;$A99&amp;"'!$A$12:$Z$41"),MATCH("Points (Auto-generate)",INDIRECT("'"&amp;$A99&amp;"'!$A$12:$Z$12"),0),0)="","?",VLOOKUP(AI$1,INDIRECT("'"&amp;$A99&amp;"'!$A$12:$Z$41"),MATCH("Points (Auto-generate)",INDIRECT("'"&amp;$A99&amp;"'!$A$12:$Z$12"),0),0)),"ER"))</f>
        <v>?</v>
      </c>
      <c r="AJ99" s="87" t="str">
        <f aca="true">IF($H99=0,"NA",IF($A99=INDIRECT("'"&amp;$A99&amp;"'!$B$1"),IF(VLOOKUP(AJ$1,INDIRECT("'"&amp;$A99&amp;"'!$A$12:$Z$41"),MATCH("Points (Auto-generate)",INDIRECT("'"&amp;$A99&amp;"'!$A$12:$Z$12"),0),0)="","?",VLOOKUP(AJ$1,INDIRECT("'"&amp;$A99&amp;"'!$A$12:$Z$41"),MATCH("Points (Auto-generate)",INDIRECT("'"&amp;$A99&amp;"'!$A$12:$Z$12"),0),0)),"ER"))</f>
        <v>?</v>
      </c>
      <c r="AK99" s="87" t="str">
        <f aca="true">IF($H99=0,"NA",IF($A99=INDIRECT("'"&amp;$A99&amp;"'!$B$1"),IF(VLOOKUP(AK$1,INDIRECT("'"&amp;$A99&amp;"'!$A$12:$Z$41"),MATCH("Points (Auto-generate)",INDIRECT("'"&amp;$A99&amp;"'!$A$12:$Z$12"),0),0)="","?",VLOOKUP(AK$1,INDIRECT("'"&amp;$A99&amp;"'!$A$12:$Z$41"),MATCH("Points (Auto-generate)",INDIRECT("'"&amp;$A99&amp;"'!$A$12:$Z$12"),0),0)),"ER"))</f>
        <v>?</v>
      </c>
    </row>
    <row r="100" customFormat="false" ht="14.25" hidden="false" customHeight="true" outlineLevel="0" collapsed="false">
      <c r="A100" s="83" t="s">
        <v>562</v>
      </c>
      <c r="B100" s="84" t="str">
        <f aca="false">IF(ISBLANK($A100),"NO_CODE",VLOOKUP($A100,'UPD Questions_290926 '!$E$1:$N$300,MATCH(B$1,'UPD Questions_290926 '!$E$1:$N$1,0),0)&amp;"")</f>
        <v>Implementation</v>
      </c>
      <c r="C100" s="84" t="str">
        <f aca="false">IF(ISBLANK($A100),"NO_CODE",VLOOKUP($A100,'UPD Questions_290926 '!$E$1:$N$300,MATCH(C$1,'UPD Questions_290926 '!$E$1:$N$1,0),0)&amp;"")</f>
        <v>Development Control Regulations and land-management instruments</v>
      </c>
      <c r="D100" s="84" t="str">
        <f aca="false">IF(ISBLANK($A100),"NO_CODE",VLOOKUP($A100,'UPD Questions_290926 '!$E$1:$N$300,MATCH(D$1,'UPD Questions_290926 '!$E$1:$N$1,0),0)&amp;"")</f>
        <v>Land-management instruments</v>
      </c>
      <c r="E100" s="84" t="str">
        <f aca="false">IF(ISBLANK($A100),"NO_CODE",VLOOKUP($A100,'UPD Questions_290926 '!$E$1:$N$300,MATCH(E$1,'UPD Questions_290926 '!$E$1:$N$1,0),0)&amp;"")</f>
        <v>MQ</v>
      </c>
      <c r="F100" s="84" t="str">
        <f aca="false">IF(ISBLANK($A100),"NO_CODE",VLOOKUP($A100,'UPD Questions_290926 '!$E$1:$N$300,MATCH(F$1,'UPD Questions_290926 '!$E$1:$N$1,0),0)&amp;"")</f>
        <v>Does the law enable a guaranteed land titling system ?</v>
      </c>
      <c r="G100" s="84" t="str">
        <f aca="false">IF(ISBLANK($A100),"NO_CODE",VLOOKUP($A100,'UPD Questions_290926 '!$E$1:$N$300,MATCH(G$1,'UPD Questions_290926 '!$E$1:$N$1,0),0)&amp;"")</f>
        <v>Law or Policy</v>
      </c>
      <c r="H100" s="86" t="n">
        <f aca="false">IF(ISBLANK($A100),"NO_CODE",VLOOKUP($A100,'UPD Questions_290926 '!$E$1:$N$300,MATCH(H$1,'UPD Questions_290926 '!$E$1:$N$1,0),0))</f>
        <v>10</v>
      </c>
      <c r="I100" s="87" t="str">
        <f aca="true">IF($H100=0,"NA",IF($A100=INDIRECT("'"&amp;$A100&amp;"'!$B$1"),IF(VLOOKUP(I$1,INDIRECT("'"&amp;$A100&amp;"'!$A$12:$Z$41"),MATCH("Points (Auto-generate)",INDIRECT("'"&amp;$A100&amp;"'!$A$12:$Z$12"),0),0)="","?",VLOOKUP(I$1,INDIRECT("'"&amp;$A100&amp;"'!$A$12:$Z$41"),MATCH("Points (Auto-generate)",INDIRECT("'"&amp;$A100&amp;"'!$A$12:$Z$12"),0),0)),"ER"))</f>
        <v>?</v>
      </c>
      <c r="J100" s="87" t="str">
        <f aca="true">IF($H100=0,"NA",IF($A100=INDIRECT("'"&amp;$A100&amp;"'!$B$1"),IF(VLOOKUP(J$1,INDIRECT("'"&amp;$A100&amp;"'!$A$12:$Z$41"),MATCH("Points (Auto-generate)",INDIRECT("'"&amp;$A100&amp;"'!$A$12:$Z$12"),0),0)="","?",VLOOKUP(J$1,INDIRECT("'"&amp;$A100&amp;"'!$A$12:$Z$41"),MATCH("Points (Auto-generate)",INDIRECT("'"&amp;$A100&amp;"'!$A$12:$Z$12"),0),0)),"ER"))</f>
        <v>?</v>
      </c>
      <c r="K100" s="87" t="str">
        <f aca="true">IF($H100=0,"NA",IF($A100=INDIRECT("'"&amp;$A100&amp;"'!$B$1"),IF(VLOOKUP(K$1,INDIRECT("'"&amp;$A100&amp;"'!$A$12:$Z$41"),MATCH("Points (Auto-generate)",INDIRECT("'"&amp;$A100&amp;"'!$A$12:$Z$12"),0),0)="","?",VLOOKUP(K$1,INDIRECT("'"&amp;$A100&amp;"'!$A$12:$Z$41"),MATCH("Points (Auto-generate)",INDIRECT("'"&amp;$A100&amp;"'!$A$12:$Z$12"),0),0)),"ER"))</f>
        <v>?</v>
      </c>
      <c r="L100" s="87" t="str">
        <f aca="true">IF($H100=0,"NA",IF($A100=INDIRECT("'"&amp;$A100&amp;"'!$B$1"),IF(VLOOKUP(L$1,INDIRECT("'"&amp;$A100&amp;"'!$A$12:$Z$41"),MATCH("Points (Auto-generate)",INDIRECT("'"&amp;$A100&amp;"'!$A$12:$Z$12"),0),0)="","?",VLOOKUP(L$1,INDIRECT("'"&amp;$A100&amp;"'!$A$12:$Z$41"),MATCH("Points (Auto-generate)",INDIRECT("'"&amp;$A100&amp;"'!$A$12:$Z$12"),0),0)),"ER"))</f>
        <v>?</v>
      </c>
      <c r="M100" s="87" t="str">
        <f aca="true">IF($H100=0,"NA",IF($A100=INDIRECT("'"&amp;$A100&amp;"'!$B$1"),IF(VLOOKUP(M$1,INDIRECT("'"&amp;$A100&amp;"'!$A$12:$Z$41"),MATCH("Points (Auto-generate)",INDIRECT("'"&amp;$A100&amp;"'!$A$12:$Z$12"),0),0)="","?",VLOOKUP(M$1,INDIRECT("'"&amp;$A100&amp;"'!$A$12:$Z$41"),MATCH("Points (Auto-generate)",INDIRECT("'"&amp;$A100&amp;"'!$A$12:$Z$12"),0),0)),"ER"))</f>
        <v>?</v>
      </c>
      <c r="N100" s="87" t="str">
        <f aca="true">IF($H100=0,"NA",IF($A100=INDIRECT("'"&amp;$A100&amp;"'!$B$1"),IF(VLOOKUP(N$1,INDIRECT("'"&amp;$A100&amp;"'!$A$12:$Z$41"),MATCH("Points (Auto-generate)",INDIRECT("'"&amp;$A100&amp;"'!$A$12:$Z$12"),0),0)="","?",VLOOKUP(N$1,INDIRECT("'"&amp;$A100&amp;"'!$A$12:$Z$41"),MATCH("Points (Auto-generate)",INDIRECT("'"&amp;$A100&amp;"'!$A$12:$Z$12"),0),0)),"ER"))</f>
        <v>?</v>
      </c>
      <c r="O100" s="87" t="str">
        <f aca="true">IF($H100=0,"NA",IF($A100=INDIRECT("'"&amp;$A100&amp;"'!$B$1"),IF(VLOOKUP(O$1,INDIRECT("'"&amp;$A100&amp;"'!$A$12:$Z$41"),MATCH("Points (Auto-generate)",INDIRECT("'"&amp;$A100&amp;"'!$A$12:$Z$12"),0),0)="","?",VLOOKUP(O$1,INDIRECT("'"&amp;$A100&amp;"'!$A$12:$Z$41"),MATCH("Points (Auto-generate)",INDIRECT("'"&amp;$A100&amp;"'!$A$12:$Z$12"),0),0)),"ER"))</f>
        <v>?</v>
      </c>
      <c r="P100" s="87" t="str">
        <f aca="true">IF($H100=0,"NA",IF($A100=INDIRECT("'"&amp;$A100&amp;"'!$B$1"),IF(VLOOKUP(P$1,INDIRECT("'"&amp;$A100&amp;"'!$A$12:$Z$41"),MATCH("Points (Auto-generate)",INDIRECT("'"&amp;$A100&amp;"'!$A$12:$Z$12"),0),0)="","?",VLOOKUP(P$1,INDIRECT("'"&amp;$A100&amp;"'!$A$12:$Z$41"),MATCH("Points (Auto-generate)",INDIRECT("'"&amp;$A100&amp;"'!$A$12:$Z$12"),0),0)),"ER"))</f>
        <v>?</v>
      </c>
      <c r="Q100" s="87" t="str">
        <f aca="true">IF($H100=0,"NA",IF($A100=INDIRECT("'"&amp;$A100&amp;"'!$B$1"),IF(VLOOKUP(Q$1,INDIRECT("'"&amp;$A100&amp;"'!$A$12:$Z$41"),MATCH("Points (Auto-generate)",INDIRECT("'"&amp;$A100&amp;"'!$A$12:$Z$12"),0),0)="","?",VLOOKUP(Q$1,INDIRECT("'"&amp;$A100&amp;"'!$A$12:$Z$41"),MATCH("Points (Auto-generate)",INDIRECT("'"&amp;$A100&amp;"'!$A$12:$Z$12"),0),0)),"ER"))</f>
        <v>?</v>
      </c>
      <c r="R100" s="87" t="str">
        <f aca="true">IF($H100=0,"NA",IF($A100=INDIRECT("'"&amp;$A100&amp;"'!$B$1"),IF(VLOOKUP(R$1,INDIRECT("'"&amp;$A100&amp;"'!$A$12:$Z$41"),MATCH("Points (Auto-generate)",INDIRECT("'"&amp;$A100&amp;"'!$A$12:$Z$12"),0),0)="","?",VLOOKUP(R$1,INDIRECT("'"&amp;$A100&amp;"'!$A$12:$Z$41"),MATCH("Points (Auto-generate)",INDIRECT("'"&amp;$A100&amp;"'!$A$12:$Z$12"),0),0)),"ER"))</f>
        <v>?</v>
      </c>
      <c r="S100" s="87" t="str">
        <f aca="true">IF($H100=0,"NA",IF($A100=INDIRECT("'"&amp;$A100&amp;"'!$B$1"),IF(VLOOKUP(S$1,INDIRECT("'"&amp;$A100&amp;"'!$A$12:$Z$41"),MATCH("Points (Auto-generate)",INDIRECT("'"&amp;$A100&amp;"'!$A$12:$Z$12"),0),0)="","?",VLOOKUP(S$1,INDIRECT("'"&amp;$A100&amp;"'!$A$12:$Z$41"),MATCH("Points (Auto-generate)",INDIRECT("'"&amp;$A100&amp;"'!$A$12:$Z$12"),0),0)),"ER"))</f>
        <v>?</v>
      </c>
      <c r="T100" s="87" t="str">
        <f aca="true">IF($H100=0,"NA",IF($A100=INDIRECT("'"&amp;$A100&amp;"'!$B$1"),IF(VLOOKUP(T$1,INDIRECT("'"&amp;$A100&amp;"'!$A$12:$Z$41"),MATCH("Points (Auto-generate)",INDIRECT("'"&amp;$A100&amp;"'!$A$12:$Z$12"),0),0)="","?",VLOOKUP(T$1,INDIRECT("'"&amp;$A100&amp;"'!$A$12:$Z$41"),MATCH("Points (Auto-generate)",INDIRECT("'"&amp;$A100&amp;"'!$A$12:$Z$12"),0),0)),"ER"))</f>
        <v>?</v>
      </c>
      <c r="U100" s="87" t="str">
        <f aca="true">IF($H100=0,"NA",IF($A100=INDIRECT("'"&amp;$A100&amp;"'!$B$1"),IF(VLOOKUP(U$1,INDIRECT("'"&amp;$A100&amp;"'!$A$12:$Z$41"),MATCH("Points (Auto-generate)",INDIRECT("'"&amp;$A100&amp;"'!$A$12:$Z$12"),0),0)="","?",VLOOKUP(U$1,INDIRECT("'"&amp;$A100&amp;"'!$A$12:$Z$41"),MATCH("Points (Auto-generate)",INDIRECT("'"&amp;$A100&amp;"'!$A$12:$Z$12"),0),0)),"ER"))</f>
        <v>?</v>
      </c>
      <c r="V100" s="87" t="str">
        <f aca="true">IF($H100=0,"NA",IF($A100=INDIRECT("'"&amp;$A100&amp;"'!$B$1"),IF(VLOOKUP(V$1,INDIRECT("'"&amp;$A100&amp;"'!$A$12:$Z$41"),MATCH("Points (Auto-generate)",INDIRECT("'"&amp;$A100&amp;"'!$A$12:$Z$12"),0),0)="","?",VLOOKUP(V$1,INDIRECT("'"&amp;$A100&amp;"'!$A$12:$Z$41"),MATCH("Points (Auto-generate)",INDIRECT("'"&amp;$A100&amp;"'!$A$12:$Z$12"),0),0)),"ER"))</f>
        <v>?</v>
      </c>
      <c r="W100" s="87" t="str">
        <f aca="true">IF($H100=0,"NA",IF($A100=INDIRECT("'"&amp;$A100&amp;"'!$B$1"),IF(VLOOKUP(W$1,INDIRECT("'"&amp;$A100&amp;"'!$A$12:$Z$41"),MATCH("Points (Auto-generate)",INDIRECT("'"&amp;$A100&amp;"'!$A$12:$Z$12"),0),0)="","?",VLOOKUP(W$1,INDIRECT("'"&amp;$A100&amp;"'!$A$12:$Z$41"),MATCH("Points (Auto-generate)",INDIRECT("'"&amp;$A100&amp;"'!$A$12:$Z$12"),0),0)),"ER"))</f>
        <v>?</v>
      </c>
      <c r="X100" s="87" t="str">
        <f aca="true">IF($H100=0,"NA",IF($A100=INDIRECT("'"&amp;$A100&amp;"'!$B$1"),IF(VLOOKUP(X$1,INDIRECT("'"&amp;$A100&amp;"'!$A$12:$Z$41"),MATCH("Points (Auto-generate)",INDIRECT("'"&amp;$A100&amp;"'!$A$12:$Z$12"),0),0)="","?",VLOOKUP(X$1,INDIRECT("'"&amp;$A100&amp;"'!$A$12:$Z$41"),MATCH("Points (Auto-generate)",INDIRECT("'"&amp;$A100&amp;"'!$A$12:$Z$12"),0),0)),"ER"))</f>
        <v>?</v>
      </c>
      <c r="Y100" s="87" t="str">
        <f aca="true">IF($H100=0,"NA",IF($A100=INDIRECT("'"&amp;$A100&amp;"'!$B$1"),IF(VLOOKUP(Y$1,INDIRECT("'"&amp;$A100&amp;"'!$A$12:$Z$41"),MATCH("Points (Auto-generate)",INDIRECT("'"&amp;$A100&amp;"'!$A$12:$Z$12"),0),0)="","?",VLOOKUP(Y$1,INDIRECT("'"&amp;$A100&amp;"'!$A$12:$Z$41"),MATCH("Points (Auto-generate)",INDIRECT("'"&amp;$A100&amp;"'!$A$12:$Z$12"),0),0)),"ER"))</f>
        <v>?</v>
      </c>
      <c r="Z100" s="87" t="str">
        <f aca="true">IF($H100=0,"NA",IF($A100=INDIRECT("'"&amp;$A100&amp;"'!$B$1"),IF(VLOOKUP(Z$1,INDIRECT("'"&amp;$A100&amp;"'!$A$12:$Z$41"),MATCH("Points (Auto-generate)",INDIRECT("'"&amp;$A100&amp;"'!$A$12:$Z$12"),0),0)="","?",VLOOKUP(Z$1,INDIRECT("'"&amp;$A100&amp;"'!$A$12:$Z$41"),MATCH("Points (Auto-generate)",INDIRECT("'"&amp;$A100&amp;"'!$A$12:$Z$12"),0),0)),"ER"))</f>
        <v>?</v>
      </c>
      <c r="AA100" s="87" t="str">
        <f aca="true">IF($H100=0,"NA",IF($A100=INDIRECT("'"&amp;$A100&amp;"'!$B$1"),IF(VLOOKUP(AA$1,INDIRECT("'"&amp;$A100&amp;"'!$A$12:$Z$41"),MATCH("Points (Auto-generate)",INDIRECT("'"&amp;$A100&amp;"'!$A$12:$Z$12"),0),0)="","?",VLOOKUP(AA$1,INDIRECT("'"&amp;$A100&amp;"'!$A$12:$Z$41"),MATCH("Points (Auto-generate)",INDIRECT("'"&amp;$A100&amp;"'!$A$12:$Z$12"),0),0)),"ER"))</f>
        <v>?</v>
      </c>
      <c r="AB100" s="87" t="str">
        <f aca="true">IF($H100=0,"NA",IF($A100=INDIRECT("'"&amp;$A100&amp;"'!$B$1"),IF(VLOOKUP(AB$1,INDIRECT("'"&amp;$A100&amp;"'!$A$12:$Z$41"),MATCH("Points (Auto-generate)",INDIRECT("'"&amp;$A100&amp;"'!$A$12:$Z$12"),0),0)="","?",VLOOKUP(AB$1,INDIRECT("'"&amp;$A100&amp;"'!$A$12:$Z$41"),MATCH("Points (Auto-generate)",INDIRECT("'"&amp;$A100&amp;"'!$A$12:$Z$12"),0),0)),"ER"))</f>
        <v>?</v>
      </c>
      <c r="AC100" s="87" t="str">
        <f aca="true">IF($H100=0,"NA",IF($A100=INDIRECT("'"&amp;$A100&amp;"'!$B$1"),IF(VLOOKUP(AC$1,INDIRECT("'"&amp;$A100&amp;"'!$A$12:$Z$41"),MATCH("Points (Auto-generate)",INDIRECT("'"&amp;$A100&amp;"'!$A$12:$Z$12"),0),0)="","?",VLOOKUP(AC$1,INDIRECT("'"&amp;$A100&amp;"'!$A$12:$Z$41"),MATCH("Points (Auto-generate)",INDIRECT("'"&amp;$A100&amp;"'!$A$12:$Z$12"),0),0)),"ER"))</f>
        <v>?</v>
      </c>
      <c r="AD100" s="87" t="str">
        <f aca="true">IF($H100=0,"NA",IF($A100=INDIRECT("'"&amp;$A100&amp;"'!$B$1"),IF(VLOOKUP(AD$1,INDIRECT("'"&amp;$A100&amp;"'!$A$12:$Z$41"),MATCH("Points (Auto-generate)",INDIRECT("'"&amp;$A100&amp;"'!$A$12:$Z$12"),0),0)="","?",VLOOKUP(AD$1,INDIRECT("'"&amp;$A100&amp;"'!$A$12:$Z$41"),MATCH("Points (Auto-generate)",INDIRECT("'"&amp;$A100&amp;"'!$A$12:$Z$12"),0),0)),"ER"))</f>
        <v>?</v>
      </c>
      <c r="AE100" s="87" t="str">
        <f aca="true">IF($H100=0,"NA",IF($A100=INDIRECT("'"&amp;$A100&amp;"'!$B$1"),IF(VLOOKUP(AE$1,INDIRECT("'"&amp;$A100&amp;"'!$A$12:$Z$41"),MATCH("Points (Auto-generate)",INDIRECT("'"&amp;$A100&amp;"'!$A$12:$Z$12"),0),0)="","?",VLOOKUP(AE$1,INDIRECT("'"&amp;$A100&amp;"'!$A$12:$Z$41"),MATCH("Points (Auto-generate)",INDIRECT("'"&amp;$A100&amp;"'!$A$12:$Z$12"),0),0)),"ER"))</f>
        <v>?</v>
      </c>
      <c r="AF100" s="87" t="str">
        <f aca="true">IF($H100=0,"NA",IF($A100=INDIRECT("'"&amp;$A100&amp;"'!$B$1"),IF(VLOOKUP(AF$1,INDIRECT("'"&amp;$A100&amp;"'!$A$12:$Z$41"),MATCH("Points (Auto-generate)",INDIRECT("'"&amp;$A100&amp;"'!$A$12:$Z$12"),0),0)="","?",VLOOKUP(AF$1,INDIRECT("'"&amp;$A100&amp;"'!$A$12:$Z$41"),MATCH("Points (Auto-generate)",INDIRECT("'"&amp;$A100&amp;"'!$A$12:$Z$12"),0),0)),"ER"))</f>
        <v>?</v>
      </c>
      <c r="AG100" s="87" t="str">
        <f aca="true">IF($H100=0,"NA",IF($A100=INDIRECT("'"&amp;$A100&amp;"'!$B$1"),IF(VLOOKUP(AG$1,INDIRECT("'"&amp;$A100&amp;"'!$A$12:$Z$41"),MATCH("Points (Auto-generate)",INDIRECT("'"&amp;$A100&amp;"'!$A$12:$Z$12"),0),0)="","?",VLOOKUP(AG$1,INDIRECT("'"&amp;$A100&amp;"'!$A$12:$Z$41"),MATCH("Points (Auto-generate)",INDIRECT("'"&amp;$A100&amp;"'!$A$12:$Z$12"),0),0)),"ER"))</f>
        <v>?</v>
      </c>
      <c r="AH100" s="87" t="str">
        <f aca="true">IF($H100=0,"NA",IF($A100=INDIRECT("'"&amp;$A100&amp;"'!$B$1"),IF(VLOOKUP(AH$1,INDIRECT("'"&amp;$A100&amp;"'!$A$12:$Z$41"),MATCH("Points (Auto-generate)",INDIRECT("'"&amp;$A100&amp;"'!$A$12:$Z$12"),0),0)="","?",VLOOKUP(AH$1,INDIRECT("'"&amp;$A100&amp;"'!$A$12:$Z$41"),MATCH("Points (Auto-generate)",INDIRECT("'"&amp;$A100&amp;"'!$A$12:$Z$12"),0),0)),"ER"))</f>
        <v>?</v>
      </c>
      <c r="AI100" s="87" t="str">
        <f aca="true">IF($H100=0,"NA",IF($A100=INDIRECT("'"&amp;$A100&amp;"'!$B$1"),IF(VLOOKUP(AI$1,INDIRECT("'"&amp;$A100&amp;"'!$A$12:$Z$41"),MATCH("Points (Auto-generate)",INDIRECT("'"&amp;$A100&amp;"'!$A$12:$Z$12"),0),0)="","?",VLOOKUP(AI$1,INDIRECT("'"&amp;$A100&amp;"'!$A$12:$Z$41"),MATCH("Points (Auto-generate)",INDIRECT("'"&amp;$A100&amp;"'!$A$12:$Z$12"),0),0)),"ER"))</f>
        <v>?</v>
      </c>
      <c r="AJ100" s="87" t="str">
        <f aca="true">IF($H100=0,"NA",IF($A100=INDIRECT("'"&amp;$A100&amp;"'!$B$1"),IF(VLOOKUP(AJ$1,INDIRECT("'"&amp;$A100&amp;"'!$A$12:$Z$41"),MATCH("Points (Auto-generate)",INDIRECT("'"&amp;$A100&amp;"'!$A$12:$Z$12"),0),0)="","?",VLOOKUP(AJ$1,INDIRECT("'"&amp;$A100&amp;"'!$A$12:$Z$41"),MATCH("Points (Auto-generate)",INDIRECT("'"&amp;$A100&amp;"'!$A$12:$Z$12"),0),0)),"ER"))</f>
        <v>?</v>
      </c>
      <c r="AK100" s="87" t="str">
        <f aca="true">IF($H100=0,"NA",IF($A100=INDIRECT("'"&amp;$A100&amp;"'!$B$1"),IF(VLOOKUP(AK$1,INDIRECT("'"&amp;$A100&amp;"'!$A$12:$Z$41"),MATCH("Points (Auto-generate)",INDIRECT("'"&amp;$A100&amp;"'!$A$12:$Z$12"),0),0)="","?",VLOOKUP(AK$1,INDIRECT("'"&amp;$A100&amp;"'!$A$12:$Z$41"),MATCH("Points (Auto-generate)",INDIRECT("'"&amp;$A100&amp;"'!$A$12:$Z$12"),0),0)),"ER"))</f>
        <v>?</v>
      </c>
    </row>
    <row r="101" customFormat="false" ht="14.25" hidden="false" customHeight="true" outlineLevel="0" collapsed="false">
      <c r="A101" s="83" t="s">
        <v>566</v>
      </c>
      <c r="B101" s="84" t="str">
        <f aca="false">IF(ISBLANK($A101),"NO_CODE",VLOOKUP($A101,'UPD Questions_290926 '!$E$1:$N$300,MATCH(B$1,'UPD Questions_290926 '!$E$1:$N$1,0),0)&amp;"")</f>
        <v>Implementation</v>
      </c>
      <c r="C101" s="84" t="str">
        <f aca="false">IF(ISBLANK($A101),"NO_CODE",VLOOKUP($A101,'UPD Questions_290926 '!$E$1:$N$300,MATCH(C$1,'UPD Questions_290926 '!$E$1:$N$1,0),0)&amp;"")</f>
        <v>Development Control Regulations and land-management instruments</v>
      </c>
      <c r="D101" s="84" t="str">
        <f aca="false">IF(ISBLANK($A101),"NO_CODE",VLOOKUP($A101,'UPD Questions_290926 '!$E$1:$N$300,MATCH(D$1,'UPD Questions_290926 '!$E$1:$N$1,0),0)&amp;"")</f>
        <v>Land-management instruments</v>
      </c>
      <c r="E101" s="84" t="str">
        <f aca="false">IF(ISBLANK($A101),"NO_CODE",VLOOKUP($A101,'UPD Questions_290926 '!$E$1:$N$300,MATCH(E$1,'UPD Questions_290926 '!$E$1:$N$1,0),0)&amp;"")</f>
        <v>MQ</v>
      </c>
      <c r="F101" s="84" t="str">
        <f aca="false">IF(ISBLANK($A101),"NO_CODE",VLOOKUP($A101,'UPD Questions_290926 '!$E$1:$N$300,MATCH(F$1,'UPD Questions_290926 '!$E$1:$N$1,0),0)&amp;"")</f>
        <v>Does the law enable a guaranteed land pooling system ?</v>
      </c>
      <c r="G101" s="84" t="str">
        <f aca="false">IF(ISBLANK($A101),"NO_CODE",VLOOKUP($A101,'UPD Questions_290926 '!$E$1:$N$300,MATCH(G$1,'UPD Questions_290926 '!$E$1:$N$1,0),0)&amp;"")</f>
        <v>Law or Policy</v>
      </c>
      <c r="H101" s="86" t="n">
        <f aca="false">IF(ISBLANK($A101),"NO_CODE",VLOOKUP($A101,'UPD Questions_290926 '!$E$1:$N$300,MATCH(H$1,'UPD Questions_290926 '!$E$1:$N$1,0),0))</f>
        <v>10</v>
      </c>
      <c r="I101" s="87" t="str">
        <f aca="true">IF($H101=0,"NA",IF($A101=INDIRECT("'"&amp;$A101&amp;"'!$B$1"),IF(VLOOKUP(I$1,INDIRECT("'"&amp;$A101&amp;"'!$A$12:$Z$41"),MATCH("Points (Auto-generate)",INDIRECT("'"&amp;$A101&amp;"'!$A$12:$Z$12"),0),0)="","?",VLOOKUP(I$1,INDIRECT("'"&amp;$A101&amp;"'!$A$12:$Z$41"),MATCH("Points (Auto-generate)",INDIRECT("'"&amp;$A101&amp;"'!$A$12:$Z$12"),0),0)),"ER"))</f>
        <v>?</v>
      </c>
      <c r="J101" s="87" t="str">
        <f aca="true">IF($H101=0,"NA",IF($A101=INDIRECT("'"&amp;$A101&amp;"'!$B$1"),IF(VLOOKUP(J$1,INDIRECT("'"&amp;$A101&amp;"'!$A$12:$Z$41"),MATCH("Points (Auto-generate)",INDIRECT("'"&amp;$A101&amp;"'!$A$12:$Z$12"),0),0)="","?",VLOOKUP(J$1,INDIRECT("'"&amp;$A101&amp;"'!$A$12:$Z$41"),MATCH("Points (Auto-generate)",INDIRECT("'"&amp;$A101&amp;"'!$A$12:$Z$12"),0),0)),"ER"))</f>
        <v>?</v>
      </c>
      <c r="K101" s="87" t="str">
        <f aca="true">IF($H101=0,"NA",IF($A101=INDIRECT("'"&amp;$A101&amp;"'!$B$1"),IF(VLOOKUP(K$1,INDIRECT("'"&amp;$A101&amp;"'!$A$12:$Z$41"),MATCH("Points (Auto-generate)",INDIRECT("'"&amp;$A101&amp;"'!$A$12:$Z$12"),0),0)="","?",VLOOKUP(K$1,INDIRECT("'"&amp;$A101&amp;"'!$A$12:$Z$41"),MATCH("Points (Auto-generate)",INDIRECT("'"&amp;$A101&amp;"'!$A$12:$Z$12"),0),0)),"ER"))</f>
        <v>?</v>
      </c>
      <c r="L101" s="87" t="str">
        <f aca="true">IF($H101=0,"NA",IF($A101=INDIRECT("'"&amp;$A101&amp;"'!$B$1"),IF(VLOOKUP(L$1,INDIRECT("'"&amp;$A101&amp;"'!$A$12:$Z$41"),MATCH("Points (Auto-generate)",INDIRECT("'"&amp;$A101&amp;"'!$A$12:$Z$12"),0),0)="","?",VLOOKUP(L$1,INDIRECT("'"&amp;$A101&amp;"'!$A$12:$Z$41"),MATCH("Points (Auto-generate)",INDIRECT("'"&amp;$A101&amp;"'!$A$12:$Z$12"),0),0)),"ER"))</f>
        <v>?</v>
      </c>
      <c r="M101" s="87" t="str">
        <f aca="true">IF($H101=0,"NA",IF($A101=INDIRECT("'"&amp;$A101&amp;"'!$B$1"),IF(VLOOKUP(M$1,INDIRECT("'"&amp;$A101&amp;"'!$A$12:$Z$41"),MATCH("Points (Auto-generate)",INDIRECT("'"&amp;$A101&amp;"'!$A$12:$Z$12"),0),0)="","?",VLOOKUP(M$1,INDIRECT("'"&amp;$A101&amp;"'!$A$12:$Z$41"),MATCH("Points (Auto-generate)",INDIRECT("'"&amp;$A101&amp;"'!$A$12:$Z$12"),0),0)),"ER"))</f>
        <v>?</v>
      </c>
      <c r="N101" s="87" t="str">
        <f aca="true">IF($H101=0,"NA",IF($A101=INDIRECT("'"&amp;$A101&amp;"'!$B$1"),IF(VLOOKUP(N$1,INDIRECT("'"&amp;$A101&amp;"'!$A$12:$Z$41"),MATCH("Points (Auto-generate)",INDIRECT("'"&amp;$A101&amp;"'!$A$12:$Z$12"),0),0)="","?",VLOOKUP(N$1,INDIRECT("'"&amp;$A101&amp;"'!$A$12:$Z$41"),MATCH("Points (Auto-generate)",INDIRECT("'"&amp;$A101&amp;"'!$A$12:$Z$12"),0),0)),"ER"))</f>
        <v>?</v>
      </c>
      <c r="O101" s="87" t="str">
        <f aca="true">IF($H101=0,"NA",IF($A101=INDIRECT("'"&amp;$A101&amp;"'!$B$1"),IF(VLOOKUP(O$1,INDIRECT("'"&amp;$A101&amp;"'!$A$12:$Z$41"),MATCH("Points (Auto-generate)",INDIRECT("'"&amp;$A101&amp;"'!$A$12:$Z$12"),0),0)="","?",VLOOKUP(O$1,INDIRECT("'"&amp;$A101&amp;"'!$A$12:$Z$41"),MATCH("Points (Auto-generate)",INDIRECT("'"&amp;$A101&amp;"'!$A$12:$Z$12"),0),0)),"ER"))</f>
        <v>?</v>
      </c>
      <c r="P101" s="87" t="str">
        <f aca="true">IF($H101=0,"NA",IF($A101=INDIRECT("'"&amp;$A101&amp;"'!$B$1"),IF(VLOOKUP(P$1,INDIRECT("'"&amp;$A101&amp;"'!$A$12:$Z$41"),MATCH("Points (Auto-generate)",INDIRECT("'"&amp;$A101&amp;"'!$A$12:$Z$12"),0),0)="","?",VLOOKUP(P$1,INDIRECT("'"&amp;$A101&amp;"'!$A$12:$Z$41"),MATCH("Points (Auto-generate)",INDIRECT("'"&amp;$A101&amp;"'!$A$12:$Z$12"),0),0)),"ER"))</f>
        <v>?</v>
      </c>
      <c r="Q101" s="87" t="str">
        <f aca="true">IF($H101=0,"NA",IF($A101=INDIRECT("'"&amp;$A101&amp;"'!$B$1"),IF(VLOOKUP(Q$1,INDIRECT("'"&amp;$A101&amp;"'!$A$12:$Z$41"),MATCH("Points (Auto-generate)",INDIRECT("'"&amp;$A101&amp;"'!$A$12:$Z$12"),0),0)="","?",VLOOKUP(Q$1,INDIRECT("'"&amp;$A101&amp;"'!$A$12:$Z$41"),MATCH("Points (Auto-generate)",INDIRECT("'"&amp;$A101&amp;"'!$A$12:$Z$12"),0),0)),"ER"))</f>
        <v>?</v>
      </c>
      <c r="R101" s="87" t="str">
        <f aca="true">IF($H101=0,"NA",IF($A101=INDIRECT("'"&amp;$A101&amp;"'!$B$1"),IF(VLOOKUP(R$1,INDIRECT("'"&amp;$A101&amp;"'!$A$12:$Z$41"),MATCH("Points (Auto-generate)",INDIRECT("'"&amp;$A101&amp;"'!$A$12:$Z$12"),0),0)="","?",VLOOKUP(R$1,INDIRECT("'"&amp;$A101&amp;"'!$A$12:$Z$41"),MATCH("Points (Auto-generate)",INDIRECT("'"&amp;$A101&amp;"'!$A$12:$Z$12"),0),0)),"ER"))</f>
        <v>?</v>
      </c>
      <c r="S101" s="87" t="str">
        <f aca="true">IF($H101=0,"NA",IF($A101=INDIRECT("'"&amp;$A101&amp;"'!$B$1"),IF(VLOOKUP(S$1,INDIRECT("'"&amp;$A101&amp;"'!$A$12:$Z$41"),MATCH("Points (Auto-generate)",INDIRECT("'"&amp;$A101&amp;"'!$A$12:$Z$12"),0),0)="","?",VLOOKUP(S$1,INDIRECT("'"&amp;$A101&amp;"'!$A$12:$Z$41"),MATCH("Points (Auto-generate)",INDIRECT("'"&amp;$A101&amp;"'!$A$12:$Z$12"),0),0)),"ER"))</f>
        <v>?</v>
      </c>
      <c r="T101" s="87" t="str">
        <f aca="true">IF($H101=0,"NA",IF($A101=INDIRECT("'"&amp;$A101&amp;"'!$B$1"),IF(VLOOKUP(T$1,INDIRECT("'"&amp;$A101&amp;"'!$A$12:$Z$41"),MATCH("Points (Auto-generate)",INDIRECT("'"&amp;$A101&amp;"'!$A$12:$Z$12"),0),0)="","?",VLOOKUP(T$1,INDIRECT("'"&amp;$A101&amp;"'!$A$12:$Z$41"),MATCH("Points (Auto-generate)",INDIRECT("'"&amp;$A101&amp;"'!$A$12:$Z$12"),0),0)),"ER"))</f>
        <v>?</v>
      </c>
      <c r="U101" s="87" t="str">
        <f aca="true">IF($H101=0,"NA",IF($A101=INDIRECT("'"&amp;$A101&amp;"'!$B$1"),IF(VLOOKUP(U$1,INDIRECT("'"&amp;$A101&amp;"'!$A$12:$Z$41"),MATCH("Points (Auto-generate)",INDIRECT("'"&amp;$A101&amp;"'!$A$12:$Z$12"),0),0)="","?",VLOOKUP(U$1,INDIRECT("'"&amp;$A101&amp;"'!$A$12:$Z$41"),MATCH("Points (Auto-generate)",INDIRECT("'"&amp;$A101&amp;"'!$A$12:$Z$12"),0),0)),"ER"))</f>
        <v>?</v>
      </c>
      <c r="V101" s="87" t="str">
        <f aca="true">IF($H101=0,"NA",IF($A101=INDIRECT("'"&amp;$A101&amp;"'!$B$1"),IF(VLOOKUP(V$1,INDIRECT("'"&amp;$A101&amp;"'!$A$12:$Z$41"),MATCH("Points (Auto-generate)",INDIRECT("'"&amp;$A101&amp;"'!$A$12:$Z$12"),0),0)="","?",VLOOKUP(V$1,INDIRECT("'"&amp;$A101&amp;"'!$A$12:$Z$41"),MATCH("Points (Auto-generate)",INDIRECT("'"&amp;$A101&amp;"'!$A$12:$Z$12"),0),0)),"ER"))</f>
        <v>?</v>
      </c>
      <c r="W101" s="87" t="str">
        <f aca="true">IF($H101=0,"NA",IF($A101=INDIRECT("'"&amp;$A101&amp;"'!$B$1"),IF(VLOOKUP(W$1,INDIRECT("'"&amp;$A101&amp;"'!$A$12:$Z$41"),MATCH("Points (Auto-generate)",INDIRECT("'"&amp;$A101&amp;"'!$A$12:$Z$12"),0),0)="","?",VLOOKUP(W$1,INDIRECT("'"&amp;$A101&amp;"'!$A$12:$Z$41"),MATCH("Points (Auto-generate)",INDIRECT("'"&amp;$A101&amp;"'!$A$12:$Z$12"),0),0)),"ER"))</f>
        <v>?</v>
      </c>
      <c r="X101" s="87" t="str">
        <f aca="true">IF($H101=0,"NA",IF($A101=INDIRECT("'"&amp;$A101&amp;"'!$B$1"),IF(VLOOKUP(X$1,INDIRECT("'"&amp;$A101&amp;"'!$A$12:$Z$41"),MATCH("Points (Auto-generate)",INDIRECT("'"&amp;$A101&amp;"'!$A$12:$Z$12"),0),0)="","?",VLOOKUP(X$1,INDIRECT("'"&amp;$A101&amp;"'!$A$12:$Z$41"),MATCH("Points (Auto-generate)",INDIRECT("'"&amp;$A101&amp;"'!$A$12:$Z$12"),0),0)),"ER"))</f>
        <v>?</v>
      </c>
      <c r="Y101" s="87" t="str">
        <f aca="true">IF($H101=0,"NA",IF($A101=INDIRECT("'"&amp;$A101&amp;"'!$B$1"),IF(VLOOKUP(Y$1,INDIRECT("'"&amp;$A101&amp;"'!$A$12:$Z$41"),MATCH("Points (Auto-generate)",INDIRECT("'"&amp;$A101&amp;"'!$A$12:$Z$12"),0),0)="","?",VLOOKUP(Y$1,INDIRECT("'"&amp;$A101&amp;"'!$A$12:$Z$41"),MATCH("Points (Auto-generate)",INDIRECT("'"&amp;$A101&amp;"'!$A$12:$Z$12"),0),0)),"ER"))</f>
        <v>?</v>
      </c>
      <c r="Z101" s="87" t="str">
        <f aca="true">IF($H101=0,"NA",IF($A101=INDIRECT("'"&amp;$A101&amp;"'!$B$1"),IF(VLOOKUP(Z$1,INDIRECT("'"&amp;$A101&amp;"'!$A$12:$Z$41"),MATCH("Points (Auto-generate)",INDIRECT("'"&amp;$A101&amp;"'!$A$12:$Z$12"),0),0)="","?",VLOOKUP(Z$1,INDIRECT("'"&amp;$A101&amp;"'!$A$12:$Z$41"),MATCH("Points (Auto-generate)",INDIRECT("'"&amp;$A101&amp;"'!$A$12:$Z$12"),0),0)),"ER"))</f>
        <v>?</v>
      </c>
      <c r="AA101" s="87" t="str">
        <f aca="true">IF($H101=0,"NA",IF($A101=INDIRECT("'"&amp;$A101&amp;"'!$B$1"),IF(VLOOKUP(AA$1,INDIRECT("'"&amp;$A101&amp;"'!$A$12:$Z$41"),MATCH("Points (Auto-generate)",INDIRECT("'"&amp;$A101&amp;"'!$A$12:$Z$12"),0),0)="","?",VLOOKUP(AA$1,INDIRECT("'"&amp;$A101&amp;"'!$A$12:$Z$41"),MATCH("Points (Auto-generate)",INDIRECT("'"&amp;$A101&amp;"'!$A$12:$Z$12"),0),0)),"ER"))</f>
        <v>?</v>
      </c>
      <c r="AB101" s="87" t="str">
        <f aca="true">IF($H101=0,"NA",IF($A101=INDIRECT("'"&amp;$A101&amp;"'!$B$1"),IF(VLOOKUP(AB$1,INDIRECT("'"&amp;$A101&amp;"'!$A$12:$Z$41"),MATCH("Points (Auto-generate)",INDIRECT("'"&amp;$A101&amp;"'!$A$12:$Z$12"),0),0)="","?",VLOOKUP(AB$1,INDIRECT("'"&amp;$A101&amp;"'!$A$12:$Z$41"),MATCH("Points (Auto-generate)",INDIRECT("'"&amp;$A101&amp;"'!$A$12:$Z$12"),0),0)),"ER"))</f>
        <v>?</v>
      </c>
      <c r="AC101" s="87" t="n">
        <f aca="true">IF($H101=0,"NA",IF($A101=INDIRECT("'"&amp;$A101&amp;"'!$B$1"),IF(VLOOKUP(AC$1,INDIRECT("'"&amp;$A101&amp;"'!$A$12:$Z$41"),MATCH("Points (Auto-generate)",INDIRECT("'"&amp;$A101&amp;"'!$A$12:$Z$12"),0),0)="","?",VLOOKUP(AC$1,INDIRECT("'"&amp;$A101&amp;"'!$A$12:$Z$41"),MATCH("Points (Auto-generate)",INDIRECT("'"&amp;$A101&amp;"'!$A$12:$Z$12"),0),0)),"ER"))</f>
        <v>10</v>
      </c>
      <c r="AD101" s="87" t="str">
        <f aca="true">IF($H101=0,"NA",IF($A101=INDIRECT("'"&amp;$A101&amp;"'!$B$1"),IF(VLOOKUP(AD$1,INDIRECT("'"&amp;$A101&amp;"'!$A$12:$Z$41"),MATCH("Points (Auto-generate)",INDIRECT("'"&amp;$A101&amp;"'!$A$12:$Z$12"),0),0)="","?",VLOOKUP(AD$1,INDIRECT("'"&amp;$A101&amp;"'!$A$12:$Z$41"),MATCH("Points (Auto-generate)",INDIRECT("'"&amp;$A101&amp;"'!$A$12:$Z$12"),0),0)),"ER"))</f>
        <v>?</v>
      </c>
      <c r="AE101" s="87" t="str">
        <f aca="true">IF($H101=0,"NA",IF($A101=INDIRECT("'"&amp;$A101&amp;"'!$B$1"),IF(VLOOKUP(AE$1,INDIRECT("'"&amp;$A101&amp;"'!$A$12:$Z$41"),MATCH("Points (Auto-generate)",INDIRECT("'"&amp;$A101&amp;"'!$A$12:$Z$12"),0),0)="","?",VLOOKUP(AE$1,INDIRECT("'"&amp;$A101&amp;"'!$A$12:$Z$41"),MATCH("Points (Auto-generate)",INDIRECT("'"&amp;$A101&amp;"'!$A$12:$Z$12"),0),0)),"ER"))</f>
        <v>?</v>
      </c>
      <c r="AF101" s="87" t="str">
        <f aca="true">IF($H101=0,"NA",IF($A101=INDIRECT("'"&amp;$A101&amp;"'!$B$1"),IF(VLOOKUP(AF$1,INDIRECT("'"&amp;$A101&amp;"'!$A$12:$Z$41"),MATCH("Points (Auto-generate)",INDIRECT("'"&amp;$A101&amp;"'!$A$12:$Z$12"),0),0)="","?",VLOOKUP(AF$1,INDIRECT("'"&amp;$A101&amp;"'!$A$12:$Z$41"),MATCH("Points (Auto-generate)",INDIRECT("'"&amp;$A101&amp;"'!$A$12:$Z$12"),0),0)),"ER"))</f>
        <v>?</v>
      </c>
      <c r="AG101" s="87" t="str">
        <f aca="true">IF($H101=0,"NA",IF($A101=INDIRECT("'"&amp;$A101&amp;"'!$B$1"),IF(VLOOKUP(AG$1,INDIRECT("'"&amp;$A101&amp;"'!$A$12:$Z$41"),MATCH("Points (Auto-generate)",INDIRECT("'"&amp;$A101&amp;"'!$A$12:$Z$12"),0),0)="","?",VLOOKUP(AG$1,INDIRECT("'"&amp;$A101&amp;"'!$A$12:$Z$41"),MATCH("Points (Auto-generate)",INDIRECT("'"&amp;$A101&amp;"'!$A$12:$Z$12"),0),0)),"ER"))</f>
        <v>?</v>
      </c>
      <c r="AH101" s="87" t="str">
        <f aca="true">IF($H101=0,"NA",IF($A101=INDIRECT("'"&amp;$A101&amp;"'!$B$1"),IF(VLOOKUP(AH$1,INDIRECT("'"&amp;$A101&amp;"'!$A$12:$Z$41"),MATCH("Points (Auto-generate)",INDIRECT("'"&amp;$A101&amp;"'!$A$12:$Z$12"),0),0)="","?",VLOOKUP(AH$1,INDIRECT("'"&amp;$A101&amp;"'!$A$12:$Z$41"),MATCH("Points (Auto-generate)",INDIRECT("'"&amp;$A101&amp;"'!$A$12:$Z$12"),0),0)),"ER"))</f>
        <v>?</v>
      </c>
      <c r="AI101" s="87" t="str">
        <f aca="true">IF($H101=0,"NA",IF($A101=INDIRECT("'"&amp;$A101&amp;"'!$B$1"),IF(VLOOKUP(AI$1,INDIRECT("'"&amp;$A101&amp;"'!$A$12:$Z$41"),MATCH("Points (Auto-generate)",INDIRECT("'"&amp;$A101&amp;"'!$A$12:$Z$12"),0),0)="","?",VLOOKUP(AI$1,INDIRECT("'"&amp;$A101&amp;"'!$A$12:$Z$41"),MATCH("Points (Auto-generate)",INDIRECT("'"&amp;$A101&amp;"'!$A$12:$Z$12"),0),0)),"ER"))</f>
        <v>?</v>
      </c>
      <c r="AJ101" s="87" t="str">
        <f aca="true">IF($H101=0,"NA",IF($A101=INDIRECT("'"&amp;$A101&amp;"'!$B$1"),IF(VLOOKUP(AJ$1,INDIRECT("'"&amp;$A101&amp;"'!$A$12:$Z$41"),MATCH("Points (Auto-generate)",INDIRECT("'"&amp;$A101&amp;"'!$A$12:$Z$12"),0),0)="","?",VLOOKUP(AJ$1,INDIRECT("'"&amp;$A101&amp;"'!$A$12:$Z$41"),MATCH("Points (Auto-generate)",INDIRECT("'"&amp;$A101&amp;"'!$A$12:$Z$12"),0),0)),"ER"))</f>
        <v>?</v>
      </c>
      <c r="AK101" s="87" t="str">
        <f aca="true">IF($H101=0,"NA",IF($A101=INDIRECT("'"&amp;$A101&amp;"'!$B$1"),IF(VLOOKUP(AK$1,INDIRECT("'"&amp;$A101&amp;"'!$A$12:$Z$41"),MATCH("Points (Auto-generate)",INDIRECT("'"&amp;$A101&amp;"'!$A$12:$Z$12"),0),0)="","?",VLOOKUP(AK$1,INDIRECT("'"&amp;$A101&amp;"'!$A$12:$Z$41"),MATCH("Points (Auto-generate)",INDIRECT("'"&amp;$A101&amp;"'!$A$12:$Z$12"),0),0)),"ER"))</f>
        <v>?</v>
      </c>
    </row>
    <row r="102" customFormat="false" ht="14.25" hidden="false" customHeight="true" outlineLevel="0" collapsed="false">
      <c r="A102" s="83" t="s">
        <v>575</v>
      </c>
      <c r="B102" s="84" t="str">
        <f aca="false">IF(ISBLANK($A102),"NO_CODE",VLOOKUP($A102,'UPD Questions_290926 '!$E$1:$N$300,MATCH(B$1,'UPD Questions_290926 '!$E$1:$N$1,0),0)&amp;"")</f>
        <v>Implementation</v>
      </c>
      <c r="C102" s="84" t="str">
        <f aca="false">IF(ISBLANK($A102),"NO_CODE",VLOOKUP($A102,'UPD Questions_290926 '!$E$1:$N$300,MATCH(C$1,'UPD Questions_290926 '!$E$1:$N$1,0),0)&amp;"")</f>
        <v>Development Compliance</v>
      </c>
      <c r="D102" s="84" t="str">
        <f aca="false">IF(ISBLANK($A102),"NO_CODE",VLOOKUP($A102,'UPD Questions_290926 '!$E$1:$N$300,MATCH(D$1,'UPD Questions_290926 '!$E$1:$N$1,0),0)&amp;"")</f>
        <v>Development approvals</v>
      </c>
      <c r="E102" s="84" t="str">
        <f aca="false">IF(ISBLANK($A102),"NO_CODE",VLOOKUP($A102,'UPD Questions_290926 '!$E$1:$N$300,MATCH(E$1,'UPD Questions_290926 '!$E$1:$N$1,0),0)&amp;"")</f>
        <v>MQ</v>
      </c>
      <c r="F102" s="84" t="str">
        <f aca="false">IF(ISBLANK($A102),"NO_CODE",VLOOKUP($A102,'UPD Questions_290926 '!$E$1:$N$300,MATCH(F$1,'UPD Questions_290926 '!$E$1:$N$1,0),0)&amp;"")</f>
        <v>Does your city have a single window clearance process in place for  development projects that are in conformity with municipal/city plans?</v>
      </c>
      <c r="G102" s="84" t="str">
        <f aca="false">IF(ISBLANK($A102),"NO_CODE",VLOOKUP($A102,'UPD Questions_290926 '!$E$1:$N$300,MATCH(G$1,'UPD Questions_290926 '!$E$1:$N$1,0),0)&amp;"")</f>
        <v>Implementation</v>
      </c>
      <c r="H102" s="86" t="n">
        <f aca="false">IF(ISBLANK($A102),"NO_CODE",VLOOKUP($A102,'UPD Questions_290926 '!$E$1:$N$300,MATCH(H$1,'UPD Questions_290926 '!$E$1:$N$1,0),0))</f>
        <v>10</v>
      </c>
      <c r="I102" s="87" t="str">
        <f aca="true">IF($H102=0,"NA",IF($A102=INDIRECT("'"&amp;$A102&amp;"'!$B$1"),IF(VLOOKUP(I$1,INDIRECT("'"&amp;$A102&amp;"'!$A$12:$Z$41"),MATCH("Points (Auto-generate)",INDIRECT("'"&amp;$A102&amp;"'!$A$12:$Z$12"),0),0)="","?",VLOOKUP(I$1,INDIRECT("'"&amp;$A102&amp;"'!$A$12:$Z$41"),MATCH("Points (Auto-generate)",INDIRECT("'"&amp;$A102&amp;"'!$A$12:$Z$12"),0),0)),"ER"))</f>
        <v>?</v>
      </c>
      <c r="J102" s="87" t="str">
        <f aca="true">IF($H102=0,"NA",IF($A102=INDIRECT("'"&amp;$A102&amp;"'!$B$1"),IF(VLOOKUP(J$1,INDIRECT("'"&amp;$A102&amp;"'!$A$12:$Z$41"),MATCH("Points (Auto-generate)",INDIRECT("'"&amp;$A102&amp;"'!$A$12:$Z$12"),0),0)="","?",VLOOKUP(J$1,INDIRECT("'"&amp;$A102&amp;"'!$A$12:$Z$41"),MATCH("Points (Auto-generate)",INDIRECT("'"&amp;$A102&amp;"'!$A$12:$Z$12"),0),0)),"ER"))</f>
        <v>?</v>
      </c>
      <c r="K102" s="87" t="str">
        <f aca="true">IF($H102=0,"NA",IF($A102=INDIRECT("'"&amp;$A102&amp;"'!$B$1"),IF(VLOOKUP(K$1,INDIRECT("'"&amp;$A102&amp;"'!$A$12:$Z$41"),MATCH("Points (Auto-generate)",INDIRECT("'"&amp;$A102&amp;"'!$A$12:$Z$12"),0),0)="","?",VLOOKUP(K$1,INDIRECT("'"&amp;$A102&amp;"'!$A$12:$Z$41"),MATCH("Points (Auto-generate)",INDIRECT("'"&amp;$A102&amp;"'!$A$12:$Z$12"),0),0)),"ER"))</f>
        <v>?</v>
      </c>
      <c r="L102" s="87" t="str">
        <f aca="true">IF($H102=0,"NA",IF($A102=INDIRECT("'"&amp;$A102&amp;"'!$B$1"),IF(VLOOKUP(L$1,INDIRECT("'"&amp;$A102&amp;"'!$A$12:$Z$41"),MATCH("Points (Auto-generate)",INDIRECT("'"&amp;$A102&amp;"'!$A$12:$Z$12"),0),0)="","?",VLOOKUP(L$1,INDIRECT("'"&amp;$A102&amp;"'!$A$12:$Z$41"),MATCH("Points (Auto-generate)",INDIRECT("'"&amp;$A102&amp;"'!$A$12:$Z$12"),0),0)),"ER"))</f>
        <v>?</v>
      </c>
      <c r="M102" s="87" t="str">
        <f aca="true">IF($H102=0,"NA",IF($A102=INDIRECT("'"&amp;$A102&amp;"'!$B$1"),IF(VLOOKUP(M$1,INDIRECT("'"&amp;$A102&amp;"'!$A$12:$Z$41"),MATCH("Points (Auto-generate)",INDIRECT("'"&amp;$A102&amp;"'!$A$12:$Z$12"),0),0)="","?",VLOOKUP(M$1,INDIRECT("'"&amp;$A102&amp;"'!$A$12:$Z$41"),MATCH("Points (Auto-generate)",INDIRECT("'"&amp;$A102&amp;"'!$A$12:$Z$12"),0),0)),"ER"))</f>
        <v>?</v>
      </c>
      <c r="N102" s="87" t="str">
        <f aca="true">IF($H102=0,"NA",IF($A102=INDIRECT("'"&amp;$A102&amp;"'!$B$1"),IF(VLOOKUP(N$1,INDIRECT("'"&amp;$A102&amp;"'!$A$12:$Z$41"),MATCH("Points (Auto-generate)",INDIRECT("'"&amp;$A102&amp;"'!$A$12:$Z$12"),0),0)="","?",VLOOKUP(N$1,INDIRECT("'"&amp;$A102&amp;"'!$A$12:$Z$41"),MATCH("Points (Auto-generate)",INDIRECT("'"&amp;$A102&amp;"'!$A$12:$Z$12"),0),0)),"ER"))</f>
        <v>?</v>
      </c>
      <c r="O102" s="87" t="str">
        <f aca="true">IF($H102=0,"NA",IF($A102=INDIRECT("'"&amp;$A102&amp;"'!$B$1"),IF(VLOOKUP(O$1,INDIRECT("'"&amp;$A102&amp;"'!$A$12:$Z$41"),MATCH("Points (Auto-generate)",INDIRECT("'"&amp;$A102&amp;"'!$A$12:$Z$12"),0),0)="","?",VLOOKUP(O$1,INDIRECT("'"&amp;$A102&amp;"'!$A$12:$Z$41"),MATCH("Points (Auto-generate)",INDIRECT("'"&amp;$A102&amp;"'!$A$12:$Z$12"),0),0)),"ER"))</f>
        <v>?</v>
      </c>
      <c r="P102" s="87" t="str">
        <f aca="true">IF($H102=0,"NA",IF($A102=INDIRECT("'"&amp;$A102&amp;"'!$B$1"),IF(VLOOKUP(P$1,INDIRECT("'"&amp;$A102&amp;"'!$A$12:$Z$41"),MATCH("Points (Auto-generate)",INDIRECT("'"&amp;$A102&amp;"'!$A$12:$Z$12"),0),0)="","?",VLOOKUP(P$1,INDIRECT("'"&amp;$A102&amp;"'!$A$12:$Z$41"),MATCH("Points (Auto-generate)",INDIRECT("'"&amp;$A102&amp;"'!$A$12:$Z$12"),0),0)),"ER"))</f>
        <v>?</v>
      </c>
      <c r="Q102" s="87" t="str">
        <f aca="true">IF($H102=0,"NA",IF($A102=INDIRECT("'"&amp;$A102&amp;"'!$B$1"),IF(VLOOKUP(Q$1,INDIRECT("'"&amp;$A102&amp;"'!$A$12:$Z$41"),MATCH("Points (Auto-generate)",INDIRECT("'"&amp;$A102&amp;"'!$A$12:$Z$12"),0),0)="","?",VLOOKUP(Q$1,INDIRECT("'"&amp;$A102&amp;"'!$A$12:$Z$41"),MATCH("Points (Auto-generate)",INDIRECT("'"&amp;$A102&amp;"'!$A$12:$Z$12"),0),0)),"ER"))</f>
        <v>?</v>
      </c>
      <c r="R102" s="87" t="str">
        <f aca="true">IF($H102=0,"NA",IF($A102=INDIRECT("'"&amp;$A102&amp;"'!$B$1"),IF(VLOOKUP(R$1,INDIRECT("'"&amp;$A102&amp;"'!$A$12:$Z$41"),MATCH("Points (Auto-generate)",INDIRECT("'"&amp;$A102&amp;"'!$A$12:$Z$12"),0),0)="","?",VLOOKUP(R$1,INDIRECT("'"&amp;$A102&amp;"'!$A$12:$Z$41"),MATCH("Points (Auto-generate)",INDIRECT("'"&amp;$A102&amp;"'!$A$12:$Z$12"),0),0)),"ER"))</f>
        <v>?</v>
      </c>
      <c r="S102" s="87" t="str">
        <f aca="true">IF($H102=0,"NA",IF($A102=INDIRECT("'"&amp;$A102&amp;"'!$B$1"),IF(VLOOKUP(S$1,INDIRECT("'"&amp;$A102&amp;"'!$A$12:$Z$41"),MATCH("Points (Auto-generate)",INDIRECT("'"&amp;$A102&amp;"'!$A$12:$Z$12"),0),0)="","?",VLOOKUP(S$1,INDIRECT("'"&amp;$A102&amp;"'!$A$12:$Z$41"),MATCH("Points (Auto-generate)",INDIRECT("'"&amp;$A102&amp;"'!$A$12:$Z$12"),0),0)),"ER"))</f>
        <v>?</v>
      </c>
      <c r="T102" s="87" t="str">
        <f aca="true">IF($H102=0,"NA",IF($A102=INDIRECT("'"&amp;$A102&amp;"'!$B$1"),IF(VLOOKUP(T$1,INDIRECT("'"&amp;$A102&amp;"'!$A$12:$Z$41"),MATCH("Points (Auto-generate)",INDIRECT("'"&amp;$A102&amp;"'!$A$12:$Z$12"),0),0)="","?",VLOOKUP(T$1,INDIRECT("'"&amp;$A102&amp;"'!$A$12:$Z$41"),MATCH("Points (Auto-generate)",INDIRECT("'"&amp;$A102&amp;"'!$A$12:$Z$12"),0),0)),"ER"))</f>
        <v>?</v>
      </c>
      <c r="U102" s="87" t="str">
        <f aca="true">IF($H102=0,"NA",IF($A102=INDIRECT("'"&amp;$A102&amp;"'!$B$1"),IF(VLOOKUP(U$1,INDIRECT("'"&amp;$A102&amp;"'!$A$12:$Z$41"),MATCH("Points (Auto-generate)",INDIRECT("'"&amp;$A102&amp;"'!$A$12:$Z$12"),0),0)="","?",VLOOKUP(U$1,INDIRECT("'"&amp;$A102&amp;"'!$A$12:$Z$41"),MATCH("Points (Auto-generate)",INDIRECT("'"&amp;$A102&amp;"'!$A$12:$Z$12"),0),0)),"ER"))</f>
        <v>?</v>
      </c>
      <c r="V102" s="87" t="str">
        <f aca="true">IF($H102=0,"NA",IF($A102=INDIRECT("'"&amp;$A102&amp;"'!$B$1"),IF(VLOOKUP(V$1,INDIRECT("'"&amp;$A102&amp;"'!$A$12:$Z$41"),MATCH("Points (Auto-generate)",INDIRECT("'"&amp;$A102&amp;"'!$A$12:$Z$12"),0),0)="","?",VLOOKUP(V$1,INDIRECT("'"&amp;$A102&amp;"'!$A$12:$Z$41"),MATCH("Points (Auto-generate)",INDIRECT("'"&amp;$A102&amp;"'!$A$12:$Z$12"),0),0)),"ER"))</f>
        <v>?</v>
      </c>
      <c r="W102" s="87" t="str">
        <f aca="true">IF($H102=0,"NA",IF($A102=INDIRECT("'"&amp;$A102&amp;"'!$B$1"),IF(VLOOKUP(W$1,INDIRECT("'"&amp;$A102&amp;"'!$A$12:$Z$41"),MATCH("Points (Auto-generate)",INDIRECT("'"&amp;$A102&amp;"'!$A$12:$Z$12"),0),0)="","?",VLOOKUP(W$1,INDIRECT("'"&amp;$A102&amp;"'!$A$12:$Z$41"),MATCH("Points (Auto-generate)",INDIRECT("'"&amp;$A102&amp;"'!$A$12:$Z$12"),0),0)),"ER"))</f>
        <v>?</v>
      </c>
      <c r="X102" s="87" t="str">
        <f aca="true">IF($H102=0,"NA",IF($A102=INDIRECT("'"&amp;$A102&amp;"'!$B$1"),IF(VLOOKUP(X$1,INDIRECT("'"&amp;$A102&amp;"'!$A$12:$Z$41"),MATCH("Points (Auto-generate)",INDIRECT("'"&amp;$A102&amp;"'!$A$12:$Z$12"),0),0)="","?",VLOOKUP(X$1,INDIRECT("'"&amp;$A102&amp;"'!$A$12:$Z$41"),MATCH("Points (Auto-generate)",INDIRECT("'"&amp;$A102&amp;"'!$A$12:$Z$12"),0),0)),"ER"))</f>
        <v>?</v>
      </c>
      <c r="Y102" s="87" t="str">
        <f aca="true">IF($H102=0,"NA",IF($A102=INDIRECT("'"&amp;$A102&amp;"'!$B$1"),IF(VLOOKUP(Y$1,INDIRECT("'"&amp;$A102&amp;"'!$A$12:$Z$41"),MATCH("Points (Auto-generate)",INDIRECT("'"&amp;$A102&amp;"'!$A$12:$Z$12"),0),0)="","?",VLOOKUP(Y$1,INDIRECT("'"&amp;$A102&amp;"'!$A$12:$Z$41"),MATCH("Points (Auto-generate)",INDIRECT("'"&amp;$A102&amp;"'!$A$12:$Z$12"),0),0)),"ER"))</f>
        <v>?</v>
      </c>
      <c r="Z102" s="87" t="str">
        <f aca="true">IF($H102=0,"NA",IF($A102=INDIRECT("'"&amp;$A102&amp;"'!$B$1"),IF(VLOOKUP(Z$1,INDIRECT("'"&amp;$A102&amp;"'!$A$12:$Z$41"),MATCH("Points (Auto-generate)",INDIRECT("'"&amp;$A102&amp;"'!$A$12:$Z$12"),0),0)="","?",VLOOKUP(Z$1,INDIRECT("'"&amp;$A102&amp;"'!$A$12:$Z$41"),MATCH("Points (Auto-generate)",INDIRECT("'"&amp;$A102&amp;"'!$A$12:$Z$12"),0),0)),"ER"))</f>
        <v>?</v>
      </c>
      <c r="AA102" s="87" t="str">
        <f aca="true">IF($H102=0,"NA",IF($A102=INDIRECT("'"&amp;$A102&amp;"'!$B$1"),IF(VLOOKUP(AA$1,INDIRECT("'"&amp;$A102&amp;"'!$A$12:$Z$41"),MATCH("Points (Auto-generate)",INDIRECT("'"&amp;$A102&amp;"'!$A$12:$Z$12"),0),0)="","?",VLOOKUP(AA$1,INDIRECT("'"&amp;$A102&amp;"'!$A$12:$Z$41"),MATCH("Points (Auto-generate)",INDIRECT("'"&amp;$A102&amp;"'!$A$12:$Z$12"),0),0)),"ER"))</f>
        <v>?</v>
      </c>
      <c r="AB102" s="87" t="str">
        <f aca="true">IF($H102=0,"NA",IF($A102=INDIRECT("'"&amp;$A102&amp;"'!$B$1"),IF(VLOOKUP(AB$1,INDIRECT("'"&amp;$A102&amp;"'!$A$12:$Z$41"),MATCH("Points (Auto-generate)",INDIRECT("'"&amp;$A102&amp;"'!$A$12:$Z$12"),0),0)="","?",VLOOKUP(AB$1,INDIRECT("'"&amp;$A102&amp;"'!$A$12:$Z$41"),MATCH("Points (Auto-generate)",INDIRECT("'"&amp;$A102&amp;"'!$A$12:$Z$12"),0),0)),"ER"))</f>
        <v>?</v>
      </c>
      <c r="AC102" s="87" t="str">
        <f aca="true">IF($H102=0,"NA",IF($A102=INDIRECT("'"&amp;$A102&amp;"'!$B$1"),IF(VLOOKUP(AC$1,INDIRECT("'"&amp;$A102&amp;"'!$A$12:$Z$41"),MATCH("Points (Auto-generate)",INDIRECT("'"&amp;$A102&amp;"'!$A$12:$Z$12"),0),0)="","?",VLOOKUP(AC$1,INDIRECT("'"&amp;$A102&amp;"'!$A$12:$Z$41"),MATCH("Points (Auto-generate)",INDIRECT("'"&amp;$A102&amp;"'!$A$12:$Z$12"),0),0)),"ER"))</f>
        <v>?</v>
      </c>
      <c r="AD102" s="87" t="str">
        <f aca="true">IF($H102=0,"NA",IF($A102=INDIRECT("'"&amp;$A102&amp;"'!$B$1"),IF(VLOOKUP(AD$1,INDIRECT("'"&amp;$A102&amp;"'!$A$12:$Z$41"),MATCH("Points (Auto-generate)",INDIRECT("'"&amp;$A102&amp;"'!$A$12:$Z$12"),0),0)="","?",VLOOKUP(AD$1,INDIRECT("'"&amp;$A102&amp;"'!$A$12:$Z$41"),MATCH("Points (Auto-generate)",INDIRECT("'"&amp;$A102&amp;"'!$A$12:$Z$12"),0),0)),"ER"))</f>
        <v>?</v>
      </c>
      <c r="AE102" s="87" t="str">
        <f aca="true">IF($H102=0,"NA",IF($A102=INDIRECT("'"&amp;$A102&amp;"'!$B$1"),IF(VLOOKUP(AE$1,INDIRECT("'"&amp;$A102&amp;"'!$A$12:$Z$41"),MATCH("Points (Auto-generate)",INDIRECT("'"&amp;$A102&amp;"'!$A$12:$Z$12"),0),0)="","?",VLOOKUP(AE$1,INDIRECT("'"&amp;$A102&amp;"'!$A$12:$Z$41"),MATCH("Points (Auto-generate)",INDIRECT("'"&amp;$A102&amp;"'!$A$12:$Z$12"),0),0)),"ER"))</f>
        <v>?</v>
      </c>
      <c r="AF102" s="87" t="str">
        <f aca="true">IF($H102=0,"NA",IF($A102=INDIRECT("'"&amp;$A102&amp;"'!$B$1"),IF(VLOOKUP(AF$1,INDIRECT("'"&amp;$A102&amp;"'!$A$12:$Z$41"),MATCH("Points (Auto-generate)",INDIRECT("'"&amp;$A102&amp;"'!$A$12:$Z$12"),0),0)="","?",VLOOKUP(AF$1,INDIRECT("'"&amp;$A102&amp;"'!$A$12:$Z$41"),MATCH("Points (Auto-generate)",INDIRECT("'"&amp;$A102&amp;"'!$A$12:$Z$12"),0),0)),"ER"))</f>
        <v>?</v>
      </c>
      <c r="AG102" s="87" t="str">
        <f aca="true">IF($H102=0,"NA",IF($A102=INDIRECT("'"&amp;$A102&amp;"'!$B$1"),IF(VLOOKUP(AG$1,INDIRECT("'"&amp;$A102&amp;"'!$A$12:$Z$41"),MATCH("Points (Auto-generate)",INDIRECT("'"&amp;$A102&amp;"'!$A$12:$Z$12"),0),0)="","?",VLOOKUP(AG$1,INDIRECT("'"&amp;$A102&amp;"'!$A$12:$Z$41"),MATCH("Points (Auto-generate)",INDIRECT("'"&amp;$A102&amp;"'!$A$12:$Z$12"),0),0)),"ER"))</f>
        <v>?</v>
      </c>
      <c r="AH102" s="87" t="str">
        <f aca="true">IF($H102=0,"NA",IF($A102=INDIRECT("'"&amp;$A102&amp;"'!$B$1"),IF(VLOOKUP(AH$1,INDIRECT("'"&amp;$A102&amp;"'!$A$12:$Z$41"),MATCH("Points (Auto-generate)",INDIRECT("'"&amp;$A102&amp;"'!$A$12:$Z$12"),0),0)="","?",VLOOKUP(AH$1,INDIRECT("'"&amp;$A102&amp;"'!$A$12:$Z$41"),MATCH("Points (Auto-generate)",INDIRECT("'"&amp;$A102&amp;"'!$A$12:$Z$12"),0),0)),"ER"))</f>
        <v>?</v>
      </c>
      <c r="AI102" s="87" t="str">
        <f aca="true">IF($H102=0,"NA",IF($A102=INDIRECT("'"&amp;$A102&amp;"'!$B$1"),IF(VLOOKUP(AI$1,INDIRECT("'"&amp;$A102&amp;"'!$A$12:$Z$41"),MATCH("Points (Auto-generate)",INDIRECT("'"&amp;$A102&amp;"'!$A$12:$Z$12"),0),0)="","?",VLOOKUP(AI$1,INDIRECT("'"&amp;$A102&amp;"'!$A$12:$Z$41"),MATCH("Points (Auto-generate)",INDIRECT("'"&amp;$A102&amp;"'!$A$12:$Z$12"),0),0)),"ER"))</f>
        <v>?</v>
      </c>
      <c r="AJ102" s="87" t="str">
        <f aca="true">IF($H102=0,"NA",IF($A102=INDIRECT("'"&amp;$A102&amp;"'!$B$1"),IF(VLOOKUP(AJ$1,INDIRECT("'"&amp;$A102&amp;"'!$A$12:$Z$41"),MATCH("Points (Auto-generate)",INDIRECT("'"&amp;$A102&amp;"'!$A$12:$Z$12"),0),0)="","?",VLOOKUP(AJ$1,INDIRECT("'"&amp;$A102&amp;"'!$A$12:$Z$41"),MATCH("Points (Auto-generate)",INDIRECT("'"&amp;$A102&amp;"'!$A$12:$Z$12"),0),0)),"ER"))</f>
        <v>?</v>
      </c>
      <c r="AK102" s="87" t="str">
        <f aca="true">IF($H102=0,"NA",IF($A102=INDIRECT("'"&amp;$A102&amp;"'!$B$1"),IF(VLOOKUP(AK$1,INDIRECT("'"&amp;$A102&amp;"'!$A$12:$Z$41"),MATCH("Points (Auto-generate)",INDIRECT("'"&amp;$A102&amp;"'!$A$12:$Z$12"),0),0)="","?",VLOOKUP(AK$1,INDIRECT("'"&amp;$A102&amp;"'!$A$12:$Z$41"),MATCH("Points (Auto-generate)",INDIRECT("'"&amp;$A102&amp;"'!$A$12:$Z$12"),0),0)),"ER"))</f>
        <v>?</v>
      </c>
    </row>
    <row r="103" customFormat="false" ht="14.25" hidden="false" customHeight="true" outlineLevel="0" collapsed="false">
      <c r="A103" s="83" t="s">
        <v>579</v>
      </c>
      <c r="B103" s="84" t="str">
        <f aca="false">IF(ISBLANK($A103),"NO_CODE",VLOOKUP($A103,'UPD Questions_290926 '!$E$1:$N$300,MATCH(B$1,'UPD Questions_290926 '!$E$1:$N$1,0),0)&amp;"")</f>
        <v>Enforcement</v>
      </c>
      <c r="C103" s="84" t="str">
        <f aca="false">IF(ISBLANK($A103),"NO_CODE",VLOOKUP($A103,'UPD Questions_290926 '!$E$1:$N$300,MATCH(C$1,'UPD Questions_290926 '!$E$1:$N$1,0),0)&amp;"")</f>
        <v>Development Compliance</v>
      </c>
      <c r="D103" s="84" t="str">
        <f aca="false">IF(ISBLANK($A103),"NO_CODE",VLOOKUP($A103,'UPD Questions_290926 '!$E$1:$N$300,MATCH(D$1,'UPD Questions_290926 '!$E$1:$N$1,0),0)&amp;"")</f>
        <v>Development approvals</v>
      </c>
      <c r="E103" s="84" t="str">
        <f aca="false">IF(ISBLANK($A103),"NO_CODE",VLOOKUP($A103,'UPD Questions_290926 '!$E$1:$N$300,MATCH(E$1,'UPD Questions_290926 '!$E$1:$N$1,0),0)&amp;"")</f>
        <v>MQ</v>
      </c>
      <c r="F103" s="84" t="str">
        <f aca="false">IF(ISBLANK($A103),"NO_CODE",VLOOKUP($A103,'UPD Questions_290926 '!$E$1:$N$300,MATCH(F$1,'UPD Questions_290926 '!$E$1:$N$1,0),0)&amp;"")</f>
        <v>Is there an effective system to prevent approval of plans that are not in conformity with municipal/city plan?</v>
      </c>
      <c r="G103" s="84" t="str">
        <f aca="false">IF(ISBLANK($A103),"NO_CODE",VLOOKUP($A103,'UPD Questions_290926 '!$E$1:$N$300,MATCH(G$1,'UPD Questions_290926 '!$E$1:$N$1,0),0)&amp;"")</f>
        <v>Law or Policy/Implementation</v>
      </c>
      <c r="H103" s="86" t="n">
        <f aca="false">IF(ISBLANK($A103),"NO_CODE",VLOOKUP($A103,'UPD Questions_290926 '!$E$1:$N$300,MATCH(H$1,'UPD Questions_290926 '!$E$1:$N$1,0),0))</f>
        <v>10</v>
      </c>
      <c r="I103" s="87" t="str">
        <f aca="true">IF($H103=0,"NA",IF($A103=INDIRECT("'"&amp;$A103&amp;"'!$B$1"),IF(VLOOKUP(I$1,INDIRECT("'"&amp;$A103&amp;"'!$A$12:$Z$41"),MATCH("Points (Auto-generate)",INDIRECT("'"&amp;$A103&amp;"'!$A$12:$Z$12"),0),0)="","?",VLOOKUP(I$1,INDIRECT("'"&amp;$A103&amp;"'!$A$12:$Z$41"),MATCH("Points (Auto-generate)",INDIRECT("'"&amp;$A103&amp;"'!$A$12:$Z$12"),0),0)),"ER"))</f>
        <v>?</v>
      </c>
      <c r="J103" s="87" t="str">
        <f aca="true">IF($H103=0,"NA",IF($A103=INDIRECT("'"&amp;$A103&amp;"'!$B$1"),IF(VLOOKUP(J$1,INDIRECT("'"&amp;$A103&amp;"'!$A$12:$Z$41"),MATCH("Points (Auto-generate)",INDIRECT("'"&amp;$A103&amp;"'!$A$12:$Z$12"),0),0)="","?",VLOOKUP(J$1,INDIRECT("'"&amp;$A103&amp;"'!$A$12:$Z$41"),MATCH("Points (Auto-generate)",INDIRECT("'"&amp;$A103&amp;"'!$A$12:$Z$12"),0),0)),"ER"))</f>
        <v>?</v>
      </c>
      <c r="K103" s="87" t="str">
        <f aca="true">IF($H103=0,"NA",IF($A103=INDIRECT("'"&amp;$A103&amp;"'!$B$1"),IF(VLOOKUP(K$1,INDIRECT("'"&amp;$A103&amp;"'!$A$12:$Z$41"),MATCH("Points (Auto-generate)",INDIRECT("'"&amp;$A103&amp;"'!$A$12:$Z$12"),0),0)="","?",VLOOKUP(K$1,INDIRECT("'"&amp;$A103&amp;"'!$A$12:$Z$41"),MATCH("Points (Auto-generate)",INDIRECT("'"&amp;$A103&amp;"'!$A$12:$Z$12"),0),0)),"ER"))</f>
        <v>?</v>
      </c>
      <c r="L103" s="87" t="str">
        <f aca="true">IF($H103=0,"NA",IF($A103=INDIRECT("'"&amp;$A103&amp;"'!$B$1"),IF(VLOOKUP(L$1,INDIRECT("'"&amp;$A103&amp;"'!$A$12:$Z$41"),MATCH("Points (Auto-generate)",INDIRECT("'"&amp;$A103&amp;"'!$A$12:$Z$12"),0),0)="","?",VLOOKUP(L$1,INDIRECT("'"&amp;$A103&amp;"'!$A$12:$Z$41"),MATCH("Points (Auto-generate)",INDIRECT("'"&amp;$A103&amp;"'!$A$12:$Z$12"),0),0)),"ER"))</f>
        <v>?</v>
      </c>
      <c r="M103" s="87" t="str">
        <f aca="true">IF($H103=0,"NA",IF($A103=INDIRECT("'"&amp;$A103&amp;"'!$B$1"),IF(VLOOKUP(M$1,INDIRECT("'"&amp;$A103&amp;"'!$A$12:$Z$41"),MATCH("Points (Auto-generate)",INDIRECT("'"&amp;$A103&amp;"'!$A$12:$Z$12"),0),0)="","?",VLOOKUP(M$1,INDIRECT("'"&amp;$A103&amp;"'!$A$12:$Z$41"),MATCH("Points (Auto-generate)",INDIRECT("'"&amp;$A103&amp;"'!$A$12:$Z$12"),0),0)),"ER"))</f>
        <v>?</v>
      </c>
      <c r="N103" s="87" t="str">
        <f aca="true">IF($H103=0,"NA",IF($A103=INDIRECT("'"&amp;$A103&amp;"'!$B$1"),IF(VLOOKUP(N$1,INDIRECT("'"&amp;$A103&amp;"'!$A$12:$Z$41"),MATCH("Points (Auto-generate)",INDIRECT("'"&amp;$A103&amp;"'!$A$12:$Z$12"),0),0)="","?",VLOOKUP(N$1,INDIRECT("'"&amp;$A103&amp;"'!$A$12:$Z$41"),MATCH("Points (Auto-generate)",INDIRECT("'"&amp;$A103&amp;"'!$A$12:$Z$12"),0),0)),"ER"))</f>
        <v>?</v>
      </c>
      <c r="O103" s="87" t="str">
        <f aca="true">IF($H103=0,"NA",IF($A103=INDIRECT("'"&amp;$A103&amp;"'!$B$1"),IF(VLOOKUP(O$1,INDIRECT("'"&amp;$A103&amp;"'!$A$12:$Z$41"),MATCH("Points (Auto-generate)",INDIRECT("'"&amp;$A103&amp;"'!$A$12:$Z$12"),0),0)="","?",VLOOKUP(O$1,INDIRECT("'"&amp;$A103&amp;"'!$A$12:$Z$41"),MATCH("Points (Auto-generate)",INDIRECT("'"&amp;$A103&amp;"'!$A$12:$Z$12"),0),0)),"ER"))</f>
        <v>?</v>
      </c>
      <c r="P103" s="87" t="str">
        <f aca="true">IF($H103=0,"NA",IF($A103=INDIRECT("'"&amp;$A103&amp;"'!$B$1"),IF(VLOOKUP(P$1,INDIRECT("'"&amp;$A103&amp;"'!$A$12:$Z$41"),MATCH("Points (Auto-generate)",INDIRECT("'"&amp;$A103&amp;"'!$A$12:$Z$12"),0),0)="","?",VLOOKUP(P$1,INDIRECT("'"&amp;$A103&amp;"'!$A$12:$Z$41"),MATCH("Points (Auto-generate)",INDIRECT("'"&amp;$A103&amp;"'!$A$12:$Z$12"),0),0)),"ER"))</f>
        <v>?</v>
      </c>
      <c r="Q103" s="87" t="str">
        <f aca="true">IF($H103=0,"NA",IF($A103=INDIRECT("'"&amp;$A103&amp;"'!$B$1"),IF(VLOOKUP(Q$1,INDIRECT("'"&amp;$A103&amp;"'!$A$12:$Z$41"),MATCH("Points (Auto-generate)",INDIRECT("'"&amp;$A103&amp;"'!$A$12:$Z$12"),0),0)="","?",VLOOKUP(Q$1,INDIRECT("'"&amp;$A103&amp;"'!$A$12:$Z$41"),MATCH("Points (Auto-generate)",INDIRECT("'"&amp;$A103&amp;"'!$A$12:$Z$12"),0),0)),"ER"))</f>
        <v>?</v>
      </c>
      <c r="R103" s="87" t="str">
        <f aca="true">IF($H103=0,"NA",IF($A103=INDIRECT("'"&amp;$A103&amp;"'!$B$1"),IF(VLOOKUP(R$1,INDIRECT("'"&amp;$A103&amp;"'!$A$12:$Z$41"),MATCH("Points (Auto-generate)",INDIRECT("'"&amp;$A103&amp;"'!$A$12:$Z$12"),0),0)="","?",VLOOKUP(R$1,INDIRECT("'"&amp;$A103&amp;"'!$A$12:$Z$41"),MATCH("Points (Auto-generate)",INDIRECT("'"&amp;$A103&amp;"'!$A$12:$Z$12"),0),0)),"ER"))</f>
        <v>?</v>
      </c>
      <c r="S103" s="87" t="str">
        <f aca="true">IF($H103=0,"NA",IF($A103=INDIRECT("'"&amp;$A103&amp;"'!$B$1"),IF(VLOOKUP(S$1,INDIRECT("'"&amp;$A103&amp;"'!$A$12:$Z$41"),MATCH("Points (Auto-generate)",INDIRECT("'"&amp;$A103&amp;"'!$A$12:$Z$12"),0),0)="","?",VLOOKUP(S$1,INDIRECT("'"&amp;$A103&amp;"'!$A$12:$Z$41"),MATCH("Points (Auto-generate)",INDIRECT("'"&amp;$A103&amp;"'!$A$12:$Z$12"),0),0)),"ER"))</f>
        <v>?</v>
      </c>
      <c r="T103" s="87" t="str">
        <f aca="true">IF($H103=0,"NA",IF($A103=INDIRECT("'"&amp;$A103&amp;"'!$B$1"),IF(VLOOKUP(T$1,INDIRECT("'"&amp;$A103&amp;"'!$A$12:$Z$41"),MATCH("Points (Auto-generate)",INDIRECT("'"&amp;$A103&amp;"'!$A$12:$Z$12"),0),0)="","?",VLOOKUP(T$1,INDIRECT("'"&amp;$A103&amp;"'!$A$12:$Z$41"),MATCH("Points (Auto-generate)",INDIRECT("'"&amp;$A103&amp;"'!$A$12:$Z$12"),0),0)),"ER"))</f>
        <v>?</v>
      </c>
      <c r="U103" s="87" t="str">
        <f aca="true">IF($H103=0,"NA",IF($A103=INDIRECT("'"&amp;$A103&amp;"'!$B$1"),IF(VLOOKUP(U$1,INDIRECT("'"&amp;$A103&amp;"'!$A$12:$Z$41"),MATCH("Points (Auto-generate)",INDIRECT("'"&amp;$A103&amp;"'!$A$12:$Z$12"),0),0)="","?",VLOOKUP(U$1,INDIRECT("'"&amp;$A103&amp;"'!$A$12:$Z$41"),MATCH("Points (Auto-generate)",INDIRECT("'"&amp;$A103&amp;"'!$A$12:$Z$12"),0),0)),"ER"))</f>
        <v>?</v>
      </c>
      <c r="V103" s="87" t="str">
        <f aca="true">IF($H103=0,"NA",IF($A103=INDIRECT("'"&amp;$A103&amp;"'!$B$1"),IF(VLOOKUP(V$1,INDIRECT("'"&amp;$A103&amp;"'!$A$12:$Z$41"),MATCH("Points (Auto-generate)",INDIRECT("'"&amp;$A103&amp;"'!$A$12:$Z$12"),0),0)="","?",VLOOKUP(V$1,INDIRECT("'"&amp;$A103&amp;"'!$A$12:$Z$41"),MATCH("Points (Auto-generate)",INDIRECT("'"&amp;$A103&amp;"'!$A$12:$Z$12"),0),0)),"ER"))</f>
        <v>?</v>
      </c>
      <c r="W103" s="87" t="str">
        <f aca="true">IF($H103=0,"NA",IF($A103=INDIRECT("'"&amp;$A103&amp;"'!$B$1"),IF(VLOOKUP(W$1,INDIRECT("'"&amp;$A103&amp;"'!$A$12:$Z$41"),MATCH("Points (Auto-generate)",INDIRECT("'"&amp;$A103&amp;"'!$A$12:$Z$12"),0),0)="","?",VLOOKUP(W$1,INDIRECT("'"&amp;$A103&amp;"'!$A$12:$Z$41"),MATCH("Points (Auto-generate)",INDIRECT("'"&amp;$A103&amp;"'!$A$12:$Z$12"),0),0)),"ER"))</f>
        <v>?</v>
      </c>
      <c r="X103" s="87" t="str">
        <f aca="true">IF($H103=0,"NA",IF($A103=INDIRECT("'"&amp;$A103&amp;"'!$B$1"),IF(VLOOKUP(X$1,INDIRECT("'"&amp;$A103&amp;"'!$A$12:$Z$41"),MATCH("Points (Auto-generate)",INDIRECT("'"&amp;$A103&amp;"'!$A$12:$Z$12"),0),0)="","?",VLOOKUP(X$1,INDIRECT("'"&amp;$A103&amp;"'!$A$12:$Z$41"),MATCH("Points (Auto-generate)",INDIRECT("'"&amp;$A103&amp;"'!$A$12:$Z$12"),0),0)),"ER"))</f>
        <v>?</v>
      </c>
      <c r="Y103" s="87" t="str">
        <f aca="true">IF($H103=0,"NA",IF($A103=INDIRECT("'"&amp;$A103&amp;"'!$B$1"),IF(VLOOKUP(Y$1,INDIRECT("'"&amp;$A103&amp;"'!$A$12:$Z$41"),MATCH("Points (Auto-generate)",INDIRECT("'"&amp;$A103&amp;"'!$A$12:$Z$12"),0),0)="","?",VLOOKUP(Y$1,INDIRECT("'"&amp;$A103&amp;"'!$A$12:$Z$41"),MATCH("Points (Auto-generate)",INDIRECT("'"&amp;$A103&amp;"'!$A$12:$Z$12"),0),0)),"ER"))</f>
        <v>?</v>
      </c>
      <c r="Z103" s="87" t="str">
        <f aca="true">IF($H103=0,"NA",IF($A103=INDIRECT("'"&amp;$A103&amp;"'!$B$1"),IF(VLOOKUP(Z$1,INDIRECT("'"&amp;$A103&amp;"'!$A$12:$Z$41"),MATCH("Points (Auto-generate)",INDIRECT("'"&amp;$A103&amp;"'!$A$12:$Z$12"),0),0)="","?",VLOOKUP(Z$1,INDIRECT("'"&amp;$A103&amp;"'!$A$12:$Z$41"),MATCH("Points (Auto-generate)",INDIRECT("'"&amp;$A103&amp;"'!$A$12:$Z$12"),0),0)),"ER"))</f>
        <v>?</v>
      </c>
      <c r="AA103" s="87" t="str">
        <f aca="true">IF($H103=0,"NA",IF($A103=INDIRECT("'"&amp;$A103&amp;"'!$B$1"),IF(VLOOKUP(AA$1,INDIRECT("'"&amp;$A103&amp;"'!$A$12:$Z$41"),MATCH("Points (Auto-generate)",INDIRECT("'"&amp;$A103&amp;"'!$A$12:$Z$12"),0),0)="","?",VLOOKUP(AA$1,INDIRECT("'"&amp;$A103&amp;"'!$A$12:$Z$41"),MATCH("Points (Auto-generate)",INDIRECT("'"&amp;$A103&amp;"'!$A$12:$Z$12"),0),0)),"ER"))</f>
        <v>?</v>
      </c>
      <c r="AB103" s="87" t="str">
        <f aca="true">IF($H103=0,"NA",IF($A103=INDIRECT("'"&amp;$A103&amp;"'!$B$1"),IF(VLOOKUP(AB$1,INDIRECT("'"&amp;$A103&amp;"'!$A$12:$Z$41"),MATCH("Points (Auto-generate)",INDIRECT("'"&amp;$A103&amp;"'!$A$12:$Z$12"),0),0)="","?",VLOOKUP(AB$1,INDIRECT("'"&amp;$A103&amp;"'!$A$12:$Z$41"),MATCH("Points (Auto-generate)",INDIRECT("'"&amp;$A103&amp;"'!$A$12:$Z$12"),0),0)),"ER"))</f>
        <v>?</v>
      </c>
      <c r="AC103" s="87" t="str">
        <f aca="true">IF($H103=0,"NA",IF($A103=INDIRECT("'"&amp;$A103&amp;"'!$B$1"),IF(VLOOKUP(AC$1,INDIRECT("'"&amp;$A103&amp;"'!$A$12:$Z$41"),MATCH("Points (Auto-generate)",INDIRECT("'"&amp;$A103&amp;"'!$A$12:$Z$12"),0),0)="","?",VLOOKUP(AC$1,INDIRECT("'"&amp;$A103&amp;"'!$A$12:$Z$41"),MATCH("Points (Auto-generate)",INDIRECT("'"&amp;$A103&amp;"'!$A$12:$Z$12"),0),0)),"ER"))</f>
        <v>?</v>
      </c>
      <c r="AD103" s="87" t="str">
        <f aca="true">IF($H103=0,"NA",IF($A103=INDIRECT("'"&amp;$A103&amp;"'!$B$1"),IF(VLOOKUP(AD$1,INDIRECT("'"&amp;$A103&amp;"'!$A$12:$Z$41"),MATCH("Points (Auto-generate)",INDIRECT("'"&amp;$A103&amp;"'!$A$12:$Z$12"),0),0)="","?",VLOOKUP(AD$1,INDIRECT("'"&amp;$A103&amp;"'!$A$12:$Z$41"),MATCH("Points (Auto-generate)",INDIRECT("'"&amp;$A103&amp;"'!$A$12:$Z$12"),0),0)),"ER"))</f>
        <v>?</v>
      </c>
      <c r="AE103" s="87" t="str">
        <f aca="true">IF($H103=0,"NA",IF($A103=INDIRECT("'"&amp;$A103&amp;"'!$B$1"),IF(VLOOKUP(AE$1,INDIRECT("'"&amp;$A103&amp;"'!$A$12:$Z$41"),MATCH("Points (Auto-generate)",INDIRECT("'"&amp;$A103&amp;"'!$A$12:$Z$12"),0),0)="","?",VLOOKUP(AE$1,INDIRECT("'"&amp;$A103&amp;"'!$A$12:$Z$41"),MATCH("Points (Auto-generate)",INDIRECT("'"&amp;$A103&amp;"'!$A$12:$Z$12"),0),0)),"ER"))</f>
        <v>?</v>
      </c>
      <c r="AF103" s="87" t="str">
        <f aca="true">IF($H103=0,"NA",IF($A103=INDIRECT("'"&amp;$A103&amp;"'!$B$1"),IF(VLOOKUP(AF$1,INDIRECT("'"&amp;$A103&amp;"'!$A$12:$Z$41"),MATCH("Points (Auto-generate)",INDIRECT("'"&amp;$A103&amp;"'!$A$12:$Z$12"),0),0)="","?",VLOOKUP(AF$1,INDIRECT("'"&amp;$A103&amp;"'!$A$12:$Z$41"),MATCH("Points (Auto-generate)",INDIRECT("'"&amp;$A103&amp;"'!$A$12:$Z$12"),0),0)),"ER"))</f>
        <v>?</v>
      </c>
      <c r="AG103" s="87" t="str">
        <f aca="true">IF($H103=0,"NA",IF($A103=INDIRECT("'"&amp;$A103&amp;"'!$B$1"),IF(VLOOKUP(AG$1,INDIRECT("'"&amp;$A103&amp;"'!$A$12:$Z$41"),MATCH("Points (Auto-generate)",INDIRECT("'"&amp;$A103&amp;"'!$A$12:$Z$12"),0),0)="","?",VLOOKUP(AG$1,INDIRECT("'"&amp;$A103&amp;"'!$A$12:$Z$41"),MATCH("Points (Auto-generate)",INDIRECT("'"&amp;$A103&amp;"'!$A$12:$Z$12"),0),0)),"ER"))</f>
        <v>?</v>
      </c>
      <c r="AH103" s="87" t="str">
        <f aca="true">IF($H103=0,"NA",IF($A103=INDIRECT("'"&amp;$A103&amp;"'!$B$1"),IF(VLOOKUP(AH$1,INDIRECT("'"&amp;$A103&amp;"'!$A$12:$Z$41"),MATCH("Points (Auto-generate)",INDIRECT("'"&amp;$A103&amp;"'!$A$12:$Z$12"),0),0)="","?",VLOOKUP(AH$1,INDIRECT("'"&amp;$A103&amp;"'!$A$12:$Z$41"),MATCH("Points (Auto-generate)",INDIRECT("'"&amp;$A103&amp;"'!$A$12:$Z$12"),0),0)),"ER"))</f>
        <v>?</v>
      </c>
      <c r="AI103" s="87" t="str">
        <f aca="true">IF($H103=0,"NA",IF($A103=INDIRECT("'"&amp;$A103&amp;"'!$B$1"),IF(VLOOKUP(AI$1,INDIRECT("'"&amp;$A103&amp;"'!$A$12:$Z$41"),MATCH("Points (Auto-generate)",INDIRECT("'"&amp;$A103&amp;"'!$A$12:$Z$12"),0),0)="","?",VLOOKUP(AI$1,INDIRECT("'"&amp;$A103&amp;"'!$A$12:$Z$41"),MATCH("Points (Auto-generate)",INDIRECT("'"&amp;$A103&amp;"'!$A$12:$Z$12"),0),0)),"ER"))</f>
        <v>?</v>
      </c>
      <c r="AJ103" s="87" t="str">
        <f aca="true">IF($H103=0,"NA",IF($A103=INDIRECT("'"&amp;$A103&amp;"'!$B$1"),IF(VLOOKUP(AJ$1,INDIRECT("'"&amp;$A103&amp;"'!$A$12:$Z$41"),MATCH("Points (Auto-generate)",INDIRECT("'"&amp;$A103&amp;"'!$A$12:$Z$12"),0),0)="","?",VLOOKUP(AJ$1,INDIRECT("'"&amp;$A103&amp;"'!$A$12:$Z$41"),MATCH("Points (Auto-generate)",INDIRECT("'"&amp;$A103&amp;"'!$A$12:$Z$12"),0),0)),"ER"))</f>
        <v>?</v>
      </c>
      <c r="AK103" s="87" t="str">
        <f aca="true">IF($H103=0,"NA",IF($A103=INDIRECT("'"&amp;$A103&amp;"'!$B$1"),IF(VLOOKUP(AK$1,INDIRECT("'"&amp;$A103&amp;"'!$A$12:$Z$41"),MATCH("Points (Auto-generate)",INDIRECT("'"&amp;$A103&amp;"'!$A$12:$Z$12"),0),0)="","?",VLOOKUP(AK$1,INDIRECT("'"&amp;$A103&amp;"'!$A$12:$Z$41"),MATCH("Points (Auto-generate)",INDIRECT("'"&amp;$A103&amp;"'!$A$12:$Z$12"),0),0)),"ER"))</f>
        <v>?</v>
      </c>
    </row>
    <row r="104" customFormat="false" ht="14.25" hidden="false" customHeight="true" outlineLevel="0" collapsed="false">
      <c r="A104" s="83" t="s">
        <v>985</v>
      </c>
      <c r="B104" s="84" t="str">
        <f aca="false">IF(ISBLANK($A104),"NO_CODE",VLOOKUP($A104,'UPD Questions_290926 '!$E$1:$N$300,MATCH(B$1,'UPD Questions_290926 '!$E$1:$N$1,0),0)&amp;"")</f>
        <v>Enforcement</v>
      </c>
      <c r="C104" s="84" t="str">
        <f aca="false">IF(ISBLANK($A104),"NO_CODE",VLOOKUP($A104,'UPD Questions_290926 '!$E$1:$N$300,MATCH(C$1,'UPD Questions_290926 '!$E$1:$N$1,0),0)&amp;"")</f>
        <v>Development Compliance</v>
      </c>
      <c r="D104" s="84" t="str">
        <f aca="false">IF(ISBLANK($A104),"NO_CODE",VLOOKUP($A104,'UPD Questions_290926 '!$E$1:$N$300,MATCH(D$1,'UPD Questions_290926 '!$E$1:$N$1,0),0)&amp;"")</f>
        <v>Construction monitoring</v>
      </c>
      <c r="E104" s="84" t="str">
        <f aca="false">IF(ISBLANK($A104),"NO_CODE",VLOOKUP($A104,'UPD Questions_290926 '!$E$1:$N$300,MATCH(E$1,'UPD Questions_290926 '!$E$1:$N$1,0),0)&amp;"")</f>
        <v>MQ</v>
      </c>
      <c r="F104" s="84" t="str">
        <f aca="false">IF(ISBLANK($A104),"NO_CODE",VLOOKUP($A104,'UPD Questions_290926 '!$E$1:$N$300,MATCH(F$1,'UPD Questions_290926 '!$E$1:$N$1,0),0)&amp;"")</f>
        <v>Does the law mandate mechanisms for monitoring ongoing construction/development projects for compliance with approved plans and permissions?  </v>
      </c>
      <c r="G104" s="84" t="str">
        <f aca="false">IF(ISBLANK($A104),"NO_CODE",VLOOKUP($A104,'UPD Questions_290926 '!$E$1:$N$300,MATCH(G$1,'UPD Questions_290926 '!$E$1:$N$1,0),0)&amp;"")</f>
        <v>Implementation</v>
      </c>
      <c r="H104" s="86" t="n">
        <f aca="false">IF(ISBLANK($A104),"NO_CODE",VLOOKUP($A104,'UPD Questions_290926 '!$E$1:$N$300,MATCH(H$1,'UPD Questions_290926 '!$E$1:$N$1,0),0))</f>
        <v>10</v>
      </c>
      <c r="I104" s="87" t="str">
        <f aca="false">IF(OR(I105="ER",I106="ER"),"ER",IF(OR(I105="?",I106="?"),"?",IF(AND(I105="NA",I106="NA"),"NA",SUM(I105,I106)/((I105&lt;&gt;"NA")*$H$105+(I106&lt;&gt;"NA")*$H$106)*$H104)))</f>
        <v>?</v>
      </c>
      <c r="J104" s="87" t="str">
        <f aca="false">IF(OR(J105="ER",J106="ER"),"ER",IF(OR(J105="?",J106="?"),"?",IF(AND(J105="NA",J106="NA"),"NA",SUM(J105,J106)/((J105&lt;&gt;"NA")*$H$105+(J106&lt;&gt;"NA")*$H$106)*$H104)))</f>
        <v>?</v>
      </c>
      <c r="K104" s="87" t="str">
        <f aca="false">IF(OR(K105="ER",K106="ER"),"ER",IF(OR(K105="?",K106="?"),"?",IF(AND(K105="NA",K106="NA"),"NA",SUM(K105,K106)/((K105&lt;&gt;"NA")*$H$105+(K106&lt;&gt;"NA")*$H$106)*$H104)))</f>
        <v>?</v>
      </c>
      <c r="L104" s="87" t="str">
        <f aca="false">IF(OR(L105="ER",L106="ER"),"ER",IF(OR(L105="?",L106="?"),"?",IF(AND(L105="NA",L106="NA"),"NA",SUM(L105,L106)/((L105&lt;&gt;"NA")*$H$105+(L106&lt;&gt;"NA")*$H$106)*$H104)))</f>
        <v>?</v>
      </c>
      <c r="M104" s="87" t="str">
        <f aca="false">IF(OR(M105="ER",M106="ER"),"ER",IF(OR(M105="?",M106="?"),"?",IF(AND(M105="NA",M106="NA"),"NA",SUM(M105,M106)/((M105&lt;&gt;"NA")*$H$105+(M106&lt;&gt;"NA")*$H$106)*$H104)))</f>
        <v>?</v>
      </c>
      <c r="N104" s="87" t="str">
        <f aca="false">IF(OR(N105="ER",N106="ER"),"ER",IF(OR(N105="?",N106="?"),"?",IF(AND(N105="NA",N106="NA"),"NA",SUM(N105,N106)/((N105&lt;&gt;"NA")*$H$105+(N106&lt;&gt;"NA")*$H$106)*$H104)))</f>
        <v>?</v>
      </c>
      <c r="O104" s="87" t="str">
        <f aca="false">IF(OR(O105="ER",O106="ER"),"ER",IF(OR(O105="?",O106="?"),"?",IF(AND(O105="NA",O106="NA"),"NA",SUM(O105,O106)/((O105&lt;&gt;"NA")*$H$105+(O106&lt;&gt;"NA")*$H$106)*$H104)))</f>
        <v>?</v>
      </c>
      <c r="P104" s="87" t="str">
        <f aca="false">IF(OR(P105="ER",P106="ER"),"ER",IF(OR(P105="?",P106="?"),"?",IF(AND(P105="NA",P106="NA"),"NA",SUM(P105,P106)/((P105&lt;&gt;"NA")*$H$105+(P106&lt;&gt;"NA")*$H$106)*$H104)))</f>
        <v>?</v>
      </c>
      <c r="Q104" s="87" t="str">
        <f aca="false">IF(OR(Q105="ER",Q106="ER"),"ER",IF(OR(Q105="?",Q106="?"),"?",IF(AND(Q105="NA",Q106="NA"),"NA",SUM(Q105,Q106)/((Q105&lt;&gt;"NA")*$H$105+(Q106&lt;&gt;"NA")*$H$106)*$H104)))</f>
        <v>?</v>
      </c>
      <c r="R104" s="87" t="str">
        <f aca="false">IF(OR(R105="ER",R106="ER"),"ER",IF(OR(R105="?",R106="?"),"?",IF(AND(R105="NA",R106="NA"),"NA",SUM(R105,R106)/((R105&lt;&gt;"NA")*$H$105+(R106&lt;&gt;"NA")*$H$106)*$H104)))</f>
        <v>?</v>
      </c>
      <c r="S104" s="87" t="str">
        <f aca="false">IF(OR(S105="ER",S106="ER"),"ER",IF(OR(S105="?",S106="?"),"?",IF(AND(S105="NA",S106="NA"),"NA",SUM(S105,S106)/((S105&lt;&gt;"NA")*$H$105+(S106&lt;&gt;"NA")*$H$106)*$H104)))</f>
        <v>?</v>
      </c>
      <c r="T104" s="87" t="str">
        <f aca="false">IF(OR(T105="ER",T106="ER"),"ER",IF(OR(T105="?",T106="?"),"?",IF(AND(T105="NA",T106="NA"),"NA",SUM(T105,T106)/((T105&lt;&gt;"NA")*$H$105+(T106&lt;&gt;"NA")*$H$106)*$H104)))</f>
        <v>?</v>
      </c>
      <c r="U104" s="87" t="str">
        <f aca="false">IF(OR(U105="ER",U106="ER"),"ER",IF(OR(U105="?",U106="?"),"?",IF(AND(U105="NA",U106="NA"),"NA",SUM(U105,U106)/((U105&lt;&gt;"NA")*$H$105+(U106&lt;&gt;"NA")*$H$106)*$H104)))</f>
        <v>?</v>
      </c>
      <c r="V104" s="87" t="str">
        <f aca="false">IF(OR(V105="ER",V106="ER"),"ER",IF(OR(V105="?",V106="?"),"?",IF(AND(V105="NA",V106="NA"),"NA",SUM(V105,V106)/((V105&lt;&gt;"NA")*$H$105+(V106&lt;&gt;"NA")*$H$106)*$H104)))</f>
        <v>?</v>
      </c>
      <c r="W104" s="87" t="str">
        <f aca="false">IF(OR(W105="ER",W106="ER"),"ER",IF(OR(W105="?",W106="?"),"?",IF(AND(W105="NA",W106="NA"),"NA",SUM(W105,W106)/((W105&lt;&gt;"NA")*$H$105+(W106&lt;&gt;"NA")*$H$106)*$H104)))</f>
        <v>?</v>
      </c>
      <c r="X104" s="87" t="str">
        <f aca="false">IF(OR(X105="ER",X106="ER"),"ER",IF(OR(X105="?",X106="?"),"?",IF(AND(X105="NA",X106="NA"),"NA",SUM(X105,X106)/((X105&lt;&gt;"NA")*$H$105+(X106&lt;&gt;"NA")*$H$106)*$H104)))</f>
        <v>?</v>
      </c>
      <c r="Y104" s="87" t="str">
        <f aca="false">IF(OR(Y105="ER",Y106="ER"),"ER",IF(OR(Y105="?",Y106="?"),"?",IF(AND(Y105="NA",Y106="NA"),"NA",SUM(Y105,Y106)/((Y105&lt;&gt;"NA")*$H$105+(Y106&lt;&gt;"NA")*$H$106)*$H104)))</f>
        <v>?</v>
      </c>
      <c r="Z104" s="87" t="str">
        <f aca="false">IF(OR(Z105="ER",Z106="ER"),"ER",IF(OR(Z105="?",Z106="?"),"?",IF(AND(Z105="NA",Z106="NA"),"NA",SUM(Z105,Z106)/((Z105&lt;&gt;"NA")*$H$105+(Z106&lt;&gt;"NA")*$H$106)*$H104)))</f>
        <v>?</v>
      </c>
      <c r="AA104" s="87" t="str">
        <f aca="false">IF(OR(AA105="ER",AA106="ER"),"ER",IF(OR(AA105="?",AA106="?"),"?",IF(AND(AA105="NA",AA106="NA"),"NA",SUM(AA105,AA106)/((AA105&lt;&gt;"NA")*$H$105+(AA106&lt;&gt;"NA")*$H$106)*$H104)))</f>
        <v>?</v>
      </c>
      <c r="AB104" s="87" t="str">
        <f aca="false">IF(OR(AB105="ER",AB106="ER"),"ER",IF(OR(AB105="?",AB106="?"),"?",IF(AND(AB105="NA",AB106="NA"),"NA",SUM(AB105,AB106)/((AB105&lt;&gt;"NA")*$H$105+(AB106&lt;&gt;"NA")*$H$106)*$H104)))</f>
        <v>?</v>
      </c>
      <c r="AC104" s="87" t="str">
        <f aca="false">IF(OR(AC105="ER",AC106="ER"),"ER",IF(OR(AC105="?",AC106="?"),"?",IF(AND(AC105="NA",AC106="NA"),"NA",SUM(AC105,AC106)/((AC105&lt;&gt;"NA")*$H$105+(AC106&lt;&gt;"NA")*$H$106)*$H104)))</f>
        <v>?</v>
      </c>
      <c r="AD104" s="87" t="str">
        <f aca="false">IF(OR(AD105="ER",AD106="ER"),"ER",IF(OR(AD105="?",AD106="?"),"?",IF(AND(AD105="NA",AD106="NA"),"NA",SUM(AD105,AD106)/((AD105&lt;&gt;"NA")*$H$105+(AD106&lt;&gt;"NA")*$H$106)*$H104)))</f>
        <v>?</v>
      </c>
      <c r="AE104" s="87" t="str">
        <f aca="false">IF(OR(AE105="ER",AE106="ER"),"ER",IF(OR(AE105="?",AE106="?"),"?",IF(AND(AE105="NA",AE106="NA"),"NA",SUM(AE105,AE106)/((AE105&lt;&gt;"NA")*$H$105+(AE106&lt;&gt;"NA")*$H$106)*$H104)))</f>
        <v>?</v>
      </c>
      <c r="AF104" s="87" t="str">
        <f aca="false">IF(OR(AF105="ER",AF106="ER"),"ER",IF(OR(AF105="?",AF106="?"),"?",IF(AND(AF105="NA",AF106="NA"),"NA",SUM(AF105,AF106)/((AF105&lt;&gt;"NA")*$H$105+(AF106&lt;&gt;"NA")*$H$106)*$H104)))</f>
        <v>?</v>
      </c>
      <c r="AG104" s="87" t="str">
        <f aca="false">IF(OR(AG105="ER",AG106="ER"),"ER",IF(OR(AG105="?",AG106="?"),"?",IF(AND(AG105="NA",AG106="NA"),"NA",SUM(AG105,AG106)/((AG105&lt;&gt;"NA")*$H$105+(AG106&lt;&gt;"NA")*$H$106)*$H104)))</f>
        <v>?</v>
      </c>
      <c r="AH104" s="87" t="str">
        <f aca="false">IF(OR(AH105="ER",AH106="ER"),"ER",IF(OR(AH105="?",AH106="?"),"?",IF(AND(AH105="NA",AH106="NA"),"NA",SUM(AH105,AH106)/((AH105&lt;&gt;"NA")*$H$105+(AH106&lt;&gt;"NA")*$H$106)*$H104)))</f>
        <v>?</v>
      </c>
      <c r="AI104" s="87" t="str">
        <f aca="false">IF(OR(AI105="ER",AI106="ER"),"ER",IF(OR(AI105="?",AI106="?"),"?",IF(AND(AI105="NA",AI106="NA"),"NA",SUM(AI105,AI106)/((AI105&lt;&gt;"NA")*$H$105+(AI106&lt;&gt;"NA")*$H$106)*$H104)))</f>
        <v>?</v>
      </c>
      <c r="AJ104" s="87" t="str">
        <f aca="false">IF(OR(AJ105="ER",AJ106="ER"),"ER",IF(OR(AJ105="?",AJ106="?"),"?",IF(AND(AJ105="NA",AJ106="NA"),"NA",SUM(AJ105,AJ106)/((AJ105&lt;&gt;"NA")*$H$105+(AJ106&lt;&gt;"NA")*$H$106)*$H104)))</f>
        <v>?</v>
      </c>
      <c r="AK104" s="87" t="str">
        <f aca="false">IF(OR(AK105="ER",AK106="ER"),"ER",IF(OR(AK105="?",AK106="?"),"?",IF(AND(AK105="NA",AK106="NA"),"NA",SUM(AK105,AK106)/((AK105&lt;&gt;"NA")*$H$105+(AK106&lt;&gt;"NA")*$H$106)*$H104)))</f>
        <v>?</v>
      </c>
    </row>
    <row r="105" customFormat="false" ht="14.25" hidden="false" customHeight="true" outlineLevel="0" collapsed="false">
      <c r="A105" s="83" t="s">
        <v>588</v>
      </c>
      <c r="B105" s="84" t="str">
        <f aca="false">IF(ISBLANK($A105),"NO_CODE",VLOOKUP($A105,'UPD Questions_290926 '!$E$1:$N$300,MATCH(B$1,'UPD Questions_290926 '!$E$1:$N$1,0),0)&amp;"")</f>
        <v>Enforcement</v>
      </c>
      <c r="C105" s="84" t="str">
        <f aca="false">IF(ISBLANK($A105),"NO_CODE",VLOOKUP($A105,'UPD Questions_290926 '!$E$1:$N$300,MATCH(C$1,'UPD Questions_290926 '!$E$1:$N$1,0),0)&amp;"")</f>
        <v>Development Compliance</v>
      </c>
      <c r="D105" s="84" t="str">
        <f aca="false">IF(ISBLANK($A105),"NO_CODE",VLOOKUP($A105,'UPD Questions_290926 '!$E$1:$N$300,MATCH(D$1,'UPD Questions_290926 '!$E$1:$N$1,0),0)&amp;"")</f>
        <v>Construction monitoring</v>
      </c>
      <c r="E105" s="84" t="str">
        <f aca="false">IF(ISBLANK($A105),"NO_CODE",VLOOKUP($A105,'UPD Questions_290926 '!$E$1:$N$300,MATCH(E$1,'UPD Questions_290926 '!$E$1:$N$1,0),0)&amp;"")</f>
        <v>SQ</v>
      </c>
      <c r="F105" s="84" t="str">
        <f aca="false">IF(ISBLANK($A105),"NO_CODE",VLOOKUP($A105,'UPD Questions_290926 '!$E$1:$N$300,MATCH(F$1,'UPD Questions_290926 '!$E$1:$N$1,0),0)&amp;"")</f>
        <v>Does the law mandate a system for monitoring ongoing construction/projects for possible violations?</v>
      </c>
      <c r="G105" s="84" t="str">
        <f aca="false">IF(ISBLANK($A105),"NO_CODE",VLOOKUP($A105,'UPD Questions_290926 '!$E$1:$N$300,MATCH(G$1,'UPD Questions_290926 '!$E$1:$N$1,0),0)&amp;"")</f>
        <v>Implementation</v>
      </c>
      <c r="H105" s="86" t="n">
        <f aca="false">IF(ISBLANK($A105),"NO_CODE",VLOOKUP($A105,'UPD Questions_290926 '!$E$1:$N$300,MATCH(H$1,'UPD Questions_290926 '!$E$1:$N$1,0),0))</f>
        <v>5</v>
      </c>
      <c r="I105" s="87" t="str">
        <f aca="true">IF($H105=0,"NA",IF($A105=INDIRECT("'"&amp;$A105&amp;"'!$B$1"),IF(VLOOKUP(I$1,INDIRECT("'"&amp;$A105&amp;"'!$A$12:$Z$41"),MATCH("Points (Auto-generate)",INDIRECT("'"&amp;$A105&amp;"'!$A$12:$Z$12"),0),0)="","?",VLOOKUP(I$1,INDIRECT("'"&amp;$A105&amp;"'!$A$12:$Z$41"),MATCH("Points (Auto-generate)",INDIRECT("'"&amp;$A105&amp;"'!$A$12:$Z$12"),0),0)),"ER"))</f>
        <v>?</v>
      </c>
      <c r="J105" s="87" t="n">
        <f aca="true">IF($H105=0,"NA",IF($A105=INDIRECT("'"&amp;$A105&amp;"'!$B$1"),IF(VLOOKUP(J$1,INDIRECT("'"&amp;$A105&amp;"'!$A$12:$Z$41"),MATCH("Points (Auto-generate)",INDIRECT("'"&amp;$A105&amp;"'!$A$12:$Z$12"),0),0)="","?",VLOOKUP(J$1,INDIRECT("'"&amp;$A105&amp;"'!$A$12:$Z$41"),MATCH("Points (Auto-generate)",INDIRECT("'"&amp;$A105&amp;"'!$A$12:$Z$12"),0),0)),"ER"))</f>
        <v>5</v>
      </c>
      <c r="K105" s="87" t="str">
        <f aca="true">IF($H105=0,"NA",IF($A105=INDIRECT("'"&amp;$A105&amp;"'!$B$1"),IF(VLOOKUP(K$1,INDIRECT("'"&amp;$A105&amp;"'!$A$12:$Z$41"),MATCH("Points (Auto-generate)",INDIRECT("'"&amp;$A105&amp;"'!$A$12:$Z$12"),0),0)="","?",VLOOKUP(K$1,INDIRECT("'"&amp;$A105&amp;"'!$A$12:$Z$41"),MATCH("Points (Auto-generate)",INDIRECT("'"&amp;$A105&amp;"'!$A$12:$Z$12"),0),0)),"ER"))</f>
        <v>?</v>
      </c>
      <c r="L105" s="87" t="str">
        <f aca="true">IF($H105=0,"NA",IF($A105=INDIRECT("'"&amp;$A105&amp;"'!$B$1"),IF(VLOOKUP(L$1,INDIRECT("'"&amp;$A105&amp;"'!$A$12:$Z$41"),MATCH("Points (Auto-generate)",INDIRECT("'"&amp;$A105&amp;"'!$A$12:$Z$12"),0),0)="","?",VLOOKUP(L$1,INDIRECT("'"&amp;$A105&amp;"'!$A$12:$Z$41"),MATCH("Points (Auto-generate)",INDIRECT("'"&amp;$A105&amp;"'!$A$12:$Z$12"),0),0)),"ER"))</f>
        <v>?</v>
      </c>
      <c r="M105" s="87" t="str">
        <f aca="true">IF($H105=0,"NA",IF($A105=INDIRECT("'"&amp;$A105&amp;"'!$B$1"),IF(VLOOKUP(M$1,INDIRECT("'"&amp;$A105&amp;"'!$A$12:$Z$41"),MATCH("Points (Auto-generate)",INDIRECT("'"&amp;$A105&amp;"'!$A$12:$Z$12"),0),0)="","?",VLOOKUP(M$1,INDIRECT("'"&amp;$A105&amp;"'!$A$12:$Z$41"),MATCH("Points (Auto-generate)",INDIRECT("'"&amp;$A105&amp;"'!$A$12:$Z$12"),0),0)),"ER"))</f>
        <v>?</v>
      </c>
      <c r="N105" s="87" t="str">
        <f aca="true">IF($H105=0,"NA",IF($A105=INDIRECT("'"&amp;$A105&amp;"'!$B$1"),IF(VLOOKUP(N$1,INDIRECT("'"&amp;$A105&amp;"'!$A$12:$Z$41"),MATCH("Points (Auto-generate)",INDIRECT("'"&amp;$A105&amp;"'!$A$12:$Z$12"),0),0)="","?",VLOOKUP(N$1,INDIRECT("'"&amp;$A105&amp;"'!$A$12:$Z$41"),MATCH("Points (Auto-generate)",INDIRECT("'"&amp;$A105&amp;"'!$A$12:$Z$12"),0),0)),"ER"))</f>
        <v>?</v>
      </c>
      <c r="O105" s="87" t="str">
        <f aca="true">IF($H105=0,"NA",IF($A105=INDIRECT("'"&amp;$A105&amp;"'!$B$1"),IF(VLOOKUP(O$1,INDIRECT("'"&amp;$A105&amp;"'!$A$12:$Z$41"),MATCH("Points (Auto-generate)",INDIRECT("'"&amp;$A105&amp;"'!$A$12:$Z$12"),0),0)="","?",VLOOKUP(O$1,INDIRECT("'"&amp;$A105&amp;"'!$A$12:$Z$41"),MATCH("Points (Auto-generate)",INDIRECT("'"&amp;$A105&amp;"'!$A$12:$Z$12"),0),0)),"ER"))</f>
        <v>?</v>
      </c>
      <c r="P105" s="87" t="str">
        <f aca="true">IF($H105=0,"NA",IF($A105=INDIRECT("'"&amp;$A105&amp;"'!$B$1"),IF(VLOOKUP(P$1,INDIRECT("'"&amp;$A105&amp;"'!$A$12:$Z$41"),MATCH("Points (Auto-generate)",INDIRECT("'"&amp;$A105&amp;"'!$A$12:$Z$12"),0),0)="","?",VLOOKUP(P$1,INDIRECT("'"&amp;$A105&amp;"'!$A$12:$Z$41"),MATCH("Points (Auto-generate)",INDIRECT("'"&amp;$A105&amp;"'!$A$12:$Z$12"),0),0)),"ER"))</f>
        <v>?</v>
      </c>
      <c r="Q105" s="87" t="str">
        <f aca="true">IF($H105=0,"NA",IF($A105=INDIRECT("'"&amp;$A105&amp;"'!$B$1"),IF(VLOOKUP(Q$1,INDIRECT("'"&amp;$A105&amp;"'!$A$12:$Z$41"),MATCH("Points (Auto-generate)",INDIRECT("'"&amp;$A105&amp;"'!$A$12:$Z$12"),0),0)="","?",VLOOKUP(Q$1,INDIRECT("'"&amp;$A105&amp;"'!$A$12:$Z$41"),MATCH("Points (Auto-generate)",INDIRECT("'"&amp;$A105&amp;"'!$A$12:$Z$12"),0),0)),"ER"))</f>
        <v>?</v>
      </c>
      <c r="R105" s="87" t="str">
        <f aca="true">IF($H105=0,"NA",IF($A105=INDIRECT("'"&amp;$A105&amp;"'!$B$1"),IF(VLOOKUP(R$1,INDIRECT("'"&amp;$A105&amp;"'!$A$12:$Z$41"),MATCH("Points (Auto-generate)",INDIRECT("'"&amp;$A105&amp;"'!$A$12:$Z$12"),0),0)="","?",VLOOKUP(R$1,INDIRECT("'"&amp;$A105&amp;"'!$A$12:$Z$41"),MATCH("Points (Auto-generate)",INDIRECT("'"&amp;$A105&amp;"'!$A$12:$Z$12"),0),0)),"ER"))</f>
        <v>?</v>
      </c>
      <c r="S105" s="87" t="str">
        <f aca="true">IF($H105=0,"NA",IF($A105=INDIRECT("'"&amp;$A105&amp;"'!$B$1"),IF(VLOOKUP(S$1,INDIRECT("'"&amp;$A105&amp;"'!$A$12:$Z$41"),MATCH("Points (Auto-generate)",INDIRECT("'"&amp;$A105&amp;"'!$A$12:$Z$12"),0),0)="","?",VLOOKUP(S$1,INDIRECT("'"&amp;$A105&amp;"'!$A$12:$Z$41"),MATCH("Points (Auto-generate)",INDIRECT("'"&amp;$A105&amp;"'!$A$12:$Z$12"),0),0)),"ER"))</f>
        <v>?</v>
      </c>
      <c r="T105" s="87" t="str">
        <f aca="true">IF($H105=0,"NA",IF($A105=INDIRECT("'"&amp;$A105&amp;"'!$B$1"),IF(VLOOKUP(T$1,INDIRECT("'"&amp;$A105&amp;"'!$A$12:$Z$41"),MATCH("Points (Auto-generate)",INDIRECT("'"&amp;$A105&amp;"'!$A$12:$Z$12"),0),0)="","?",VLOOKUP(T$1,INDIRECT("'"&amp;$A105&amp;"'!$A$12:$Z$41"),MATCH("Points (Auto-generate)",INDIRECT("'"&amp;$A105&amp;"'!$A$12:$Z$12"),0),0)),"ER"))</f>
        <v>?</v>
      </c>
      <c r="U105" s="87" t="str">
        <f aca="true">IF($H105=0,"NA",IF($A105=INDIRECT("'"&amp;$A105&amp;"'!$B$1"),IF(VLOOKUP(U$1,INDIRECT("'"&amp;$A105&amp;"'!$A$12:$Z$41"),MATCH("Points (Auto-generate)",INDIRECT("'"&amp;$A105&amp;"'!$A$12:$Z$12"),0),0)="","?",VLOOKUP(U$1,INDIRECT("'"&amp;$A105&amp;"'!$A$12:$Z$41"),MATCH("Points (Auto-generate)",INDIRECT("'"&amp;$A105&amp;"'!$A$12:$Z$12"),0),0)),"ER"))</f>
        <v>?</v>
      </c>
      <c r="V105" s="87" t="str">
        <f aca="true">IF($H105=0,"NA",IF($A105=INDIRECT("'"&amp;$A105&amp;"'!$B$1"),IF(VLOOKUP(V$1,INDIRECT("'"&amp;$A105&amp;"'!$A$12:$Z$41"),MATCH("Points (Auto-generate)",INDIRECT("'"&amp;$A105&amp;"'!$A$12:$Z$12"),0),0)="","?",VLOOKUP(V$1,INDIRECT("'"&amp;$A105&amp;"'!$A$12:$Z$41"),MATCH("Points (Auto-generate)",INDIRECT("'"&amp;$A105&amp;"'!$A$12:$Z$12"),0),0)),"ER"))</f>
        <v>?</v>
      </c>
      <c r="W105" s="87" t="str">
        <f aca="true">IF($H105=0,"NA",IF($A105=INDIRECT("'"&amp;$A105&amp;"'!$B$1"),IF(VLOOKUP(W$1,INDIRECT("'"&amp;$A105&amp;"'!$A$12:$Z$41"),MATCH("Points (Auto-generate)",INDIRECT("'"&amp;$A105&amp;"'!$A$12:$Z$12"),0),0)="","?",VLOOKUP(W$1,INDIRECT("'"&amp;$A105&amp;"'!$A$12:$Z$41"),MATCH("Points (Auto-generate)",INDIRECT("'"&amp;$A105&amp;"'!$A$12:$Z$12"),0),0)),"ER"))</f>
        <v>?</v>
      </c>
      <c r="X105" s="87" t="str">
        <f aca="true">IF($H105=0,"NA",IF($A105=INDIRECT("'"&amp;$A105&amp;"'!$B$1"),IF(VLOOKUP(X$1,INDIRECT("'"&amp;$A105&amp;"'!$A$12:$Z$41"),MATCH("Points (Auto-generate)",INDIRECT("'"&amp;$A105&amp;"'!$A$12:$Z$12"),0),0)="","?",VLOOKUP(X$1,INDIRECT("'"&amp;$A105&amp;"'!$A$12:$Z$41"),MATCH("Points (Auto-generate)",INDIRECT("'"&amp;$A105&amp;"'!$A$12:$Z$12"),0),0)),"ER"))</f>
        <v>?</v>
      </c>
      <c r="Y105" s="87" t="str">
        <f aca="true">IF($H105=0,"NA",IF($A105=INDIRECT("'"&amp;$A105&amp;"'!$B$1"),IF(VLOOKUP(Y$1,INDIRECT("'"&amp;$A105&amp;"'!$A$12:$Z$41"),MATCH("Points (Auto-generate)",INDIRECT("'"&amp;$A105&amp;"'!$A$12:$Z$12"),0),0)="","?",VLOOKUP(Y$1,INDIRECT("'"&amp;$A105&amp;"'!$A$12:$Z$41"),MATCH("Points (Auto-generate)",INDIRECT("'"&amp;$A105&amp;"'!$A$12:$Z$12"),0),0)),"ER"))</f>
        <v>?</v>
      </c>
      <c r="Z105" s="87" t="str">
        <f aca="true">IF($H105=0,"NA",IF($A105=INDIRECT("'"&amp;$A105&amp;"'!$B$1"),IF(VLOOKUP(Z$1,INDIRECT("'"&amp;$A105&amp;"'!$A$12:$Z$41"),MATCH("Points (Auto-generate)",INDIRECT("'"&amp;$A105&amp;"'!$A$12:$Z$12"),0),0)="","?",VLOOKUP(Z$1,INDIRECT("'"&amp;$A105&amp;"'!$A$12:$Z$41"),MATCH("Points (Auto-generate)",INDIRECT("'"&amp;$A105&amp;"'!$A$12:$Z$12"),0),0)),"ER"))</f>
        <v>?</v>
      </c>
      <c r="AA105" s="87" t="str">
        <f aca="true">IF($H105=0,"NA",IF($A105=INDIRECT("'"&amp;$A105&amp;"'!$B$1"),IF(VLOOKUP(AA$1,INDIRECT("'"&amp;$A105&amp;"'!$A$12:$Z$41"),MATCH("Points (Auto-generate)",INDIRECT("'"&amp;$A105&amp;"'!$A$12:$Z$12"),0),0)="","?",VLOOKUP(AA$1,INDIRECT("'"&amp;$A105&amp;"'!$A$12:$Z$41"),MATCH("Points (Auto-generate)",INDIRECT("'"&amp;$A105&amp;"'!$A$12:$Z$12"),0),0)),"ER"))</f>
        <v>?</v>
      </c>
      <c r="AB105" s="87" t="str">
        <f aca="true">IF($H105=0,"NA",IF($A105=INDIRECT("'"&amp;$A105&amp;"'!$B$1"),IF(VLOOKUP(AB$1,INDIRECT("'"&amp;$A105&amp;"'!$A$12:$Z$41"),MATCH("Points (Auto-generate)",INDIRECT("'"&amp;$A105&amp;"'!$A$12:$Z$12"),0),0)="","?",VLOOKUP(AB$1,INDIRECT("'"&amp;$A105&amp;"'!$A$12:$Z$41"),MATCH("Points (Auto-generate)",INDIRECT("'"&amp;$A105&amp;"'!$A$12:$Z$12"),0),0)),"ER"))</f>
        <v>?</v>
      </c>
      <c r="AC105" s="87" t="n">
        <f aca="true">IF($H105=0,"NA",IF($A105=INDIRECT("'"&amp;$A105&amp;"'!$B$1"),IF(VLOOKUP(AC$1,INDIRECT("'"&amp;$A105&amp;"'!$A$12:$Z$41"),MATCH("Points (Auto-generate)",INDIRECT("'"&amp;$A105&amp;"'!$A$12:$Z$12"),0),0)="","?",VLOOKUP(AC$1,INDIRECT("'"&amp;$A105&amp;"'!$A$12:$Z$41"),MATCH("Points (Auto-generate)",INDIRECT("'"&amp;$A105&amp;"'!$A$12:$Z$12"),0),0)),"ER"))</f>
        <v>5</v>
      </c>
      <c r="AD105" s="87" t="str">
        <f aca="true">IF($H105=0,"NA",IF($A105=INDIRECT("'"&amp;$A105&amp;"'!$B$1"),IF(VLOOKUP(AD$1,INDIRECT("'"&amp;$A105&amp;"'!$A$12:$Z$41"),MATCH("Points (Auto-generate)",INDIRECT("'"&amp;$A105&amp;"'!$A$12:$Z$12"),0),0)="","?",VLOOKUP(AD$1,INDIRECT("'"&amp;$A105&amp;"'!$A$12:$Z$41"),MATCH("Points (Auto-generate)",INDIRECT("'"&amp;$A105&amp;"'!$A$12:$Z$12"),0),0)),"ER"))</f>
        <v>?</v>
      </c>
      <c r="AE105" s="87" t="str">
        <f aca="true">IF($H105=0,"NA",IF($A105=INDIRECT("'"&amp;$A105&amp;"'!$B$1"),IF(VLOOKUP(AE$1,INDIRECT("'"&amp;$A105&amp;"'!$A$12:$Z$41"),MATCH("Points (Auto-generate)",INDIRECT("'"&amp;$A105&amp;"'!$A$12:$Z$12"),0),0)="","?",VLOOKUP(AE$1,INDIRECT("'"&amp;$A105&amp;"'!$A$12:$Z$41"),MATCH("Points (Auto-generate)",INDIRECT("'"&amp;$A105&amp;"'!$A$12:$Z$12"),0),0)),"ER"))</f>
        <v>?</v>
      </c>
      <c r="AF105" s="87" t="str">
        <f aca="true">IF($H105=0,"NA",IF($A105=INDIRECT("'"&amp;$A105&amp;"'!$B$1"),IF(VLOOKUP(AF$1,INDIRECT("'"&amp;$A105&amp;"'!$A$12:$Z$41"),MATCH("Points (Auto-generate)",INDIRECT("'"&amp;$A105&amp;"'!$A$12:$Z$12"),0),0)="","?",VLOOKUP(AF$1,INDIRECT("'"&amp;$A105&amp;"'!$A$12:$Z$41"),MATCH("Points (Auto-generate)",INDIRECT("'"&amp;$A105&amp;"'!$A$12:$Z$12"),0),0)),"ER"))</f>
        <v>?</v>
      </c>
      <c r="AG105" s="87" t="str">
        <f aca="true">IF($H105=0,"NA",IF($A105=INDIRECT("'"&amp;$A105&amp;"'!$B$1"),IF(VLOOKUP(AG$1,INDIRECT("'"&amp;$A105&amp;"'!$A$12:$Z$41"),MATCH("Points (Auto-generate)",INDIRECT("'"&amp;$A105&amp;"'!$A$12:$Z$12"),0),0)="","?",VLOOKUP(AG$1,INDIRECT("'"&amp;$A105&amp;"'!$A$12:$Z$41"),MATCH("Points (Auto-generate)",INDIRECT("'"&amp;$A105&amp;"'!$A$12:$Z$12"),0),0)),"ER"))</f>
        <v>?</v>
      </c>
      <c r="AH105" s="87" t="str">
        <f aca="true">IF($H105=0,"NA",IF($A105=INDIRECT("'"&amp;$A105&amp;"'!$B$1"),IF(VLOOKUP(AH$1,INDIRECT("'"&amp;$A105&amp;"'!$A$12:$Z$41"),MATCH("Points (Auto-generate)",INDIRECT("'"&amp;$A105&amp;"'!$A$12:$Z$12"),0),0)="","?",VLOOKUP(AH$1,INDIRECT("'"&amp;$A105&amp;"'!$A$12:$Z$41"),MATCH("Points (Auto-generate)",INDIRECT("'"&amp;$A105&amp;"'!$A$12:$Z$12"),0),0)),"ER"))</f>
        <v>?</v>
      </c>
      <c r="AI105" s="87" t="str">
        <f aca="true">IF($H105=0,"NA",IF($A105=INDIRECT("'"&amp;$A105&amp;"'!$B$1"),IF(VLOOKUP(AI$1,INDIRECT("'"&amp;$A105&amp;"'!$A$12:$Z$41"),MATCH("Points (Auto-generate)",INDIRECT("'"&amp;$A105&amp;"'!$A$12:$Z$12"),0),0)="","?",VLOOKUP(AI$1,INDIRECT("'"&amp;$A105&amp;"'!$A$12:$Z$41"),MATCH("Points (Auto-generate)",INDIRECT("'"&amp;$A105&amp;"'!$A$12:$Z$12"),0),0)),"ER"))</f>
        <v>?</v>
      </c>
      <c r="AJ105" s="87" t="str">
        <f aca="true">IF($H105=0,"NA",IF($A105=INDIRECT("'"&amp;$A105&amp;"'!$B$1"),IF(VLOOKUP(AJ$1,INDIRECT("'"&amp;$A105&amp;"'!$A$12:$Z$41"),MATCH("Points (Auto-generate)",INDIRECT("'"&amp;$A105&amp;"'!$A$12:$Z$12"),0),0)="","?",VLOOKUP(AJ$1,INDIRECT("'"&amp;$A105&amp;"'!$A$12:$Z$41"),MATCH("Points (Auto-generate)",INDIRECT("'"&amp;$A105&amp;"'!$A$12:$Z$12"),0),0)),"ER"))</f>
        <v>?</v>
      </c>
      <c r="AK105" s="87" t="str">
        <f aca="true">IF($H105=0,"NA",IF($A105=INDIRECT("'"&amp;$A105&amp;"'!$B$1"),IF(VLOOKUP(AK$1,INDIRECT("'"&amp;$A105&amp;"'!$A$12:$Z$41"),MATCH("Points (Auto-generate)",INDIRECT("'"&amp;$A105&amp;"'!$A$12:$Z$12"),0),0)="","?",VLOOKUP(AK$1,INDIRECT("'"&amp;$A105&amp;"'!$A$12:$Z$41"),MATCH("Points (Auto-generate)",INDIRECT("'"&amp;$A105&amp;"'!$A$12:$Z$12"),0),0)),"ER"))</f>
        <v>?</v>
      </c>
    </row>
    <row r="106" customFormat="false" ht="14.25" hidden="false" customHeight="true" outlineLevel="0" collapsed="false">
      <c r="A106" s="83" t="s">
        <v>596</v>
      </c>
      <c r="B106" s="84" t="str">
        <f aca="false">IF(ISBLANK($A106),"NO_CODE",VLOOKUP($A106,'UPD Questions_290926 '!$E$1:$N$300,MATCH(B$1,'UPD Questions_290926 '!$E$1:$N$1,0),0)&amp;"")</f>
        <v>Enforcement</v>
      </c>
      <c r="C106" s="84" t="str">
        <f aca="false">IF(ISBLANK($A106),"NO_CODE",VLOOKUP($A106,'UPD Questions_290926 '!$E$1:$N$300,MATCH(C$1,'UPD Questions_290926 '!$E$1:$N$1,0),0)&amp;"")</f>
        <v>Development Compliance</v>
      </c>
      <c r="D106" s="84" t="str">
        <f aca="false">IF(ISBLANK($A106),"NO_CODE",VLOOKUP($A106,'UPD Questions_290926 '!$E$1:$N$300,MATCH(D$1,'UPD Questions_290926 '!$E$1:$N$1,0),0)&amp;"")</f>
        <v>Construction monitoring</v>
      </c>
      <c r="E106" s="84" t="str">
        <f aca="false">IF(ISBLANK($A106),"NO_CODE",VLOOKUP($A106,'UPD Questions_290926 '!$E$1:$N$300,MATCH(E$1,'UPD Questions_290926 '!$E$1:$N$1,0),0)&amp;"")</f>
        <v>SQ</v>
      </c>
      <c r="F106" s="84" t="str">
        <f aca="false">IF(ISBLANK($A106),"NO_CODE",VLOOKUP($A106,'UPD Questions_290926 '!$E$1:$N$300,MATCH(F$1,'UPD Questions_290926 '!$E$1:$N$1,0),0)&amp;"")</f>
        <v>Has a system for monitoring ongoing construction/projects for possible violations been implemented?</v>
      </c>
      <c r="G106" s="84" t="str">
        <f aca="false">IF(ISBLANK($A106),"NO_CODE",VLOOKUP($A106,'UPD Questions_290926 '!$E$1:$N$300,MATCH(G$1,'UPD Questions_290926 '!$E$1:$N$1,0),0)&amp;"")</f>
        <v>Implementation</v>
      </c>
      <c r="H106" s="86" t="n">
        <f aca="false">IF(ISBLANK($A106),"NO_CODE",VLOOKUP($A106,'UPD Questions_290926 '!$E$1:$N$300,MATCH(H$1,'UPD Questions_290926 '!$E$1:$N$1,0),0))</f>
        <v>5</v>
      </c>
      <c r="I106" s="87" t="str">
        <f aca="true">IF($H106=0,"NA",IF($A106=INDIRECT("'"&amp;$A106&amp;"'!$B$1"),IF(VLOOKUP(I$1,INDIRECT("'"&amp;$A106&amp;"'!$A$12:$Z$41"),MATCH("Points (Auto-generate)",INDIRECT("'"&amp;$A106&amp;"'!$A$12:$Z$12"),0),0)="","?",VLOOKUP(I$1,INDIRECT("'"&amp;$A106&amp;"'!$A$12:$Z$41"),MATCH("Points (Auto-generate)",INDIRECT("'"&amp;$A106&amp;"'!$A$12:$Z$12"),0),0)),"ER"))</f>
        <v>?</v>
      </c>
      <c r="J106" s="87" t="str">
        <f aca="true">IF($H106=0,"NA",IF($A106=INDIRECT("'"&amp;$A106&amp;"'!$B$1"),IF(VLOOKUP(J$1,INDIRECT("'"&amp;$A106&amp;"'!$A$12:$Z$41"),MATCH("Points (Auto-generate)",INDIRECT("'"&amp;$A106&amp;"'!$A$12:$Z$12"),0),0)="","?",VLOOKUP(J$1,INDIRECT("'"&amp;$A106&amp;"'!$A$12:$Z$41"),MATCH("Points (Auto-generate)",INDIRECT("'"&amp;$A106&amp;"'!$A$12:$Z$12"),0),0)),"ER"))</f>
        <v>?</v>
      </c>
      <c r="K106" s="87" t="str">
        <f aca="true">IF($H106=0,"NA",IF($A106=INDIRECT("'"&amp;$A106&amp;"'!$B$1"),IF(VLOOKUP(K$1,INDIRECT("'"&amp;$A106&amp;"'!$A$12:$Z$41"),MATCH("Points (Auto-generate)",INDIRECT("'"&amp;$A106&amp;"'!$A$12:$Z$12"),0),0)="","?",VLOOKUP(K$1,INDIRECT("'"&amp;$A106&amp;"'!$A$12:$Z$41"),MATCH("Points (Auto-generate)",INDIRECT("'"&amp;$A106&amp;"'!$A$12:$Z$12"),0),0)),"ER"))</f>
        <v>?</v>
      </c>
      <c r="L106" s="87" t="str">
        <f aca="true">IF($H106=0,"NA",IF($A106=INDIRECT("'"&amp;$A106&amp;"'!$B$1"),IF(VLOOKUP(L$1,INDIRECT("'"&amp;$A106&amp;"'!$A$12:$Z$41"),MATCH("Points (Auto-generate)",INDIRECT("'"&amp;$A106&amp;"'!$A$12:$Z$12"),0),0)="","?",VLOOKUP(L$1,INDIRECT("'"&amp;$A106&amp;"'!$A$12:$Z$41"),MATCH("Points (Auto-generate)",INDIRECT("'"&amp;$A106&amp;"'!$A$12:$Z$12"),0),0)),"ER"))</f>
        <v>?</v>
      </c>
      <c r="M106" s="87" t="str">
        <f aca="true">IF($H106=0,"NA",IF($A106=INDIRECT("'"&amp;$A106&amp;"'!$B$1"),IF(VLOOKUP(M$1,INDIRECT("'"&amp;$A106&amp;"'!$A$12:$Z$41"),MATCH("Points (Auto-generate)",INDIRECT("'"&amp;$A106&amp;"'!$A$12:$Z$12"),0),0)="","?",VLOOKUP(M$1,INDIRECT("'"&amp;$A106&amp;"'!$A$12:$Z$41"),MATCH("Points (Auto-generate)",INDIRECT("'"&amp;$A106&amp;"'!$A$12:$Z$12"),0),0)),"ER"))</f>
        <v>?</v>
      </c>
      <c r="N106" s="87" t="str">
        <f aca="true">IF($H106=0,"NA",IF($A106=INDIRECT("'"&amp;$A106&amp;"'!$B$1"),IF(VLOOKUP(N$1,INDIRECT("'"&amp;$A106&amp;"'!$A$12:$Z$41"),MATCH("Points (Auto-generate)",INDIRECT("'"&amp;$A106&amp;"'!$A$12:$Z$12"),0),0)="","?",VLOOKUP(N$1,INDIRECT("'"&amp;$A106&amp;"'!$A$12:$Z$41"),MATCH("Points (Auto-generate)",INDIRECT("'"&amp;$A106&amp;"'!$A$12:$Z$12"),0),0)),"ER"))</f>
        <v>?</v>
      </c>
      <c r="O106" s="87" t="str">
        <f aca="true">IF($H106=0,"NA",IF($A106=INDIRECT("'"&amp;$A106&amp;"'!$B$1"),IF(VLOOKUP(O$1,INDIRECT("'"&amp;$A106&amp;"'!$A$12:$Z$41"),MATCH("Points (Auto-generate)",INDIRECT("'"&amp;$A106&amp;"'!$A$12:$Z$12"),0),0)="","?",VLOOKUP(O$1,INDIRECT("'"&amp;$A106&amp;"'!$A$12:$Z$41"),MATCH("Points (Auto-generate)",INDIRECT("'"&amp;$A106&amp;"'!$A$12:$Z$12"),0),0)),"ER"))</f>
        <v>?</v>
      </c>
      <c r="P106" s="87" t="str">
        <f aca="true">IF($H106=0,"NA",IF($A106=INDIRECT("'"&amp;$A106&amp;"'!$B$1"),IF(VLOOKUP(P$1,INDIRECT("'"&amp;$A106&amp;"'!$A$12:$Z$41"),MATCH("Points (Auto-generate)",INDIRECT("'"&amp;$A106&amp;"'!$A$12:$Z$12"),0),0)="","?",VLOOKUP(P$1,INDIRECT("'"&amp;$A106&amp;"'!$A$12:$Z$41"),MATCH("Points (Auto-generate)",INDIRECT("'"&amp;$A106&amp;"'!$A$12:$Z$12"),0),0)),"ER"))</f>
        <v>?</v>
      </c>
      <c r="Q106" s="87" t="str">
        <f aca="true">IF($H106=0,"NA",IF($A106=INDIRECT("'"&amp;$A106&amp;"'!$B$1"),IF(VLOOKUP(Q$1,INDIRECT("'"&amp;$A106&amp;"'!$A$12:$Z$41"),MATCH("Points (Auto-generate)",INDIRECT("'"&amp;$A106&amp;"'!$A$12:$Z$12"),0),0)="","?",VLOOKUP(Q$1,INDIRECT("'"&amp;$A106&amp;"'!$A$12:$Z$41"),MATCH("Points (Auto-generate)",INDIRECT("'"&amp;$A106&amp;"'!$A$12:$Z$12"),0),0)),"ER"))</f>
        <v>?</v>
      </c>
      <c r="R106" s="87" t="str">
        <f aca="true">IF($H106=0,"NA",IF($A106=INDIRECT("'"&amp;$A106&amp;"'!$B$1"),IF(VLOOKUP(R$1,INDIRECT("'"&amp;$A106&amp;"'!$A$12:$Z$41"),MATCH("Points (Auto-generate)",INDIRECT("'"&amp;$A106&amp;"'!$A$12:$Z$12"),0),0)="","?",VLOOKUP(R$1,INDIRECT("'"&amp;$A106&amp;"'!$A$12:$Z$41"),MATCH("Points (Auto-generate)",INDIRECT("'"&amp;$A106&amp;"'!$A$12:$Z$12"),0),0)),"ER"))</f>
        <v>?</v>
      </c>
      <c r="S106" s="87" t="str">
        <f aca="true">IF($H106=0,"NA",IF($A106=INDIRECT("'"&amp;$A106&amp;"'!$B$1"),IF(VLOOKUP(S$1,INDIRECT("'"&amp;$A106&amp;"'!$A$12:$Z$41"),MATCH("Points (Auto-generate)",INDIRECT("'"&amp;$A106&amp;"'!$A$12:$Z$12"),0),0)="","?",VLOOKUP(S$1,INDIRECT("'"&amp;$A106&amp;"'!$A$12:$Z$41"),MATCH("Points (Auto-generate)",INDIRECT("'"&amp;$A106&amp;"'!$A$12:$Z$12"),0),0)),"ER"))</f>
        <v>?</v>
      </c>
      <c r="T106" s="87" t="str">
        <f aca="true">IF($H106=0,"NA",IF($A106=INDIRECT("'"&amp;$A106&amp;"'!$B$1"),IF(VLOOKUP(T$1,INDIRECT("'"&amp;$A106&amp;"'!$A$12:$Z$41"),MATCH("Points (Auto-generate)",INDIRECT("'"&amp;$A106&amp;"'!$A$12:$Z$12"),0),0)="","?",VLOOKUP(T$1,INDIRECT("'"&amp;$A106&amp;"'!$A$12:$Z$41"),MATCH("Points (Auto-generate)",INDIRECT("'"&amp;$A106&amp;"'!$A$12:$Z$12"),0),0)),"ER"))</f>
        <v>?</v>
      </c>
      <c r="U106" s="87" t="str">
        <f aca="true">IF($H106=0,"NA",IF($A106=INDIRECT("'"&amp;$A106&amp;"'!$B$1"),IF(VLOOKUP(U$1,INDIRECT("'"&amp;$A106&amp;"'!$A$12:$Z$41"),MATCH("Points (Auto-generate)",INDIRECT("'"&amp;$A106&amp;"'!$A$12:$Z$12"),0),0)="","?",VLOOKUP(U$1,INDIRECT("'"&amp;$A106&amp;"'!$A$12:$Z$41"),MATCH("Points (Auto-generate)",INDIRECT("'"&amp;$A106&amp;"'!$A$12:$Z$12"),0),0)),"ER"))</f>
        <v>?</v>
      </c>
      <c r="V106" s="87" t="str">
        <f aca="true">IF($H106=0,"NA",IF($A106=INDIRECT("'"&amp;$A106&amp;"'!$B$1"),IF(VLOOKUP(V$1,INDIRECT("'"&amp;$A106&amp;"'!$A$12:$Z$41"),MATCH("Points (Auto-generate)",INDIRECT("'"&amp;$A106&amp;"'!$A$12:$Z$12"),0),0)="","?",VLOOKUP(V$1,INDIRECT("'"&amp;$A106&amp;"'!$A$12:$Z$41"),MATCH("Points (Auto-generate)",INDIRECT("'"&amp;$A106&amp;"'!$A$12:$Z$12"),0),0)),"ER"))</f>
        <v>?</v>
      </c>
      <c r="W106" s="87" t="str">
        <f aca="true">IF($H106=0,"NA",IF($A106=INDIRECT("'"&amp;$A106&amp;"'!$B$1"),IF(VLOOKUP(W$1,INDIRECT("'"&amp;$A106&amp;"'!$A$12:$Z$41"),MATCH("Points (Auto-generate)",INDIRECT("'"&amp;$A106&amp;"'!$A$12:$Z$12"),0),0)="","?",VLOOKUP(W$1,INDIRECT("'"&amp;$A106&amp;"'!$A$12:$Z$41"),MATCH("Points (Auto-generate)",INDIRECT("'"&amp;$A106&amp;"'!$A$12:$Z$12"),0),0)),"ER"))</f>
        <v>?</v>
      </c>
      <c r="X106" s="87" t="str">
        <f aca="true">IF($H106=0,"NA",IF($A106=INDIRECT("'"&amp;$A106&amp;"'!$B$1"),IF(VLOOKUP(X$1,INDIRECT("'"&amp;$A106&amp;"'!$A$12:$Z$41"),MATCH("Points (Auto-generate)",INDIRECT("'"&amp;$A106&amp;"'!$A$12:$Z$12"),0),0)="","?",VLOOKUP(X$1,INDIRECT("'"&amp;$A106&amp;"'!$A$12:$Z$41"),MATCH("Points (Auto-generate)",INDIRECT("'"&amp;$A106&amp;"'!$A$12:$Z$12"),0),0)),"ER"))</f>
        <v>?</v>
      </c>
      <c r="Y106" s="87" t="str">
        <f aca="true">IF($H106=0,"NA",IF($A106=INDIRECT("'"&amp;$A106&amp;"'!$B$1"),IF(VLOOKUP(Y$1,INDIRECT("'"&amp;$A106&amp;"'!$A$12:$Z$41"),MATCH("Points (Auto-generate)",INDIRECT("'"&amp;$A106&amp;"'!$A$12:$Z$12"),0),0)="","?",VLOOKUP(Y$1,INDIRECT("'"&amp;$A106&amp;"'!$A$12:$Z$41"),MATCH("Points (Auto-generate)",INDIRECT("'"&amp;$A106&amp;"'!$A$12:$Z$12"),0),0)),"ER"))</f>
        <v>?</v>
      </c>
      <c r="Z106" s="87" t="str">
        <f aca="true">IF($H106=0,"NA",IF($A106=INDIRECT("'"&amp;$A106&amp;"'!$B$1"),IF(VLOOKUP(Z$1,INDIRECT("'"&amp;$A106&amp;"'!$A$12:$Z$41"),MATCH("Points (Auto-generate)",INDIRECT("'"&amp;$A106&amp;"'!$A$12:$Z$12"),0),0)="","?",VLOOKUP(Z$1,INDIRECT("'"&amp;$A106&amp;"'!$A$12:$Z$41"),MATCH("Points (Auto-generate)",INDIRECT("'"&amp;$A106&amp;"'!$A$12:$Z$12"),0),0)),"ER"))</f>
        <v>?</v>
      </c>
      <c r="AA106" s="87" t="str">
        <f aca="true">IF($H106=0,"NA",IF($A106=INDIRECT("'"&amp;$A106&amp;"'!$B$1"),IF(VLOOKUP(AA$1,INDIRECT("'"&amp;$A106&amp;"'!$A$12:$Z$41"),MATCH("Points (Auto-generate)",INDIRECT("'"&amp;$A106&amp;"'!$A$12:$Z$12"),0),0)="","?",VLOOKUP(AA$1,INDIRECT("'"&amp;$A106&amp;"'!$A$12:$Z$41"),MATCH("Points (Auto-generate)",INDIRECT("'"&amp;$A106&amp;"'!$A$12:$Z$12"),0),0)),"ER"))</f>
        <v>?</v>
      </c>
      <c r="AB106" s="87" t="str">
        <f aca="true">IF($H106=0,"NA",IF($A106=INDIRECT("'"&amp;$A106&amp;"'!$B$1"),IF(VLOOKUP(AB$1,INDIRECT("'"&amp;$A106&amp;"'!$A$12:$Z$41"),MATCH("Points (Auto-generate)",INDIRECT("'"&amp;$A106&amp;"'!$A$12:$Z$12"),0),0)="","?",VLOOKUP(AB$1,INDIRECT("'"&amp;$A106&amp;"'!$A$12:$Z$41"),MATCH("Points (Auto-generate)",INDIRECT("'"&amp;$A106&amp;"'!$A$12:$Z$12"),0),0)),"ER"))</f>
        <v>?</v>
      </c>
      <c r="AC106" s="87" t="str">
        <f aca="true">IF($H106=0,"NA",IF($A106=INDIRECT("'"&amp;$A106&amp;"'!$B$1"),IF(VLOOKUP(AC$1,INDIRECT("'"&amp;$A106&amp;"'!$A$12:$Z$41"),MATCH("Points (Auto-generate)",INDIRECT("'"&amp;$A106&amp;"'!$A$12:$Z$12"),0),0)="","?",VLOOKUP(AC$1,INDIRECT("'"&amp;$A106&amp;"'!$A$12:$Z$41"),MATCH("Points (Auto-generate)",INDIRECT("'"&amp;$A106&amp;"'!$A$12:$Z$12"),0),0)),"ER"))</f>
        <v>?</v>
      </c>
      <c r="AD106" s="87" t="str">
        <f aca="true">IF($H106=0,"NA",IF($A106=INDIRECT("'"&amp;$A106&amp;"'!$B$1"),IF(VLOOKUP(AD$1,INDIRECT("'"&amp;$A106&amp;"'!$A$12:$Z$41"),MATCH("Points (Auto-generate)",INDIRECT("'"&amp;$A106&amp;"'!$A$12:$Z$12"),0),0)="","?",VLOOKUP(AD$1,INDIRECT("'"&amp;$A106&amp;"'!$A$12:$Z$41"),MATCH("Points (Auto-generate)",INDIRECT("'"&amp;$A106&amp;"'!$A$12:$Z$12"),0),0)),"ER"))</f>
        <v>?</v>
      </c>
      <c r="AE106" s="87" t="str">
        <f aca="true">IF($H106=0,"NA",IF($A106=INDIRECT("'"&amp;$A106&amp;"'!$B$1"),IF(VLOOKUP(AE$1,INDIRECT("'"&amp;$A106&amp;"'!$A$12:$Z$41"),MATCH("Points (Auto-generate)",INDIRECT("'"&amp;$A106&amp;"'!$A$12:$Z$12"),0),0)="","?",VLOOKUP(AE$1,INDIRECT("'"&amp;$A106&amp;"'!$A$12:$Z$41"),MATCH("Points (Auto-generate)",INDIRECT("'"&amp;$A106&amp;"'!$A$12:$Z$12"),0),0)),"ER"))</f>
        <v>?</v>
      </c>
      <c r="AF106" s="87" t="str">
        <f aca="true">IF($H106=0,"NA",IF($A106=INDIRECT("'"&amp;$A106&amp;"'!$B$1"),IF(VLOOKUP(AF$1,INDIRECT("'"&amp;$A106&amp;"'!$A$12:$Z$41"),MATCH("Points (Auto-generate)",INDIRECT("'"&amp;$A106&amp;"'!$A$12:$Z$12"),0),0)="","?",VLOOKUP(AF$1,INDIRECT("'"&amp;$A106&amp;"'!$A$12:$Z$41"),MATCH("Points (Auto-generate)",INDIRECT("'"&amp;$A106&amp;"'!$A$12:$Z$12"),0),0)),"ER"))</f>
        <v>?</v>
      </c>
      <c r="AG106" s="87" t="str">
        <f aca="true">IF($H106=0,"NA",IF($A106=INDIRECT("'"&amp;$A106&amp;"'!$B$1"),IF(VLOOKUP(AG$1,INDIRECT("'"&amp;$A106&amp;"'!$A$12:$Z$41"),MATCH("Points (Auto-generate)",INDIRECT("'"&amp;$A106&amp;"'!$A$12:$Z$12"),0),0)="","?",VLOOKUP(AG$1,INDIRECT("'"&amp;$A106&amp;"'!$A$12:$Z$41"),MATCH("Points (Auto-generate)",INDIRECT("'"&amp;$A106&amp;"'!$A$12:$Z$12"),0),0)),"ER"))</f>
        <v>?</v>
      </c>
      <c r="AH106" s="87" t="str">
        <f aca="true">IF($H106=0,"NA",IF($A106=INDIRECT("'"&amp;$A106&amp;"'!$B$1"),IF(VLOOKUP(AH$1,INDIRECT("'"&amp;$A106&amp;"'!$A$12:$Z$41"),MATCH("Points (Auto-generate)",INDIRECT("'"&amp;$A106&amp;"'!$A$12:$Z$12"),0),0)="","?",VLOOKUP(AH$1,INDIRECT("'"&amp;$A106&amp;"'!$A$12:$Z$41"),MATCH("Points (Auto-generate)",INDIRECT("'"&amp;$A106&amp;"'!$A$12:$Z$12"),0),0)),"ER"))</f>
        <v>?</v>
      </c>
      <c r="AI106" s="87" t="str">
        <f aca="true">IF($H106=0,"NA",IF($A106=INDIRECT("'"&amp;$A106&amp;"'!$B$1"),IF(VLOOKUP(AI$1,INDIRECT("'"&amp;$A106&amp;"'!$A$12:$Z$41"),MATCH("Points (Auto-generate)",INDIRECT("'"&amp;$A106&amp;"'!$A$12:$Z$12"),0),0)="","?",VLOOKUP(AI$1,INDIRECT("'"&amp;$A106&amp;"'!$A$12:$Z$41"),MATCH("Points (Auto-generate)",INDIRECT("'"&amp;$A106&amp;"'!$A$12:$Z$12"),0),0)),"ER"))</f>
        <v>?</v>
      </c>
      <c r="AJ106" s="87" t="str">
        <f aca="true">IF($H106=0,"NA",IF($A106=INDIRECT("'"&amp;$A106&amp;"'!$B$1"),IF(VLOOKUP(AJ$1,INDIRECT("'"&amp;$A106&amp;"'!$A$12:$Z$41"),MATCH("Points (Auto-generate)",INDIRECT("'"&amp;$A106&amp;"'!$A$12:$Z$12"),0),0)="","?",VLOOKUP(AJ$1,INDIRECT("'"&amp;$A106&amp;"'!$A$12:$Z$41"),MATCH("Points (Auto-generate)",INDIRECT("'"&amp;$A106&amp;"'!$A$12:$Z$12"),0),0)),"ER"))</f>
        <v>?</v>
      </c>
      <c r="AK106" s="87" t="str">
        <f aca="true">IF($H106=0,"NA",IF($A106=INDIRECT("'"&amp;$A106&amp;"'!$B$1"),IF(VLOOKUP(AK$1,INDIRECT("'"&amp;$A106&amp;"'!$A$12:$Z$41"),MATCH("Points (Auto-generate)",INDIRECT("'"&amp;$A106&amp;"'!$A$12:$Z$12"),0),0)="","?",VLOOKUP(AK$1,INDIRECT("'"&amp;$A106&amp;"'!$A$12:$Z$41"),MATCH("Points (Auto-generate)",INDIRECT("'"&amp;$A106&amp;"'!$A$12:$Z$12"),0),0)),"ER"))</f>
        <v>?</v>
      </c>
    </row>
    <row r="107" customFormat="false" ht="14.25" hidden="false" customHeight="true" outlineLevel="0" collapsed="false">
      <c r="A107" s="83" t="s">
        <v>600</v>
      </c>
      <c r="B107" s="84" t="str">
        <f aca="false">IF(ISBLANK($A107),"NO_CODE",VLOOKUP($A107,'UPD Questions_290926 '!$E$1:$N$300,MATCH(B$1,'UPD Questions_290926 '!$E$1:$N$1,0),0)&amp;"")</f>
        <v>Enforcement</v>
      </c>
      <c r="C107" s="84" t="str">
        <f aca="false">IF(ISBLANK($A107),"NO_CODE",VLOOKUP($A107,'UPD Questions_290926 '!$E$1:$N$300,MATCH(C$1,'UPD Questions_290926 '!$E$1:$N$1,0),0)&amp;"")</f>
        <v>Development Compliance</v>
      </c>
      <c r="D107" s="84" t="str">
        <f aca="false">IF(ISBLANK($A107),"NO_CODE",VLOOKUP($A107,'UPD Questions_290926 '!$E$1:$N$300,MATCH(D$1,'UPD Questions_290926 '!$E$1:$N$1,0),0)&amp;"")</f>
        <v>Corrective action</v>
      </c>
      <c r="E107" s="84" t="str">
        <f aca="false">IF(ISBLANK($A107),"NO_CODE",VLOOKUP($A107,'UPD Questions_290926 '!$E$1:$N$300,MATCH(E$1,'UPD Questions_290926 '!$E$1:$N$1,0),0)&amp;"")</f>
        <v>MQ</v>
      </c>
      <c r="F107" s="84" t="str">
        <f aca="false">IF(ISBLANK($A107),"NO_CODE",VLOOKUP($A107,'UPD Questions_290926 '!$E$1:$N$300,MATCH(F$1,'UPD Questions_290926 '!$E$1:$N$1,0),0)&amp;"")</f>
        <v>Are there provisions to penalise violating plans?</v>
      </c>
      <c r="G107" s="84" t="str">
        <f aca="false">IF(ISBLANK($A107),"NO_CODE",VLOOKUP($A107,'UPD Questions_290926 '!$E$1:$N$300,MATCH(G$1,'UPD Questions_290926 '!$E$1:$N$1,0),0)&amp;"")</f>
        <v>Law or Policy</v>
      </c>
      <c r="H107" s="86" t="n">
        <f aca="false">IF(ISBLANK($A107),"NO_CODE",VLOOKUP($A107,'UPD Questions_290926 '!$E$1:$N$300,MATCH(H$1,'UPD Questions_290926 '!$E$1:$N$1,0),0))</f>
        <v>10</v>
      </c>
      <c r="I107" s="87" t="str">
        <f aca="true">IF($H107=0,"NA",IF($A107=INDIRECT("'"&amp;$A107&amp;"'!$B$1"),IF(VLOOKUP(I$1,INDIRECT("'"&amp;$A107&amp;"'!$A$12:$Z$41"),MATCH("Points (Auto-generate)",INDIRECT("'"&amp;$A107&amp;"'!$A$12:$Z$12"),0),0)="","?",VLOOKUP(I$1,INDIRECT("'"&amp;$A107&amp;"'!$A$12:$Z$41"),MATCH("Points (Auto-generate)",INDIRECT("'"&amp;$A107&amp;"'!$A$12:$Z$12"),0),0)),"ER"))</f>
        <v>?</v>
      </c>
      <c r="J107" s="87" t="n">
        <f aca="true">IF($H107=0,"NA",IF($A107=INDIRECT("'"&amp;$A107&amp;"'!$B$1"),IF(VLOOKUP(J$1,INDIRECT("'"&amp;$A107&amp;"'!$A$12:$Z$41"),MATCH("Points (Auto-generate)",INDIRECT("'"&amp;$A107&amp;"'!$A$12:$Z$12"),0),0)="","?",VLOOKUP(J$1,INDIRECT("'"&amp;$A107&amp;"'!$A$12:$Z$41"),MATCH("Points (Auto-generate)",INDIRECT("'"&amp;$A107&amp;"'!$A$12:$Z$12"),0),0)),"ER"))</f>
        <v>10</v>
      </c>
      <c r="K107" s="87" t="str">
        <f aca="true">IF($H107=0,"NA",IF($A107=INDIRECT("'"&amp;$A107&amp;"'!$B$1"),IF(VLOOKUP(K$1,INDIRECT("'"&amp;$A107&amp;"'!$A$12:$Z$41"),MATCH("Points (Auto-generate)",INDIRECT("'"&amp;$A107&amp;"'!$A$12:$Z$12"),0),0)="","?",VLOOKUP(K$1,INDIRECT("'"&amp;$A107&amp;"'!$A$12:$Z$41"),MATCH("Points (Auto-generate)",INDIRECT("'"&amp;$A107&amp;"'!$A$12:$Z$12"),0),0)),"ER"))</f>
        <v>?</v>
      </c>
      <c r="L107" s="87" t="str">
        <f aca="true">IF($H107=0,"NA",IF($A107=INDIRECT("'"&amp;$A107&amp;"'!$B$1"),IF(VLOOKUP(L$1,INDIRECT("'"&amp;$A107&amp;"'!$A$12:$Z$41"),MATCH("Points (Auto-generate)",INDIRECT("'"&amp;$A107&amp;"'!$A$12:$Z$12"),0),0)="","?",VLOOKUP(L$1,INDIRECT("'"&amp;$A107&amp;"'!$A$12:$Z$41"),MATCH("Points (Auto-generate)",INDIRECT("'"&amp;$A107&amp;"'!$A$12:$Z$12"),0),0)),"ER"))</f>
        <v>?</v>
      </c>
      <c r="M107" s="87" t="str">
        <f aca="true">IF($H107=0,"NA",IF($A107=INDIRECT("'"&amp;$A107&amp;"'!$B$1"),IF(VLOOKUP(M$1,INDIRECT("'"&amp;$A107&amp;"'!$A$12:$Z$41"),MATCH("Points (Auto-generate)",INDIRECT("'"&amp;$A107&amp;"'!$A$12:$Z$12"),0),0)="","?",VLOOKUP(M$1,INDIRECT("'"&amp;$A107&amp;"'!$A$12:$Z$41"),MATCH("Points (Auto-generate)",INDIRECT("'"&amp;$A107&amp;"'!$A$12:$Z$12"),0),0)),"ER"))</f>
        <v>?</v>
      </c>
      <c r="N107" s="87" t="str">
        <f aca="true">IF($H107=0,"NA",IF($A107=INDIRECT("'"&amp;$A107&amp;"'!$B$1"),IF(VLOOKUP(N$1,INDIRECT("'"&amp;$A107&amp;"'!$A$12:$Z$41"),MATCH("Points (Auto-generate)",INDIRECT("'"&amp;$A107&amp;"'!$A$12:$Z$12"),0),0)="","?",VLOOKUP(N$1,INDIRECT("'"&amp;$A107&amp;"'!$A$12:$Z$41"),MATCH("Points (Auto-generate)",INDIRECT("'"&amp;$A107&amp;"'!$A$12:$Z$12"),0),0)),"ER"))</f>
        <v>?</v>
      </c>
      <c r="O107" s="87" t="str">
        <f aca="true">IF($H107=0,"NA",IF($A107=INDIRECT("'"&amp;$A107&amp;"'!$B$1"),IF(VLOOKUP(O$1,INDIRECT("'"&amp;$A107&amp;"'!$A$12:$Z$41"),MATCH("Points (Auto-generate)",INDIRECT("'"&amp;$A107&amp;"'!$A$12:$Z$12"),0),0)="","?",VLOOKUP(O$1,INDIRECT("'"&amp;$A107&amp;"'!$A$12:$Z$41"),MATCH("Points (Auto-generate)",INDIRECT("'"&amp;$A107&amp;"'!$A$12:$Z$12"),0),0)),"ER"))</f>
        <v>?</v>
      </c>
      <c r="P107" s="87" t="str">
        <f aca="true">IF($H107=0,"NA",IF($A107=INDIRECT("'"&amp;$A107&amp;"'!$B$1"),IF(VLOOKUP(P$1,INDIRECT("'"&amp;$A107&amp;"'!$A$12:$Z$41"),MATCH("Points (Auto-generate)",INDIRECT("'"&amp;$A107&amp;"'!$A$12:$Z$12"),0),0)="","?",VLOOKUP(P$1,INDIRECT("'"&amp;$A107&amp;"'!$A$12:$Z$41"),MATCH("Points (Auto-generate)",INDIRECT("'"&amp;$A107&amp;"'!$A$12:$Z$12"),0),0)),"ER"))</f>
        <v>?</v>
      </c>
      <c r="Q107" s="87" t="str">
        <f aca="true">IF($H107=0,"NA",IF($A107=INDIRECT("'"&amp;$A107&amp;"'!$B$1"),IF(VLOOKUP(Q$1,INDIRECT("'"&amp;$A107&amp;"'!$A$12:$Z$41"),MATCH("Points (Auto-generate)",INDIRECT("'"&amp;$A107&amp;"'!$A$12:$Z$12"),0),0)="","?",VLOOKUP(Q$1,INDIRECT("'"&amp;$A107&amp;"'!$A$12:$Z$41"),MATCH("Points (Auto-generate)",INDIRECT("'"&amp;$A107&amp;"'!$A$12:$Z$12"),0),0)),"ER"))</f>
        <v>?</v>
      </c>
      <c r="R107" s="87" t="str">
        <f aca="true">IF($H107=0,"NA",IF($A107=INDIRECT("'"&amp;$A107&amp;"'!$B$1"),IF(VLOOKUP(R$1,INDIRECT("'"&amp;$A107&amp;"'!$A$12:$Z$41"),MATCH("Points (Auto-generate)",INDIRECT("'"&amp;$A107&amp;"'!$A$12:$Z$12"),0),0)="","?",VLOOKUP(R$1,INDIRECT("'"&amp;$A107&amp;"'!$A$12:$Z$41"),MATCH("Points (Auto-generate)",INDIRECT("'"&amp;$A107&amp;"'!$A$12:$Z$12"),0),0)),"ER"))</f>
        <v>?</v>
      </c>
      <c r="S107" s="87" t="str">
        <f aca="true">IF($H107=0,"NA",IF($A107=INDIRECT("'"&amp;$A107&amp;"'!$B$1"),IF(VLOOKUP(S$1,INDIRECT("'"&amp;$A107&amp;"'!$A$12:$Z$41"),MATCH("Points (Auto-generate)",INDIRECT("'"&amp;$A107&amp;"'!$A$12:$Z$12"),0),0)="","?",VLOOKUP(S$1,INDIRECT("'"&amp;$A107&amp;"'!$A$12:$Z$41"),MATCH("Points (Auto-generate)",INDIRECT("'"&amp;$A107&amp;"'!$A$12:$Z$12"),0),0)),"ER"))</f>
        <v>?</v>
      </c>
      <c r="T107" s="87" t="str">
        <f aca="true">IF($H107=0,"NA",IF($A107=INDIRECT("'"&amp;$A107&amp;"'!$B$1"),IF(VLOOKUP(T$1,INDIRECT("'"&amp;$A107&amp;"'!$A$12:$Z$41"),MATCH("Points (Auto-generate)",INDIRECT("'"&amp;$A107&amp;"'!$A$12:$Z$12"),0),0)="","?",VLOOKUP(T$1,INDIRECT("'"&amp;$A107&amp;"'!$A$12:$Z$41"),MATCH("Points (Auto-generate)",INDIRECT("'"&amp;$A107&amp;"'!$A$12:$Z$12"),0),0)),"ER"))</f>
        <v>?</v>
      </c>
      <c r="U107" s="87" t="str">
        <f aca="true">IF($H107=0,"NA",IF($A107=INDIRECT("'"&amp;$A107&amp;"'!$B$1"),IF(VLOOKUP(U$1,INDIRECT("'"&amp;$A107&amp;"'!$A$12:$Z$41"),MATCH("Points (Auto-generate)",INDIRECT("'"&amp;$A107&amp;"'!$A$12:$Z$12"),0),0)="","?",VLOOKUP(U$1,INDIRECT("'"&amp;$A107&amp;"'!$A$12:$Z$41"),MATCH("Points (Auto-generate)",INDIRECT("'"&amp;$A107&amp;"'!$A$12:$Z$12"),0),0)),"ER"))</f>
        <v>?</v>
      </c>
      <c r="V107" s="87" t="str">
        <f aca="true">IF($H107=0,"NA",IF($A107=INDIRECT("'"&amp;$A107&amp;"'!$B$1"),IF(VLOOKUP(V$1,INDIRECT("'"&amp;$A107&amp;"'!$A$12:$Z$41"),MATCH("Points (Auto-generate)",INDIRECT("'"&amp;$A107&amp;"'!$A$12:$Z$12"),0),0)="","?",VLOOKUP(V$1,INDIRECT("'"&amp;$A107&amp;"'!$A$12:$Z$41"),MATCH("Points (Auto-generate)",INDIRECT("'"&amp;$A107&amp;"'!$A$12:$Z$12"),0),0)),"ER"))</f>
        <v>?</v>
      </c>
      <c r="W107" s="87" t="str">
        <f aca="true">IF($H107=0,"NA",IF($A107=INDIRECT("'"&amp;$A107&amp;"'!$B$1"),IF(VLOOKUP(W$1,INDIRECT("'"&amp;$A107&amp;"'!$A$12:$Z$41"),MATCH("Points (Auto-generate)",INDIRECT("'"&amp;$A107&amp;"'!$A$12:$Z$12"),0),0)="","?",VLOOKUP(W$1,INDIRECT("'"&amp;$A107&amp;"'!$A$12:$Z$41"),MATCH("Points (Auto-generate)",INDIRECT("'"&amp;$A107&amp;"'!$A$12:$Z$12"),0),0)),"ER"))</f>
        <v>?</v>
      </c>
      <c r="X107" s="87" t="str">
        <f aca="true">IF($H107=0,"NA",IF($A107=INDIRECT("'"&amp;$A107&amp;"'!$B$1"),IF(VLOOKUP(X$1,INDIRECT("'"&amp;$A107&amp;"'!$A$12:$Z$41"),MATCH("Points (Auto-generate)",INDIRECT("'"&amp;$A107&amp;"'!$A$12:$Z$12"),0),0)="","?",VLOOKUP(X$1,INDIRECT("'"&amp;$A107&amp;"'!$A$12:$Z$41"),MATCH("Points (Auto-generate)",INDIRECT("'"&amp;$A107&amp;"'!$A$12:$Z$12"),0),0)),"ER"))</f>
        <v>?</v>
      </c>
      <c r="Y107" s="87" t="str">
        <f aca="true">IF($H107=0,"NA",IF($A107=INDIRECT("'"&amp;$A107&amp;"'!$B$1"),IF(VLOOKUP(Y$1,INDIRECT("'"&amp;$A107&amp;"'!$A$12:$Z$41"),MATCH("Points (Auto-generate)",INDIRECT("'"&amp;$A107&amp;"'!$A$12:$Z$12"),0),0)="","?",VLOOKUP(Y$1,INDIRECT("'"&amp;$A107&amp;"'!$A$12:$Z$41"),MATCH("Points (Auto-generate)",INDIRECT("'"&amp;$A107&amp;"'!$A$12:$Z$12"),0),0)),"ER"))</f>
        <v>?</v>
      </c>
      <c r="Z107" s="87" t="str">
        <f aca="true">IF($H107=0,"NA",IF($A107=INDIRECT("'"&amp;$A107&amp;"'!$B$1"),IF(VLOOKUP(Z$1,INDIRECT("'"&amp;$A107&amp;"'!$A$12:$Z$41"),MATCH("Points (Auto-generate)",INDIRECT("'"&amp;$A107&amp;"'!$A$12:$Z$12"),0),0)="","?",VLOOKUP(Z$1,INDIRECT("'"&amp;$A107&amp;"'!$A$12:$Z$41"),MATCH("Points (Auto-generate)",INDIRECT("'"&amp;$A107&amp;"'!$A$12:$Z$12"),0),0)),"ER"))</f>
        <v>?</v>
      </c>
      <c r="AA107" s="87" t="str">
        <f aca="true">IF($H107=0,"NA",IF($A107=INDIRECT("'"&amp;$A107&amp;"'!$B$1"),IF(VLOOKUP(AA$1,INDIRECT("'"&amp;$A107&amp;"'!$A$12:$Z$41"),MATCH("Points (Auto-generate)",INDIRECT("'"&amp;$A107&amp;"'!$A$12:$Z$12"),0),0)="","?",VLOOKUP(AA$1,INDIRECT("'"&amp;$A107&amp;"'!$A$12:$Z$41"),MATCH("Points (Auto-generate)",INDIRECT("'"&amp;$A107&amp;"'!$A$12:$Z$12"),0),0)),"ER"))</f>
        <v>?</v>
      </c>
      <c r="AB107" s="87" t="str">
        <f aca="true">IF($H107=0,"NA",IF($A107=INDIRECT("'"&amp;$A107&amp;"'!$B$1"),IF(VLOOKUP(AB$1,INDIRECT("'"&amp;$A107&amp;"'!$A$12:$Z$41"),MATCH("Points (Auto-generate)",INDIRECT("'"&amp;$A107&amp;"'!$A$12:$Z$12"),0),0)="","?",VLOOKUP(AB$1,INDIRECT("'"&amp;$A107&amp;"'!$A$12:$Z$41"),MATCH("Points (Auto-generate)",INDIRECT("'"&amp;$A107&amp;"'!$A$12:$Z$12"),0),0)),"ER"))</f>
        <v>?</v>
      </c>
      <c r="AC107" s="87" t="str">
        <f aca="true">IF($H107=0,"NA",IF($A107=INDIRECT("'"&amp;$A107&amp;"'!$B$1"),IF(VLOOKUP(AC$1,INDIRECT("'"&amp;$A107&amp;"'!$A$12:$Z$41"),MATCH("Points (Auto-generate)",INDIRECT("'"&amp;$A107&amp;"'!$A$12:$Z$12"),0),0)="","?",VLOOKUP(AC$1,INDIRECT("'"&amp;$A107&amp;"'!$A$12:$Z$41"),MATCH("Points (Auto-generate)",INDIRECT("'"&amp;$A107&amp;"'!$A$12:$Z$12"),0),0)),"ER"))</f>
        <v>?</v>
      </c>
      <c r="AD107" s="87" t="str">
        <f aca="true">IF($H107=0,"NA",IF($A107=INDIRECT("'"&amp;$A107&amp;"'!$B$1"),IF(VLOOKUP(AD$1,INDIRECT("'"&amp;$A107&amp;"'!$A$12:$Z$41"),MATCH("Points (Auto-generate)",INDIRECT("'"&amp;$A107&amp;"'!$A$12:$Z$12"),0),0)="","?",VLOOKUP(AD$1,INDIRECT("'"&amp;$A107&amp;"'!$A$12:$Z$41"),MATCH("Points (Auto-generate)",INDIRECT("'"&amp;$A107&amp;"'!$A$12:$Z$12"),0),0)),"ER"))</f>
        <v>?</v>
      </c>
      <c r="AE107" s="87" t="str">
        <f aca="true">IF($H107=0,"NA",IF($A107=INDIRECT("'"&amp;$A107&amp;"'!$B$1"),IF(VLOOKUP(AE$1,INDIRECT("'"&amp;$A107&amp;"'!$A$12:$Z$41"),MATCH("Points (Auto-generate)",INDIRECT("'"&amp;$A107&amp;"'!$A$12:$Z$12"),0),0)="","?",VLOOKUP(AE$1,INDIRECT("'"&amp;$A107&amp;"'!$A$12:$Z$41"),MATCH("Points (Auto-generate)",INDIRECT("'"&amp;$A107&amp;"'!$A$12:$Z$12"),0),0)),"ER"))</f>
        <v>?</v>
      </c>
      <c r="AF107" s="87" t="str">
        <f aca="true">IF($H107=0,"NA",IF($A107=INDIRECT("'"&amp;$A107&amp;"'!$B$1"),IF(VLOOKUP(AF$1,INDIRECT("'"&amp;$A107&amp;"'!$A$12:$Z$41"),MATCH("Points (Auto-generate)",INDIRECT("'"&amp;$A107&amp;"'!$A$12:$Z$12"),0),0)="","?",VLOOKUP(AF$1,INDIRECT("'"&amp;$A107&amp;"'!$A$12:$Z$41"),MATCH("Points (Auto-generate)",INDIRECT("'"&amp;$A107&amp;"'!$A$12:$Z$12"),0),0)),"ER"))</f>
        <v>?</v>
      </c>
      <c r="AG107" s="87" t="str">
        <f aca="true">IF($H107=0,"NA",IF($A107=INDIRECT("'"&amp;$A107&amp;"'!$B$1"),IF(VLOOKUP(AG$1,INDIRECT("'"&amp;$A107&amp;"'!$A$12:$Z$41"),MATCH("Points (Auto-generate)",INDIRECT("'"&amp;$A107&amp;"'!$A$12:$Z$12"),0),0)="","?",VLOOKUP(AG$1,INDIRECT("'"&amp;$A107&amp;"'!$A$12:$Z$41"),MATCH("Points (Auto-generate)",INDIRECT("'"&amp;$A107&amp;"'!$A$12:$Z$12"),0),0)),"ER"))</f>
        <v>?</v>
      </c>
      <c r="AH107" s="87" t="str">
        <f aca="true">IF($H107=0,"NA",IF($A107=INDIRECT("'"&amp;$A107&amp;"'!$B$1"),IF(VLOOKUP(AH$1,INDIRECT("'"&amp;$A107&amp;"'!$A$12:$Z$41"),MATCH("Points (Auto-generate)",INDIRECT("'"&amp;$A107&amp;"'!$A$12:$Z$12"),0),0)="","?",VLOOKUP(AH$1,INDIRECT("'"&amp;$A107&amp;"'!$A$12:$Z$41"),MATCH("Points (Auto-generate)",INDIRECT("'"&amp;$A107&amp;"'!$A$12:$Z$12"),0),0)),"ER"))</f>
        <v>?</v>
      </c>
      <c r="AI107" s="87" t="str">
        <f aca="true">IF($H107=0,"NA",IF($A107=INDIRECT("'"&amp;$A107&amp;"'!$B$1"),IF(VLOOKUP(AI$1,INDIRECT("'"&amp;$A107&amp;"'!$A$12:$Z$41"),MATCH("Points (Auto-generate)",INDIRECT("'"&amp;$A107&amp;"'!$A$12:$Z$12"),0),0)="","?",VLOOKUP(AI$1,INDIRECT("'"&amp;$A107&amp;"'!$A$12:$Z$41"),MATCH("Points (Auto-generate)",INDIRECT("'"&amp;$A107&amp;"'!$A$12:$Z$12"),0),0)),"ER"))</f>
        <v>?</v>
      </c>
      <c r="AJ107" s="87" t="str">
        <f aca="true">IF($H107=0,"NA",IF($A107=INDIRECT("'"&amp;$A107&amp;"'!$B$1"),IF(VLOOKUP(AJ$1,INDIRECT("'"&amp;$A107&amp;"'!$A$12:$Z$41"),MATCH("Points (Auto-generate)",INDIRECT("'"&amp;$A107&amp;"'!$A$12:$Z$12"),0),0)="","?",VLOOKUP(AJ$1,INDIRECT("'"&amp;$A107&amp;"'!$A$12:$Z$41"),MATCH("Points (Auto-generate)",INDIRECT("'"&amp;$A107&amp;"'!$A$12:$Z$12"),0),0)),"ER"))</f>
        <v>?</v>
      </c>
      <c r="AK107" s="87" t="str">
        <f aca="true">IF($H107=0,"NA",IF($A107=INDIRECT("'"&amp;$A107&amp;"'!$B$1"),IF(VLOOKUP(AK$1,INDIRECT("'"&amp;$A107&amp;"'!$A$12:$Z$41"),MATCH("Points (Auto-generate)",INDIRECT("'"&amp;$A107&amp;"'!$A$12:$Z$12"),0),0)="","?",VLOOKUP(AK$1,INDIRECT("'"&amp;$A107&amp;"'!$A$12:$Z$41"),MATCH("Points (Auto-generate)",INDIRECT("'"&amp;$A107&amp;"'!$A$12:$Z$12"),0),0)),"ER"))</f>
        <v>?</v>
      </c>
    </row>
    <row r="109" customFormat="false" ht="93.75" hidden="false" customHeight="true" outlineLevel="0" collapsed="false">
      <c r="F109" s="88" t="s">
        <v>1028</v>
      </c>
      <c r="I109" s="79" t="s">
        <v>999</v>
      </c>
      <c r="J109" s="79" t="s">
        <v>19</v>
      </c>
      <c r="K109" s="79" t="s">
        <v>1000</v>
      </c>
      <c r="L109" s="79" t="s">
        <v>1001</v>
      </c>
      <c r="M109" s="79" t="s">
        <v>1002</v>
      </c>
      <c r="N109" s="79" t="s">
        <v>1003</v>
      </c>
      <c r="O109" s="79" t="s">
        <v>1004</v>
      </c>
      <c r="P109" s="79" t="s">
        <v>1005</v>
      </c>
      <c r="Q109" s="79" t="s">
        <v>1006</v>
      </c>
      <c r="R109" s="79" t="s">
        <v>1007</v>
      </c>
      <c r="S109" s="79" t="s">
        <v>1008</v>
      </c>
      <c r="T109" s="79" t="s">
        <v>1009</v>
      </c>
      <c r="U109" s="79" t="s">
        <v>1010</v>
      </c>
      <c r="V109" s="79" t="s">
        <v>1011</v>
      </c>
      <c r="W109" s="79" t="s">
        <v>1012</v>
      </c>
      <c r="X109" s="79" t="s">
        <v>1013</v>
      </c>
      <c r="Y109" s="79" t="s">
        <v>1014</v>
      </c>
      <c r="Z109" s="79" t="s">
        <v>1015</v>
      </c>
      <c r="AA109" s="79" t="s">
        <v>1016</v>
      </c>
      <c r="AB109" s="79" t="s">
        <v>1017</v>
      </c>
      <c r="AC109" s="79" t="s">
        <v>30</v>
      </c>
      <c r="AD109" s="79" t="s">
        <v>1018</v>
      </c>
      <c r="AE109" s="79" t="s">
        <v>1019</v>
      </c>
      <c r="AF109" s="79" t="s">
        <v>1020</v>
      </c>
      <c r="AG109" s="79" t="s">
        <v>1021</v>
      </c>
      <c r="AH109" s="79" t="s">
        <v>1022</v>
      </c>
      <c r="AI109" s="79" t="s">
        <v>1023</v>
      </c>
      <c r="AJ109" s="79" t="s">
        <v>1024</v>
      </c>
      <c r="AK109" s="79" t="s">
        <v>1025</v>
      </c>
    </row>
    <row r="110" customFormat="false" ht="14.25" hidden="false" customHeight="true" outlineLevel="0" collapsed="false">
      <c r="F110" s="89" t="s">
        <v>1029</v>
      </c>
      <c r="I110" s="90" t="n">
        <f aca="false">SUMIFS(I$3:I$107,$E$3:$E$107,"MQ")/(COUNTIFS($E$3:$E$107,"MQ")-COUNTIFS($E$3:$E$107,"MQ",I$3:I$107,"NA"))</f>
        <v>0</v>
      </c>
      <c r="J110" s="90" t="n">
        <f aca="false">SUMIFS(J$3:J$107,$E$3:$E$107,"MQ")/(COUNTIFS($E$3:$E$107,"MQ")-COUNTIFS($E$3:$E$107,"MQ",J$3:J$107,"NA"))</f>
        <v>2.04415954415954</v>
      </c>
      <c r="K110" s="90" t="n">
        <f aca="false">SUMIFS(K$3:K$107,$E$3:$E$107,"MQ")/(COUNTIFS($E$3:$E$107,"MQ")-COUNTIFS($E$3:$E$107,"MQ",K$3:K$107,"NA"))</f>
        <v>0</v>
      </c>
      <c r="L110" s="90" t="n">
        <f aca="false">SUMIFS(L$3:L$107,$E$3:$E$107,"MQ")/(COUNTIFS($E$3:$E$107,"MQ")-COUNTIFS($E$3:$E$107,"MQ",L$3:L$107,"NA"))</f>
        <v>0</v>
      </c>
      <c r="M110" s="90" t="n">
        <f aca="false">SUMIFS(M$3:M$107,$E$3:$E$107,"MQ")/(COUNTIFS($E$3:$E$107,"MQ")-COUNTIFS($E$3:$E$107,"MQ",M$3:M$107,"NA"))</f>
        <v>0</v>
      </c>
      <c r="N110" s="90" t="n">
        <f aca="false">SUMIFS(N$3:N$107,$E$3:$E$107,"MQ")/(COUNTIFS($E$3:$E$107,"MQ")-COUNTIFS($E$3:$E$107,"MQ",N$3:N$107,"NA"))</f>
        <v>0</v>
      </c>
      <c r="O110" s="90" t="n">
        <f aca="false">SUMIFS(O$3:O$107,$E$3:$E$107,"MQ")/(COUNTIFS($E$3:$E$107,"MQ")-COUNTIFS($E$3:$E$107,"MQ",O$3:O$107,"NA"))</f>
        <v>0</v>
      </c>
      <c r="P110" s="90" t="n">
        <f aca="false">SUMIFS(P$3:P$107,$E$3:$E$107,"MQ")/(COUNTIFS($E$3:$E$107,"MQ")-COUNTIFS($E$3:$E$107,"MQ",P$3:P$107,"NA"))</f>
        <v>0</v>
      </c>
      <c r="Q110" s="90" t="n">
        <f aca="false">SUMIFS(Q$3:Q$107,$E$3:$E$107,"MQ")/(COUNTIFS($E$3:$E$107,"MQ")-COUNTIFS($E$3:$E$107,"MQ",Q$3:Q$107,"NA"))</f>
        <v>0</v>
      </c>
      <c r="R110" s="90" t="n">
        <f aca="false">SUMIFS(R$3:R$107,$E$3:$E$107,"MQ")/(COUNTIFS($E$3:$E$107,"MQ")-COUNTIFS($E$3:$E$107,"MQ",R$3:R$107,"NA"))</f>
        <v>0</v>
      </c>
      <c r="S110" s="90" t="n">
        <f aca="false">SUMIFS(S$3:S$107,$E$3:$E$107,"MQ")/(COUNTIFS($E$3:$E$107,"MQ")-COUNTIFS($E$3:$E$107,"MQ",S$3:S$107,"NA"))</f>
        <v>0</v>
      </c>
      <c r="T110" s="90" t="n">
        <f aca="false">SUMIFS(T$3:T$107,$E$3:$E$107,"MQ")/(COUNTIFS($E$3:$E$107,"MQ")-COUNTIFS($E$3:$E$107,"MQ",T$3:T$107,"NA"))</f>
        <v>0</v>
      </c>
      <c r="U110" s="90" t="n">
        <f aca="false">SUMIFS(U$3:U$107,$E$3:$E$107,"MQ")/(COUNTIFS($E$3:$E$107,"MQ")-COUNTIFS($E$3:$E$107,"MQ",U$3:U$107,"NA"))</f>
        <v>0</v>
      </c>
      <c r="V110" s="90" t="n">
        <f aca="false">SUMIFS(V$3:V$107,$E$3:$E$107,"MQ")/(COUNTIFS($E$3:$E$107,"MQ")-COUNTIFS($E$3:$E$107,"MQ",V$3:V$107,"NA"))</f>
        <v>0</v>
      </c>
      <c r="W110" s="90" t="n">
        <f aca="false">SUMIFS(W$3:W$107,$E$3:$E$107,"MQ")/(COUNTIFS($E$3:$E$107,"MQ")-COUNTIFS($E$3:$E$107,"MQ",W$3:W$107,"NA"))</f>
        <v>0</v>
      </c>
      <c r="X110" s="90" t="n">
        <f aca="false">SUMIFS(X$3:X$107,$E$3:$E$107,"MQ")/(COUNTIFS($E$3:$E$107,"MQ")-COUNTIFS($E$3:$E$107,"MQ",X$3:X$107,"NA"))</f>
        <v>0</v>
      </c>
      <c r="Y110" s="90" t="n">
        <f aca="false">SUMIFS(Y$3:Y$107,$E$3:$E$107,"MQ")/(COUNTIFS($E$3:$E$107,"MQ")-COUNTIFS($E$3:$E$107,"MQ",Y$3:Y$107,"NA"))</f>
        <v>0</v>
      </c>
      <c r="Z110" s="90" t="n">
        <f aca="false">SUMIFS(Z$3:Z$107,$E$3:$E$107,"MQ")/(COUNTIFS($E$3:$E$107,"MQ")-COUNTIFS($E$3:$E$107,"MQ",Z$3:Z$107,"NA"))</f>
        <v>0</v>
      </c>
      <c r="AA110" s="90" t="n">
        <f aca="false">SUMIFS(AA$3:AA$107,$E$3:$E$107,"MQ")/(COUNTIFS($E$3:$E$107,"MQ")-COUNTIFS($E$3:$E$107,"MQ",AA$3:AA$107,"NA"))</f>
        <v>0</v>
      </c>
      <c r="AB110" s="90" t="n">
        <f aca="false">SUMIFS(AB$3:AB$107,$E$3:$E$107,"MQ")/(COUNTIFS($E$3:$E$107,"MQ")-COUNTIFS($E$3:$E$107,"MQ",AB$3:AB$107,"NA"))</f>
        <v>0</v>
      </c>
      <c r="AC110" s="90" t="n">
        <f aca="false">SUMIFS(AC$3:AC$107,$E$3:$E$107,"MQ")/(COUNTIFS($E$3:$E$107,"MQ")-COUNTIFS($E$3:$E$107,"MQ",AC$3:AC$107,"NA"))</f>
        <v>1.48717948717949</v>
      </c>
      <c r="AD110" s="90" t="n">
        <f aca="false">SUMIFS(AD$3:AD$107,$E$3:$E$107,"MQ")/(COUNTIFS($E$3:$E$107,"MQ")-COUNTIFS($E$3:$E$107,"MQ",AD$3:AD$107,"NA"))</f>
        <v>0</v>
      </c>
      <c r="AE110" s="90" t="n">
        <f aca="false">SUMIFS(AE$3:AE$107,$E$3:$E$107,"MQ")/(COUNTIFS($E$3:$E$107,"MQ")-COUNTIFS($E$3:$E$107,"MQ",AE$3:AE$107,"NA"))</f>
        <v>0</v>
      </c>
      <c r="AF110" s="90" t="n">
        <f aca="false">SUMIFS(AF$3:AF$107,$E$3:$E$107,"MQ")/(COUNTIFS($E$3:$E$107,"MQ")-COUNTIFS($E$3:$E$107,"MQ",AF$3:AF$107,"NA"))</f>
        <v>0</v>
      </c>
      <c r="AG110" s="90" t="n">
        <f aca="false">SUMIFS(AG$3:AG$107,$E$3:$E$107,"MQ")/(COUNTIFS($E$3:$E$107,"MQ")-COUNTIFS($E$3:$E$107,"MQ",AG$3:AG$107,"NA"))</f>
        <v>0</v>
      </c>
      <c r="AH110" s="90" t="n">
        <f aca="false">SUMIFS(AH$3:AH$107,$E$3:$E$107,"MQ")/(COUNTIFS($E$3:$E$107,"MQ")-COUNTIFS($E$3:$E$107,"MQ",AH$3:AH$107,"NA"))</f>
        <v>0</v>
      </c>
      <c r="AI110" s="90" t="n">
        <f aca="false">SUMIFS(AI$3:AI$107,$E$3:$E$107,"MQ")/(COUNTIFS($E$3:$E$107,"MQ")-COUNTIFS($E$3:$E$107,"MQ",AI$3:AI$107,"NA"))</f>
        <v>0</v>
      </c>
      <c r="AJ110" s="90" t="n">
        <f aca="false">SUMIFS(AJ$3:AJ$107,$E$3:$E$107,"MQ")/(COUNTIFS($E$3:$E$107,"MQ")-COUNTIFS($E$3:$E$107,"MQ",AJ$3:AJ$107,"NA"))</f>
        <v>0</v>
      </c>
      <c r="AK110" s="90" t="n">
        <f aca="false">SUMIFS(AK$3:AK$107,$E$3:$E$107,"MQ")/(COUNTIFS($E$3:$E$107,"MQ")-COUNTIFS($E$3:$E$107,"MQ",AK$3:AK$107,"NA"))</f>
        <v>0</v>
      </c>
    </row>
    <row r="111" customFormat="false" ht="14.25" hidden="false" customHeight="true" outlineLevel="0" collapsed="false">
      <c r="F111" s="91" t="s">
        <v>1030</v>
      </c>
      <c r="I111" s="92" t="n">
        <f aca="false">COUNTIFS($E$3:$E$107,"MQ",I$3:I$107,"?")</f>
        <v>39</v>
      </c>
      <c r="J111" s="92" t="n">
        <f aca="false">COUNTIFS($E$3:$E$107,"MQ",J$3:J$107,"?")</f>
        <v>23</v>
      </c>
      <c r="K111" s="92" t="n">
        <f aca="false">COUNTIFS($E$3:$E$107,"MQ",K$3:K$107,"?")</f>
        <v>39</v>
      </c>
      <c r="L111" s="92" t="n">
        <f aca="false">COUNTIFS($E$3:$E$107,"MQ",L$3:L$107,"?")</f>
        <v>39</v>
      </c>
      <c r="M111" s="92" t="n">
        <f aca="false">COUNTIFS($E$3:$E$107,"MQ",M$3:M$107,"?")</f>
        <v>39</v>
      </c>
      <c r="N111" s="92" t="n">
        <f aca="false">COUNTIFS($E$3:$E$107,"MQ",N$3:N$107,"?")</f>
        <v>39</v>
      </c>
      <c r="O111" s="92" t="n">
        <f aca="false">COUNTIFS($E$3:$E$107,"MQ",O$3:O$107,"?")</f>
        <v>39</v>
      </c>
      <c r="P111" s="92" t="n">
        <f aca="false">COUNTIFS($E$3:$E$107,"MQ",P$3:P$107,"?")</f>
        <v>39</v>
      </c>
      <c r="Q111" s="92" t="n">
        <f aca="false">COUNTIFS($E$3:$E$107,"MQ",Q$3:Q$107,"?")</f>
        <v>39</v>
      </c>
      <c r="R111" s="92" t="n">
        <f aca="false">COUNTIFS($E$3:$E$107,"MQ",R$3:R$107,"?")</f>
        <v>39</v>
      </c>
      <c r="S111" s="92" t="n">
        <f aca="false">COUNTIFS($E$3:$E$107,"MQ",S$3:S$107,"?")</f>
        <v>39</v>
      </c>
      <c r="T111" s="92" t="n">
        <f aca="false">COUNTIFS($E$3:$E$107,"MQ",T$3:T$107,"?")</f>
        <v>39</v>
      </c>
      <c r="U111" s="92" t="n">
        <f aca="false">COUNTIFS($E$3:$E$107,"MQ",U$3:U$107,"?")</f>
        <v>39</v>
      </c>
      <c r="V111" s="92" t="n">
        <f aca="false">COUNTIFS($E$3:$E$107,"MQ",V$3:V$107,"?")</f>
        <v>39</v>
      </c>
      <c r="W111" s="92" t="n">
        <f aca="false">COUNTIFS($E$3:$E$107,"MQ",W$3:W$107,"?")</f>
        <v>39</v>
      </c>
      <c r="X111" s="92" t="n">
        <f aca="false">COUNTIFS($E$3:$E$107,"MQ",X$3:X$107,"?")</f>
        <v>39</v>
      </c>
      <c r="Y111" s="92" t="n">
        <f aca="false">COUNTIFS($E$3:$E$107,"MQ",Y$3:Y$107,"?")</f>
        <v>39</v>
      </c>
      <c r="Z111" s="92" t="n">
        <f aca="false">COUNTIFS($E$3:$E$107,"MQ",Z$3:Z$107,"?")</f>
        <v>39</v>
      </c>
      <c r="AA111" s="92" t="n">
        <f aca="false">COUNTIFS($E$3:$E$107,"MQ",AA$3:AA$107,"?")</f>
        <v>39</v>
      </c>
      <c r="AB111" s="92" t="n">
        <f aca="false">COUNTIFS($E$3:$E$107,"MQ",AB$3:AB$107,"?")</f>
        <v>39</v>
      </c>
      <c r="AC111" s="92" t="n">
        <f aca="false">COUNTIFS($E$3:$E$107,"MQ",AC$3:AC$107,"?")</f>
        <v>32</v>
      </c>
      <c r="AD111" s="92" t="n">
        <f aca="false">COUNTIFS($E$3:$E$107,"MQ",AD$3:AD$107,"?")</f>
        <v>39</v>
      </c>
      <c r="AE111" s="92" t="n">
        <f aca="false">COUNTIFS($E$3:$E$107,"MQ",AE$3:AE$107,"?")</f>
        <v>39</v>
      </c>
      <c r="AF111" s="92" t="n">
        <f aca="false">COUNTIFS($E$3:$E$107,"MQ",AF$3:AF$107,"?")</f>
        <v>39</v>
      </c>
      <c r="AG111" s="92" t="n">
        <f aca="false">COUNTIFS($E$3:$E$107,"MQ",AG$3:AG$107,"?")</f>
        <v>39</v>
      </c>
      <c r="AH111" s="92" t="n">
        <f aca="false">COUNTIFS($E$3:$E$107,"MQ",AH$3:AH$107,"?")</f>
        <v>39</v>
      </c>
      <c r="AI111" s="92" t="n">
        <f aca="false">COUNTIFS($E$3:$E$107,"MQ",AI$3:AI$107,"?")</f>
        <v>39</v>
      </c>
      <c r="AJ111" s="92" t="n">
        <f aca="false">COUNTIFS($E$3:$E$107,"MQ",AJ$3:AJ$107,"?")</f>
        <v>39</v>
      </c>
      <c r="AK111" s="92" t="n">
        <f aca="false">COUNTIFS($E$3:$E$107,"MQ",AK$3:AK$107,"?")</f>
        <v>39</v>
      </c>
    </row>
    <row r="112" customFormat="false" ht="14.25" hidden="false" customHeight="true" outlineLevel="0" collapsed="false">
      <c r="F112" s="91" t="s">
        <v>1031</v>
      </c>
      <c r="I112" s="92" t="n">
        <f aca="false">COUNTIFS($E$3:$E$107,"MQ",I$3:I$107,"NA")</f>
        <v>0</v>
      </c>
      <c r="J112" s="92" t="n">
        <f aca="false">COUNTIFS($E$3:$E$107,"MQ",J$3:J$107,"NA")</f>
        <v>0</v>
      </c>
      <c r="K112" s="92" t="n">
        <f aca="false">COUNTIFS($E$3:$E$107,"MQ",K$3:K$107,"NA")</f>
        <v>0</v>
      </c>
      <c r="L112" s="92" t="n">
        <f aca="false">COUNTIFS($E$3:$E$107,"MQ",L$3:L$107,"NA")</f>
        <v>0</v>
      </c>
      <c r="M112" s="92" t="n">
        <f aca="false">COUNTIFS($E$3:$E$107,"MQ",M$3:M$107,"NA")</f>
        <v>0</v>
      </c>
      <c r="N112" s="92" t="n">
        <f aca="false">COUNTIFS($E$3:$E$107,"MQ",N$3:N$107,"NA")</f>
        <v>0</v>
      </c>
      <c r="O112" s="92" t="n">
        <f aca="false">COUNTIFS($E$3:$E$107,"MQ",O$3:O$107,"NA")</f>
        <v>0</v>
      </c>
      <c r="P112" s="92" t="n">
        <f aca="false">COUNTIFS($E$3:$E$107,"MQ",P$3:P$107,"NA")</f>
        <v>0</v>
      </c>
      <c r="Q112" s="92" t="n">
        <f aca="false">COUNTIFS($E$3:$E$107,"MQ",Q$3:Q$107,"NA")</f>
        <v>0</v>
      </c>
      <c r="R112" s="92" t="n">
        <f aca="false">COUNTIFS($E$3:$E$107,"MQ",R$3:R$107,"NA")</f>
        <v>0</v>
      </c>
      <c r="S112" s="92" t="n">
        <f aca="false">COUNTIFS($E$3:$E$107,"MQ",S$3:S$107,"NA")</f>
        <v>0</v>
      </c>
      <c r="T112" s="92" t="n">
        <f aca="false">COUNTIFS($E$3:$E$107,"MQ",T$3:T$107,"NA")</f>
        <v>0</v>
      </c>
      <c r="U112" s="92" t="n">
        <f aca="false">COUNTIFS($E$3:$E$107,"MQ",U$3:U$107,"NA")</f>
        <v>0</v>
      </c>
      <c r="V112" s="92" t="n">
        <f aca="false">COUNTIFS($E$3:$E$107,"MQ",V$3:V$107,"NA")</f>
        <v>0</v>
      </c>
      <c r="W112" s="92" t="n">
        <f aca="false">COUNTIFS($E$3:$E$107,"MQ",W$3:W$107,"NA")</f>
        <v>0</v>
      </c>
      <c r="X112" s="92" t="n">
        <f aca="false">COUNTIFS($E$3:$E$107,"MQ",X$3:X$107,"NA")</f>
        <v>0</v>
      </c>
      <c r="Y112" s="92" t="n">
        <f aca="false">COUNTIFS($E$3:$E$107,"MQ",Y$3:Y$107,"NA")</f>
        <v>0</v>
      </c>
      <c r="Z112" s="92" t="n">
        <f aca="false">COUNTIFS($E$3:$E$107,"MQ",Z$3:Z$107,"NA")</f>
        <v>0</v>
      </c>
      <c r="AA112" s="92" t="n">
        <f aca="false">COUNTIFS($E$3:$E$107,"MQ",AA$3:AA$107,"NA")</f>
        <v>0</v>
      </c>
      <c r="AB112" s="92" t="n">
        <f aca="false">COUNTIFS($E$3:$E$107,"MQ",AB$3:AB$107,"NA")</f>
        <v>0</v>
      </c>
      <c r="AC112" s="92" t="n">
        <f aca="false">COUNTIFS($E$3:$E$107,"MQ",AC$3:AC$107,"NA")</f>
        <v>0</v>
      </c>
      <c r="AD112" s="92" t="n">
        <f aca="false">COUNTIFS($E$3:$E$107,"MQ",AD$3:AD$107,"NA")</f>
        <v>0</v>
      </c>
      <c r="AE112" s="92" t="n">
        <f aca="false">COUNTIFS($E$3:$E$107,"MQ",AE$3:AE$107,"NA")</f>
        <v>0</v>
      </c>
      <c r="AF112" s="92" t="n">
        <f aca="false">COUNTIFS($E$3:$E$107,"MQ",AF$3:AF$107,"NA")</f>
        <v>0</v>
      </c>
      <c r="AG112" s="92" t="n">
        <f aca="false">COUNTIFS($E$3:$E$107,"MQ",AG$3:AG$107,"NA")</f>
        <v>0</v>
      </c>
      <c r="AH112" s="92" t="n">
        <f aca="false">COUNTIFS($E$3:$E$107,"MQ",AH$3:AH$107,"NA")</f>
        <v>0</v>
      </c>
      <c r="AI112" s="92" t="n">
        <f aca="false">COUNTIFS($E$3:$E$107,"MQ",AI$3:AI$107,"NA")</f>
        <v>0</v>
      </c>
      <c r="AJ112" s="92" t="n">
        <f aca="false">COUNTIFS($E$3:$E$107,"MQ",AJ$3:AJ$107,"NA")</f>
        <v>0</v>
      </c>
      <c r="AK112" s="92" t="n">
        <f aca="false">COUNTIFS($E$3:$E$107,"MQ",AK$3:AK$107,"NA")</f>
        <v>0</v>
      </c>
    </row>
  </sheetData>
  <mergeCells count="1">
    <mergeCell ref="I2:AK2"/>
  </mergeCells>
  <conditionalFormatting sqref="A3:AK107">
    <cfRule type="expression" priority="2" aboveAverage="0" equalAverage="0" bottom="0" percent="0" rank="0" text="" dxfId="12">
      <formula>$A4=$A3&amp;"a"</formula>
    </cfRule>
    <cfRule type="expression" priority="3" aboveAverage="0" equalAverage="0" bottom="0" percent="0" rank="0" text="" dxfId="13">
      <formula>AND(LEFT($E3,2)="SQ",LEN($E3)=3)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4.25" customHeight="false" zeroHeight="false" outlineLevelRow="0" outlineLevelCol="0"/>
  <cols>
    <col collapsed="false" customWidth="false" hidden="false" outlineLevel="0" max="1" min="1" style="93" width="9.14"/>
    <col collapsed="false" customWidth="false" hidden="false" outlineLevel="0" max="2" min="2" style="94" width="9.14"/>
    <col collapsed="false" customWidth="true" hidden="false" outlineLevel="0" max="3" min="3" style="94" width="7.57"/>
    <col collapsed="false" customWidth="true" hidden="false" outlineLevel="0" max="4" min="4" style="94" width="5.14"/>
    <col collapsed="false" customWidth="true" hidden="false" outlineLevel="0" max="5" min="5" style="95" width="7.57"/>
    <col collapsed="false" customWidth="true" hidden="false" outlineLevel="0" max="6" min="6" style="95" width="8.71"/>
    <col collapsed="false" customWidth="true" hidden="false" outlineLevel="0" max="7" min="7" style="96" width="22.29"/>
    <col collapsed="false" customWidth="true" hidden="false" outlineLevel="0" max="8" min="8" style="97" width="19.14"/>
    <col collapsed="false" customWidth="true" hidden="false" outlineLevel="0" max="9" min="9" style="94" width="79.86"/>
    <col collapsed="false" customWidth="true" hidden="false" outlineLevel="0" max="10" min="10" style="93" width="7.71"/>
    <col collapsed="false" customWidth="true" hidden="false" outlineLevel="0" max="11" min="11" style="98" width="19.57"/>
    <col collapsed="false" customWidth="true" hidden="false" outlineLevel="0" max="12" min="12" style="94" width="18.29"/>
    <col collapsed="false" customWidth="true" hidden="false" outlineLevel="0" max="13" min="13" style="94" width="98.29"/>
    <col collapsed="false" customWidth="true" hidden="false" outlineLevel="0" max="14" min="14" style="4" width="138.14"/>
    <col collapsed="false" customWidth="false" hidden="false" outlineLevel="0" max="16384" min="15" style="94" width="9.14"/>
  </cols>
  <sheetData>
    <row r="1" s="93" customFormat="true" ht="48" hidden="false" customHeight="true" outlineLevel="0" collapsed="false">
      <c r="A1" s="99" t="s">
        <v>609</v>
      </c>
      <c r="B1" s="99" t="s">
        <v>610</v>
      </c>
      <c r="C1" s="99" t="s">
        <v>611</v>
      </c>
      <c r="D1" s="99" t="s">
        <v>612</v>
      </c>
      <c r="E1" s="100" t="s">
        <v>613</v>
      </c>
      <c r="F1" s="100" t="s">
        <v>614</v>
      </c>
      <c r="G1" s="16" t="s">
        <v>615</v>
      </c>
      <c r="H1" s="16" t="s">
        <v>616</v>
      </c>
      <c r="I1" s="99" t="s">
        <v>0</v>
      </c>
      <c r="J1" s="99" t="s">
        <v>617</v>
      </c>
      <c r="K1" s="99" t="s">
        <v>618</v>
      </c>
      <c r="L1" s="101" t="s">
        <v>619</v>
      </c>
      <c r="M1" s="102" t="s">
        <v>620</v>
      </c>
      <c r="N1" s="102" t="s">
        <v>621</v>
      </c>
    </row>
    <row r="2" customFormat="false" ht="111" hidden="false" customHeight="true" outlineLevel="0" collapsed="false">
      <c r="A2" s="103" t="s">
        <v>622</v>
      </c>
      <c r="B2" s="104" t="s">
        <v>18</v>
      </c>
      <c r="C2" s="104" t="s">
        <v>18</v>
      </c>
      <c r="D2" s="104" t="s">
        <v>623</v>
      </c>
      <c r="E2" s="105" t="s">
        <v>18</v>
      </c>
      <c r="F2" s="105" t="s">
        <v>624</v>
      </c>
      <c r="G2" s="22" t="s">
        <v>625</v>
      </c>
      <c r="H2" s="22" t="s">
        <v>626</v>
      </c>
      <c r="I2" s="20" t="s">
        <v>20</v>
      </c>
      <c r="J2" s="103" t="s">
        <v>627</v>
      </c>
      <c r="K2" s="106" t="n">
        <v>10</v>
      </c>
      <c r="L2" s="107" t="s">
        <v>628</v>
      </c>
      <c r="M2" s="104" t="s">
        <v>629</v>
      </c>
      <c r="N2" s="108" t="s">
        <v>630</v>
      </c>
    </row>
    <row r="3" customFormat="false" ht="40.5" hidden="false" customHeight="true" outlineLevel="0" collapsed="false">
      <c r="A3" s="103" t="s">
        <v>631</v>
      </c>
      <c r="B3" s="104" t="s">
        <v>140</v>
      </c>
      <c r="C3" s="104" t="s">
        <v>109</v>
      </c>
      <c r="D3" s="104" t="s">
        <v>623</v>
      </c>
      <c r="E3" s="105" t="s">
        <v>33</v>
      </c>
      <c r="F3" s="105" t="s">
        <v>624</v>
      </c>
      <c r="G3" s="22" t="s">
        <v>625</v>
      </c>
      <c r="H3" s="22" t="s">
        <v>626</v>
      </c>
      <c r="I3" s="104" t="s">
        <v>1032</v>
      </c>
      <c r="J3" s="103" t="s">
        <v>627</v>
      </c>
      <c r="K3" s="106" t="n">
        <v>10</v>
      </c>
      <c r="L3" s="107" t="s">
        <v>628</v>
      </c>
      <c r="M3" s="104" t="s">
        <v>1033</v>
      </c>
      <c r="N3" s="108"/>
    </row>
    <row r="4" customFormat="false" ht="48" hidden="false" customHeight="true" outlineLevel="0" collapsed="false">
      <c r="A4" s="109" t="s">
        <v>652</v>
      </c>
      <c r="B4" s="110" t="s">
        <v>33</v>
      </c>
      <c r="C4" s="104" t="s">
        <v>33</v>
      </c>
      <c r="D4" s="104" t="s">
        <v>623</v>
      </c>
      <c r="E4" s="105" t="s">
        <v>76</v>
      </c>
      <c r="F4" s="105" t="s">
        <v>624</v>
      </c>
      <c r="G4" s="22" t="s">
        <v>625</v>
      </c>
      <c r="H4" s="22" t="s">
        <v>635</v>
      </c>
      <c r="I4" s="110" t="s">
        <v>636</v>
      </c>
      <c r="J4" s="109" t="s">
        <v>627</v>
      </c>
      <c r="K4" s="111" t="n">
        <v>10</v>
      </c>
      <c r="L4" s="112" t="s">
        <v>628</v>
      </c>
      <c r="M4" s="104" t="s">
        <v>1034</v>
      </c>
      <c r="N4" s="108"/>
    </row>
    <row r="5" customFormat="false" ht="69" hidden="false" customHeight="true" outlineLevel="0" collapsed="false">
      <c r="A5" s="113" t="s">
        <v>1035</v>
      </c>
      <c r="B5" s="114" t="s">
        <v>639</v>
      </c>
      <c r="C5" s="114" t="s">
        <v>639</v>
      </c>
      <c r="D5" s="104" t="s">
        <v>623</v>
      </c>
      <c r="E5" s="105" t="s">
        <v>1036</v>
      </c>
      <c r="F5" s="105" t="s">
        <v>624</v>
      </c>
      <c r="G5" s="22" t="s">
        <v>625</v>
      </c>
      <c r="H5" s="22" t="s">
        <v>635</v>
      </c>
      <c r="I5" s="114" t="s">
        <v>640</v>
      </c>
      <c r="J5" s="113" t="s">
        <v>641</v>
      </c>
      <c r="K5" s="115" t="n">
        <v>3.33</v>
      </c>
      <c r="L5" s="116" t="s">
        <v>628</v>
      </c>
      <c r="M5" s="114" t="s">
        <v>642</v>
      </c>
      <c r="N5" s="108"/>
    </row>
    <row r="6" customFormat="false" ht="42.75" hidden="false" customHeight="true" outlineLevel="0" collapsed="false">
      <c r="A6" s="113" t="s">
        <v>1037</v>
      </c>
      <c r="B6" s="114" t="s">
        <v>644</v>
      </c>
      <c r="C6" s="114" t="s">
        <v>644</v>
      </c>
      <c r="D6" s="104" t="s">
        <v>623</v>
      </c>
      <c r="E6" s="105" t="s">
        <v>1038</v>
      </c>
      <c r="F6" s="105" t="s">
        <v>624</v>
      </c>
      <c r="G6" s="22" t="s">
        <v>625</v>
      </c>
      <c r="H6" s="22" t="s">
        <v>635</v>
      </c>
      <c r="I6" s="30" t="s">
        <v>645</v>
      </c>
      <c r="J6" s="113" t="s">
        <v>641</v>
      </c>
      <c r="K6" s="115" t="n">
        <v>3.33</v>
      </c>
      <c r="L6" s="116" t="s">
        <v>628</v>
      </c>
      <c r="M6" s="114" t="s">
        <v>1039</v>
      </c>
      <c r="N6" s="108"/>
    </row>
    <row r="7" customFormat="false" ht="67.5" hidden="false" customHeight="true" outlineLevel="0" collapsed="false">
      <c r="A7" s="113" t="s">
        <v>1040</v>
      </c>
      <c r="B7" s="114" t="s">
        <v>648</v>
      </c>
      <c r="C7" s="114" t="s">
        <v>648</v>
      </c>
      <c r="D7" s="104" t="s">
        <v>623</v>
      </c>
      <c r="E7" s="105" t="s">
        <v>1041</v>
      </c>
      <c r="F7" s="105" t="s">
        <v>624</v>
      </c>
      <c r="G7" s="22" t="s">
        <v>625</v>
      </c>
      <c r="H7" s="22" t="s">
        <v>635</v>
      </c>
      <c r="I7" s="117" t="s">
        <v>649</v>
      </c>
      <c r="J7" s="118" t="s">
        <v>641</v>
      </c>
      <c r="K7" s="115" t="n">
        <v>3.33</v>
      </c>
      <c r="L7" s="119" t="s">
        <v>628</v>
      </c>
      <c r="M7" s="117" t="s">
        <v>1042</v>
      </c>
      <c r="N7" s="108" t="s">
        <v>651</v>
      </c>
    </row>
    <row r="8" customFormat="false" ht="404.25" hidden="false" customHeight="true" outlineLevel="0" collapsed="false">
      <c r="A8" s="103" t="s">
        <v>655</v>
      </c>
      <c r="B8" s="104" t="s">
        <v>109</v>
      </c>
      <c r="C8" s="120" t="s">
        <v>653</v>
      </c>
      <c r="D8" s="120" t="s">
        <v>623</v>
      </c>
      <c r="E8" s="121" t="s">
        <v>656</v>
      </c>
      <c r="F8" s="105" t="s">
        <v>624</v>
      </c>
      <c r="G8" s="22" t="s">
        <v>625</v>
      </c>
      <c r="H8" s="122" t="s">
        <v>635</v>
      </c>
      <c r="I8" s="123" t="s">
        <v>77</v>
      </c>
      <c r="J8" s="103" t="s">
        <v>627</v>
      </c>
      <c r="K8" s="106" t="n">
        <v>10</v>
      </c>
      <c r="L8" s="104" t="s">
        <v>628</v>
      </c>
      <c r="M8" s="120" t="s">
        <v>1043</v>
      </c>
      <c r="N8" s="124"/>
      <c r="O8" s="94" t="s">
        <v>1044</v>
      </c>
    </row>
    <row r="9" customFormat="false" ht="37.5" hidden="false" customHeight="true" outlineLevel="0" collapsed="false">
      <c r="A9" s="125" t="n">
        <v>8</v>
      </c>
      <c r="B9" s="126" t="s">
        <v>623</v>
      </c>
      <c r="C9" s="127"/>
      <c r="D9" s="127"/>
      <c r="E9" s="127"/>
      <c r="F9" s="128" t="s">
        <v>624</v>
      </c>
      <c r="G9" s="22" t="s">
        <v>625</v>
      </c>
      <c r="H9" s="122" t="s">
        <v>635</v>
      </c>
      <c r="I9" s="34" t="s">
        <v>657</v>
      </c>
      <c r="J9" s="35" t="s">
        <v>627</v>
      </c>
      <c r="K9" s="111" t="n">
        <v>10</v>
      </c>
      <c r="L9" s="112" t="s">
        <v>628</v>
      </c>
      <c r="M9" s="129" t="s">
        <v>1045</v>
      </c>
      <c r="N9" s="130"/>
      <c r="O9" s="131"/>
      <c r="P9" s="38"/>
      <c r="R9" s="132"/>
      <c r="S9" s="133"/>
    </row>
    <row r="10" customFormat="false" ht="66" hidden="false" customHeight="true" outlineLevel="0" collapsed="false">
      <c r="A10" s="125" t="s">
        <v>1046</v>
      </c>
      <c r="B10" s="126" t="s">
        <v>623</v>
      </c>
      <c r="C10" s="127"/>
      <c r="D10" s="127"/>
      <c r="E10" s="127"/>
      <c r="F10" s="128" t="s">
        <v>624</v>
      </c>
      <c r="G10" s="22" t="s">
        <v>625</v>
      </c>
      <c r="H10" s="122" t="s">
        <v>635</v>
      </c>
      <c r="I10" s="30" t="s">
        <v>660</v>
      </c>
      <c r="J10" s="33" t="s">
        <v>641</v>
      </c>
      <c r="K10" s="33" t="n">
        <v>3.3</v>
      </c>
      <c r="L10" s="107" t="s">
        <v>628</v>
      </c>
      <c r="M10" s="134" t="s">
        <v>1047</v>
      </c>
      <c r="N10" s="130"/>
      <c r="P10" s="38"/>
      <c r="R10" s="132"/>
      <c r="S10" s="133"/>
    </row>
    <row r="11" customFormat="false" ht="66" hidden="false" customHeight="true" outlineLevel="0" collapsed="false">
      <c r="A11" s="125" t="s">
        <v>1048</v>
      </c>
      <c r="B11" s="126" t="s">
        <v>623</v>
      </c>
      <c r="C11" s="127"/>
      <c r="D11" s="127"/>
      <c r="E11" s="127"/>
      <c r="F11" s="128" t="s">
        <v>624</v>
      </c>
      <c r="G11" s="22" t="s">
        <v>625</v>
      </c>
      <c r="H11" s="122" t="s">
        <v>635</v>
      </c>
      <c r="I11" s="30" t="s">
        <v>663</v>
      </c>
      <c r="J11" s="33" t="s">
        <v>641</v>
      </c>
      <c r="K11" s="33" t="n">
        <v>3.3</v>
      </c>
      <c r="L11" s="104" t="s">
        <v>628</v>
      </c>
      <c r="M11" s="134" t="s">
        <v>1049</v>
      </c>
      <c r="N11" s="130"/>
      <c r="P11" s="38"/>
      <c r="R11" s="132"/>
      <c r="S11" s="133"/>
    </row>
    <row r="12" customFormat="false" ht="34.5" hidden="false" customHeight="true" outlineLevel="0" collapsed="false">
      <c r="A12" s="125" t="s">
        <v>1050</v>
      </c>
      <c r="B12" s="126" t="s">
        <v>623</v>
      </c>
      <c r="C12" s="127"/>
      <c r="D12" s="127"/>
      <c r="E12" s="127"/>
      <c r="F12" s="128" t="s">
        <v>624</v>
      </c>
      <c r="G12" s="22" t="s">
        <v>625</v>
      </c>
      <c r="H12" s="122" t="s">
        <v>635</v>
      </c>
      <c r="I12" s="30" t="s">
        <v>666</v>
      </c>
      <c r="J12" s="33" t="s">
        <v>641</v>
      </c>
      <c r="K12" s="33" t="n">
        <v>3.3</v>
      </c>
      <c r="L12" s="104" t="s">
        <v>628</v>
      </c>
      <c r="M12" s="134" t="s">
        <v>1051</v>
      </c>
      <c r="N12" s="130"/>
      <c r="P12" s="38"/>
      <c r="R12" s="132"/>
      <c r="S12" s="133"/>
    </row>
    <row r="13" customFormat="false" ht="124.5" hidden="false" customHeight="true" outlineLevel="0" collapsed="false">
      <c r="A13" s="103" t="s">
        <v>671</v>
      </c>
      <c r="B13" s="104" t="s">
        <v>656</v>
      </c>
      <c r="C13" s="135" t="s">
        <v>76</v>
      </c>
      <c r="D13" s="135" t="s">
        <v>623</v>
      </c>
      <c r="E13" s="136" t="s">
        <v>673</v>
      </c>
      <c r="F13" s="105" t="s">
        <v>624</v>
      </c>
      <c r="G13" s="22" t="s">
        <v>625</v>
      </c>
      <c r="H13" s="22" t="s">
        <v>1052</v>
      </c>
      <c r="I13" s="104" t="s">
        <v>110</v>
      </c>
      <c r="J13" s="103" t="s">
        <v>627</v>
      </c>
      <c r="K13" s="106" t="n">
        <v>10</v>
      </c>
      <c r="L13" s="107" t="s">
        <v>628</v>
      </c>
      <c r="M13" s="104" t="s">
        <v>1053</v>
      </c>
      <c r="N13" s="108"/>
    </row>
    <row r="14" customFormat="false" ht="42" hidden="false" customHeight="true" outlineLevel="0" collapsed="false">
      <c r="A14" s="103" t="s">
        <v>806</v>
      </c>
      <c r="B14" s="104" t="s">
        <v>672</v>
      </c>
      <c r="C14" s="104" t="s">
        <v>140</v>
      </c>
      <c r="D14" s="104" t="s">
        <v>623</v>
      </c>
      <c r="E14" s="105" t="s">
        <v>807</v>
      </c>
      <c r="F14" s="105" t="s">
        <v>624</v>
      </c>
      <c r="G14" s="22" t="s">
        <v>625</v>
      </c>
      <c r="H14" s="22" t="s">
        <v>674</v>
      </c>
      <c r="I14" s="104" t="s">
        <v>675</v>
      </c>
      <c r="J14" s="103" t="s">
        <v>627</v>
      </c>
      <c r="K14" s="106" t="n">
        <v>10</v>
      </c>
      <c r="L14" s="107" t="s">
        <v>676</v>
      </c>
      <c r="M14" s="104" t="s">
        <v>677</v>
      </c>
      <c r="N14" s="108"/>
    </row>
    <row r="15" customFormat="false" ht="40.5" hidden="false" customHeight="true" outlineLevel="0" collapsed="false">
      <c r="A15" s="113" t="s">
        <v>812</v>
      </c>
      <c r="B15" s="114" t="s">
        <v>263</v>
      </c>
      <c r="C15" s="114" t="s">
        <v>679</v>
      </c>
      <c r="D15" s="104" t="s">
        <v>623</v>
      </c>
      <c r="E15" s="105" t="s">
        <v>337</v>
      </c>
      <c r="F15" s="105" t="s">
        <v>624</v>
      </c>
      <c r="G15" s="22" t="s">
        <v>625</v>
      </c>
      <c r="H15" s="22" t="s">
        <v>674</v>
      </c>
      <c r="I15" s="114" t="s">
        <v>680</v>
      </c>
      <c r="J15" s="113" t="s">
        <v>641</v>
      </c>
      <c r="K15" s="115" t="n">
        <v>5</v>
      </c>
      <c r="L15" s="107" t="s">
        <v>681</v>
      </c>
      <c r="M15" s="114" t="s">
        <v>1054</v>
      </c>
      <c r="N15" s="108" t="s">
        <v>1055</v>
      </c>
    </row>
    <row r="16" customFormat="false" ht="84.75" hidden="false" customHeight="true" outlineLevel="0" collapsed="false">
      <c r="A16" s="113" t="s">
        <v>828</v>
      </c>
      <c r="B16" s="114" t="s">
        <v>271</v>
      </c>
      <c r="C16" s="114" t="s">
        <v>684</v>
      </c>
      <c r="D16" s="104" t="s">
        <v>623</v>
      </c>
      <c r="E16" s="105" t="s">
        <v>341</v>
      </c>
      <c r="F16" s="105" t="s">
        <v>624</v>
      </c>
      <c r="G16" s="22" t="s">
        <v>625</v>
      </c>
      <c r="H16" s="22" t="s">
        <v>674</v>
      </c>
      <c r="I16" s="114" t="s">
        <v>1056</v>
      </c>
      <c r="J16" s="113" t="s">
        <v>641</v>
      </c>
      <c r="K16" s="115" t="n">
        <v>5</v>
      </c>
      <c r="L16" s="107" t="s">
        <v>686</v>
      </c>
      <c r="M16" s="114" t="s">
        <v>1057</v>
      </c>
      <c r="N16" s="108"/>
    </row>
    <row r="17" customFormat="false" ht="81.75" hidden="false" customHeight="true" outlineLevel="0" collapsed="false">
      <c r="A17" s="113" t="s">
        <v>846</v>
      </c>
      <c r="B17" s="137" t="s">
        <v>998</v>
      </c>
      <c r="C17" s="137" t="s">
        <v>998</v>
      </c>
      <c r="D17" s="20" t="s">
        <v>623</v>
      </c>
      <c r="E17" s="41" t="s">
        <v>847</v>
      </c>
      <c r="F17" s="41" t="s">
        <v>624</v>
      </c>
      <c r="G17" s="22" t="s">
        <v>625</v>
      </c>
      <c r="H17" s="22" t="s">
        <v>674</v>
      </c>
      <c r="I17" s="20" t="s">
        <v>133</v>
      </c>
      <c r="J17" s="103" t="s">
        <v>627</v>
      </c>
      <c r="K17" s="115" t="n">
        <v>10</v>
      </c>
      <c r="L17" s="138" t="s">
        <v>689</v>
      </c>
      <c r="M17" s="20" t="s">
        <v>1058</v>
      </c>
      <c r="N17" s="108"/>
    </row>
    <row r="18" customFormat="false" ht="90.75" hidden="false" customHeight="true" outlineLevel="0" collapsed="false">
      <c r="A18" s="103" t="s">
        <v>688</v>
      </c>
      <c r="B18" s="104" t="s">
        <v>76</v>
      </c>
      <c r="C18" s="104" t="s">
        <v>634</v>
      </c>
      <c r="D18" s="104" t="s">
        <v>623</v>
      </c>
      <c r="E18" s="105" t="s">
        <v>132</v>
      </c>
      <c r="F18" s="105" t="s">
        <v>624</v>
      </c>
      <c r="G18" s="22" t="s">
        <v>1059</v>
      </c>
      <c r="H18" s="22" t="s">
        <v>693</v>
      </c>
      <c r="I18" s="20" t="s">
        <v>141</v>
      </c>
      <c r="J18" s="103" t="s">
        <v>627</v>
      </c>
      <c r="K18" s="106" t="n">
        <v>10</v>
      </c>
      <c r="L18" s="139" t="s">
        <v>628</v>
      </c>
      <c r="M18" s="120" t="s">
        <v>1060</v>
      </c>
      <c r="N18" s="108"/>
    </row>
    <row r="19" customFormat="false" ht="95.25" hidden="false" customHeight="true" outlineLevel="0" collapsed="false">
      <c r="A19" s="140" t="s">
        <v>691</v>
      </c>
      <c r="B19" s="104" t="s">
        <v>695</v>
      </c>
      <c r="C19" s="104" t="s">
        <v>281</v>
      </c>
      <c r="D19" s="104" t="s">
        <v>623</v>
      </c>
      <c r="E19" s="105" t="s">
        <v>140</v>
      </c>
      <c r="F19" s="105" t="s">
        <v>624</v>
      </c>
      <c r="G19" s="22" t="s">
        <v>1059</v>
      </c>
      <c r="H19" s="22" t="s">
        <v>696</v>
      </c>
      <c r="I19" s="20" t="s">
        <v>149</v>
      </c>
      <c r="J19" s="140" t="s">
        <v>627</v>
      </c>
      <c r="K19" s="141" t="n">
        <v>10</v>
      </c>
      <c r="L19" s="104" t="s">
        <v>628</v>
      </c>
      <c r="M19" s="104" t="s">
        <v>1061</v>
      </c>
      <c r="N19" s="114"/>
    </row>
    <row r="20" customFormat="false" ht="54" hidden="false" customHeight="true" outlineLevel="0" collapsed="false">
      <c r="A20" s="140" t="s">
        <v>21</v>
      </c>
      <c r="B20" s="104" t="s">
        <v>562</v>
      </c>
      <c r="C20" s="104" t="s">
        <v>699</v>
      </c>
      <c r="D20" s="104" t="s">
        <v>623</v>
      </c>
      <c r="E20" s="105" t="s">
        <v>148</v>
      </c>
      <c r="F20" s="105" t="s">
        <v>624</v>
      </c>
      <c r="G20" s="22" t="s">
        <v>1059</v>
      </c>
      <c r="H20" s="22" t="s">
        <v>696</v>
      </c>
      <c r="I20" s="20" t="s">
        <v>701</v>
      </c>
      <c r="J20" s="140" t="s">
        <v>627</v>
      </c>
      <c r="K20" s="141" t="n">
        <v>10</v>
      </c>
      <c r="L20" s="104" t="s">
        <v>676</v>
      </c>
      <c r="M20" s="104" t="s">
        <v>677</v>
      </c>
      <c r="N20" s="124"/>
    </row>
    <row r="21" customFormat="false" ht="105.75" hidden="false" customHeight="true" outlineLevel="0" collapsed="false">
      <c r="A21" s="140"/>
      <c r="B21" s="104" t="s">
        <v>703</v>
      </c>
      <c r="C21" s="104"/>
      <c r="D21" s="104"/>
      <c r="E21" s="105"/>
      <c r="F21" s="105" t="s">
        <v>624</v>
      </c>
      <c r="G21" s="22" t="s">
        <v>1059</v>
      </c>
      <c r="H21" s="22" t="s">
        <v>696</v>
      </c>
      <c r="I21" s="20" t="s">
        <v>704</v>
      </c>
      <c r="J21" s="140" t="s">
        <v>641</v>
      </c>
      <c r="K21" s="141" t="n">
        <v>5</v>
      </c>
      <c r="L21" s="104" t="s">
        <v>681</v>
      </c>
      <c r="M21" s="114" t="s">
        <v>1062</v>
      </c>
      <c r="N21" s="124"/>
    </row>
    <row r="22" customFormat="false" ht="54" hidden="false" customHeight="true" outlineLevel="0" collapsed="false">
      <c r="A22" s="140"/>
      <c r="B22" s="104" t="s">
        <v>707</v>
      </c>
      <c r="C22" s="104"/>
      <c r="D22" s="104"/>
      <c r="E22" s="105"/>
      <c r="F22" s="105" t="s">
        <v>624</v>
      </c>
      <c r="G22" s="22" t="s">
        <v>1059</v>
      </c>
      <c r="H22" s="22" t="s">
        <v>696</v>
      </c>
      <c r="I22" s="20" t="s">
        <v>708</v>
      </c>
      <c r="J22" s="140" t="s">
        <v>641</v>
      </c>
      <c r="K22" s="142" t="n">
        <v>5</v>
      </c>
      <c r="L22" s="143" t="s">
        <v>686</v>
      </c>
      <c r="M22" s="144" t="s">
        <v>1063</v>
      </c>
      <c r="N22" s="108"/>
    </row>
    <row r="23" customFormat="false" ht="164.25" hidden="false" customHeight="true" outlineLevel="0" collapsed="false">
      <c r="A23" s="145" t="s">
        <v>754</v>
      </c>
      <c r="B23" s="146"/>
      <c r="C23" s="146"/>
      <c r="D23" s="146" t="s">
        <v>623</v>
      </c>
      <c r="E23" s="96" t="s">
        <v>255</v>
      </c>
      <c r="F23" s="105" t="s">
        <v>624</v>
      </c>
      <c r="G23" s="22" t="s">
        <v>1059</v>
      </c>
      <c r="H23" s="22" t="s">
        <v>711</v>
      </c>
      <c r="I23" s="147" t="s">
        <v>1064</v>
      </c>
      <c r="J23" s="140" t="s">
        <v>627</v>
      </c>
      <c r="K23" s="142" t="n">
        <v>10</v>
      </c>
      <c r="L23" s="107" t="s">
        <v>628</v>
      </c>
      <c r="M23" s="147" t="s">
        <v>1065</v>
      </c>
      <c r="N23" s="108"/>
    </row>
    <row r="24" customFormat="false" ht="54" hidden="false" customHeight="true" outlineLevel="0" collapsed="false">
      <c r="A24" s="103" t="s">
        <v>698</v>
      </c>
      <c r="B24" s="104" t="s">
        <v>653</v>
      </c>
      <c r="C24" s="104" t="s">
        <v>700</v>
      </c>
      <c r="D24" s="104" t="s">
        <v>623</v>
      </c>
      <c r="E24" s="105" t="s">
        <v>700</v>
      </c>
      <c r="F24" s="105" t="s">
        <v>624</v>
      </c>
      <c r="G24" s="22" t="s">
        <v>1066</v>
      </c>
      <c r="H24" s="22" t="s">
        <v>716</v>
      </c>
      <c r="I24" s="104" t="s">
        <v>1067</v>
      </c>
      <c r="J24" s="103" t="s">
        <v>627</v>
      </c>
      <c r="K24" s="106" t="n">
        <v>10</v>
      </c>
      <c r="L24" s="107" t="s">
        <v>718</v>
      </c>
      <c r="M24" s="114" t="s">
        <v>719</v>
      </c>
      <c r="N24" s="108"/>
    </row>
    <row r="25" customFormat="false" ht="126.75" hidden="false" customHeight="true" outlineLevel="0" collapsed="false">
      <c r="A25" s="140" t="s">
        <v>702</v>
      </c>
      <c r="B25" s="104"/>
      <c r="C25" s="104"/>
      <c r="D25" s="104"/>
      <c r="E25" s="105" t="s">
        <v>159</v>
      </c>
      <c r="F25" s="105" t="s">
        <v>624</v>
      </c>
      <c r="G25" s="22" t="s">
        <v>1066</v>
      </c>
      <c r="H25" s="22" t="s">
        <v>716</v>
      </c>
      <c r="I25" s="104" t="s">
        <v>721</v>
      </c>
      <c r="J25" s="103" t="s">
        <v>641</v>
      </c>
      <c r="K25" s="106" t="n">
        <v>1.67</v>
      </c>
      <c r="L25" s="107" t="s">
        <v>681</v>
      </c>
      <c r="M25" s="114" t="s">
        <v>1068</v>
      </c>
      <c r="N25" s="108"/>
    </row>
    <row r="26" customFormat="false" ht="57" hidden="false" customHeight="true" outlineLevel="0" collapsed="false">
      <c r="A26" s="140" t="s">
        <v>706</v>
      </c>
      <c r="B26" s="104"/>
      <c r="C26" s="104"/>
      <c r="D26" s="104"/>
      <c r="E26" s="105" t="s">
        <v>166</v>
      </c>
      <c r="F26" s="105" t="s">
        <v>624</v>
      </c>
      <c r="G26" s="22" t="s">
        <v>1066</v>
      </c>
      <c r="H26" s="22" t="s">
        <v>716</v>
      </c>
      <c r="I26" s="104" t="s">
        <v>724</v>
      </c>
      <c r="J26" s="103" t="s">
        <v>641</v>
      </c>
      <c r="K26" s="106" t="n">
        <v>1.67</v>
      </c>
      <c r="L26" s="107" t="s">
        <v>681</v>
      </c>
      <c r="M26" s="114" t="s">
        <v>725</v>
      </c>
      <c r="N26" s="108"/>
    </row>
    <row r="27" customFormat="false" ht="54" hidden="false" customHeight="true" outlineLevel="0" collapsed="false">
      <c r="A27" s="140" t="s">
        <v>1069</v>
      </c>
      <c r="B27" s="104"/>
      <c r="C27" s="104"/>
      <c r="D27" s="104"/>
      <c r="E27" s="105" t="s">
        <v>1070</v>
      </c>
      <c r="F27" s="105" t="s">
        <v>624</v>
      </c>
      <c r="G27" s="22" t="s">
        <v>1066</v>
      </c>
      <c r="H27" s="22" t="s">
        <v>716</v>
      </c>
      <c r="I27" s="104" t="s">
        <v>727</v>
      </c>
      <c r="J27" s="103" t="s">
        <v>641</v>
      </c>
      <c r="K27" s="106" t="n">
        <v>1.67</v>
      </c>
      <c r="L27" s="107" t="s">
        <v>681</v>
      </c>
      <c r="M27" s="114" t="s">
        <v>728</v>
      </c>
      <c r="N27" s="108"/>
    </row>
    <row r="28" customFormat="false" ht="65.25" hidden="false" customHeight="true" outlineLevel="0" collapsed="false">
      <c r="A28" s="140" t="s">
        <v>1071</v>
      </c>
      <c r="B28" s="104"/>
      <c r="C28" s="104"/>
      <c r="D28" s="104"/>
      <c r="E28" s="105" t="s">
        <v>1072</v>
      </c>
      <c r="F28" s="105" t="s">
        <v>624</v>
      </c>
      <c r="G28" s="22" t="s">
        <v>1066</v>
      </c>
      <c r="H28" s="22" t="s">
        <v>716</v>
      </c>
      <c r="I28" s="104" t="s">
        <v>730</v>
      </c>
      <c r="J28" s="103" t="s">
        <v>641</v>
      </c>
      <c r="K28" s="106" t="n">
        <v>1.67</v>
      </c>
      <c r="L28" s="107" t="s">
        <v>681</v>
      </c>
      <c r="M28" s="114" t="s">
        <v>731</v>
      </c>
      <c r="N28" s="108"/>
    </row>
    <row r="29" customFormat="false" ht="55.5" hidden="false" customHeight="true" outlineLevel="0" collapsed="false">
      <c r="A29" s="140" t="s">
        <v>1073</v>
      </c>
      <c r="B29" s="104"/>
      <c r="C29" s="104"/>
      <c r="D29" s="104"/>
      <c r="E29" s="105" t="s">
        <v>1074</v>
      </c>
      <c r="F29" s="105" t="s">
        <v>624</v>
      </c>
      <c r="G29" s="22" t="s">
        <v>1066</v>
      </c>
      <c r="H29" s="22" t="s">
        <v>716</v>
      </c>
      <c r="I29" s="104" t="s">
        <v>733</v>
      </c>
      <c r="J29" s="103" t="s">
        <v>641</v>
      </c>
      <c r="K29" s="106" t="n">
        <v>1.67</v>
      </c>
      <c r="L29" s="107" t="s">
        <v>681</v>
      </c>
      <c r="M29" s="114" t="s">
        <v>734</v>
      </c>
      <c r="N29" s="108"/>
    </row>
    <row r="30" customFormat="false" ht="120.75" hidden="false" customHeight="true" outlineLevel="0" collapsed="false">
      <c r="A30" s="140" t="s">
        <v>1075</v>
      </c>
      <c r="B30" s="104"/>
      <c r="C30" s="104"/>
      <c r="D30" s="104"/>
      <c r="E30" s="105" t="s">
        <v>1076</v>
      </c>
      <c r="F30" s="105" t="s">
        <v>624</v>
      </c>
      <c r="G30" s="22" t="s">
        <v>1066</v>
      </c>
      <c r="H30" s="22" t="s">
        <v>716</v>
      </c>
      <c r="I30" s="104" t="s">
        <v>736</v>
      </c>
      <c r="J30" s="103" t="s">
        <v>641</v>
      </c>
      <c r="K30" s="106" t="n">
        <v>1.67</v>
      </c>
      <c r="L30" s="107" t="s">
        <v>681</v>
      </c>
      <c r="M30" s="114" t="s">
        <v>1077</v>
      </c>
      <c r="N30" s="108"/>
    </row>
    <row r="31" customFormat="false" ht="47.25" hidden="false" customHeight="true" outlineLevel="0" collapsed="false">
      <c r="A31" s="109" t="s">
        <v>785</v>
      </c>
      <c r="B31" s="110" t="s">
        <v>634</v>
      </c>
      <c r="C31" s="110" t="s">
        <v>653</v>
      </c>
      <c r="D31" s="104" t="s">
        <v>623</v>
      </c>
      <c r="E31" s="105" t="s">
        <v>788</v>
      </c>
      <c r="F31" s="105" t="s">
        <v>686</v>
      </c>
      <c r="G31" s="22" t="s">
        <v>1078</v>
      </c>
      <c r="H31" s="22" t="s">
        <v>1079</v>
      </c>
      <c r="I31" s="110" t="s">
        <v>742</v>
      </c>
      <c r="J31" s="109" t="s">
        <v>627</v>
      </c>
      <c r="K31" s="111" t="n">
        <v>10</v>
      </c>
      <c r="L31" s="112" t="s">
        <v>686</v>
      </c>
      <c r="M31" s="114" t="s">
        <v>743</v>
      </c>
      <c r="N31" s="108"/>
    </row>
    <row r="32" customFormat="false" ht="60" hidden="false" customHeight="true" outlineLevel="0" collapsed="false">
      <c r="A32" s="113" t="s">
        <v>791</v>
      </c>
      <c r="B32" s="114" t="s">
        <v>45</v>
      </c>
      <c r="C32" s="110" t="s">
        <v>653</v>
      </c>
      <c r="D32" s="104" t="s">
        <v>623</v>
      </c>
      <c r="E32" s="105" t="s">
        <v>301</v>
      </c>
      <c r="F32" s="105" t="s">
        <v>686</v>
      </c>
      <c r="G32" s="22" t="s">
        <v>1078</v>
      </c>
      <c r="H32" s="22" t="s">
        <v>1079</v>
      </c>
      <c r="I32" s="114" t="s">
        <v>745</v>
      </c>
      <c r="J32" s="113" t="s">
        <v>641</v>
      </c>
      <c r="K32" s="115" t="n">
        <v>3.3</v>
      </c>
      <c r="L32" s="116" t="s">
        <v>686</v>
      </c>
      <c r="M32" s="114" t="s">
        <v>746</v>
      </c>
      <c r="N32" s="108" t="s">
        <v>747</v>
      </c>
    </row>
    <row r="33" customFormat="false" ht="54" hidden="false" customHeight="true" outlineLevel="0" collapsed="false">
      <c r="A33" s="113" t="s">
        <v>794</v>
      </c>
      <c r="B33" s="114" t="s">
        <v>59</v>
      </c>
      <c r="C33" s="110" t="s">
        <v>653</v>
      </c>
      <c r="D33" s="104" t="s">
        <v>623</v>
      </c>
      <c r="E33" s="105" t="s">
        <v>309</v>
      </c>
      <c r="F33" s="105" t="s">
        <v>686</v>
      </c>
      <c r="G33" s="22" t="s">
        <v>1078</v>
      </c>
      <c r="H33" s="22" t="s">
        <v>1079</v>
      </c>
      <c r="I33" s="114" t="s">
        <v>749</v>
      </c>
      <c r="J33" s="113" t="s">
        <v>641</v>
      </c>
      <c r="K33" s="115" t="n">
        <v>3.3</v>
      </c>
      <c r="L33" s="116" t="s">
        <v>686</v>
      </c>
      <c r="M33" s="114" t="s">
        <v>1080</v>
      </c>
      <c r="N33" s="108" t="s">
        <v>747</v>
      </c>
    </row>
    <row r="34" customFormat="false" ht="44.25" hidden="false" customHeight="true" outlineLevel="0" collapsed="false">
      <c r="A34" s="113" t="s">
        <v>797</v>
      </c>
      <c r="B34" s="114" t="s">
        <v>69</v>
      </c>
      <c r="C34" s="110" t="s">
        <v>653</v>
      </c>
      <c r="D34" s="104" t="s">
        <v>623</v>
      </c>
      <c r="E34" s="105" t="s">
        <v>317</v>
      </c>
      <c r="F34" s="105" t="s">
        <v>686</v>
      </c>
      <c r="G34" s="22" t="s">
        <v>1078</v>
      </c>
      <c r="H34" s="22" t="s">
        <v>1079</v>
      </c>
      <c r="I34" s="114" t="s">
        <v>752</v>
      </c>
      <c r="J34" s="113" t="s">
        <v>641</v>
      </c>
      <c r="K34" s="115" t="n">
        <v>3.3</v>
      </c>
      <c r="L34" s="116" t="s">
        <v>686</v>
      </c>
      <c r="M34" s="114" t="s">
        <v>753</v>
      </c>
      <c r="N34" s="108"/>
    </row>
    <row r="35" customFormat="false" ht="131.25" hidden="false" customHeight="true" outlineLevel="0" collapsed="false">
      <c r="A35" s="145" t="s">
        <v>800</v>
      </c>
      <c r="B35" s="146"/>
      <c r="C35" s="146"/>
      <c r="D35" s="146" t="s">
        <v>623</v>
      </c>
      <c r="E35" s="96" t="s">
        <v>325</v>
      </c>
      <c r="F35" s="105" t="s">
        <v>686</v>
      </c>
      <c r="G35" s="22" t="s">
        <v>1078</v>
      </c>
      <c r="H35" s="22" t="s">
        <v>1081</v>
      </c>
      <c r="I35" s="104" t="s">
        <v>256</v>
      </c>
      <c r="J35" s="140" t="s">
        <v>627</v>
      </c>
      <c r="K35" s="142" t="n">
        <v>10</v>
      </c>
      <c r="L35" s="139" t="s">
        <v>686</v>
      </c>
      <c r="M35" s="148" t="s">
        <v>1082</v>
      </c>
      <c r="N35" s="108"/>
    </row>
    <row r="36" customFormat="false" ht="49.5" hidden="false" customHeight="true" outlineLevel="0" collapsed="false">
      <c r="A36" s="109" t="s">
        <v>803</v>
      </c>
      <c r="B36" s="110" t="s">
        <v>673</v>
      </c>
      <c r="C36" s="110" t="s">
        <v>653</v>
      </c>
      <c r="D36" s="104" t="s">
        <v>623</v>
      </c>
      <c r="E36" s="105" t="s">
        <v>333</v>
      </c>
      <c r="F36" s="105" t="s">
        <v>686</v>
      </c>
      <c r="G36" s="22" t="s">
        <v>1078</v>
      </c>
      <c r="H36" s="22" t="s">
        <v>758</v>
      </c>
      <c r="I36" s="110" t="s">
        <v>759</v>
      </c>
      <c r="J36" s="109" t="s">
        <v>627</v>
      </c>
      <c r="K36" s="149" t="n">
        <v>10</v>
      </c>
      <c r="L36" s="110" t="s">
        <v>686</v>
      </c>
      <c r="M36" s="148" t="s">
        <v>760</v>
      </c>
      <c r="N36" s="124"/>
    </row>
    <row r="37" customFormat="false" ht="75" hidden="false" customHeight="true" outlineLevel="0" collapsed="false">
      <c r="A37" s="113" t="s">
        <v>1083</v>
      </c>
      <c r="B37" s="114" t="s">
        <v>116</v>
      </c>
      <c r="C37" s="110" t="s">
        <v>653</v>
      </c>
      <c r="D37" s="104" t="s">
        <v>623</v>
      </c>
      <c r="E37" s="105" t="s">
        <v>1084</v>
      </c>
      <c r="F37" s="105" t="s">
        <v>686</v>
      </c>
      <c r="G37" s="22" t="s">
        <v>1078</v>
      </c>
      <c r="H37" s="22" t="s">
        <v>758</v>
      </c>
      <c r="I37" s="114" t="s">
        <v>762</v>
      </c>
      <c r="J37" s="113" t="s">
        <v>641</v>
      </c>
      <c r="K37" s="150" t="n">
        <v>5</v>
      </c>
      <c r="L37" s="107" t="s">
        <v>686</v>
      </c>
      <c r="M37" s="147" t="s">
        <v>1085</v>
      </c>
      <c r="N37" s="124"/>
    </row>
    <row r="38" customFormat="false" ht="71.25" hidden="false" customHeight="true" outlineLevel="0" collapsed="false">
      <c r="A38" s="113" t="s">
        <v>1086</v>
      </c>
      <c r="B38" s="114" t="s">
        <v>128</v>
      </c>
      <c r="C38" s="110" t="s">
        <v>653</v>
      </c>
      <c r="D38" s="104" t="s">
        <v>623</v>
      </c>
      <c r="E38" s="105" t="s">
        <v>1087</v>
      </c>
      <c r="F38" s="105" t="s">
        <v>686</v>
      </c>
      <c r="G38" s="22" t="s">
        <v>1078</v>
      </c>
      <c r="H38" s="22" t="s">
        <v>758</v>
      </c>
      <c r="I38" s="114" t="s">
        <v>1088</v>
      </c>
      <c r="J38" s="113" t="s">
        <v>641</v>
      </c>
      <c r="K38" s="115" t="n">
        <v>5</v>
      </c>
      <c r="L38" s="143" t="s">
        <v>686</v>
      </c>
      <c r="M38" s="114" t="s">
        <v>1089</v>
      </c>
      <c r="N38" s="124"/>
    </row>
    <row r="39" customFormat="false" ht="78.75" hidden="false" customHeight="true" outlineLevel="0" collapsed="false">
      <c r="A39" s="103" t="s">
        <v>870</v>
      </c>
      <c r="B39" s="104" t="s">
        <v>172</v>
      </c>
      <c r="C39" s="104" t="s">
        <v>653</v>
      </c>
      <c r="D39" s="104" t="s">
        <v>623</v>
      </c>
      <c r="E39" s="105" t="s">
        <v>871</v>
      </c>
      <c r="F39" s="105" t="s">
        <v>686</v>
      </c>
      <c r="G39" s="22" t="s">
        <v>1078</v>
      </c>
      <c r="H39" s="22" t="s">
        <v>768</v>
      </c>
      <c r="I39" s="104" t="s">
        <v>1090</v>
      </c>
      <c r="J39" s="103" t="s">
        <v>627</v>
      </c>
      <c r="K39" s="106" t="n">
        <v>10</v>
      </c>
      <c r="L39" s="107" t="s">
        <v>686</v>
      </c>
      <c r="M39" s="144" t="s">
        <v>1091</v>
      </c>
      <c r="N39" s="108"/>
    </row>
    <row r="40" customFormat="false" ht="264" hidden="false" customHeight="true" outlineLevel="0" collapsed="false">
      <c r="A40" s="140" t="s">
        <v>938</v>
      </c>
      <c r="B40" s="104" t="s">
        <v>772</v>
      </c>
      <c r="C40" s="104" t="s">
        <v>653</v>
      </c>
      <c r="D40" s="104" t="s">
        <v>623</v>
      </c>
      <c r="E40" s="105" t="s">
        <v>939</v>
      </c>
      <c r="F40" s="151" t="s">
        <v>686</v>
      </c>
      <c r="G40" s="22" t="s">
        <v>1078</v>
      </c>
      <c r="H40" s="22" t="s">
        <v>1092</v>
      </c>
      <c r="I40" s="104" t="s">
        <v>1093</v>
      </c>
      <c r="J40" s="140" t="s">
        <v>627</v>
      </c>
      <c r="K40" s="142" t="n">
        <v>10</v>
      </c>
      <c r="L40" s="107" t="s">
        <v>686</v>
      </c>
      <c r="M40" s="114" t="s">
        <v>1094</v>
      </c>
      <c r="N40" s="108"/>
    </row>
    <row r="41" customFormat="false" ht="45" hidden="false" customHeight="true" outlineLevel="0" collapsed="false">
      <c r="A41" s="140" t="s">
        <v>960</v>
      </c>
      <c r="B41" s="104" t="s">
        <v>776</v>
      </c>
      <c r="C41" s="104" t="s">
        <v>653</v>
      </c>
      <c r="D41" s="104" t="s">
        <v>623</v>
      </c>
      <c r="E41" s="105" t="s">
        <v>695</v>
      </c>
      <c r="F41" s="151" t="s">
        <v>686</v>
      </c>
      <c r="G41" s="22" t="s">
        <v>1078</v>
      </c>
      <c r="H41" s="22" t="s">
        <v>1092</v>
      </c>
      <c r="I41" s="104" t="s">
        <v>1095</v>
      </c>
      <c r="J41" s="140" t="s">
        <v>627</v>
      </c>
      <c r="K41" s="142" t="n">
        <v>10</v>
      </c>
      <c r="L41" s="107" t="s">
        <v>686</v>
      </c>
      <c r="M41" s="104" t="s">
        <v>778</v>
      </c>
      <c r="N41" s="108"/>
    </row>
    <row r="42" customFormat="false" ht="336" hidden="false" customHeight="true" outlineLevel="0" collapsed="false">
      <c r="A42" s="140"/>
      <c r="B42" s="104"/>
      <c r="C42" s="104"/>
      <c r="D42" s="104"/>
      <c r="E42" s="105"/>
      <c r="F42" s="151"/>
      <c r="G42" s="22"/>
      <c r="H42" s="22"/>
      <c r="I42" s="104" t="s">
        <v>780</v>
      </c>
      <c r="J42" s="140" t="s">
        <v>641</v>
      </c>
      <c r="K42" s="142" t="n">
        <v>5</v>
      </c>
      <c r="L42" s="107" t="s">
        <v>686</v>
      </c>
      <c r="M42" s="114" t="s">
        <v>1096</v>
      </c>
      <c r="N42" s="108"/>
    </row>
    <row r="43" customFormat="false" ht="266.25" hidden="false" customHeight="true" outlineLevel="0" collapsed="false">
      <c r="A43" s="140"/>
      <c r="B43" s="104"/>
      <c r="C43" s="104"/>
      <c r="D43" s="104"/>
      <c r="E43" s="105"/>
      <c r="F43" s="151"/>
      <c r="G43" s="22"/>
      <c r="H43" s="22"/>
      <c r="I43" s="104" t="s">
        <v>783</v>
      </c>
      <c r="J43" s="140" t="s">
        <v>641</v>
      </c>
      <c r="K43" s="142" t="n">
        <v>5</v>
      </c>
      <c r="L43" s="107" t="s">
        <v>686</v>
      </c>
      <c r="M43" s="114" t="s">
        <v>1097</v>
      </c>
      <c r="N43" s="108"/>
    </row>
    <row r="44" customFormat="false" ht="53.25" hidden="false" customHeight="true" outlineLevel="0" collapsed="false">
      <c r="A44" s="140" t="s">
        <v>970</v>
      </c>
      <c r="B44" s="104" t="s">
        <v>786</v>
      </c>
      <c r="C44" s="104" t="s">
        <v>787</v>
      </c>
      <c r="D44" s="104" t="s">
        <v>623</v>
      </c>
      <c r="E44" s="105" t="s">
        <v>562</v>
      </c>
      <c r="F44" s="151" t="s">
        <v>686</v>
      </c>
      <c r="G44" s="22" t="s">
        <v>1078</v>
      </c>
      <c r="H44" s="22" t="s">
        <v>1092</v>
      </c>
      <c r="I44" s="104" t="s">
        <v>1098</v>
      </c>
      <c r="J44" s="140" t="s">
        <v>627</v>
      </c>
      <c r="K44" s="142" t="n">
        <v>10</v>
      </c>
      <c r="L44" s="107" t="s">
        <v>686</v>
      </c>
      <c r="M44" s="114" t="s">
        <v>1099</v>
      </c>
      <c r="N44" s="108"/>
    </row>
    <row r="45" customFormat="false" ht="137.25" hidden="false" customHeight="true" outlineLevel="0" collapsed="false">
      <c r="A45" s="140"/>
      <c r="B45" s="104"/>
      <c r="C45" s="104"/>
      <c r="D45" s="104"/>
      <c r="E45" s="105"/>
      <c r="F45" s="151"/>
      <c r="G45" s="22"/>
      <c r="H45" s="22"/>
      <c r="I45" s="104" t="s">
        <v>792</v>
      </c>
      <c r="J45" s="140" t="s">
        <v>641</v>
      </c>
      <c r="K45" s="142" t="n">
        <v>3.33</v>
      </c>
      <c r="L45" s="107" t="s">
        <v>686</v>
      </c>
      <c r="M45" s="114" t="s">
        <v>1100</v>
      </c>
      <c r="N45" s="108"/>
    </row>
    <row r="46" customFormat="false" ht="186.75" hidden="false" customHeight="true" outlineLevel="0" collapsed="false">
      <c r="A46" s="140"/>
      <c r="B46" s="104"/>
      <c r="C46" s="104"/>
      <c r="D46" s="104"/>
      <c r="E46" s="105"/>
      <c r="F46" s="151"/>
      <c r="G46" s="22"/>
      <c r="H46" s="22"/>
      <c r="I46" s="104" t="s">
        <v>795</v>
      </c>
      <c r="J46" s="140" t="s">
        <v>641</v>
      </c>
      <c r="K46" s="142" t="n">
        <v>3.33</v>
      </c>
      <c r="L46" s="107" t="s">
        <v>686</v>
      </c>
      <c r="M46" s="133" t="s">
        <v>1101</v>
      </c>
      <c r="N46" s="108"/>
    </row>
    <row r="47" customFormat="false" ht="180" hidden="false" customHeight="true" outlineLevel="0" collapsed="false">
      <c r="A47" s="140"/>
      <c r="B47" s="104"/>
      <c r="C47" s="104"/>
      <c r="D47" s="104"/>
      <c r="E47" s="105"/>
      <c r="F47" s="151"/>
      <c r="G47" s="22"/>
      <c r="H47" s="22"/>
      <c r="I47" s="104" t="s">
        <v>798</v>
      </c>
      <c r="J47" s="140" t="s">
        <v>641</v>
      </c>
      <c r="K47" s="142" t="n">
        <v>3.33</v>
      </c>
      <c r="L47" s="107" t="s">
        <v>686</v>
      </c>
      <c r="M47" s="114" t="s">
        <v>1102</v>
      </c>
      <c r="N47" s="108"/>
    </row>
    <row r="48" customFormat="false" ht="271.5" hidden="false" customHeight="true" outlineLevel="0" collapsed="false">
      <c r="A48" s="140" t="s">
        <v>973</v>
      </c>
      <c r="B48" s="104" t="s">
        <v>801</v>
      </c>
      <c r="C48" s="104" t="s">
        <v>653</v>
      </c>
      <c r="D48" s="104" t="s">
        <v>623</v>
      </c>
      <c r="E48" s="105" t="s">
        <v>566</v>
      </c>
      <c r="F48" s="151" t="s">
        <v>686</v>
      </c>
      <c r="G48" s="22" t="s">
        <v>1078</v>
      </c>
      <c r="H48" s="22" t="s">
        <v>1092</v>
      </c>
      <c r="I48" s="104" t="s">
        <v>1103</v>
      </c>
      <c r="J48" s="140" t="s">
        <v>627</v>
      </c>
      <c r="K48" s="142" t="n">
        <v>10</v>
      </c>
      <c r="L48" s="107" t="s">
        <v>686</v>
      </c>
      <c r="M48" s="117" t="s">
        <v>1104</v>
      </c>
      <c r="N48" s="108"/>
    </row>
    <row r="49" customFormat="false" ht="96" hidden="false" customHeight="true" outlineLevel="0" collapsed="false">
      <c r="A49" s="103" t="s">
        <v>881</v>
      </c>
      <c r="B49" s="104" t="s">
        <v>714</v>
      </c>
      <c r="C49" s="104" t="s">
        <v>653</v>
      </c>
      <c r="D49" s="104" t="s">
        <v>623</v>
      </c>
      <c r="E49" s="105" t="s">
        <v>772</v>
      </c>
      <c r="F49" s="151" t="s">
        <v>686</v>
      </c>
      <c r="G49" s="22" t="s">
        <v>1078</v>
      </c>
      <c r="H49" s="22" t="s">
        <v>804</v>
      </c>
      <c r="I49" s="104" t="s">
        <v>1105</v>
      </c>
      <c r="J49" s="103" t="s">
        <v>627</v>
      </c>
      <c r="K49" s="106" t="n">
        <v>10</v>
      </c>
      <c r="L49" s="139" t="s">
        <v>686</v>
      </c>
      <c r="M49" s="114" t="s">
        <v>805</v>
      </c>
      <c r="N49" s="124"/>
    </row>
    <row r="50" customFormat="false" ht="50.25" hidden="false" customHeight="true" outlineLevel="0" collapsed="false">
      <c r="A50" s="103"/>
      <c r="B50" s="104"/>
      <c r="C50" s="104"/>
      <c r="D50" s="104"/>
      <c r="E50" s="105"/>
      <c r="F50" s="151"/>
      <c r="G50" s="22"/>
      <c r="H50" s="22"/>
      <c r="I50" s="110" t="s">
        <v>810</v>
      </c>
      <c r="J50" s="103" t="s">
        <v>627</v>
      </c>
      <c r="K50" s="152" t="n">
        <v>10</v>
      </c>
      <c r="L50" s="107" t="s">
        <v>686</v>
      </c>
      <c r="M50" s="153" t="s">
        <v>811</v>
      </c>
      <c r="N50" s="154"/>
    </row>
    <row r="51" customFormat="false" ht="153" hidden="false" customHeight="true" outlineLevel="0" collapsed="false">
      <c r="A51" s="103"/>
      <c r="B51" s="104"/>
      <c r="C51" s="104"/>
      <c r="D51" s="104"/>
      <c r="E51" s="105"/>
      <c r="F51" s="151"/>
      <c r="G51" s="22"/>
      <c r="H51" s="22"/>
      <c r="I51" s="114" t="s">
        <v>813</v>
      </c>
      <c r="J51" s="113" t="s">
        <v>641</v>
      </c>
      <c r="K51" s="150" t="n">
        <v>3.33</v>
      </c>
      <c r="L51" s="112" t="s">
        <v>686</v>
      </c>
      <c r="M51" s="135" t="s">
        <v>1106</v>
      </c>
      <c r="N51" s="124"/>
    </row>
    <row r="52" customFormat="false" ht="19.5" hidden="false" customHeight="true" outlineLevel="0" collapsed="false">
      <c r="A52" s="103"/>
      <c r="B52" s="104"/>
      <c r="C52" s="104"/>
      <c r="D52" s="104"/>
      <c r="E52" s="105"/>
      <c r="F52" s="151"/>
      <c r="G52" s="22"/>
      <c r="H52" s="22"/>
      <c r="I52" s="114" t="s">
        <v>817</v>
      </c>
      <c r="J52" s="113" t="s">
        <v>818</v>
      </c>
      <c r="K52" s="150" t="n">
        <v>0.56</v>
      </c>
      <c r="L52" s="112" t="s">
        <v>686</v>
      </c>
      <c r="M52" s="114" t="s">
        <v>819</v>
      </c>
      <c r="N52" s="155"/>
    </row>
    <row r="53" customFormat="false" ht="19.5" hidden="false" customHeight="true" outlineLevel="0" collapsed="false">
      <c r="A53" s="103"/>
      <c r="B53" s="104"/>
      <c r="C53" s="104"/>
      <c r="D53" s="104"/>
      <c r="E53" s="105"/>
      <c r="F53" s="151"/>
      <c r="G53" s="22"/>
      <c r="H53" s="22"/>
      <c r="I53" s="114" t="s">
        <v>822</v>
      </c>
      <c r="J53" s="113" t="s">
        <v>823</v>
      </c>
      <c r="K53" s="150" t="n">
        <v>0.56</v>
      </c>
      <c r="L53" s="110" t="s">
        <v>686</v>
      </c>
      <c r="M53" s="114" t="s">
        <v>819</v>
      </c>
      <c r="N53" s="124"/>
    </row>
    <row r="54" customFormat="false" ht="22.5" hidden="false" customHeight="true" outlineLevel="0" collapsed="false">
      <c r="A54" s="103"/>
      <c r="B54" s="104"/>
      <c r="C54" s="104"/>
      <c r="D54" s="104"/>
      <c r="E54" s="105"/>
      <c r="F54" s="151"/>
      <c r="G54" s="22"/>
      <c r="H54" s="22"/>
      <c r="I54" s="114" t="s">
        <v>826</v>
      </c>
      <c r="J54" s="113" t="s">
        <v>827</v>
      </c>
      <c r="K54" s="115" t="n">
        <v>0.56</v>
      </c>
      <c r="L54" s="156" t="s">
        <v>686</v>
      </c>
      <c r="M54" s="114" t="s">
        <v>819</v>
      </c>
      <c r="N54" s="108"/>
    </row>
    <row r="55" customFormat="false" ht="79.5" hidden="false" customHeight="true" outlineLevel="0" collapsed="false">
      <c r="A55" s="103"/>
      <c r="B55" s="104"/>
      <c r="C55" s="104"/>
      <c r="D55" s="104"/>
      <c r="E55" s="105"/>
      <c r="F55" s="151"/>
      <c r="G55" s="22"/>
      <c r="H55" s="22"/>
      <c r="I55" s="114" t="s">
        <v>829</v>
      </c>
      <c r="J55" s="113" t="s">
        <v>641</v>
      </c>
      <c r="K55" s="115" t="n">
        <v>3.3</v>
      </c>
      <c r="L55" s="112" t="s">
        <v>686</v>
      </c>
      <c r="M55" s="114" t="s">
        <v>1107</v>
      </c>
      <c r="N55" s="108"/>
    </row>
    <row r="56" customFormat="false" ht="19.5" hidden="false" customHeight="true" outlineLevel="0" collapsed="false">
      <c r="A56" s="103"/>
      <c r="B56" s="104"/>
      <c r="C56" s="104"/>
      <c r="D56" s="104"/>
      <c r="E56" s="105"/>
      <c r="F56" s="151"/>
      <c r="G56" s="22"/>
      <c r="H56" s="22"/>
      <c r="I56" s="114" t="s">
        <v>817</v>
      </c>
      <c r="J56" s="113" t="s">
        <v>818</v>
      </c>
      <c r="K56" s="115" t="n">
        <v>0.56</v>
      </c>
      <c r="L56" s="112" t="s">
        <v>686</v>
      </c>
      <c r="M56" s="114" t="s">
        <v>819</v>
      </c>
      <c r="N56" s="108"/>
    </row>
    <row r="57" customFormat="false" ht="19.5" hidden="false" customHeight="true" outlineLevel="0" collapsed="false">
      <c r="A57" s="103"/>
      <c r="B57" s="104"/>
      <c r="C57" s="104"/>
      <c r="D57" s="104"/>
      <c r="E57" s="105"/>
      <c r="F57" s="151"/>
      <c r="G57" s="22"/>
      <c r="H57" s="22"/>
      <c r="I57" s="114" t="s">
        <v>822</v>
      </c>
      <c r="J57" s="113" t="s">
        <v>823</v>
      </c>
      <c r="K57" s="115" t="n">
        <v>0.56</v>
      </c>
      <c r="L57" s="112" t="s">
        <v>686</v>
      </c>
      <c r="M57" s="114" t="s">
        <v>819</v>
      </c>
      <c r="N57" s="108"/>
    </row>
    <row r="58" customFormat="false" ht="27" hidden="false" customHeight="true" outlineLevel="0" collapsed="false">
      <c r="A58" s="103"/>
      <c r="B58" s="104"/>
      <c r="C58" s="104"/>
      <c r="D58" s="104"/>
      <c r="E58" s="105"/>
      <c r="F58" s="151"/>
      <c r="G58" s="22"/>
      <c r="H58" s="22"/>
      <c r="I58" s="114" t="s">
        <v>826</v>
      </c>
      <c r="J58" s="113" t="s">
        <v>827</v>
      </c>
      <c r="K58" s="115" t="n">
        <v>0.56</v>
      </c>
      <c r="L58" s="112" t="s">
        <v>686</v>
      </c>
      <c r="M58" s="114" t="s">
        <v>819</v>
      </c>
      <c r="N58" s="108"/>
    </row>
    <row r="59" customFormat="false" ht="87" hidden="false" customHeight="true" outlineLevel="0" collapsed="false">
      <c r="A59" s="103"/>
      <c r="B59" s="104"/>
      <c r="C59" s="104"/>
      <c r="D59" s="104"/>
      <c r="E59" s="105"/>
      <c r="F59" s="151"/>
      <c r="G59" s="22"/>
      <c r="H59" s="22"/>
      <c r="I59" s="114" t="s">
        <v>838</v>
      </c>
      <c r="J59" s="113" t="s">
        <v>641</v>
      </c>
      <c r="K59" s="115" t="n">
        <v>3.3</v>
      </c>
      <c r="L59" s="112" t="s">
        <v>686</v>
      </c>
      <c r="M59" s="114" t="s">
        <v>839</v>
      </c>
      <c r="N59" s="108"/>
    </row>
    <row r="60" customFormat="false" ht="19.5" hidden="false" customHeight="true" outlineLevel="0" collapsed="false">
      <c r="A60" s="103"/>
      <c r="B60" s="104"/>
      <c r="C60" s="104"/>
      <c r="D60" s="104"/>
      <c r="E60" s="105"/>
      <c r="F60" s="151"/>
      <c r="G60" s="22"/>
      <c r="H60" s="22"/>
      <c r="I60" s="114" t="s">
        <v>817</v>
      </c>
      <c r="J60" s="113" t="s">
        <v>818</v>
      </c>
      <c r="K60" s="115" t="n">
        <v>0.56</v>
      </c>
      <c r="L60" s="112" t="s">
        <v>686</v>
      </c>
      <c r="M60" s="114" t="s">
        <v>819</v>
      </c>
      <c r="N60" s="108"/>
    </row>
    <row r="61" customFormat="false" ht="19.5" hidden="false" customHeight="true" outlineLevel="0" collapsed="false">
      <c r="A61" s="103"/>
      <c r="B61" s="104"/>
      <c r="C61" s="104"/>
      <c r="D61" s="104"/>
      <c r="E61" s="105"/>
      <c r="F61" s="151"/>
      <c r="G61" s="22"/>
      <c r="H61" s="22"/>
      <c r="I61" s="114" t="s">
        <v>822</v>
      </c>
      <c r="J61" s="113" t="s">
        <v>823</v>
      </c>
      <c r="K61" s="115" t="n">
        <v>0.56</v>
      </c>
      <c r="L61" s="112" t="s">
        <v>686</v>
      </c>
      <c r="M61" s="114" t="s">
        <v>819</v>
      </c>
      <c r="N61" s="108"/>
    </row>
    <row r="62" customFormat="false" ht="30.75" hidden="false" customHeight="true" outlineLevel="0" collapsed="false">
      <c r="A62" s="103"/>
      <c r="B62" s="104"/>
      <c r="C62" s="104"/>
      <c r="D62" s="104"/>
      <c r="E62" s="105"/>
      <c r="F62" s="151"/>
      <c r="G62" s="22"/>
      <c r="H62" s="22"/>
      <c r="I62" s="114" t="s">
        <v>826</v>
      </c>
      <c r="J62" s="113" t="s">
        <v>827</v>
      </c>
      <c r="K62" s="115" t="n">
        <v>0.56</v>
      </c>
      <c r="L62" s="112" t="s">
        <v>686</v>
      </c>
      <c r="M62" s="114" t="s">
        <v>819</v>
      </c>
      <c r="N62" s="108"/>
    </row>
    <row r="63" customFormat="false" ht="50.25" hidden="false" customHeight="true" outlineLevel="0" collapsed="false">
      <c r="A63" s="103" t="s">
        <v>912</v>
      </c>
      <c r="B63" s="104" t="s">
        <v>699</v>
      </c>
      <c r="C63" s="104" t="s">
        <v>653</v>
      </c>
      <c r="D63" s="104" t="s">
        <v>623</v>
      </c>
      <c r="E63" s="105" t="s">
        <v>786</v>
      </c>
      <c r="F63" s="151" t="s">
        <v>686</v>
      </c>
      <c r="G63" s="22" t="s">
        <v>808</v>
      </c>
      <c r="H63" s="22" t="s">
        <v>848</v>
      </c>
      <c r="I63" s="110" t="s">
        <v>849</v>
      </c>
      <c r="J63" s="103" t="s">
        <v>627</v>
      </c>
      <c r="K63" s="106" t="n">
        <v>10</v>
      </c>
      <c r="L63" s="112" t="s">
        <v>686</v>
      </c>
      <c r="M63" s="114" t="s">
        <v>653</v>
      </c>
      <c r="N63" s="108"/>
    </row>
    <row r="64" customFormat="false" ht="96" hidden="false" customHeight="true" outlineLevel="0" collapsed="false">
      <c r="A64" s="113" t="s">
        <v>916</v>
      </c>
      <c r="B64" s="114" t="s">
        <v>287</v>
      </c>
      <c r="C64" s="114" t="s">
        <v>653</v>
      </c>
      <c r="D64" s="104" t="s">
        <v>623</v>
      </c>
      <c r="E64" s="105" t="s">
        <v>457</v>
      </c>
      <c r="F64" s="151" t="s">
        <v>686</v>
      </c>
      <c r="G64" s="22" t="s">
        <v>808</v>
      </c>
      <c r="H64" s="22" t="s">
        <v>848</v>
      </c>
      <c r="I64" s="114" t="s">
        <v>851</v>
      </c>
      <c r="J64" s="113" t="s">
        <v>641</v>
      </c>
      <c r="K64" s="106" t="n">
        <v>3.33</v>
      </c>
      <c r="L64" s="107" t="s">
        <v>686</v>
      </c>
      <c r="M64" s="114" t="s">
        <v>1108</v>
      </c>
      <c r="N64" s="108" t="s">
        <v>853</v>
      </c>
    </row>
    <row r="65" customFormat="false" ht="141" hidden="false" customHeight="true" outlineLevel="0" collapsed="false">
      <c r="A65" s="113" t="s">
        <v>919</v>
      </c>
      <c r="B65" s="114" t="s">
        <v>295</v>
      </c>
      <c r="C65" s="114" t="s">
        <v>653</v>
      </c>
      <c r="D65" s="104" t="s">
        <v>623</v>
      </c>
      <c r="E65" s="105" t="s">
        <v>469</v>
      </c>
      <c r="F65" s="151" t="s">
        <v>686</v>
      </c>
      <c r="G65" s="22" t="s">
        <v>808</v>
      </c>
      <c r="H65" s="22" t="s">
        <v>848</v>
      </c>
      <c r="I65" s="114" t="s">
        <v>855</v>
      </c>
      <c r="J65" s="113" t="s">
        <v>641</v>
      </c>
      <c r="K65" s="106" t="n">
        <v>3.33</v>
      </c>
      <c r="L65" s="107" t="s">
        <v>686</v>
      </c>
      <c r="M65" s="114" t="s">
        <v>1109</v>
      </c>
      <c r="N65" s="108"/>
    </row>
    <row r="66" customFormat="false" ht="30" hidden="false" customHeight="true" outlineLevel="0" collapsed="false">
      <c r="A66" s="113" t="s">
        <v>1110</v>
      </c>
      <c r="B66" s="114" t="s">
        <v>653</v>
      </c>
      <c r="C66" s="114" t="s">
        <v>653</v>
      </c>
      <c r="D66" s="104" t="s">
        <v>623</v>
      </c>
      <c r="E66" s="105" t="s">
        <v>1111</v>
      </c>
      <c r="F66" s="151" t="s">
        <v>686</v>
      </c>
      <c r="G66" s="22" t="s">
        <v>808</v>
      </c>
      <c r="H66" s="22" t="s">
        <v>848</v>
      </c>
      <c r="I66" s="114" t="s">
        <v>838</v>
      </c>
      <c r="J66" s="113" t="s">
        <v>641</v>
      </c>
      <c r="K66" s="106" t="n">
        <v>3.33</v>
      </c>
      <c r="L66" s="112" t="s">
        <v>686</v>
      </c>
      <c r="M66" s="114" t="s">
        <v>1112</v>
      </c>
      <c r="N66" s="108"/>
    </row>
    <row r="67" customFormat="false" ht="37.5" hidden="false" customHeight="true" outlineLevel="0" collapsed="false">
      <c r="A67" s="103" t="s">
        <v>922</v>
      </c>
      <c r="B67" s="104" t="s">
        <v>788</v>
      </c>
      <c r="C67" s="104" t="s">
        <v>653</v>
      </c>
      <c r="D67" s="104" t="s">
        <v>623</v>
      </c>
      <c r="E67" s="105" t="s">
        <v>923</v>
      </c>
      <c r="F67" s="151" t="s">
        <v>686</v>
      </c>
      <c r="G67" s="22" t="s">
        <v>808</v>
      </c>
      <c r="H67" s="22" t="s">
        <v>861</v>
      </c>
      <c r="I67" s="110" t="s">
        <v>862</v>
      </c>
      <c r="J67" s="103" t="s">
        <v>627</v>
      </c>
      <c r="K67" s="106" t="n">
        <v>10</v>
      </c>
      <c r="L67" s="107" t="s">
        <v>686</v>
      </c>
      <c r="M67" s="114" t="s">
        <v>653</v>
      </c>
      <c r="N67" s="108"/>
    </row>
    <row r="68" customFormat="false" ht="207" hidden="false" customHeight="true" outlineLevel="0" collapsed="false">
      <c r="A68" s="103" t="s">
        <v>926</v>
      </c>
      <c r="B68" s="104" t="s">
        <v>653</v>
      </c>
      <c r="C68" s="104" t="s">
        <v>653</v>
      </c>
      <c r="D68" s="104" t="s">
        <v>623</v>
      </c>
      <c r="E68" s="105" t="s">
        <v>478</v>
      </c>
      <c r="F68" s="151" t="s">
        <v>686</v>
      </c>
      <c r="G68" s="22" t="s">
        <v>808</v>
      </c>
      <c r="H68" s="22" t="s">
        <v>861</v>
      </c>
      <c r="I68" s="114" t="s">
        <v>864</v>
      </c>
      <c r="J68" s="113" t="s">
        <v>641</v>
      </c>
      <c r="K68" s="106" t="n">
        <v>3.33</v>
      </c>
      <c r="L68" s="112" t="s">
        <v>686</v>
      </c>
      <c r="M68" s="114" t="s">
        <v>1113</v>
      </c>
      <c r="N68" s="108"/>
    </row>
    <row r="69" customFormat="false" ht="143.25" hidden="false" customHeight="true" outlineLevel="0" collapsed="false">
      <c r="A69" s="103" t="s">
        <v>929</v>
      </c>
      <c r="B69" s="104" t="s">
        <v>653</v>
      </c>
      <c r="C69" s="104" t="s">
        <v>653</v>
      </c>
      <c r="D69" s="104" t="s">
        <v>623</v>
      </c>
      <c r="E69" s="105" t="s">
        <v>489</v>
      </c>
      <c r="F69" s="151" t="s">
        <v>686</v>
      </c>
      <c r="G69" s="22" t="s">
        <v>808</v>
      </c>
      <c r="H69" s="22" t="s">
        <v>861</v>
      </c>
      <c r="I69" s="114" t="s">
        <v>855</v>
      </c>
      <c r="J69" s="113" t="s">
        <v>641</v>
      </c>
      <c r="K69" s="106" t="n">
        <v>3.33</v>
      </c>
      <c r="L69" s="112" t="s">
        <v>686</v>
      </c>
      <c r="M69" s="114" t="s">
        <v>867</v>
      </c>
      <c r="N69" s="108"/>
    </row>
    <row r="70" customFormat="false" ht="159.75" hidden="false" customHeight="true" outlineLevel="0" collapsed="false">
      <c r="A70" s="103" t="s">
        <v>1114</v>
      </c>
      <c r="B70" s="104" t="s">
        <v>653</v>
      </c>
      <c r="C70" s="104" t="s">
        <v>653</v>
      </c>
      <c r="D70" s="104" t="s">
        <v>623</v>
      </c>
      <c r="E70" s="105" t="s">
        <v>1115</v>
      </c>
      <c r="F70" s="151" t="s">
        <v>686</v>
      </c>
      <c r="G70" s="22" t="s">
        <v>808</v>
      </c>
      <c r="H70" s="22" t="s">
        <v>861</v>
      </c>
      <c r="I70" s="114" t="s">
        <v>838</v>
      </c>
      <c r="J70" s="113" t="s">
        <v>641</v>
      </c>
      <c r="K70" s="106" t="n">
        <v>3.33</v>
      </c>
      <c r="L70" s="112" t="s">
        <v>686</v>
      </c>
      <c r="M70" s="114" t="s">
        <v>869</v>
      </c>
      <c r="N70" s="108"/>
    </row>
    <row r="71" customFormat="false" ht="37.5" hidden="false" customHeight="true" outlineLevel="0" collapsed="false">
      <c r="A71" s="103" t="s">
        <v>933</v>
      </c>
      <c r="B71" s="104" t="s">
        <v>653</v>
      </c>
      <c r="C71" s="104" t="s">
        <v>653</v>
      </c>
      <c r="D71" s="104" t="s">
        <v>623</v>
      </c>
      <c r="E71" s="105" t="s">
        <v>501</v>
      </c>
      <c r="F71" s="151" t="s">
        <v>686</v>
      </c>
      <c r="G71" s="22" t="s">
        <v>808</v>
      </c>
      <c r="H71" s="22" t="s">
        <v>872</v>
      </c>
      <c r="I71" s="110" t="s">
        <v>873</v>
      </c>
      <c r="J71" s="103" t="s">
        <v>627</v>
      </c>
      <c r="K71" s="106" t="n">
        <v>10</v>
      </c>
      <c r="L71" s="112" t="s">
        <v>686</v>
      </c>
      <c r="M71" s="114" t="s">
        <v>653</v>
      </c>
      <c r="N71" s="108"/>
    </row>
    <row r="72" customFormat="false" ht="203.25" hidden="false" customHeight="true" outlineLevel="0" collapsed="false">
      <c r="A72" s="103" t="s">
        <v>1116</v>
      </c>
      <c r="B72" s="104" t="s">
        <v>653</v>
      </c>
      <c r="C72" s="104" t="s">
        <v>653</v>
      </c>
      <c r="D72" s="104" t="s">
        <v>623</v>
      </c>
      <c r="E72" s="105" t="s">
        <v>1117</v>
      </c>
      <c r="F72" s="151" t="s">
        <v>686</v>
      </c>
      <c r="G72" s="22" t="s">
        <v>808</v>
      </c>
      <c r="H72" s="22" t="s">
        <v>872</v>
      </c>
      <c r="I72" s="114" t="s">
        <v>875</v>
      </c>
      <c r="J72" s="113" t="s">
        <v>641</v>
      </c>
      <c r="K72" s="106" t="n">
        <v>3.3</v>
      </c>
      <c r="L72" s="107" t="s">
        <v>686</v>
      </c>
      <c r="M72" s="114" t="s">
        <v>1118</v>
      </c>
      <c r="N72" s="108"/>
    </row>
    <row r="73" customFormat="false" ht="190.5" hidden="false" customHeight="true" outlineLevel="0" collapsed="false">
      <c r="A73" s="103" t="s">
        <v>1119</v>
      </c>
      <c r="B73" s="104" t="s">
        <v>653</v>
      </c>
      <c r="C73" s="104" t="s">
        <v>653</v>
      </c>
      <c r="D73" s="104" t="s">
        <v>623</v>
      </c>
      <c r="E73" s="105" t="s">
        <v>1120</v>
      </c>
      <c r="F73" s="151" t="s">
        <v>686</v>
      </c>
      <c r="G73" s="22" t="s">
        <v>808</v>
      </c>
      <c r="H73" s="22" t="s">
        <v>872</v>
      </c>
      <c r="I73" s="114" t="s">
        <v>855</v>
      </c>
      <c r="J73" s="113" t="s">
        <v>641</v>
      </c>
      <c r="K73" s="106" t="n">
        <v>3.3</v>
      </c>
      <c r="L73" s="107" t="s">
        <v>686</v>
      </c>
      <c r="M73" s="114" t="s">
        <v>878</v>
      </c>
      <c r="N73" s="108"/>
    </row>
    <row r="74" customFormat="false" ht="50.25" hidden="false" customHeight="true" outlineLevel="0" collapsed="false">
      <c r="A74" s="103" t="s">
        <v>1121</v>
      </c>
      <c r="B74" s="104" t="s">
        <v>653</v>
      </c>
      <c r="C74" s="104" t="s">
        <v>653</v>
      </c>
      <c r="D74" s="104" t="s">
        <v>623</v>
      </c>
      <c r="E74" s="105" t="s">
        <v>1122</v>
      </c>
      <c r="F74" s="151" t="s">
        <v>686</v>
      </c>
      <c r="G74" s="22" t="s">
        <v>808</v>
      </c>
      <c r="H74" s="22" t="s">
        <v>872</v>
      </c>
      <c r="I74" s="114" t="s">
        <v>838</v>
      </c>
      <c r="J74" s="113" t="s">
        <v>641</v>
      </c>
      <c r="K74" s="106" t="n">
        <v>3.3</v>
      </c>
      <c r="L74" s="107" t="s">
        <v>686</v>
      </c>
      <c r="M74" s="114" t="s">
        <v>880</v>
      </c>
      <c r="N74" s="108"/>
    </row>
    <row r="75" customFormat="false" ht="50.25" hidden="false" customHeight="true" outlineLevel="0" collapsed="false">
      <c r="A75" s="103"/>
      <c r="B75" s="104"/>
      <c r="C75" s="104"/>
      <c r="D75" s="104"/>
      <c r="E75" s="105"/>
      <c r="F75" s="105" t="s">
        <v>686</v>
      </c>
      <c r="G75" s="22" t="s">
        <v>882</v>
      </c>
      <c r="H75" s="22" t="s">
        <v>882</v>
      </c>
      <c r="I75" s="157" t="s">
        <v>883</v>
      </c>
      <c r="J75" s="113" t="s">
        <v>627</v>
      </c>
      <c r="K75" s="106" t="n">
        <v>10</v>
      </c>
      <c r="L75" s="107" t="s">
        <v>686</v>
      </c>
      <c r="M75" s="114" t="s">
        <v>811</v>
      </c>
      <c r="N75" s="108"/>
    </row>
    <row r="76" customFormat="false" ht="50.25" hidden="false" customHeight="true" outlineLevel="0" collapsed="false">
      <c r="A76" s="103"/>
      <c r="B76" s="104"/>
      <c r="C76" s="104"/>
      <c r="D76" s="104"/>
      <c r="E76" s="105"/>
      <c r="F76" s="105" t="s">
        <v>686</v>
      </c>
      <c r="G76" s="22" t="s">
        <v>882</v>
      </c>
      <c r="H76" s="22" t="s">
        <v>882</v>
      </c>
      <c r="I76" s="158" t="s">
        <v>885</v>
      </c>
      <c r="J76" s="113" t="s">
        <v>641</v>
      </c>
      <c r="K76" s="106" t="n">
        <v>5</v>
      </c>
      <c r="L76" s="107" t="s">
        <v>686</v>
      </c>
      <c r="M76" s="114" t="s">
        <v>886</v>
      </c>
      <c r="N76" s="108" t="s">
        <v>887</v>
      </c>
    </row>
    <row r="77" customFormat="false" ht="50.25" hidden="false" customHeight="true" outlineLevel="0" collapsed="false">
      <c r="A77" s="103"/>
      <c r="B77" s="104"/>
      <c r="C77" s="104"/>
      <c r="D77" s="104"/>
      <c r="E77" s="105"/>
      <c r="F77" s="105" t="s">
        <v>686</v>
      </c>
      <c r="G77" s="22" t="s">
        <v>882</v>
      </c>
      <c r="H77" s="22" t="s">
        <v>882</v>
      </c>
      <c r="I77" s="114" t="s">
        <v>889</v>
      </c>
      <c r="J77" s="113" t="s">
        <v>641</v>
      </c>
      <c r="K77" s="106" t="n">
        <v>5</v>
      </c>
      <c r="L77" s="107" t="s">
        <v>686</v>
      </c>
      <c r="M77" s="114" t="s">
        <v>890</v>
      </c>
      <c r="N77" s="108" t="s">
        <v>891</v>
      </c>
    </row>
    <row r="78" customFormat="false" ht="47.25" hidden="false" customHeight="true" outlineLevel="0" collapsed="false">
      <c r="A78" s="140" t="s">
        <v>859</v>
      </c>
      <c r="B78" s="159" t="s">
        <v>653</v>
      </c>
      <c r="C78" s="159" t="s">
        <v>653</v>
      </c>
      <c r="D78" s="159" t="s">
        <v>623</v>
      </c>
      <c r="E78" s="105" t="s">
        <v>860</v>
      </c>
      <c r="F78" s="105" t="s">
        <v>686</v>
      </c>
      <c r="G78" s="22" t="s">
        <v>882</v>
      </c>
      <c r="H78" s="22" t="s">
        <v>882</v>
      </c>
      <c r="I78" s="110" t="s">
        <v>893</v>
      </c>
      <c r="J78" s="140" t="s">
        <v>627</v>
      </c>
      <c r="K78" s="142" t="n">
        <v>10</v>
      </c>
      <c r="L78" s="160" t="s">
        <v>686</v>
      </c>
      <c r="M78" s="114" t="s">
        <v>894</v>
      </c>
      <c r="N78" s="108"/>
    </row>
    <row r="79" customFormat="false" ht="138" hidden="false" customHeight="true" outlineLevel="0" collapsed="false">
      <c r="A79" s="140" t="s">
        <v>863</v>
      </c>
      <c r="B79" s="159" t="s">
        <v>653</v>
      </c>
      <c r="C79" s="159" t="s">
        <v>653</v>
      </c>
      <c r="D79" s="159" t="s">
        <v>623</v>
      </c>
      <c r="E79" s="105" t="s">
        <v>380</v>
      </c>
      <c r="F79" s="105" t="s">
        <v>686</v>
      </c>
      <c r="G79" s="22" t="s">
        <v>882</v>
      </c>
      <c r="H79" s="22" t="s">
        <v>896</v>
      </c>
      <c r="I79" s="49" t="s">
        <v>897</v>
      </c>
      <c r="J79" s="140" t="s">
        <v>641</v>
      </c>
      <c r="K79" s="142" t="n">
        <v>2.5</v>
      </c>
      <c r="L79" s="160" t="s">
        <v>686</v>
      </c>
      <c r="M79" s="114" t="s">
        <v>1123</v>
      </c>
      <c r="N79" s="108"/>
    </row>
    <row r="80" customFormat="false" ht="147" hidden="false" customHeight="true" outlineLevel="0" collapsed="false">
      <c r="A80" s="140" t="s">
        <v>866</v>
      </c>
      <c r="B80" s="159" t="s">
        <v>653</v>
      </c>
      <c r="C80" s="159" t="s">
        <v>653</v>
      </c>
      <c r="D80" s="159" t="s">
        <v>623</v>
      </c>
      <c r="E80" s="105" t="s">
        <v>386</v>
      </c>
      <c r="F80" s="105" t="s">
        <v>686</v>
      </c>
      <c r="G80" s="22" t="s">
        <v>900</v>
      </c>
      <c r="H80" s="22" t="s">
        <v>901</v>
      </c>
      <c r="I80" s="30" t="s">
        <v>902</v>
      </c>
      <c r="J80" s="140" t="s">
        <v>641</v>
      </c>
      <c r="K80" s="142" t="n">
        <v>2.5</v>
      </c>
      <c r="L80" s="160" t="s">
        <v>686</v>
      </c>
      <c r="M80" s="114" t="s">
        <v>1124</v>
      </c>
      <c r="N80" s="108"/>
    </row>
    <row r="81" customFormat="false" ht="102.75" hidden="false" customHeight="true" outlineLevel="0" collapsed="false">
      <c r="A81" s="140" t="s">
        <v>868</v>
      </c>
      <c r="B81" s="159" t="s">
        <v>653</v>
      </c>
      <c r="C81" s="159" t="s">
        <v>653</v>
      </c>
      <c r="D81" s="159" t="s">
        <v>623</v>
      </c>
      <c r="E81" s="105" t="s">
        <v>392</v>
      </c>
      <c r="F81" s="105" t="s">
        <v>686</v>
      </c>
      <c r="G81" s="22" t="s">
        <v>900</v>
      </c>
      <c r="H81" s="22" t="s">
        <v>905</v>
      </c>
      <c r="I81" s="49" t="s">
        <v>1125</v>
      </c>
      <c r="J81" s="140" t="s">
        <v>641</v>
      </c>
      <c r="K81" s="142" t="n">
        <v>2.5</v>
      </c>
      <c r="L81" s="160" t="s">
        <v>686</v>
      </c>
      <c r="M81" s="114" t="s">
        <v>1126</v>
      </c>
      <c r="N81" s="108"/>
    </row>
    <row r="82" customFormat="false" ht="107.25" hidden="false" customHeight="true" outlineLevel="0" collapsed="false">
      <c r="A82" s="140" t="s">
        <v>1127</v>
      </c>
      <c r="B82" s="159" t="s">
        <v>653</v>
      </c>
      <c r="C82" s="159" t="s">
        <v>653</v>
      </c>
      <c r="D82" s="159" t="s">
        <v>623</v>
      </c>
      <c r="E82" s="105" t="s">
        <v>1128</v>
      </c>
      <c r="F82" s="105" t="s">
        <v>686</v>
      </c>
      <c r="G82" s="22" t="s">
        <v>900</v>
      </c>
      <c r="H82" s="22" t="s">
        <v>909</v>
      </c>
      <c r="I82" s="49" t="s">
        <v>910</v>
      </c>
      <c r="J82" s="140" t="s">
        <v>641</v>
      </c>
      <c r="K82" s="142" t="n">
        <v>2.5</v>
      </c>
      <c r="L82" s="160" t="s">
        <v>686</v>
      </c>
      <c r="M82" s="114" t="s">
        <v>1129</v>
      </c>
      <c r="N82" s="108"/>
    </row>
    <row r="83" customFormat="false" ht="33" hidden="false" customHeight="true" outlineLevel="0" collapsed="false">
      <c r="A83" s="103" t="s">
        <v>980</v>
      </c>
      <c r="B83" s="104" t="s">
        <v>807</v>
      </c>
      <c r="C83" s="104" t="s">
        <v>172</v>
      </c>
      <c r="D83" s="104" t="s">
        <v>623</v>
      </c>
      <c r="E83" s="105" t="s">
        <v>579</v>
      </c>
      <c r="F83" s="151" t="s">
        <v>686</v>
      </c>
      <c r="G83" s="127"/>
      <c r="H83" s="22" t="s">
        <v>914</v>
      </c>
      <c r="I83" s="110" t="s">
        <v>915</v>
      </c>
      <c r="J83" s="103" t="s">
        <v>627</v>
      </c>
      <c r="K83" s="106" t="n">
        <v>10</v>
      </c>
      <c r="L83" s="107" t="s">
        <v>628</v>
      </c>
      <c r="M83" s="30" t="s">
        <v>811</v>
      </c>
      <c r="N83" s="108"/>
    </row>
    <row r="84" customFormat="false" ht="246" hidden="false" customHeight="true" outlineLevel="0" collapsed="false">
      <c r="A84" s="103" t="s">
        <v>1130</v>
      </c>
      <c r="B84" s="104" t="s">
        <v>653</v>
      </c>
      <c r="C84" s="104" t="s">
        <v>653</v>
      </c>
      <c r="D84" s="104" t="s">
        <v>623</v>
      </c>
      <c r="E84" s="105" t="s">
        <v>1131</v>
      </c>
      <c r="F84" s="151" t="s">
        <v>686</v>
      </c>
      <c r="G84" s="22" t="s">
        <v>913</v>
      </c>
      <c r="H84" s="22" t="s">
        <v>914</v>
      </c>
      <c r="I84" s="114" t="s">
        <v>917</v>
      </c>
      <c r="J84" s="103" t="s">
        <v>641</v>
      </c>
      <c r="K84" s="106" t="n">
        <v>5</v>
      </c>
      <c r="L84" s="112" t="s">
        <v>628</v>
      </c>
      <c r="M84" s="114" t="s">
        <v>918</v>
      </c>
      <c r="N84" s="108"/>
    </row>
    <row r="85" customFormat="false" ht="391.5" hidden="false" customHeight="true" outlineLevel="0" collapsed="false">
      <c r="A85" s="103" t="s">
        <v>1132</v>
      </c>
      <c r="B85" s="104" t="s">
        <v>653</v>
      </c>
      <c r="C85" s="104" t="s">
        <v>653</v>
      </c>
      <c r="D85" s="104" t="s">
        <v>623</v>
      </c>
      <c r="E85" s="105" t="s">
        <v>1133</v>
      </c>
      <c r="F85" s="151" t="s">
        <v>686</v>
      </c>
      <c r="G85" s="22" t="s">
        <v>913</v>
      </c>
      <c r="H85" s="22" t="s">
        <v>914</v>
      </c>
      <c r="I85" s="114" t="s">
        <v>920</v>
      </c>
      <c r="J85" s="103" t="s">
        <v>641</v>
      </c>
      <c r="K85" s="106" t="n">
        <v>5</v>
      </c>
      <c r="L85" s="112" t="s">
        <v>686</v>
      </c>
      <c r="M85" s="114" t="s">
        <v>921</v>
      </c>
      <c r="N85" s="108"/>
    </row>
    <row r="86" customFormat="false" ht="37.5" hidden="false" customHeight="true" outlineLevel="0" collapsed="false">
      <c r="A86" s="103" t="s">
        <v>984</v>
      </c>
      <c r="B86" s="104" t="s">
        <v>653</v>
      </c>
      <c r="C86" s="104" t="s">
        <v>653</v>
      </c>
      <c r="D86" s="104" t="s">
        <v>623</v>
      </c>
      <c r="E86" s="105" t="s">
        <v>985</v>
      </c>
      <c r="F86" s="151" t="s">
        <v>686</v>
      </c>
      <c r="G86" s="22" t="s">
        <v>913</v>
      </c>
      <c r="H86" s="22" t="s">
        <v>924</v>
      </c>
      <c r="I86" s="104" t="s">
        <v>925</v>
      </c>
      <c r="J86" s="109" t="s">
        <v>627</v>
      </c>
      <c r="K86" s="111" t="n">
        <v>10</v>
      </c>
      <c r="L86" s="112" t="s">
        <v>686</v>
      </c>
      <c r="M86" s="114" t="s">
        <v>811</v>
      </c>
      <c r="N86" s="108"/>
    </row>
    <row r="87" customFormat="false" ht="37.5" hidden="false" customHeight="true" outlineLevel="0" collapsed="false">
      <c r="A87" s="103" t="s">
        <v>988</v>
      </c>
      <c r="B87" s="104" t="s">
        <v>653</v>
      </c>
      <c r="C87" s="104" t="s">
        <v>653</v>
      </c>
      <c r="D87" s="104" t="s">
        <v>623</v>
      </c>
      <c r="E87" s="105" t="s">
        <v>588</v>
      </c>
      <c r="F87" s="151" t="s">
        <v>686</v>
      </c>
      <c r="G87" s="22" t="s">
        <v>913</v>
      </c>
      <c r="H87" s="22" t="s">
        <v>924</v>
      </c>
      <c r="I87" s="104" t="s">
        <v>927</v>
      </c>
      <c r="J87" s="103" t="s">
        <v>641</v>
      </c>
      <c r="K87" s="106" t="n">
        <v>5</v>
      </c>
      <c r="L87" s="107" t="s">
        <v>628</v>
      </c>
      <c r="M87" s="114" t="s">
        <v>928</v>
      </c>
      <c r="N87" s="108"/>
    </row>
    <row r="88" customFormat="false" ht="36" hidden="false" customHeight="true" outlineLevel="0" collapsed="false">
      <c r="A88" s="103" t="s">
        <v>991</v>
      </c>
      <c r="B88" s="104" t="s">
        <v>653</v>
      </c>
      <c r="C88" s="104" t="s">
        <v>653</v>
      </c>
      <c r="D88" s="104" t="s">
        <v>623</v>
      </c>
      <c r="E88" s="105" t="s">
        <v>596</v>
      </c>
      <c r="F88" s="151" t="s">
        <v>686</v>
      </c>
      <c r="G88" s="22" t="s">
        <v>913</v>
      </c>
      <c r="H88" s="22" t="s">
        <v>924</v>
      </c>
      <c r="I88" s="104" t="s">
        <v>930</v>
      </c>
      <c r="J88" s="103" t="s">
        <v>641</v>
      </c>
      <c r="K88" s="106" t="n">
        <v>5</v>
      </c>
      <c r="L88" s="107" t="s">
        <v>686</v>
      </c>
      <c r="M88" s="114" t="s">
        <v>1134</v>
      </c>
      <c r="N88" s="108"/>
    </row>
    <row r="89" customFormat="false" ht="32.25" hidden="false" customHeight="true" outlineLevel="0" collapsed="false">
      <c r="A89" s="140" t="s">
        <v>757</v>
      </c>
      <c r="B89" s="146" t="s">
        <v>653</v>
      </c>
      <c r="C89" s="146" t="s">
        <v>653</v>
      </c>
      <c r="D89" s="146" t="s">
        <v>623</v>
      </c>
      <c r="E89" s="105" t="s">
        <v>672</v>
      </c>
      <c r="F89" s="151" t="s">
        <v>686</v>
      </c>
      <c r="G89" s="22" t="s">
        <v>934</v>
      </c>
      <c r="H89" s="22" t="s">
        <v>935</v>
      </c>
      <c r="I89" s="161" t="s">
        <v>502</v>
      </c>
      <c r="J89" s="162" t="s">
        <v>627</v>
      </c>
      <c r="K89" s="163" t="n">
        <v>10</v>
      </c>
      <c r="L89" s="160" t="s">
        <v>936</v>
      </c>
      <c r="M89" s="104" t="s">
        <v>937</v>
      </c>
      <c r="N89" s="108"/>
    </row>
    <row r="90" s="175" customFormat="true" ht="201.75" hidden="false" customHeight="true" outlineLevel="0" collapsed="false">
      <c r="A90" s="164" t="s">
        <v>767</v>
      </c>
      <c r="B90" s="165"/>
      <c r="C90" s="165"/>
      <c r="D90" s="165" t="s">
        <v>623</v>
      </c>
      <c r="E90" s="166" t="s">
        <v>275</v>
      </c>
      <c r="F90" s="167" t="s">
        <v>686</v>
      </c>
      <c r="G90" s="168" t="s">
        <v>934</v>
      </c>
      <c r="H90" s="168" t="s">
        <v>940</v>
      </c>
      <c r="I90" s="169" t="s">
        <v>1135</v>
      </c>
      <c r="J90" s="170" t="s">
        <v>627</v>
      </c>
      <c r="K90" s="171" t="n">
        <v>10</v>
      </c>
      <c r="L90" s="172" t="s">
        <v>936</v>
      </c>
      <c r="M90" s="173" t="s">
        <v>963</v>
      </c>
      <c r="N90" s="174"/>
    </row>
    <row r="91" s="175" customFormat="true" ht="108" hidden="false" customHeight="true" outlineLevel="0" collapsed="false">
      <c r="A91" s="164"/>
      <c r="B91" s="165"/>
      <c r="C91" s="165"/>
      <c r="D91" s="165"/>
      <c r="E91" s="166"/>
      <c r="F91" s="176"/>
      <c r="G91" s="168" t="s">
        <v>934</v>
      </c>
      <c r="H91" s="168" t="s">
        <v>940</v>
      </c>
      <c r="I91" s="177" t="s">
        <v>989</v>
      </c>
      <c r="J91" s="170" t="s">
        <v>641</v>
      </c>
      <c r="K91" s="178" t="n">
        <v>3.33</v>
      </c>
      <c r="L91" s="172" t="s">
        <v>628</v>
      </c>
      <c r="M91" s="173" t="s">
        <v>1136</v>
      </c>
      <c r="N91" s="174"/>
    </row>
    <row r="92" s="175" customFormat="true" ht="81.75" hidden="false" customHeight="true" outlineLevel="0" collapsed="false">
      <c r="A92" s="164"/>
      <c r="B92" s="165"/>
      <c r="C92" s="165"/>
      <c r="D92" s="165"/>
      <c r="E92" s="166"/>
      <c r="F92" s="176"/>
      <c r="G92" s="168" t="s">
        <v>934</v>
      </c>
      <c r="H92" s="168" t="s">
        <v>940</v>
      </c>
      <c r="I92" s="173" t="s">
        <v>992</v>
      </c>
      <c r="J92" s="170" t="s">
        <v>641</v>
      </c>
      <c r="K92" s="178" t="n">
        <v>3.33</v>
      </c>
      <c r="L92" s="172" t="s">
        <v>686</v>
      </c>
      <c r="M92" s="173" t="s">
        <v>1137</v>
      </c>
      <c r="N92" s="174"/>
    </row>
    <row r="93" s="185" customFormat="true" ht="139.5" hidden="false" customHeight="true" outlineLevel="0" collapsed="false">
      <c r="A93" s="179"/>
      <c r="B93" s="180"/>
      <c r="C93" s="180"/>
      <c r="D93" s="180"/>
      <c r="E93" s="181"/>
      <c r="F93" s="182"/>
      <c r="G93" s="22" t="s">
        <v>934</v>
      </c>
      <c r="H93" s="22" t="s">
        <v>940</v>
      </c>
      <c r="I93" s="151" t="s">
        <v>941</v>
      </c>
      <c r="J93" s="34" t="s">
        <v>627</v>
      </c>
      <c r="K93" s="183" t="n">
        <v>10</v>
      </c>
      <c r="L93" s="112" t="s">
        <v>628</v>
      </c>
      <c r="M93" s="45" t="s">
        <v>942</v>
      </c>
      <c r="N93" s="184"/>
    </row>
    <row r="94" s="185" customFormat="true" ht="272.25" hidden="false" customHeight="true" outlineLevel="0" collapsed="false">
      <c r="A94" s="179"/>
      <c r="B94" s="180"/>
      <c r="C94" s="180"/>
      <c r="D94" s="180"/>
      <c r="E94" s="181"/>
      <c r="F94" s="182"/>
      <c r="G94" s="22"/>
      <c r="H94" s="22"/>
      <c r="I94" s="186" t="s">
        <v>944</v>
      </c>
      <c r="J94" s="135" t="s">
        <v>641</v>
      </c>
      <c r="K94" s="187" t="n">
        <v>2</v>
      </c>
      <c r="L94" s="112" t="s">
        <v>628</v>
      </c>
      <c r="M94" s="188" t="s">
        <v>945</v>
      </c>
    </row>
    <row r="95" s="185" customFormat="true" ht="406.5" hidden="false" customHeight="true" outlineLevel="0" collapsed="false">
      <c r="A95" s="179"/>
      <c r="B95" s="180"/>
      <c r="C95" s="180"/>
      <c r="D95" s="180"/>
      <c r="E95" s="181"/>
      <c r="F95" s="182"/>
      <c r="G95" s="22" t="s">
        <v>934</v>
      </c>
      <c r="H95" s="22" t="s">
        <v>940</v>
      </c>
      <c r="I95" s="189" t="s">
        <v>947</v>
      </c>
      <c r="J95" s="190" t="s">
        <v>641</v>
      </c>
      <c r="K95" s="191" t="n">
        <v>2</v>
      </c>
      <c r="L95" s="107" t="s">
        <v>628</v>
      </c>
      <c r="M95" s="192" t="s">
        <v>948</v>
      </c>
      <c r="N95" s="184" t="s">
        <v>949</v>
      </c>
    </row>
    <row r="96" s="185" customFormat="true" ht="219.75" hidden="false" customHeight="true" outlineLevel="0" collapsed="false">
      <c r="A96" s="179"/>
      <c r="B96" s="180"/>
      <c r="C96" s="180"/>
      <c r="D96" s="180"/>
      <c r="E96" s="181"/>
      <c r="F96" s="182"/>
      <c r="G96" s="22" t="s">
        <v>934</v>
      </c>
      <c r="H96" s="22" t="s">
        <v>940</v>
      </c>
      <c r="I96" s="189" t="s">
        <v>951</v>
      </c>
      <c r="J96" s="190" t="s">
        <v>641</v>
      </c>
      <c r="K96" s="191" t="n">
        <v>2</v>
      </c>
      <c r="L96" s="107" t="s">
        <v>628</v>
      </c>
      <c r="M96" s="190" t="s">
        <v>952</v>
      </c>
      <c r="N96" s="184" t="s">
        <v>953</v>
      </c>
    </row>
    <row r="97" s="185" customFormat="true" ht="243.75" hidden="false" customHeight="true" outlineLevel="0" collapsed="false">
      <c r="A97" s="179"/>
      <c r="B97" s="180"/>
      <c r="C97" s="180"/>
      <c r="D97" s="180"/>
      <c r="E97" s="181"/>
      <c r="F97" s="182"/>
      <c r="G97" s="22" t="s">
        <v>934</v>
      </c>
      <c r="H97" s="22" t="s">
        <v>940</v>
      </c>
      <c r="I97" s="189" t="s">
        <v>955</v>
      </c>
      <c r="J97" s="190" t="s">
        <v>641</v>
      </c>
      <c r="K97" s="191" t="n">
        <v>2</v>
      </c>
      <c r="L97" s="107" t="s">
        <v>628</v>
      </c>
      <c r="M97" s="190" t="s">
        <v>956</v>
      </c>
      <c r="N97" s="184" t="s">
        <v>949</v>
      </c>
    </row>
    <row r="98" s="185" customFormat="true" ht="324" hidden="false" customHeight="true" outlineLevel="0" collapsed="false">
      <c r="A98" s="179"/>
      <c r="B98" s="180"/>
      <c r="C98" s="180"/>
      <c r="D98" s="180"/>
      <c r="E98" s="181"/>
      <c r="F98" s="182"/>
      <c r="G98" s="22" t="s">
        <v>934</v>
      </c>
      <c r="H98" s="22" t="s">
        <v>940</v>
      </c>
      <c r="I98" s="193" t="s">
        <v>958</v>
      </c>
      <c r="J98" s="190" t="s">
        <v>641</v>
      </c>
      <c r="K98" s="191" t="n">
        <v>2</v>
      </c>
      <c r="L98" s="107" t="s">
        <v>628</v>
      </c>
      <c r="M98" s="190" t="s">
        <v>959</v>
      </c>
      <c r="N98" s="184" t="s">
        <v>949</v>
      </c>
    </row>
    <row r="99" customFormat="false" ht="56.25" hidden="false" customHeight="true" outlineLevel="0" collapsed="false">
      <c r="A99" s="103" t="s">
        <v>976</v>
      </c>
      <c r="B99" s="104" t="s">
        <v>275</v>
      </c>
      <c r="C99" s="104" t="s">
        <v>148</v>
      </c>
      <c r="D99" s="104" t="s">
        <v>623</v>
      </c>
      <c r="E99" s="105" t="s">
        <v>575</v>
      </c>
      <c r="F99" s="151" t="s">
        <v>686</v>
      </c>
      <c r="G99" s="22" t="s">
        <v>934</v>
      </c>
      <c r="H99" s="22" t="s">
        <v>961</v>
      </c>
      <c r="I99" s="194" t="s">
        <v>962</v>
      </c>
      <c r="J99" s="109" t="s">
        <v>627</v>
      </c>
      <c r="K99" s="111" t="n">
        <v>10</v>
      </c>
      <c r="L99" s="112" t="s">
        <v>936</v>
      </c>
      <c r="M99" s="114" t="s">
        <v>963</v>
      </c>
      <c r="N99" s="108"/>
    </row>
    <row r="100" customFormat="false" ht="105.75" hidden="false" customHeight="true" outlineLevel="0" collapsed="false">
      <c r="A100" s="103"/>
      <c r="B100" s="104"/>
      <c r="C100" s="104"/>
      <c r="D100" s="104"/>
      <c r="E100" s="105"/>
      <c r="F100" s="151" t="s">
        <v>686</v>
      </c>
      <c r="G100" s="22" t="s">
        <v>934</v>
      </c>
      <c r="H100" s="22" t="s">
        <v>961</v>
      </c>
      <c r="I100" s="195" t="s">
        <v>965</v>
      </c>
      <c r="J100" s="103" t="s">
        <v>641</v>
      </c>
      <c r="K100" s="106" t="n">
        <v>5</v>
      </c>
      <c r="L100" s="107" t="s">
        <v>628</v>
      </c>
      <c r="M100" s="114" t="s">
        <v>966</v>
      </c>
      <c r="N100" s="108"/>
    </row>
    <row r="101" customFormat="false" ht="130.5" hidden="false" customHeight="true" outlineLevel="0" collapsed="false">
      <c r="A101" s="103"/>
      <c r="B101" s="104"/>
      <c r="C101" s="104"/>
      <c r="D101" s="104"/>
      <c r="E101" s="105"/>
      <c r="F101" s="151" t="s">
        <v>686</v>
      </c>
      <c r="G101" s="22" t="s">
        <v>934</v>
      </c>
      <c r="H101" s="22" t="s">
        <v>961</v>
      </c>
      <c r="I101" s="195" t="s">
        <v>968</v>
      </c>
      <c r="J101" s="103" t="s">
        <v>641</v>
      </c>
      <c r="K101" s="106" t="n">
        <v>5</v>
      </c>
      <c r="L101" s="107" t="s">
        <v>686</v>
      </c>
      <c r="M101" s="114" t="s">
        <v>1138</v>
      </c>
      <c r="N101" s="108"/>
    </row>
    <row r="102" customFormat="false" ht="249.75" hidden="false" customHeight="true" outlineLevel="0" collapsed="false">
      <c r="A102" s="140" t="s">
        <v>710</v>
      </c>
      <c r="B102" s="104" t="s">
        <v>847</v>
      </c>
      <c r="C102" s="104" t="s">
        <v>714</v>
      </c>
      <c r="D102" s="104" t="s">
        <v>623</v>
      </c>
      <c r="E102" s="105" t="s">
        <v>172</v>
      </c>
      <c r="F102" s="151" t="s">
        <v>686</v>
      </c>
      <c r="G102" s="22" t="s">
        <v>934</v>
      </c>
      <c r="H102" s="22" t="s">
        <v>971</v>
      </c>
      <c r="I102" s="196" t="s">
        <v>563</v>
      </c>
      <c r="J102" s="140" t="s">
        <v>627</v>
      </c>
      <c r="K102" s="142" t="n">
        <v>10</v>
      </c>
      <c r="L102" s="107" t="s">
        <v>628</v>
      </c>
      <c r="M102" s="114" t="s">
        <v>972</v>
      </c>
      <c r="N102" s="108"/>
    </row>
    <row r="103" customFormat="false" ht="144" hidden="false" customHeight="true" outlineLevel="0" collapsed="false">
      <c r="A103" s="140" t="s">
        <v>713</v>
      </c>
      <c r="B103" s="104" t="s">
        <v>860</v>
      </c>
      <c r="C103" s="104" t="s">
        <v>739</v>
      </c>
      <c r="D103" s="104" t="s">
        <v>623</v>
      </c>
      <c r="E103" s="105" t="s">
        <v>714</v>
      </c>
      <c r="F103" s="151" t="s">
        <v>686</v>
      </c>
      <c r="G103" s="22" t="s">
        <v>934</v>
      </c>
      <c r="H103" s="22" t="s">
        <v>971</v>
      </c>
      <c r="I103" s="196" t="s">
        <v>567</v>
      </c>
      <c r="J103" s="140" t="s">
        <v>627</v>
      </c>
      <c r="K103" s="142" t="n">
        <v>10</v>
      </c>
      <c r="L103" s="107" t="s">
        <v>628</v>
      </c>
      <c r="M103" s="114" t="s">
        <v>974</v>
      </c>
      <c r="N103" s="108" t="s">
        <v>975</v>
      </c>
    </row>
    <row r="104" customFormat="false" ht="60.75" hidden="false" customHeight="true" outlineLevel="0" collapsed="false">
      <c r="A104" s="140" t="s">
        <v>994</v>
      </c>
      <c r="B104" s="104" t="s">
        <v>871</v>
      </c>
      <c r="C104" s="104" t="s">
        <v>653</v>
      </c>
      <c r="D104" s="104" t="s">
        <v>623</v>
      </c>
      <c r="E104" s="105" t="s">
        <v>600</v>
      </c>
      <c r="F104" s="20" t="s">
        <v>686</v>
      </c>
      <c r="G104" s="22" t="s">
        <v>977</v>
      </c>
      <c r="H104" s="22" t="s">
        <v>978</v>
      </c>
      <c r="I104" s="104" t="s">
        <v>1139</v>
      </c>
      <c r="J104" s="140" t="s">
        <v>627</v>
      </c>
      <c r="K104" s="142" t="n">
        <v>10</v>
      </c>
      <c r="L104" s="107" t="s">
        <v>686</v>
      </c>
      <c r="M104" s="114" t="s">
        <v>979</v>
      </c>
      <c r="N104" s="108"/>
    </row>
    <row r="105" customFormat="false" ht="148.5" hidden="false" customHeight="true" outlineLevel="0" collapsed="false">
      <c r="A105" s="140" t="s">
        <v>1140</v>
      </c>
      <c r="B105" s="104" t="s">
        <v>923</v>
      </c>
      <c r="C105" s="104" t="s">
        <v>255</v>
      </c>
      <c r="D105" s="104" t="s">
        <v>623</v>
      </c>
      <c r="E105" s="105" t="s">
        <v>1141</v>
      </c>
      <c r="F105" s="105" t="s">
        <v>981</v>
      </c>
      <c r="G105" s="22" t="s">
        <v>977</v>
      </c>
      <c r="H105" s="22" t="s">
        <v>978</v>
      </c>
      <c r="I105" s="104" t="s">
        <v>1142</v>
      </c>
      <c r="J105" s="140" t="s">
        <v>627</v>
      </c>
      <c r="K105" s="142" t="n">
        <v>10</v>
      </c>
      <c r="L105" s="139" t="s">
        <v>982</v>
      </c>
      <c r="M105" s="114" t="s">
        <v>1143</v>
      </c>
      <c r="N105" s="108"/>
    </row>
    <row r="106" customFormat="false" ht="48.75" hidden="false" customHeight="true" outlineLevel="0" collapsed="false">
      <c r="A106" s="140" t="s">
        <v>1144</v>
      </c>
      <c r="B106" s="104" t="s">
        <v>501</v>
      </c>
      <c r="C106" s="104" t="s">
        <v>672</v>
      </c>
      <c r="D106" s="104" t="s">
        <v>623</v>
      </c>
      <c r="E106" s="105" t="s">
        <v>1145</v>
      </c>
      <c r="F106" s="105" t="s">
        <v>981</v>
      </c>
      <c r="G106" s="22" t="s">
        <v>977</v>
      </c>
      <c r="H106" s="22" t="s">
        <v>986</v>
      </c>
      <c r="I106" s="110" t="s">
        <v>987</v>
      </c>
      <c r="J106" s="162" t="s">
        <v>627</v>
      </c>
      <c r="K106" s="197" t="n">
        <v>10</v>
      </c>
      <c r="L106" s="194" t="s">
        <v>686</v>
      </c>
      <c r="M106" s="198" t="s">
        <v>811</v>
      </c>
      <c r="N106" s="108"/>
    </row>
    <row r="107" customFormat="false" ht="114.75" hidden="false" customHeight="true" outlineLevel="0" collapsed="false">
      <c r="A107" s="140"/>
      <c r="B107" s="104"/>
      <c r="C107" s="104"/>
      <c r="D107" s="104"/>
      <c r="E107" s="105"/>
      <c r="F107" s="105"/>
      <c r="G107" s="22" t="s">
        <v>977</v>
      </c>
      <c r="H107" s="22" t="s">
        <v>986</v>
      </c>
      <c r="I107" s="114" t="s">
        <v>989</v>
      </c>
      <c r="J107" s="140" t="s">
        <v>641</v>
      </c>
      <c r="K107" s="142" t="n">
        <v>5</v>
      </c>
      <c r="L107" s="199" t="s">
        <v>686</v>
      </c>
      <c r="M107" s="195" t="s">
        <v>990</v>
      </c>
      <c r="N107" s="108"/>
    </row>
    <row r="108" customFormat="false" ht="161.25" hidden="false" customHeight="true" outlineLevel="0" collapsed="false">
      <c r="A108" s="140"/>
      <c r="B108" s="104"/>
      <c r="C108" s="104"/>
      <c r="D108" s="104"/>
      <c r="E108" s="105"/>
      <c r="F108" s="105"/>
      <c r="G108" s="22" t="s">
        <v>977</v>
      </c>
      <c r="H108" s="22" t="s">
        <v>986</v>
      </c>
      <c r="I108" s="114" t="s">
        <v>992</v>
      </c>
      <c r="J108" s="140" t="s">
        <v>641</v>
      </c>
      <c r="K108" s="142" t="n">
        <v>5</v>
      </c>
      <c r="L108" s="200" t="s">
        <v>686</v>
      </c>
      <c r="M108" s="195" t="s">
        <v>993</v>
      </c>
      <c r="N108" s="108"/>
    </row>
    <row r="109" customFormat="false" ht="409.5" hidden="false" customHeight="true" outlineLevel="0" collapsed="false">
      <c r="A109" s="140" t="s">
        <v>1146</v>
      </c>
      <c r="B109" s="104" t="s">
        <v>939</v>
      </c>
      <c r="C109" s="104" t="s">
        <v>275</v>
      </c>
      <c r="D109" s="104" t="s">
        <v>623</v>
      </c>
      <c r="E109" s="105" t="s">
        <v>1147</v>
      </c>
      <c r="F109" s="105" t="s">
        <v>981</v>
      </c>
      <c r="G109" s="22" t="s">
        <v>977</v>
      </c>
      <c r="H109" s="22" t="s">
        <v>1148</v>
      </c>
      <c r="I109" s="104" t="s">
        <v>601</v>
      </c>
      <c r="J109" s="140" t="s">
        <v>627</v>
      </c>
      <c r="K109" s="142" t="n">
        <v>10</v>
      </c>
      <c r="L109" s="107" t="s">
        <v>628</v>
      </c>
      <c r="M109" s="114" t="s">
        <v>1149</v>
      </c>
      <c r="N109" s="201" t="s">
        <v>1150</v>
      </c>
      <c r="O109" s="142"/>
    </row>
    <row r="110" s="94" customFormat="true" ht="29.25" hidden="false" customHeight="true" outlineLevel="0" collapsed="false">
      <c r="H110" s="4"/>
      <c r="I110" s="185"/>
      <c r="J110" s="93"/>
      <c r="K110" s="93"/>
      <c r="N110" s="4"/>
    </row>
    <row r="111" s="94" customFormat="true" ht="14.25" hidden="false" customHeight="true" outlineLevel="0" collapsed="false">
      <c r="H111" s="4"/>
      <c r="J111" s="93"/>
      <c r="K111" s="93"/>
      <c r="N111" s="4"/>
    </row>
    <row r="112" s="94" customFormat="true" ht="14.25" hidden="false" customHeight="true" outlineLevel="0" collapsed="false">
      <c r="H112" s="4"/>
      <c r="J112" s="93"/>
      <c r="K112" s="93"/>
      <c r="N112" s="4"/>
    </row>
    <row r="113" s="94" customFormat="true" ht="14.25" hidden="false" customHeight="true" outlineLevel="0" collapsed="false">
      <c r="H113" s="4"/>
      <c r="J113" s="93"/>
      <c r="K113" s="93"/>
      <c r="N113" s="4"/>
    </row>
    <row r="114" s="94" customFormat="true" ht="14.25" hidden="false" customHeight="true" outlineLevel="0" collapsed="false">
      <c r="H114" s="4"/>
      <c r="J114" s="93"/>
      <c r="K114" s="93"/>
      <c r="N114" s="4"/>
    </row>
    <row r="115" customFormat="false" ht="14.25" hidden="false" customHeight="true" outlineLevel="0" collapsed="false">
      <c r="A115" s="202"/>
      <c r="B115" s="203"/>
      <c r="C115" s="203"/>
      <c r="D115" s="203"/>
      <c r="G115" s="95"/>
      <c r="H115" s="204"/>
      <c r="I115" s="203"/>
      <c r="J115" s="202"/>
      <c r="K115" s="202"/>
      <c r="L115" s="203"/>
      <c r="M115" s="205"/>
    </row>
    <row r="116" customFormat="false" ht="14.25" hidden="false" customHeight="true" outlineLevel="0" collapsed="false">
      <c r="A116" s="202"/>
      <c r="B116" s="203"/>
      <c r="C116" s="203"/>
      <c r="D116" s="203"/>
      <c r="G116" s="95"/>
      <c r="H116" s="204"/>
      <c r="I116" s="203"/>
      <c r="J116" s="202"/>
      <c r="K116" s="202"/>
      <c r="L116" s="203"/>
      <c r="M116" s="205"/>
    </row>
    <row r="117" customFormat="false" ht="14.25" hidden="false" customHeight="true" outlineLevel="0" collapsed="false">
      <c r="A117" s="202"/>
      <c r="B117" s="203"/>
      <c r="C117" s="203"/>
      <c r="D117" s="203"/>
      <c r="G117" s="95"/>
      <c r="H117" s="204"/>
      <c r="I117" s="203"/>
      <c r="J117" s="202"/>
      <c r="K117" s="202"/>
      <c r="L117" s="203"/>
      <c r="M117" s="205"/>
    </row>
    <row r="118" customFormat="false" ht="14.25" hidden="false" customHeight="true" outlineLevel="0" collapsed="false">
      <c r="A118" s="202"/>
      <c r="B118" s="203"/>
      <c r="C118" s="203"/>
      <c r="D118" s="203"/>
      <c r="G118" s="95"/>
      <c r="H118" s="204"/>
      <c r="I118" s="203"/>
      <c r="J118" s="202"/>
      <c r="K118" s="202"/>
      <c r="L118" s="203"/>
      <c r="M118" s="205"/>
    </row>
    <row r="119" customFormat="false" ht="14.25" hidden="false" customHeight="true" outlineLevel="0" collapsed="false">
      <c r="A119" s="202"/>
      <c r="B119" s="203"/>
      <c r="C119" s="203"/>
      <c r="D119" s="203"/>
      <c r="G119" s="95"/>
      <c r="H119" s="204"/>
      <c r="I119" s="203"/>
      <c r="J119" s="202"/>
      <c r="K119" s="202"/>
      <c r="L119" s="203"/>
      <c r="M119" s="205"/>
    </row>
    <row r="120" customFormat="false" ht="14.25" hidden="false" customHeight="true" outlineLevel="0" collapsed="false">
      <c r="A120" s="202"/>
      <c r="B120" s="203"/>
      <c r="C120" s="203"/>
      <c r="D120" s="203"/>
      <c r="G120" s="95"/>
      <c r="H120" s="204"/>
      <c r="I120" s="203"/>
      <c r="J120" s="202"/>
      <c r="K120" s="202"/>
      <c r="L120" s="203"/>
      <c r="M120" s="205"/>
    </row>
    <row r="121" customFormat="false" ht="14.25" hidden="false" customHeight="true" outlineLevel="0" collapsed="false">
      <c r="A121" s="202"/>
      <c r="B121" s="203"/>
      <c r="C121" s="203"/>
      <c r="D121" s="203"/>
      <c r="G121" s="95"/>
      <c r="H121" s="204"/>
      <c r="I121" s="203"/>
      <c r="J121" s="202"/>
      <c r="K121" s="202"/>
      <c r="L121" s="203"/>
      <c r="M121" s="205"/>
    </row>
    <row r="122" customFormat="false" ht="14.25" hidden="false" customHeight="true" outlineLevel="0" collapsed="false">
      <c r="A122" s="202"/>
      <c r="B122" s="203"/>
      <c r="C122" s="203"/>
      <c r="D122" s="203"/>
      <c r="G122" s="95"/>
      <c r="H122" s="204"/>
      <c r="I122" s="203"/>
      <c r="J122" s="202"/>
      <c r="K122" s="202"/>
      <c r="L122" s="203"/>
      <c r="M122" s="205"/>
    </row>
    <row r="123" customFormat="false" ht="14.25" hidden="false" customHeight="true" outlineLevel="0" collapsed="false">
      <c r="A123" s="202"/>
      <c r="B123" s="203"/>
      <c r="C123" s="203"/>
      <c r="D123" s="203"/>
      <c r="G123" s="95"/>
      <c r="H123" s="204"/>
      <c r="I123" s="203"/>
      <c r="J123" s="202"/>
      <c r="K123" s="202"/>
      <c r="L123" s="203"/>
      <c r="M123" s="205"/>
    </row>
    <row r="124" customFormat="false" ht="14.25" hidden="false" customHeight="true" outlineLevel="0" collapsed="false">
      <c r="A124" s="202"/>
      <c r="B124" s="203"/>
      <c r="C124" s="203"/>
      <c r="D124" s="203"/>
      <c r="G124" s="95"/>
      <c r="H124" s="204"/>
      <c r="I124" s="203"/>
      <c r="J124" s="202"/>
      <c r="K124" s="202"/>
      <c r="L124" s="203"/>
      <c r="M124" s="205"/>
    </row>
    <row r="125" customFormat="false" ht="14.25" hidden="false" customHeight="true" outlineLevel="0" collapsed="false">
      <c r="A125" s="202"/>
      <c r="B125" s="203"/>
      <c r="C125" s="203"/>
      <c r="D125" s="203"/>
      <c r="G125" s="95"/>
      <c r="H125" s="204"/>
      <c r="I125" s="203"/>
      <c r="J125" s="202"/>
      <c r="K125" s="202"/>
      <c r="L125" s="203"/>
      <c r="M125" s="205"/>
    </row>
    <row r="126" customFormat="false" ht="14.25" hidden="false" customHeight="true" outlineLevel="0" collapsed="false">
      <c r="A126" s="202"/>
      <c r="B126" s="203"/>
      <c r="C126" s="203"/>
      <c r="D126" s="203"/>
      <c r="G126" s="95"/>
      <c r="H126" s="204"/>
      <c r="I126" s="203"/>
      <c r="J126" s="202"/>
      <c r="K126" s="202"/>
      <c r="L126" s="203"/>
      <c r="M126" s="205"/>
    </row>
    <row r="127" customFormat="false" ht="14.25" hidden="false" customHeight="true" outlineLevel="0" collapsed="false">
      <c r="A127" s="202"/>
      <c r="B127" s="203"/>
      <c r="C127" s="203"/>
      <c r="D127" s="203"/>
      <c r="G127" s="95"/>
      <c r="H127" s="204"/>
      <c r="I127" s="203"/>
      <c r="J127" s="202"/>
      <c r="K127" s="202"/>
      <c r="L127" s="203"/>
      <c r="M127" s="205"/>
    </row>
    <row r="128" customFormat="false" ht="14.25" hidden="false" customHeight="true" outlineLevel="0" collapsed="false">
      <c r="A128" s="202"/>
      <c r="B128" s="203"/>
      <c r="C128" s="203"/>
      <c r="D128" s="203"/>
      <c r="G128" s="95"/>
      <c r="H128" s="204"/>
      <c r="I128" s="203"/>
      <c r="J128" s="202"/>
      <c r="K128" s="202"/>
      <c r="L128" s="203"/>
      <c r="M128" s="205"/>
    </row>
    <row r="129" customFormat="false" ht="14.25" hidden="false" customHeight="true" outlineLevel="0" collapsed="false">
      <c r="A129" s="202"/>
      <c r="B129" s="203"/>
      <c r="C129" s="203"/>
      <c r="D129" s="203"/>
      <c r="G129" s="95"/>
      <c r="H129" s="204"/>
      <c r="I129" s="203"/>
      <c r="J129" s="202"/>
      <c r="K129" s="202"/>
      <c r="L129" s="203"/>
      <c r="M129" s="205"/>
    </row>
    <row r="130" customFormat="false" ht="14.25" hidden="false" customHeight="true" outlineLevel="0" collapsed="false">
      <c r="A130" s="202"/>
      <c r="B130" s="203"/>
      <c r="C130" s="203"/>
      <c r="D130" s="203"/>
      <c r="G130" s="95"/>
      <c r="H130" s="204"/>
      <c r="I130" s="203"/>
      <c r="J130" s="202"/>
      <c r="K130" s="202"/>
      <c r="L130" s="203"/>
      <c r="M130" s="205"/>
    </row>
    <row r="131" customFormat="false" ht="14.25" hidden="false" customHeight="true" outlineLevel="0" collapsed="false">
      <c r="A131" s="202"/>
      <c r="B131" s="203"/>
      <c r="C131" s="203"/>
      <c r="D131" s="203"/>
      <c r="G131" s="95"/>
      <c r="H131" s="204"/>
      <c r="I131" s="203"/>
      <c r="J131" s="202"/>
      <c r="K131" s="202"/>
      <c r="L131" s="203"/>
      <c r="M131" s="205"/>
    </row>
    <row r="132" customFormat="false" ht="14.25" hidden="false" customHeight="true" outlineLevel="0" collapsed="false">
      <c r="A132" s="202"/>
      <c r="B132" s="203"/>
      <c r="C132" s="203"/>
      <c r="D132" s="203"/>
      <c r="G132" s="95"/>
      <c r="H132" s="204"/>
      <c r="I132" s="203"/>
      <c r="J132" s="202"/>
      <c r="K132" s="202"/>
      <c r="L132" s="203"/>
      <c r="M132" s="205"/>
    </row>
    <row r="133" customFormat="false" ht="14.25" hidden="false" customHeight="true" outlineLevel="0" collapsed="false">
      <c r="A133" s="202"/>
      <c r="B133" s="203"/>
      <c r="C133" s="203"/>
      <c r="D133" s="203"/>
      <c r="G133" s="95"/>
      <c r="H133" s="204"/>
      <c r="I133" s="203"/>
      <c r="J133" s="202"/>
      <c r="K133" s="202"/>
      <c r="L133" s="203"/>
      <c r="M133" s="205"/>
    </row>
    <row r="134" customFormat="false" ht="14.25" hidden="false" customHeight="true" outlineLevel="0" collapsed="false">
      <c r="A134" s="202"/>
      <c r="B134" s="203"/>
      <c r="C134" s="203"/>
      <c r="D134" s="203"/>
      <c r="G134" s="95"/>
      <c r="H134" s="204"/>
      <c r="I134" s="203"/>
      <c r="J134" s="202"/>
      <c r="K134" s="202"/>
      <c r="L134" s="203"/>
      <c r="M134" s="205"/>
    </row>
    <row r="135" customFormat="false" ht="14.25" hidden="false" customHeight="true" outlineLevel="0" collapsed="false">
      <c r="A135" s="202"/>
      <c r="B135" s="203"/>
      <c r="C135" s="203"/>
      <c r="D135" s="203"/>
      <c r="G135" s="95"/>
      <c r="H135" s="204"/>
      <c r="I135" s="203"/>
      <c r="J135" s="202"/>
      <c r="K135" s="202"/>
      <c r="L135" s="203"/>
      <c r="M135" s="205"/>
    </row>
    <row r="136" customFormat="false" ht="14.25" hidden="false" customHeight="true" outlineLevel="0" collapsed="false">
      <c r="A136" s="202"/>
      <c r="B136" s="203"/>
      <c r="C136" s="203"/>
      <c r="D136" s="203"/>
      <c r="G136" s="95"/>
      <c r="H136" s="204"/>
      <c r="I136" s="203"/>
      <c r="J136" s="202"/>
      <c r="K136" s="202"/>
      <c r="L136" s="203"/>
      <c r="M136" s="205"/>
    </row>
    <row r="137" customFormat="false" ht="14.25" hidden="false" customHeight="true" outlineLevel="0" collapsed="false">
      <c r="A137" s="202"/>
      <c r="B137" s="203"/>
      <c r="C137" s="203"/>
      <c r="D137" s="203"/>
      <c r="G137" s="95"/>
      <c r="H137" s="204"/>
      <c r="I137" s="203"/>
      <c r="J137" s="202"/>
      <c r="K137" s="202"/>
      <c r="L137" s="203"/>
      <c r="M137" s="205"/>
    </row>
    <row r="138" customFormat="false" ht="14.25" hidden="false" customHeight="true" outlineLevel="0" collapsed="false">
      <c r="A138" s="202"/>
      <c r="B138" s="203"/>
      <c r="C138" s="203"/>
      <c r="D138" s="203"/>
      <c r="G138" s="95"/>
      <c r="H138" s="204"/>
      <c r="I138" s="203"/>
      <c r="J138" s="202"/>
      <c r="K138" s="202"/>
      <c r="L138" s="203"/>
      <c r="M138" s="205"/>
    </row>
    <row r="139" customFormat="false" ht="15.75" hidden="false" customHeight="true" outlineLevel="0" collapsed="false">
      <c r="A139" s="202"/>
      <c r="B139" s="203"/>
      <c r="C139" s="203"/>
      <c r="D139" s="203"/>
      <c r="G139" s="95"/>
      <c r="H139" s="204"/>
      <c r="I139" s="203"/>
      <c r="J139" s="202"/>
      <c r="K139" s="202"/>
      <c r="L139" s="203"/>
      <c r="M139" s="205" t="s">
        <v>998</v>
      </c>
    </row>
    <row r="140" customFormat="false" ht="14.25" hidden="false" customHeight="true" outlineLevel="0" collapsed="false">
      <c r="A140" s="202"/>
      <c r="B140" s="203"/>
      <c r="C140" s="203"/>
      <c r="D140" s="203"/>
      <c r="G140" s="95"/>
      <c r="H140" s="204"/>
      <c r="I140" s="203"/>
      <c r="J140" s="202"/>
      <c r="K140" s="202"/>
      <c r="L140" s="203"/>
      <c r="M140" s="205"/>
    </row>
    <row r="141" customFormat="false" ht="14.25" hidden="false" customHeight="true" outlineLevel="0" collapsed="false">
      <c r="A141" s="202"/>
      <c r="B141" s="203"/>
      <c r="C141" s="203"/>
      <c r="D141" s="203"/>
      <c r="G141" s="95"/>
      <c r="H141" s="204"/>
      <c r="I141" s="203"/>
      <c r="J141" s="202"/>
      <c r="K141" s="202"/>
      <c r="L141" s="203"/>
      <c r="M141" s="205"/>
    </row>
    <row r="142" customFormat="false" ht="14.25" hidden="false" customHeight="true" outlineLevel="0" collapsed="false">
      <c r="A142" s="202"/>
      <c r="B142" s="203"/>
      <c r="C142" s="203"/>
      <c r="D142" s="203"/>
      <c r="G142" s="95"/>
      <c r="H142" s="204"/>
      <c r="I142" s="203"/>
      <c r="J142" s="202"/>
      <c r="K142" s="202"/>
      <c r="L142" s="203"/>
      <c r="M142" s="205"/>
    </row>
    <row r="143" customFormat="false" ht="14.25" hidden="false" customHeight="true" outlineLevel="0" collapsed="false">
      <c r="A143" s="202"/>
      <c r="B143" s="203"/>
      <c r="C143" s="203"/>
      <c r="D143" s="203"/>
      <c r="G143" s="95"/>
      <c r="H143" s="204"/>
      <c r="I143" s="203"/>
      <c r="J143" s="202"/>
      <c r="K143" s="202"/>
      <c r="L143" s="203"/>
      <c r="M143" s="205"/>
    </row>
    <row r="144" customFormat="false" ht="14.25" hidden="false" customHeight="true" outlineLevel="0" collapsed="false">
      <c r="A144" s="202"/>
      <c r="B144" s="203"/>
      <c r="C144" s="203"/>
      <c r="D144" s="203"/>
      <c r="G144" s="95"/>
      <c r="H144" s="204"/>
      <c r="I144" s="203"/>
      <c r="J144" s="202"/>
      <c r="K144" s="202"/>
      <c r="L144" s="203"/>
      <c r="M144" s="205"/>
    </row>
    <row r="145" customFormat="false" ht="14.25" hidden="false" customHeight="true" outlineLevel="0" collapsed="false">
      <c r="A145" s="202"/>
      <c r="B145" s="203"/>
      <c r="C145" s="203"/>
      <c r="D145" s="203"/>
      <c r="G145" s="95"/>
      <c r="H145" s="204"/>
      <c r="I145" s="203"/>
      <c r="J145" s="202"/>
      <c r="K145" s="202"/>
      <c r="L145" s="203"/>
      <c r="M145" s="205"/>
    </row>
    <row r="146" customFormat="false" ht="15.75" hidden="false" customHeight="true" outlineLevel="0" collapsed="false">
      <c r="A146" s="202"/>
      <c r="B146" s="203"/>
      <c r="C146" s="203"/>
      <c r="D146" s="203"/>
      <c r="G146" s="95"/>
      <c r="H146" s="204"/>
      <c r="I146" s="203"/>
      <c r="J146" s="202"/>
      <c r="K146" s="202"/>
      <c r="L146" s="203"/>
      <c r="M146" s="205" t="s">
        <v>998</v>
      </c>
    </row>
    <row r="147" customFormat="false" ht="14.25" hidden="false" customHeight="true" outlineLevel="0" collapsed="false">
      <c r="A147" s="202"/>
      <c r="B147" s="203"/>
      <c r="C147" s="203"/>
      <c r="D147" s="203"/>
      <c r="G147" s="95"/>
      <c r="H147" s="204"/>
      <c r="I147" s="203"/>
      <c r="J147" s="202"/>
      <c r="K147" s="202"/>
      <c r="L147" s="203"/>
      <c r="M147" s="205"/>
    </row>
    <row r="148" customFormat="false" ht="14.25" hidden="false" customHeight="true" outlineLevel="0" collapsed="false">
      <c r="A148" s="202"/>
      <c r="B148" s="203"/>
      <c r="C148" s="203"/>
      <c r="D148" s="203"/>
      <c r="G148" s="95"/>
      <c r="H148" s="204"/>
      <c r="I148" s="203"/>
      <c r="J148" s="202"/>
      <c r="K148" s="202"/>
      <c r="L148" s="203"/>
      <c r="M148" s="205"/>
    </row>
    <row r="149" customFormat="false" ht="14.25" hidden="false" customHeight="true" outlineLevel="0" collapsed="false">
      <c r="A149" s="202"/>
      <c r="B149" s="203"/>
      <c r="C149" s="203"/>
      <c r="D149" s="203"/>
      <c r="G149" s="95"/>
      <c r="H149" s="204"/>
      <c r="I149" s="203"/>
      <c r="J149" s="202"/>
      <c r="K149" s="202"/>
      <c r="L149" s="203"/>
      <c r="M149" s="205"/>
    </row>
    <row r="150" customFormat="false" ht="14.25" hidden="false" customHeight="true" outlineLevel="0" collapsed="false">
      <c r="A150" s="202"/>
      <c r="B150" s="203"/>
      <c r="C150" s="203"/>
      <c r="D150" s="203"/>
      <c r="G150" s="95"/>
      <c r="H150" s="204"/>
      <c r="I150" s="203"/>
      <c r="J150" s="202"/>
      <c r="K150" s="202"/>
      <c r="L150" s="203"/>
      <c r="M150" s="205"/>
    </row>
    <row r="151" customFormat="false" ht="14.25" hidden="false" customHeight="true" outlineLevel="0" collapsed="false">
      <c r="A151" s="202"/>
      <c r="B151" s="203"/>
      <c r="C151" s="203"/>
      <c r="D151" s="203"/>
      <c r="G151" s="95"/>
      <c r="H151" s="204"/>
      <c r="I151" s="203"/>
      <c r="J151" s="202"/>
      <c r="K151" s="202"/>
      <c r="L151" s="203"/>
      <c r="M151" s="205"/>
    </row>
    <row r="152" customFormat="false" ht="15.75" hidden="false" customHeight="true" outlineLevel="0" collapsed="false">
      <c r="A152" s="202"/>
      <c r="B152" s="203"/>
      <c r="C152" s="203"/>
      <c r="D152" s="203"/>
      <c r="G152" s="95"/>
      <c r="H152" s="204"/>
      <c r="I152" s="203"/>
      <c r="J152" s="202"/>
      <c r="K152" s="202"/>
      <c r="L152" s="203"/>
      <c r="M152" s="205" t="s">
        <v>998</v>
      </c>
    </row>
    <row r="153" customFormat="false" ht="14.25" hidden="false" customHeight="true" outlineLevel="0" collapsed="false">
      <c r="A153" s="202"/>
      <c r="B153" s="203"/>
      <c r="C153" s="203"/>
      <c r="D153" s="203"/>
      <c r="G153" s="95"/>
      <c r="H153" s="204"/>
      <c r="I153" s="203"/>
      <c r="J153" s="202"/>
      <c r="K153" s="202"/>
      <c r="L153" s="203"/>
      <c r="M153" s="205"/>
    </row>
    <row r="154" customFormat="false" ht="14.25" hidden="false" customHeight="true" outlineLevel="0" collapsed="false">
      <c r="A154" s="202"/>
      <c r="B154" s="203"/>
      <c r="C154" s="203"/>
      <c r="D154" s="203"/>
      <c r="G154" s="95"/>
      <c r="H154" s="204"/>
      <c r="I154" s="203"/>
      <c r="J154" s="202"/>
      <c r="K154" s="202"/>
      <c r="L154" s="203"/>
      <c r="M154" s="205"/>
    </row>
    <row r="155" customFormat="false" ht="14.25" hidden="false" customHeight="true" outlineLevel="0" collapsed="false">
      <c r="A155" s="202"/>
      <c r="B155" s="203"/>
      <c r="C155" s="203"/>
      <c r="D155" s="203"/>
      <c r="G155" s="95"/>
      <c r="H155" s="204"/>
      <c r="I155" s="203"/>
      <c r="J155" s="202"/>
      <c r="K155" s="202"/>
      <c r="L155" s="203"/>
      <c r="M155" s="205"/>
    </row>
    <row r="156" customFormat="false" ht="14.25" hidden="false" customHeight="true" outlineLevel="0" collapsed="false">
      <c r="A156" s="202"/>
      <c r="B156" s="203"/>
      <c r="C156" s="203"/>
      <c r="D156" s="203"/>
      <c r="G156" s="95"/>
      <c r="H156" s="204"/>
      <c r="I156" s="203"/>
      <c r="J156" s="202"/>
      <c r="K156" s="202"/>
      <c r="L156" s="203"/>
      <c r="M156" s="205"/>
    </row>
    <row r="157" customFormat="false" ht="14.25" hidden="false" customHeight="true" outlineLevel="0" collapsed="false">
      <c r="A157" s="202"/>
      <c r="B157" s="203"/>
      <c r="C157" s="203"/>
      <c r="D157" s="203"/>
      <c r="G157" s="95"/>
      <c r="H157" s="204"/>
      <c r="I157" s="203"/>
      <c r="J157" s="202"/>
      <c r="K157" s="202"/>
      <c r="L157" s="203"/>
      <c r="M157" s="205"/>
    </row>
    <row r="158" customFormat="false" ht="14.25" hidden="false" customHeight="true" outlineLevel="0" collapsed="false">
      <c r="A158" s="202"/>
      <c r="B158" s="203"/>
      <c r="C158" s="203"/>
      <c r="D158" s="203"/>
      <c r="G158" s="95"/>
      <c r="H158" s="204"/>
      <c r="I158" s="203"/>
      <c r="J158" s="202"/>
      <c r="K158" s="202"/>
      <c r="L158" s="203"/>
      <c r="M158" s="205"/>
    </row>
    <row r="159" customFormat="false" ht="14.25" hidden="false" customHeight="true" outlineLevel="0" collapsed="false">
      <c r="A159" s="202"/>
      <c r="B159" s="203"/>
      <c r="C159" s="203"/>
      <c r="D159" s="203"/>
      <c r="G159" s="95"/>
      <c r="H159" s="204"/>
      <c r="I159" s="203"/>
      <c r="J159" s="202"/>
      <c r="K159" s="202"/>
      <c r="L159" s="203"/>
      <c r="M159" s="205"/>
    </row>
    <row r="160" customFormat="false" ht="14.25" hidden="false" customHeight="true" outlineLevel="0" collapsed="false">
      <c r="A160" s="202"/>
      <c r="B160" s="203"/>
      <c r="C160" s="203"/>
      <c r="D160" s="203"/>
      <c r="G160" s="95"/>
      <c r="H160" s="204"/>
      <c r="I160" s="203"/>
      <c r="J160" s="202"/>
      <c r="K160" s="202"/>
      <c r="L160" s="203"/>
      <c r="M160" s="205"/>
    </row>
    <row r="161" customFormat="false" ht="14.25" hidden="false" customHeight="true" outlineLevel="0" collapsed="false">
      <c r="A161" s="202"/>
      <c r="B161" s="203"/>
      <c r="C161" s="203"/>
      <c r="D161" s="203"/>
      <c r="G161" s="95"/>
      <c r="H161" s="204"/>
      <c r="I161" s="203"/>
      <c r="J161" s="202"/>
      <c r="K161" s="202"/>
      <c r="L161" s="203"/>
      <c r="M161" s="205"/>
    </row>
    <row r="162" customFormat="false" ht="14.25" hidden="false" customHeight="true" outlineLevel="0" collapsed="false">
      <c r="A162" s="202"/>
      <c r="B162" s="203"/>
      <c r="C162" s="203"/>
      <c r="D162" s="203"/>
      <c r="G162" s="95"/>
      <c r="H162" s="204"/>
      <c r="I162" s="203"/>
      <c r="J162" s="202"/>
      <c r="K162" s="202"/>
      <c r="L162" s="203"/>
      <c r="M162" s="205"/>
    </row>
    <row r="163" customFormat="false" ht="14.25" hidden="false" customHeight="true" outlineLevel="0" collapsed="false">
      <c r="A163" s="202"/>
      <c r="B163" s="203"/>
      <c r="C163" s="203"/>
      <c r="D163" s="203"/>
      <c r="G163" s="95"/>
      <c r="H163" s="204"/>
      <c r="I163" s="203"/>
      <c r="J163" s="202"/>
      <c r="K163" s="202"/>
      <c r="L163" s="203"/>
      <c r="M163" s="205"/>
    </row>
    <row r="164" customFormat="false" ht="14.25" hidden="false" customHeight="true" outlineLevel="0" collapsed="false">
      <c r="A164" s="202"/>
      <c r="B164" s="203"/>
      <c r="C164" s="203"/>
      <c r="D164" s="203"/>
      <c r="G164" s="95"/>
      <c r="H164" s="204"/>
      <c r="I164" s="203"/>
      <c r="J164" s="202"/>
      <c r="K164" s="202"/>
      <c r="L164" s="203"/>
      <c r="M164" s="205"/>
    </row>
    <row r="165" customFormat="false" ht="14.25" hidden="false" customHeight="true" outlineLevel="0" collapsed="false">
      <c r="A165" s="202"/>
      <c r="B165" s="203"/>
      <c r="C165" s="203"/>
      <c r="D165" s="203"/>
      <c r="G165" s="95"/>
      <c r="H165" s="204"/>
      <c r="I165" s="203"/>
      <c r="J165" s="202"/>
      <c r="K165" s="202"/>
      <c r="L165" s="203"/>
      <c r="M165" s="205"/>
    </row>
    <row r="166" customFormat="false" ht="14.25" hidden="false" customHeight="true" outlineLevel="0" collapsed="false">
      <c r="A166" s="202"/>
      <c r="B166" s="203"/>
      <c r="C166" s="203"/>
      <c r="D166" s="203"/>
      <c r="G166" s="95"/>
      <c r="H166" s="204"/>
      <c r="I166" s="203"/>
      <c r="J166" s="202"/>
      <c r="K166" s="202"/>
      <c r="L166" s="203"/>
      <c r="M166" s="205"/>
    </row>
    <row r="167" customFormat="false" ht="14.25" hidden="false" customHeight="true" outlineLevel="0" collapsed="false">
      <c r="A167" s="202"/>
      <c r="B167" s="203"/>
      <c r="C167" s="203"/>
      <c r="D167" s="203"/>
      <c r="G167" s="95"/>
      <c r="H167" s="204"/>
      <c r="I167" s="203"/>
      <c r="J167" s="202"/>
      <c r="K167" s="202"/>
      <c r="L167" s="203"/>
      <c r="M167" s="205"/>
    </row>
    <row r="168" customFormat="false" ht="14.25" hidden="false" customHeight="true" outlineLevel="0" collapsed="false">
      <c r="A168" s="202"/>
      <c r="B168" s="203"/>
      <c r="C168" s="203"/>
      <c r="D168" s="203"/>
      <c r="G168" s="95"/>
      <c r="H168" s="204"/>
      <c r="I168" s="203"/>
      <c r="J168" s="202"/>
      <c r="K168" s="202"/>
      <c r="L168" s="203"/>
      <c r="M168" s="205"/>
    </row>
    <row r="169" customFormat="false" ht="14.25" hidden="false" customHeight="true" outlineLevel="0" collapsed="false">
      <c r="A169" s="202"/>
      <c r="B169" s="203"/>
      <c r="C169" s="203"/>
      <c r="D169" s="203"/>
      <c r="G169" s="95"/>
      <c r="H169" s="204"/>
      <c r="I169" s="203"/>
      <c r="J169" s="202"/>
      <c r="K169" s="202"/>
      <c r="L169" s="203"/>
      <c r="M169" s="205"/>
    </row>
    <row r="170" customFormat="false" ht="14.25" hidden="false" customHeight="true" outlineLevel="0" collapsed="false">
      <c r="A170" s="202"/>
      <c r="B170" s="203"/>
      <c r="C170" s="203"/>
      <c r="D170" s="203"/>
      <c r="G170" s="95"/>
      <c r="H170" s="204"/>
      <c r="I170" s="203"/>
      <c r="J170" s="202"/>
      <c r="K170" s="202"/>
      <c r="L170" s="203"/>
      <c r="M170" s="205"/>
    </row>
    <row r="171" customFormat="false" ht="14.25" hidden="false" customHeight="true" outlineLevel="0" collapsed="false">
      <c r="A171" s="202"/>
      <c r="B171" s="203"/>
      <c r="C171" s="203"/>
      <c r="D171" s="203"/>
      <c r="G171" s="95"/>
      <c r="H171" s="204"/>
      <c r="I171" s="203"/>
      <c r="J171" s="202"/>
      <c r="K171" s="202"/>
      <c r="L171" s="203"/>
      <c r="M171" s="205"/>
    </row>
    <row r="172" customFormat="false" ht="14.25" hidden="false" customHeight="true" outlineLevel="0" collapsed="false">
      <c r="A172" s="202"/>
      <c r="B172" s="203"/>
      <c r="C172" s="203"/>
      <c r="D172" s="203"/>
      <c r="G172" s="95"/>
      <c r="H172" s="204"/>
      <c r="I172" s="203"/>
      <c r="J172" s="202"/>
      <c r="K172" s="202"/>
      <c r="L172" s="203"/>
      <c r="M172" s="205"/>
    </row>
    <row r="173" customFormat="false" ht="14.25" hidden="false" customHeight="true" outlineLevel="0" collapsed="false">
      <c r="A173" s="202"/>
      <c r="B173" s="203"/>
      <c r="C173" s="203"/>
      <c r="D173" s="203"/>
      <c r="G173" s="95"/>
      <c r="H173" s="204"/>
      <c r="I173" s="203"/>
      <c r="J173" s="202"/>
      <c r="K173" s="202"/>
      <c r="L173" s="203"/>
      <c r="M173" s="205"/>
    </row>
    <row r="174" customFormat="false" ht="15" hidden="false" customHeight="true" outlineLevel="0" collapsed="false">
      <c r="A174" s="202"/>
      <c r="B174" s="203"/>
      <c r="C174" s="203"/>
      <c r="D174" s="203"/>
      <c r="G174" s="95"/>
      <c r="H174" s="204"/>
      <c r="I174" s="203"/>
      <c r="J174" s="202"/>
      <c r="K174" s="202"/>
      <c r="L174" s="203"/>
      <c r="M174" s="205" t="s">
        <v>998</v>
      </c>
    </row>
    <row r="175" customFormat="false" ht="14.25" hidden="false" customHeight="true" outlineLevel="0" collapsed="false">
      <c r="A175" s="202"/>
      <c r="B175" s="203"/>
      <c r="C175" s="203"/>
      <c r="D175" s="203"/>
      <c r="G175" s="95"/>
      <c r="H175" s="204"/>
      <c r="I175" s="203"/>
      <c r="J175" s="202"/>
      <c r="K175" s="202"/>
      <c r="L175" s="203"/>
      <c r="M175" s="205"/>
    </row>
    <row r="176" customFormat="false" ht="14.25" hidden="false" customHeight="true" outlineLevel="0" collapsed="false">
      <c r="A176" s="202"/>
      <c r="B176" s="203"/>
      <c r="C176" s="203"/>
      <c r="D176" s="203"/>
      <c r="G176" s="95"/>
      <c r="H176" s="204"/>
      <c r="I176" s="203"/>
      <c r="J176" s="202"/>
      <c r="K176" s="202"/>
      <c r="L176" s="203"/>
      <c r="M176" s="205"/>
    </row>
    <row r="177" customFormat="false" ht="15" hidden="false" customHeight="true" outlineLevel="0" collapsed="false">
      <c r="A177" s="202"/>
      <c r="B177" s="203"/>
      <c r="C177" s="203"/>
      <c r="D177" s="203"/>
      <c r="G177" s="95"/>
      <c r="H177" s="204"/>
      <c r="I177" s="203"/>
      <c r="J177" s="202"/>
      <c r="K177" s="202"/>
      <c r="L177" s="203"/>
      <c r="M177" s="205" t="s">
        <v>998</v>
      </c>
    </row>
    <row r="178" customFormat="false" ht="14.25" hidden="false" customHeight="true" outlineLevel="0" collapsed="false">
      <c r="A178" s="202"/>
      <c r="B178" s="203"/>
      <c r="C178" s="203"/>
      <c r="D178" s="203"/>
      <c r="G178" s="95"/>
      <c r="H178" s="204"/>
      <c r="I178" s="203"/>
      <c r="J178" s="202"/>
      <c r="K178" s="202"/>
      <c r="L178" s="203"/>
      <c r="M178" s="205"/>
    </row>
    <row r="179" customFormat="false" ht="14.25" hidden="false" customHeight="true" outlineLevel="0" collapsed="false">
      <c r="A179" s="202"/>
      <c r="B179" s="203"/>
      <c r="C179" s="203"/>
      <c r="D179" s="203"/>
      <c r="G179" s="95"/>
      <c r="H179" s="204"/>
      <c r="I179" s="203"/>
      <c r="J179" s="202"/>
      <c r="K179" s="202"/>
      <c r="L179" s="203"/>
      <c r="M179" s="205"/>
    </row>
    <row r="180" customFormat="false" ht="14.25" hidden="false" customHeight="true" outlineLevel="0" collapsed="false">
      <c r="G180" s="95"/>
      <c r="H180" s="204"/>
    </row>
    <row r="181" customFormat="false" ht="14.25" hidden="false" customHeight="true" outlineLevel="0" collapsed="false">
      <c r="G181" s="95"/>
      <c r="H181" s="204"/>
    </row>
    <row r="182" customFormat="false" ht="14.25" hidden="false" customHeight="true" outlineLevel="0" collapsed="false">
      <c r="G182" s="95"/>
      <c r="H182" s="204"/>
    </row>
    <row r="183" customFormat="false" ht="14.25" hidden="false" customHeight="true" outlineLevel="0" collapsed="false">
      <c r="G183" s="95"/>
      <c r="H183" s="204"/>
    </row>
    <row r="184" customFormat="false" ht="14.25" hidden="false" customHeight="true" outlineLevel="0" collapsed="false">
      <c r="G184" s="95"/>
      <c r="H184" s="204"/>
    </row>
    <row r="185" customFormat="false" ht="14.25" hidden="false" customHeight="true" outlineLevel="0" collapsed="false">
      <c r="G185" s="95"/>
      <c r="H185" s="204"/>
    </row>
    <row r="186" customFormat="false" ht="14.25" hidden="false" customHeight="true" outlineLevel="0" collapsed="false">
      <c r="G186" s="95"/>
      <c r="H186" s="204"/>
    </row>
    <row r="187" customFormat="false" ht="14.25" hidden="false" customHeight="true" outlineLevel="0" collapsed="false">
      <c r="G187" s="95"/>
      <c r="H187" s="204"/>
    </row>
    <row r="188" customFormat="false" ht="14.25" hidden="false" customHeight="true" outlineLevel="0" collapsed="false">
      <c r="G188" s="95"/>
      <c r="H188" s="204"/>
    </row>
    <row r="189" customFormat="false" ht="14.25" hidden="false" customHeight="true" outlineLevel="0" collapsed="false">
      <c r="G189" s="95"/>
      <c r="H189" s="204"/>
    </row>
    <row r="190" customFormat="false" ht="14.25" hidden="false" customHeight="true" outlineLevel="0" collapsed="false">
      <c r="G190" s="95"/>
      <c r="H190" s="204"/>
    </row>
    <row r="191" customFormat="false" ht="14.25" hidden="false" customHeight="true" outlineLevel="0" collapsed="false">
      <c r="G191" s="95"/>
      <c r="H191" s="204"/>
    </row>
    <row r="192" customFormat="false" ht="14.25" hidden="false" customHeight="true" outlineLevel="0" collapsed="false">
      <c r="G192" s="95"/>
      <c r="H192" s="204"/>
    </row>
    <row r="193" customFormat="false" ht="14.25" hidden="false" customHeight="true" outlineLevel="0" collapsed="false">
      <c r="G193" s="95"/>
      <c r="H193" s="204"/>
    </row>
    <row r="194" customFormat="false" ht="14.25" hidden="false" customHeight="true" outlineLevel="0" collapsed="false">
      <c r="G194" s="95"/>
      <c r="H194" s="204"/>
    </row>
    <row r="195" customFormat="false" ht="14.25" hidden="false" customHeight="true" outlineLevel="0" collapsed="false">
      <c r="G195" s="95"/>
      <c r="H195" s="204"/>
    </row>
    <row r="196" customFormat="false" ht="14.25" hidden="false" customHeight="true" outlineLevel="0" collapsed="false">
      <c r="G196" s="95"/>
      <c r="H196" s="204"/>
    </row>
    <row r="197" customFormat="false" ht="14.25" hidden="false" customHeight="true" outlineLevel="0" collapsed="false">
      <c r="G197" s="95"/>
      <c r="H197" s="204"/>
    </row>
    <row r="198" customFormat="false" ht="14.25" hidden="false" customHeight="true" outlineLevel="0" collapsed="false">
      <c r="G198" s="95"/>
      <c r="H198" s="204"/>
    </row>
    <row r="199" customFormat="false" ht="14.25" hidden="false" customHeight="true" outlineLevel="0" collapsed="false">
      <c r="G199" s="95"/>
      <c r="H199" s="204"/>
    </row>
    <row r="200" customFormat="false" ht="14.25" hidden="false" customHeight="true" outlineLevel="0" collapsed="false">
      <c r="G200" s="95"/>
      <c r="H200" s="204"/>
    </row>
    <row r="201" customFormat="false" ht="14.25" hidden="false" customHeight="true" outlineLevel="0" collapsed="false">
      <c r="G201" s="95"/>
      <c r="H201" s="204"/>
    </row>
    <row r="202" customFormat="false" ht="14.25" hidden="false" customHeight="true" outlineLevel="0" collapsed="false">
      <c r="G202" s="95"/>
      <c r="H202" s="204"/>
    </row>
    <row r="203" customFormat="false" ht="14.25" hidden="false" customHeight="true" outlineLevel="0" collapsed="false">
      <c r="G203" s="95"/>
      <c r="H203" s="204"/>
    </row>
    <row r="204" customFormat="false" ht="14.25" hidden="false" customHeight="true" outlineLevel="0" collapsed="false">
      <c r="G204" s="95"/>
      <c r="H204" s="204"/>
    </row>
    <row r="205" customFormat="false" ht="14.25" hidden="false" customHeight="true" outlineLevel="0" collapsed="false">
      <c r="G205" s="95"/>
      <c r="H205" s="204"/>
    </row>
    <row r="206" customFormat="false" ht="14.25" hidden="false" customHeight="true" outlineLevel="0" collapsed="false">
      <c r="G206" s="95"/>
      <c r="H206" s="204"/>
    </row>
    <row r="207" customFormat="false" ht="14.25" hidden="false" customHeight="true" outlineLevel="0" collapsed="false">
      <c r="G207" s="95"/>
      <c r="H207" s="204"/>
    </row>
    <row r="208" customFormat="false" ht="14.25" hidden="false" customHeight="true" outlineLevel="0" collapsed="false">
      <c r="G208" s="95"/>
      <c r="H208" s="204"/>
    </row>
    <row r="209" customFormat="false" ht="14.25" hidden="false" customHeight="true" outlineLevel="0" collapsed="false">
      <c r="G209" s="95"/>
      <c r="H209" s="204"/>
    </row>
    <row r="210" customFormat="false" ht="14.25" hidden="false" customHeight="true" outlineLevel="0" collapsed="false">
      <c r="G210" s="95"/>
      <c r="H210" s="204"/>
    </row>
    <row r="211" customFormat="false" ht="14.25" hidden="false" customHeight="true" outlineLevel="0" collapsed="false">
      <c r="G211" s="95"/>
      <c r="H211" s="204"/>
    </row>
    <row r="212" customFormat="false" ht="14.25" hidden="false" customHeight="true" outlineLevel="0" collapsed="false">
      <c r="G212" s="95"/>
      <c r="H212" s="204"/>
    </row>
    <row r="213" customFormat="false" ht="14.25" hidden="false" customHeight="true" outlineLevel="0" collapsed="false">
      <c r="G213" s="95"/>
      <c r="H213" s="204"/>
    </row>
    <row r="214" customFormat="false" ht="14.25" hidden="false" customHeight="true" outlineLevel="0" collapsed="false">
      <c r="G214" s="95"/>
      <c r="H214" s="204"/>
    </row>
    <row r="215" customFormat="false" ht="14.25" hidden="false" customHeight="true" outlineLevel="0" collapsed="false">
      <c r="G215" s="95"/>
      <c r="H215" s="204"/>
    </row>
    <row r="216" customFormat="false" ht="14.25" hidden="false" customHeight="true" outlineLevel="0" collapsed="false">
      <c r="G216" s="95"/>
      <c r="H216" s="204"/>
    </row>
    <row r="217" customFormat="false" ht="14.25" hidden="false" customHeight="true" outlineLevel="0" collapsed="false">
      <c r="G217" s="95"/>
      <c r="H217" s="204"/>
    </row>
    <row r="218" customFormat="false" ht="14.25" hidden="false" customHeight="true" outlineLevel="0" collapsed="false">
      <c r="G218" s="95"/>
      <c r="H218" s="204"/>
    </row>
    <row r="219" customFormat="false" ht="14.25" hidden="false" customHeight="true" outlineLevel="0" collapsed="false">
      <c r="G219" s="95"/>
      <c r="H219" s="204"/>
    </row>
    <row r="220" customFormat="false" ht="14.25" hidden="false" customHeight="true" outlineLevel="0" collapsed="false">
      <c r="G220" s="95"/>
      <c r="H220" s="204"/>
    </row>
    <row r="221" customFormat="false" ht="14.25" hidden="false" customHeight="true" outlineLevel="0" collapsed="false">
      <c r="G221" s="95"/>
      <c r="H221" s="204"/>
    </row>
    <row r="222" customFormat="false" ht="14.25" hidden="false" customHeight="true" outlineLevel="0" collapsed="false">
      <c r="G222" s="95"/>
      <c r="H222" s="204"/>
    </row>
    <row r="223" customFormat="false" ht="14.25" hidden="false" customHeight="true" outlineLevel="0" collapsed="false">
      <c r="G223" s="95"/>
      <c r="H223" s="204"/>
    </row>
    <row r="224" customFormat="false" ht="14.25" hidden="false" customHeight="true" outlineLevel="0" collapsed="false">
      <c r="G224" s="95"/>
      <c r="H224" s="204"/>
    </row>
    <row r="225" customFormat="false" ht="14.25" hidden="false" customHeight="true" outlineLevel="0" collapsed="false">
      <c r="G225" s="95"/>
      <c r="H225" s="204"/>
    </row>
    <row r="226" customFormat="false" ht="14.25" hidden="false" customHeight="true" outlineLevel="0" collapsed="false">
      <c r="G226" s="95"/>
      <c r="H226" s="204"/>
    </row>
    <row r="227" customFormat="false" ht="14.25" hidden="false" customHeight="true" outlineLevel="0" collapsed="false">
      <c r="G227" s="95"/>
      <c r="H227" s="204"/>
    </row>
    <row r="228" customFormat="false" ht="14.25" hidden="false" customHeight="true" outlineLevel="0" collapsed="false">
      <c r="G228" s="95"/>
      <c r="H228" s="204"/>
    </row>
    <row r="229" customFormat="false" ht="14.25" hidden="false" customHeight="true" outlineLevel="0" collapsed="false">
      <c r="G229" s="95"/>
      <c r="H229" s="204"/>
    </row>
    <row r="230" customFormat="false" ht="14.25" hidden="false" customHeight="true" outlineLevel="0" collapsed="false">
      <c r="G230" s="95"/>
      <c r="H230" s="204"/>
    </row>
    <row r="231" customFormat="false" ht="14.25" hidden="false" customHeight="true" outlineLevel="0" collapsed="false">
      <c r="G231" s="95"/>
      <c r="H231" s="204"/>
    </row>
    <row r="232" customFormat="false" ht="14.25" hidden="false" customHeight="true" outlineLevel="0" collapsed="false">
      <c r="G232" s="95"/>
      <c r="H232" s="204"/>
    </row>
    <row r="233" customFormat="false" ht="14.25" hidden="false" customHeight="true" outlineLevel="0" collapsed="false">
      <c r="G233" s="95"/>
      <c r="H233" s="204"/>
    </row>
    <row r="234" customFormat="false" ht="14.25" hidden="false" customHeight="true" outlineLevel="0" collapsed="false">
      <c r="G234" s="95"/>
      <c r="H234" s="204"/>
    </row>
    <row r="235" customFormat="false" ht="14.25" hidden="false" customHeight="true" outlineLevel="0" collapsed="false">
      <c r="G235" s="95"/>
      <c r="H235" s="204"/>
    </row>
    <row r="236" customFormat="false" ht="14.25" hidden="false" customHeight="true" outlineLevel="0" collapsed="false">
      <c r="G236" s="95"/>
      <c r="H236" s="204"/>
    </row>
    <row r="237" customFormat="false" ht="14.25" hidden="false" customHeight="true" outlineLevel="0" collapsed="false">
      <c r="G237" s="95"/>
      <c r="H237" s="204"/>
    </row>
    <row r="238" customFormat="false" ht="14.25" hidden="false" customHeight="true" outlineLevel="0" collapsed="false">
      <c r="G238" s="95"/>
      <c r="H238" s="204"/>
    </row>
    <row r="239" customFormat="false" ht="14.25" hidden="false" customHeight="true" outlineLevel="0" collapsed="false">
      <c r="G239" s="95"/>
      <c r="H239" s="204"/>
    </row>
    <row r="240" customFormat="false" ht="14.25" hidden="false" customHeight="true" outlineLevel="0" collapsed="false">
      <c r="G240" s="95"/>
      <c r="H240" s="204"/>
    </row>
    <row r="241" customFormat="false" ht="14.25" hidden="false" customHeight="true" outlineLevel="0" collapsed="false">
      <c r="G241" s="95"/>
      <c r="H241" s="204"/>
    </row>
    <row r="242" customFormat="false" ht="14.25" hidden="false" customHeight="true" outlineLevel="0" collapsed="false">
      <c r="G242" s="206"/>
      <c r="H242" s="207"/>
    </row>
  </sheetData>
  <autoFilter ref="A1:N10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9.1484375" defaultRowHeight="14.25" customHeight="false" zeroHeight="false" outlineLevelRow="0" outlineLevelCol="0"/>
  <cols>
    <col collapsed="false" customWidth="true" hidden="false" outlineLevel="0" max="1" min="1" style="94" width="29.57"/>
    <col collapsed="false" customWidth="true" hidden="false" outlineLevel="0" max="2" min="2" style="4" width="44.29"/>
    <col collapsed="false" customWidth="false" hidden="false" outlineLevel="0" max="16384" min="3" style="94" width="9.14"/>
  </cols>
  <sheetData>
    <row r="1" customFormat="false" ht="14.25" hidden="false" customHeight="true" outlineLevel="0" collapsed="false">
      <c r="A1" s="94" t="s">
        <v>1151</v>
      </c>
    </row>
    <row r="2" customFormat="false" ht="14.25" hidden="false" customHeight="true" outlineLevel="0" collapsed="false">
      <c r="A2" s="94" t="s">
        <v>1152</v>
      </c>
    </row>
    <row r="3" customFormat="false" ht="14.25" hidden="false" customHeight="true" outlineLevel="0" collapsed="false">
      <c r="A3" s="94" t="s">
        <v>1153</v>
      </c>
    </row>
    <row r="4" customFormat="false" ht="14.25" hidden="false" customHeight="true" outlineLevel="0" collapsed="false">
      <c r="A4" s="94" t="s">
        <v>1154</v>
      </c>
    </row>
    <row r="5" customFormat="false" ht="43.5" hidden="false" customHeight="true" outlineLevel="0" collapsed="false">
      <c r="A5" s="94" t="s">
        <v>1155</v>
      </c>
      <c r="B5" s="4" t="s">
        <v>1156</v>
      </c>
    </row>
    <row r="7" customFormat="false" ht="28.5" hidden="false" customHeight="true" outlineLevel="0" collapsed="false">
      <c r="A7" s="94" t="s">
        <v>1157</v>
      </c>
      <c r="B7" s="208" t="s">
        <v>1158</v>
      </c>
    </row>
    <row r="8" customFormat="false" ht="14.25" hidden="false" customHeight="true" outlineLevel="0" collapsed="false">
      <c r="A8" s="94" t="s">
        <v>1159</v>
      </c>
    </row>
    <row r="9" customFormat="false" ht="28.5" hidden="false" customHeight="true" outlineLevel="0" collapsed="false">
      <c r="A9" s="94" t="s">
        <v>1160</v>
      </c>
      <c r="B9" s="4" t="s">
        <v>1161</v>
      </c>
    </row>
    <row r="10" customFormat="false" ht="14.25" hidden="false" customHeight="true" outlineLevel="0" collapsed="false">
      <c r="A10" s="94" t="s">
        <v>1162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2"/>
  <sheetViews>
    <sheetView showFormulas="false" showGridLines="true" showRowColHeaders="true" showZeros="true" rightToLeft="false" tabSelected="false" showOutlineSymbols="true" defaultGridColor="true" view="normal" topLeftCell="A60" colorId="64" zoomScale="100" zoomScaleNormal="100" zoomScalePageLayoutView="100" workbookViewId="0">
      <selection pane="topLeft" activeCell="I46" activeCellId="0" sqref="I46"/>
    </sheetView>
  </sheetViews>
  <sheetFormatPr defaultColWidth="9.1484375" defaultRowHeight="14.25" customHeight="false" zeroHeight="false" outlineLevelRow="0" outlineLevelCol="0"/>
  <cols>
    <col collapsed="false" customWidth="false" hidden="false" outlineLevel="0" max="1" min="1" style="93" width="9.14"/>
    <col collapsed="false" customWidth="false" hidden="false" outlineLevel="0" max="2" min="2" style="94" width="9.14"/>
    <col collapsed="false" customWidth="true" hidden="false" outlineLevel="0" max="3" min="3" style="94" width="7.57"/>
    <col collapsed="false" customWidth="true" hidden="false" outlineLevel="0" max="4" min="4" style="94" width="5.14"/>
    <col collapsed="false" customWidth="true" hidden="false" outlineLevel="0" max="5" min="5" style="95" width="7.57"/>
    <col collapsed="false" customWidth="true" hidden="false" outlineLevel="0" max="6" min="6" style="95" width="8.71"/>
    <col collapsed="false" customWidth="true" hidden="false" outlineLevel="0" max="7" min="7" style="96" width="22.29"/>
    <col collapsed="false" customWidth="true" hidden="false" outlineLevel="0" max="8" min="8" style="97" width="19.14"/>
    <col collapsed="false" customWidth="true" hidden="false" outlineLevel="0" max="9" min="9" style="94" width="73.14"/>
    <col collapsed="false" customWidth="true" hidden="false" outlineLevel="0" max="10" min="10" style="93" width="7.71"/>
    <col collapsed="false" customWidth="true" hidden="false" outlineLevel="0" max="11" min="11" style="98" width="7.29"/>
    <col collapsed="false" customWidth="true" hidden="false" outlineLevel="0" max="12" min="12" style="94" width="12.86"/>
    <col collapsed="false" customWidth="true" hidden="false" outlineLevel="0" max="13" min="13" style="94" width="81.14"/>
    <col collapsed="false" customWidth="false" hidden="false" outlineLevel="0" max="16384" min="14" style="94" width="9.14"/>
  </cols>
  <sheetData>
    <row r="1" s="93" customFormat="true" ht="48" hidden="false" customHeight="true" outlineLevel="0" collapsed="false">
      <c r="A1" s="99" t="s">
        <v>609</v>
      </c>
      <c r="B1" s="99" t="s">
        <v>610</v>
      </c>
      <c r="C1" s="99" t="s">
        <v>611</v>
      </c>
      <c r="D1" s="99" t="s">
        <v>612</v>
      </c>
      <c r="E1" s="100" t="s">
        <v>613</v>
      </c>
      <c r="F1" s="100" t="s">
        <v>614</v>
      </c>
      <c r="G1" s="16" t="s">
        <v>615</v>
      </c>
      <c r="H1" s="16" t="s">
        <v>616</v>
      </c>
      <c r="I1" s="99" t="s">
        <v>0</v>
      </c>
      <c r="J1" s="99" t="s">
        <v>617</v>
      </c>
      <c r="K1" s="99" t="s">
        <v>618</v>
      </c>
      <c r="L1" s="99" t="s">
        <v>619</v>
      </c>
      <c r="M1" s="102" t="s">
        <v>620</v>
      </c>
    </row>
    <row r="2" customFormat="false" ht="94.5" hidden="false" customHeight="true" outlineLevel="0" collapsed="false">
      <c r="A2" s="103" t="s">
        <v>622</v>
      </c>
      <c r="B2" s="104" t="s">
        <v>18</v>
      </c>
      <c r="C2" s="104" t="s">
        <v>18</v>
      </c>
      <c r="D2" s="104" t="s">
        <v>623</v>
      </c>
      <c r="E2" s="105" t="s">
        <v>18</v>
      </c>
      <c r="F2" s="105" t="s">
        <v>624</v>
      </c>
      <c r="G2" s="22" t="s">
        <v>625</v>
      </c>
      <c r="H2" s="22" t="s">
        <v>626</v>
      </c>
      <c r="I2" s="20" t="s">
        <v>1163</v>
      </c>
      <c r="J2" s="103" t="s">
        <v>627</v>
      </c>
      <c r="K2" s="106" t="n">
        <v>10</v>
      </c>
      <c r="L2" s="104" t="s">
        <v>628</v>
      </c>
      <c r="M2" s="114" t="s">
        <v>1164</v>
      </c>
    </row>
    <row r="3" customFormat="false" ht="85.5" hidden="false" customHeight="true" outlineLevel="0" collapsed="false">
      <c r="A3" s="103" t="s">
        <v>631</v>
      </c>
      <c r="B3" s="104" t="s">
        <v>140</v>
      </c>
      <c r="C3" s="104" t="s">
        <v>109</v>
      </c>
      <c r="D3" s="104" t="s">
        <v>623</v>
      </c>
      <c r="E3" s="105" t="s">
        <v>33</v>
      </c>
      <c r="F3" s="105" t="s">
        <v>624</v>
      </c>
      <c r="G3" s="22" t="s">
        <v>625</v>
      </c>
      <c r="H3" s="22" t="s">
        <v>626</v>
      </c>
      <c r="I3" s="104" t="s">
        <v>1032</v>
      </c>
      <c r="J3" s="103" t="s">
        <v>627</v>
      </c>
      <c r="K3" s="106" t="n">
        <v>10</v>
      </c>
      <c r="L3" s="104" t="s">
        <v>628</v>
      </c>
      <c r="M3" s="114" t="s">
        <v>1033</v>
      </c>
    </row>
    <row r="4" customFormat="false" ht="48" hidden="false" customHeight="true" outlineLevel="0" collapsed="false">
      <c r="A4" s="109" t="s">
        <v>652</v>
      </c>
      <c r="B4" s="110" t="s">
        <v>33</v>
      </c>
      <c r="C4" s="104" t="s">
        <v>33</v>
      </c>
      <c r="D4" s="104" t="s">
        <v>623</v>
      </c>
      <c r="E4" s="105" t="s">
        <v>76</v>
      </c>
      <c r="F4" s="105" t="s">
        <v>624</v>
      </c>
      <c r="G4" s="22" t="s">
        <v>625</v>
      </c>
      <c r="H4" s="22" t="s">
        <v>635</v>
      </c>
      <c r="I4" s="110" t="s">
        <v>1165</v>
      </c>
      <c r="J4" s="109" t="s">
        <v>627</v>
      </c>
      <c r="K4" s="111" t="n">
        <v>10</v>
      </c>
      <c r="L4" s="110" t="s">
        <v>628</v>
      </c>
      <c r="M4" s="114" t="s">
        <v>1034</v>
      </c>
    </row>
    <row r="5" customFormat="false" ht="105.75" hidden="false" customHeight="true" outlineLevel="0" collapsed="false">
      <c r="A5" s="113" t="s">
        <v>1035</v>
      </c>
      <c r="B5" s="114" t="s">
        <v>639</v>
      </c>
      <c r="C5" s="114" t="s">
        <v>639</v>
      </c>
      <c r="D5" s="104" t="s">
        <v>623</v>
      </c>
      <c r="E5" s="105" t="s">
        <v>1036</v>
      </c>
      <c r="F5" s="105" t="s">
        <v>624</v>
      </c>
      <c r="G5" s="22" t="s">
        <v>625</v>
      </c>
      <c r="H5" s="22" t="s">
        <v>635</v>
      </c>
      <c r="I5" s="30" t="s">
        <v>1166</v>
      </c>
      <c r="J5" s="113" t="s">
        <v>641</v>
      </c>
      <c r="K5" s="115" t="n">
        <v>3.3</v>
      </c>
      <c r="L5" s="114" t="s">
        <v>628</v>
      </c>
      <c r="M5" s="114" t="s">
        <v>1167</v>
      </c>
    </row>
    <row r="6" customFormat="false" ht="42.75" hidden="false" customHeight="true" outlineLevel="0" collapsed="false">
      <c r="A6" s="113" t="s">
        <v>1037</v>
      </c>
      <c r="B6" s="114" t="s">
        <v>644</v>
      </c>
      <c r="C6" s="114" t="s">
        <v>644</v>
      </c>
      <c r="D6" s="104" t="s">
        <v>623</v>
      </c>
      <c r="E6" s="105" t="s">
        <v>1038</v>
      </c>
      <c r="F6" s="105" t="s">
        <v>624</v>
      </c>
      <c r="G6" s="22" t="s">
        <v>625</v>
      </c>
      <c r="H6" s="22" t="s">
        <v>635</v>
      </c>
      <c r="I6" s="30" t="s">
        <v>1168</v>
      </c>
      <c r="J6" s="113" t="s">
        <v>641</v>
      </c>
      <c r="K6" s="115" t="n">
        <v>3.3</v>
      </c>
      <c r="L6" s="114" t="s">
        <v>628</v>
      </c>
      <c r="M6" s="114" t="s">
        <v>1169</v>
      </c>
    </row>
    <row r="7" customFormat="false" ht="40.5" hidden="false" customHeight="true" outlineLevel="0" collapsed="false">
      <c r="A7" s="113" t="s">
        <v>1040</v>
      </c>
      <c r="B7" s="114" t="s">
        <v>648</v>
      </c>
      <c r="C7" s="114" t="s">
        <v>648</v>
      </c>
      <c r="D7" s="104" t="s">
        <v>623</v>
      </c>
      <c r="E7" s="105" t="s">
        <v>1041</v>
      </c>
      <c r="F7" s="105" t="s">
        <v>624</v>
      </c>
      <c r="G7" s="22" t="s">
        <v>625</v>
      </c>
      <c r="H7" s="22" t="s">
        <v>635</v>
      </c>
      <c r="I7" s="30" t="s">
        <v>1170</v>
      </c>
      <c r="J7" s="113" t="s">
        <v>641</v>
      </c>
      <c r="K7" s="115" t="n">
        <v>3.3</v>
      </c>
      <c r="L7" s="114" t="s">
        <v>628</v>
      </c>
      <c r="M7" s="114" t="s">
        <v>1171</v>
      </c>
    </row>
    <row r="8" customFormat="false" ht="54" hidden="false" customHeight="true" outlineLevel="0" collapsed="false">
      <c r="A8" s="103" t="s">
        <v>655</v>
      </c>
      <c r="B8" s="104" t="s">
        <v>109</v>
      </c>
      <c r="C8" s="104" t="s">
        <v>653</v>
      </c>
      <c r="D8" s="104" t="s">
        <v>623</v>
      </c>
      <c r="E8" s="105" t="s">
        <v>656</v>
      </c>
      <c r="F8" s="105" t="s">
        <v>624</v>
      </c>
      <c r="G8" s="22" t="s">
        <v>625</v>
      </c>
      <c r="H8" s="22" t="s">
        <v>635</v>
      </c>
      <c r="I8" s="104" t="s">
        <v>1172</v>
      </c>
      <c r="J8" s="103" t="s">
        <v>627</v>
      </c>
      <c r="K8" s="106" t="n">
        <v>10</v>
      </c>
      <c r="L8" s="104" t="s">
        <v>628</v>
      </c>
      <c r="M8" s="114" t="s">
        <v>1173</v>
      </c>
    </row>
    <row r="9" customFormat="false" ht="391.5" hidden="false" customHeight="true" outlineLevel="0" collapsed="false">
      <c r="A9" s="109" t="s">
        <v>668</v>
      </c>
      <c r="B9" s="110" t="s">
        <v>132</v>
      </c>
      <c r="C9" s="110" t="s">
        <v>656</v>
      </c>
      <c r="D9" s="104" t="s">
        <v>623</v>
      </c>
      <c r="E9" s="105" t="s">
        <v>109</v>
      </c>
      <c r="F9" s="105" t="s">
        <v>624</v>
      </c>
      <c r="G9" s="22" t="s">
        <v>625</v>
      </c>
      <c r="H9" s="22" t="s">
        <v>1174</v>
      </c>
      <c r="I9" s="209" t="s">
        <v>1175</v>
      </c>
      <c r="J9" s="109" t="s">
        <v>627</v>
      </c>
      <c r="K9" s="111" t="n">
        <v>10</v>
      </c>
      <c r="L9" s="110" t="s">
        <v>628</v>
      </c>
      <c r="M9" s="114" t="s">
        <v>1176</v>
      </c>
    </row>
    <row r="10" customFormat="false" ht="25.5" hidden="false" customHeight="true" outlineLevel="0" collapsed="false">
      <c r="A10" s="113" t="s">
        <v>1177</v>
      </c>
      <c r="B10" s="114" t="s">
        <v>1178</v>
      </c>
      <c r="C10" s="114" t="s">
        <v>84</v>
      </c>
      <c r="D10" s="104" t="s">
        <v>623</v>
      </c>
      <c r="E10" s="105" t="s">
        <v>1179</v>
      </c>
      <c r="F10" s="105" t="s">
        <v>624</v>
      </c>
      <c r="G10" s="22" t="s">
        <v>625</v>
      </c>
      <c r="H10" s="22" t="s">
        <v>1174</v>
      </c>
      <c r="I10" s="114" t="s">
        <v>1180</v>
      </c>
      <c r="J10" s="113" t="s">
        <v>641</v>
      </c>
      <c r="K10" s="115" t="n">
        <v>3.3</v>
      </c>
      <c r="L10" s="110" t="s">
        <v>628</v>
      </c>
      <c r="M10" s="114" t="s">
        <v>1181</v>
      </c>
    </row>
    <row r="11" customFormat="false" ht="25.5" hidden="false" customHeight="true" outlineLevel="0" collapsed="false">
      <c r="A11" s="113" t="s">
        <v>1182</v>
      </c>
      <c r="B11" s="114" t="s">
        <v>1183</v>
      </c>
      <c r="C11" s="114" t="s">
        <v>94</v>
      </c>
      <c r="D11" s="104" t="s">
        <v>623</v>
      </c>
      <c r="E11" s="105" t="s">
        <v>1184</v>
      </c>
      <c r="F11" s="105" t="s">
        <v>624</v>
      </c>
      <c r="G11" s="22" t="s">
        <v>625</v>
      </c>
      <c r="H11" s="22" t="s">
        <v>1174</v>
      </c>
      <c r="I11" s="114" t="s">
        <v>1185</v>
      </c>
      <c r="J11" s="113" t="s">
        <v>641</v>
      </c>
      <c r="K11" s="115" t="n">
        <v>3.3</v>
      </c>
      <c r="L11" s="110" t="s">
        <v>628</v>
      </c>
      <c r="M11" s="114" t="s">
        <v>1181</v>
      </c>
    </row>
    <row r="12" customFormat="false" ht="37.5" hidden="false" customHeight="true" outlineLevel="0" collapsed="false">
      <c r="A12" s="113" t="s">
        <v>1186</v>
      </c>
      <c r="B12" s="114" t="s">
        <v>1187</v>
      </c>
      <c r="C12" s="114" t="s">
        <v>101</v>
      </c>
      <c r="D12" s="104" t="s">
        <v>623</v>
      </c>
      <c r="E12" s="105" t="s">
        <v>1188</v>
      </c>
      <c r="F12" s="105" t="s">
        <v>624</v>
      </c>
      <c r="G12" s="22" t="s">
        <v>625</v>
      </c>
      <c r="H12" s="22" t="s">
        <v>1174</v>
      </c>
      <c r="I12" s="114" t="s">
        <v>1189</v>
      </c>
      <c r="J12" s="113" t="s">
        <v>641</v>
      </c>
      <c r="K12" s="115" t="n">
        <v>3.3</v>
      </c>
      <c r="L12" s="110" t="s">
        <v>628</v>
      </c>
      <c r="M12" s="114" t="s">
        <v>1190</v>
      </c>
    </row>
    <row r="13" customFormat="false" ht="87" hidden="false" customHeight="true" outlineLevel="0" collapsed="false">
      <c r="A13" s="103" t="s">
        <v>671</v>
      </c>
      <c r="B13" s="104" t="s">
        <v>656</v>
      </c>
      <c r="C13" s="104" t="s">
        <v>76</v>
      </c>
      <c r="D13" s="104" t="s">
        <v>623</v>
      </c>
      <c r="E13" s="105" t="s">
        <v>673</v>
      </c>
      <c r="F13" s="105" t="s">
        <v>624</v>
      </c>
      <c r="G13" s="22" t="s">
        <v>625</v>
      </c>
      <c r="H13" s="22" t="s">
        <v>1052</v>
      </c>
      <c r="I13" s="104" t="s">
        <v>1191</v>
      </c>
      <c r="J13" s="103" t="s">
        <v>627</v>
      </c>
      <c r="K13" s="106" t="n">
        <v>10</v>
      </c>
      <c r="L13" s="104" t="s">
        <v>628</v>
      </c>
      <c r="M13" s="114" t="s">
        <v>1192</v>
      </c>
    </row>
    <row r="14" s="175" customFormat="true" ht="37.5" hidden="false" customHeight="true" outlineLevel="0" collapsed="false">
      <c r="A14" s="210" t="s">
        <v>633</v>
      </c>
      <c r="B14" s="211" t="s">
        <v>148</v>
      </c>
      <c r="C14" s="211" t="s">
        <v>673</v>
      </c>
      <c r="D14" s="211" t="s">
        <v>623</v>
      </c>
      <c r="E14" s="212" t="s">
        <v>634</v>
      </c>
      <c r="F14" s="212" t="s">
        <v>624</v>
      </c>
      <c r="G14" s="168" t="s">
        <v>625</v>
      </c>
      <c r="H14" s="168" t="s">
        <v>1174</v>
      </c>
      <c r="I14" s="213" t="s">
        <v>1193</v>
      </c>
      <c r="J14" s="210" t="s">
        <v>627</v>
      </c>
      <c r="K14" s="214" t="n">
        <v>10</v>
      </c>
      <c r="L14" s="211" t="s">
        <v>628</v>
      </c>
      <c r="M14" s="215" t="s">
        <v>1194</v>
      </c>
    </row>
    <row r="15" customFormat="false" ht="42" hidden="false" customHeight="true" outlineLevel="0" collapsed="false">
      <c r="A15" s="103" t="s">
        <v>806</v>
      </c>
      <c r="B15" s="104" t="s">
        <v>672</v>
      </c>
      <c r="C15" s="104" t="s">
        <v>140</v>
      </c>
      <c r="D15" s="104" t="s">
        <v>623</v>
      </c>
      <c r="E15" s="105" t="s">
        <v>807</v>
      </c>
      <c r="F15" s="105" t="s">
        <v>624</v>
      </c>
      <c r="G15" s="22" t="s">
        <v>625</v>
      </c>
      <c r="H15" s="22" t="s">
        <v>674</v>
      </c>
      <c r="I15" s="110" t="s">
        <v>675</v>
      </c>
      <c r="J15" s="103" t="s">
        <v>627</v>
      </c>
      <c r="K15" s="106" t="n">
        <v>10</v>
      </c>
      <c r="L15" s="104" t="s">
        <v>686</v>
      </c>
      <c r="M15" s="114" t="s">
        <v>653</v>
      </c>
    </row>
    <row r="16" customFormat="false" ht="81" hidden="false" customHeight="true" outlineLevel="0" collapsed="false">
      <c r="A16" s="113" t="s">
        <v>812</v>
      </c>
      <c r="B16" s="114" t="s">
        <v>263</v>
      </c>
      <c r="C16" s="114" t="s">
        <v>679</v>
      </c>
      <c r="D16" s="104" t="s">
        <v>623</v>
      </c>
      <c r="E16" s="105" t="s">
        <v>337</v>
      </c>
      <c r="F16" s="105" t="s">
        <v>624</v>
      </c>
      <c r="G16" s="22" t="s">
        <v>625</v>
      </c>
      <c r="H16" s="22" t="s">
        <v>674</v>
      </c>
      <c r="I16" s="114" t="s">
        <v>1195</v>
      </c>
      <c r="J16" s="113" t="s">
        <v>641</v>
      </c>
      <c r="K16" s="115" t="n">
        <v>5</v>
      </c>
      <c r="L16" s="110" t="s">
        <v>686</v>
      </c>
      <c r="M16" s="114" t="s">
        <v>1196</v>
      </c>
    </row>
    <row r="17" customFormat="false" ht="100.5" hidden="false" customHeight="true" outlineLevel="0" collapsed="false">
      <c r="A17" s="113" t="s">
        <v>828</v>
      </c>
      <c r="B17" s="114" t="s">
        <v>271</v>
      </c>
      <c r="C17" s="114" t="s">
        <v>684</v>
      </c>
      <c r="D17" s="104" t="s">
        <v>623</v>
      </c>
      <c r="E17" s="105" t="s">
        <v>341</v>
      </c>
      <c r="F17" s="105" t="s">
        <v>624</v>
      </c>
      <c r="G17" s="22" t="s">
        <v>625</v>
      </c>
      <c r="H17" s="22" t="s">
        <v>674</v>
      </c>
      <c r="I17" s="114" t="s">
        <v>1056</v>
      </c>
      <c r="J17" s="113" t="s">
        <v>641</v>
      </c>
      <c r="K17" s="115" t="n">
        <v>5</v>
      </c>
      <c r="L17" s="110" t="s">
        <v>686</v>
      </c>
      <c r="M17" s="114" t="s">
        <v>1197</v>
      </c>
    </row>
    <row r="18" customFormat="false" ht="121.5" hidden="false" customHeight="true" outlineLevel="0" collapsed="false">
      <c r="A18" s="113" t="s">
        <v>846</v>
      </c>
      <c r="B18" s="137" t="s">
        <v>998</v>
      </c>
      <c r="C18" s="137" t="s">
        <v>998</v>
      </c>
      <c r="D18" s="216" t="s">
        <v>623</v>
      </c>
      <c r="E18" s="217" t="s">
        <v>847</v>
      </c>
      <c r="F18" s="217" t="s">
        <v>624</v>
      </c>
      <c r="G18" s="22" t="s">
        <v>625</v>
      </c>
      <c r="H18" s="22" t="s">
        <v>674</v>
      </c>
      <c r="I18" s="20" t="s">
        <v>133</v>
      </c>
      <c r="J18" s="113" t="s">
        <v>627</v>
      </c>
      <c r="K18" s="115" t="n">
        <v>10</v>
      </c>
      <c r="L18" s="216" t="s">
        <v>686</v>
      </c>
      <c r="M18" s="30" t="s">
        <v>1198</v>
      </c>
    </row>
    <row r="19" customFormat="false" ht="88.5" hidden="false" customHeight="true" outlineLevel="0" collapsed="false">
      <c r="A19" s="103" t="s">
        <v>688</v>
      </c>
      <c r="B19" s="104" t="s">
        <v>76</v>
      </c>
      <c r="C19" s="104" t="s">
        <v>634</v>
      </c>
      <c r="D19" s="104" t="s">
        <v>623</v>
      </c>
      <c r="E19" s="105" t="s">
        <v>132</v>
      </c>
      <c r="F19" s="105" t="s">
        <v>624</v>
      </c>
      <c r="G19" s="22" t="s">
        <v>1059</v>
      </c>
      <c r="H19" s="22" t="s">
        <v>693</v>
      </c>
      <c r="I19" s="104" t="s">
        <v>1199</v>
      </c>
      <c r="J19" s="103" t="s">
        <v>627</v>
      </c>
      <c r="K19" s="106" t="n">
        <v>10</v>
      </c>
      <c r="L19" s="104" t="s">
        <v>628</v>
      </c>
      <c r="M19" s="114" t="s">
        <v>1200</v>
      </c>
    </row>
    <row r="20" customFormat="false" ht="63" hidden="false" customHeight="true" outlineLevel="0" collapsed="false">
      <c r="A20" s="140" t="s">
        <v>691</v>
      </c>
      <c r="B20" s="104" t="s">
        <v>695</v>
      </c>
      <c r="C20" s="104" t="s">
        <v>281</v>
      </c>
      <c r="D20" s="104" t="s">
        <v>623</v>
      </c>
      <c r="E20" s="105" t="s">
        <v>140</v>
      </c>
      <c r="F20" s="105" t="s">
        <v>624</v>
      </c>
      <c r="G20" s="22" t="s">
        <v>1059</v>
      </c>
      <c r="H20" s="22" t="s">
        <v>696</v>
      </c>
      <c r="I20" s="218" t="s">
        <v>1201</v>
      </c>
      <c r="J20" s="140" t="s">
        <v>627</v>
      </c>
      <c r="K20" s="142" t="n">
        <v>10</v>
      </c>
      <c r="L20" s="104" t="s">
        <v>628</v>
      </c>
      <c r="M20" s="114" t="s">
        <v>1202</v>
      </c>
      <c r="N20" s="94" t="s">
        <v>1203</v>
      </c>
    </row>
    <row r="21" customFormat="false" ht="67.5" hidden="false" customHeight="true" outlineLevel="0" collapsed="false">
      <c r="A21" s="140" t="s">
        <v>21</v>
      </c>
      <c r="B21" s="104" t="s">
        <v>562</v>
      </c>
      <c r="C21" s="104" t="s">
        <v>699</v>
      </c>
      <c r="D21" s="104" t="s">
        <v>623</v>
      </c>
      <c r="E21" s="105" t="s">
        <v>148</v>
      </c>
      <c r="F21" s="105" t="s">
        <v>624</v>
      </c>
      <c r="G21" s="22" t="s">
        <v>1059</v>
      </c>
      <c r="H21" s="22" t="s">
        <v>696</v>
      </c>
      <c r="I21" s="218" t="s">
        <v>1204</v>
      </c>
      <c r="J21" s="140" t="s">
        <v>627</v>
      </c>
      <c r="K21" s="142" t="n">
        <v>10</v>
      </c>
      <c r="L21" s="104" t="s">
        <v>628</v>
      </c>
      <c r="M21" s="114" t="s">
        <v>1205</v>
      </c>
    </row>
    <row r="22" customFormat="false" ht="81" hidden="false" customHeight="true" outlineLevel="0" collapsed="false">
      <c r="A22" s="103" t="s">
        <v>738</v>
      </c>
      <c r="B22" s="104" t="s">
        <v>255</v>
      </c>
      <c r="C22" s="104" t="s">
        <v>132</v>
      </c>
      <c r="D22" s="104" t="s">
        <v>623</v>
      </c>
      <c r="E22" s="105" t="s">
        <v>739</v>
      </c>
      <c r="F22" s="105" t="s">
        <v>624</v>
      </c>
      <c r="G22" s="22" t="s">
        <v>1059</v>
      </c>
      <c r="H22" s="22" t="s">
        <v>711</v>
      </c>
      <c r="I22" s="104" t="s">
        <v>1206</v>
      </c>
      <c r="J22" s="103" t="s">
        <v>627</v>
      </c>
      <c r="K22" s="106" t="n">
        <v>10</v>
      </c>
      <c r="L22" s="104" t="s">
        <v>628</v>
      </c>
      <c r="M22" s="114" t="s">
        <v>1207</v>
      </c>
    </row>
    <row r="23" customFormat="false" ht="126" hidden="false" customHeight="true" outlineLevel="0" collapsed="false">
      <c r="A23" s="145" t="s">
        <v>754</v>
      </c>
      <c r="B23" s="146"/>
      <c r="C23" s="146"/>
      <c r="D23" s="146" t="s">
        <v>623</v>
      </c>
      <c r="E23" s="96" t="s">
        <v>255</v>
      </c>
      <c r="F23" s="105" t="s">
        <v>624</v>
      </c>
      <c r="G23" s="22" t="s">
        <v>1059</v>
      </c>
      <c r="H23" s="22" t="s">
        <v>711</v>
      </c>
      <c r="I23" s="147" t="s">
        <v>1208</v>
      </c>
      <c r="J23" s="140" t="s">
        <v>627</v>
      </c>
      <c r="K23" s="142" t="n">
        <v>10</v>
      </c>
      <c r="L23" s="104" t="s">
        <v>628</v>
      </c>
      <c r="M23" s="147" t="s">
        <v>1209</v>
      </c>
    </row>
    <row r="24" customFormat="false" ht="54" hidden="false" customHeight="true" outlineLevel="0" collapsed="false">
      <c r="A24" s="103" t="s">
        <v>698</v>
      </c>
      <c r="B24" s="104" t="s">
        <v>653</v>
      </c>
      <c r="C24" s="104" t="s">
        <v>700</v>
      </c>
      <c r="D24" s="104" t="s">
        <v>623</v>
      </c>
      <c r="E24" s="105" t="s">
        <v>700</v>
      </c>
      <c r="F24" s="105" t="s">
        <v>624</v>
      </c>
      <c r="G24" s="22" t="s">
        <v>1066</v>
      </c>
      <c r="H24" s="22" t="s">
        <v>716</v>
      </c>
      <c r="I24" s="110" t="s">
        <v>1067</v>
      </c>
      <c r="J24" s="104" t="s">
        <v>627</v>
      </c>
      <c r="K24" s="106" t="n">
        <v>10</v>
      </c>
      <c r="L24" s="104" t="s">
        <v>718</v>
      </c>
      <c r="M24" s="114" t="s">
        <v>1210</v>
      </c>
    </row>
    <row r="25" customFormat="false" ht="104.25" hidden="false" customHeight="true" outlineLevel="0" collapsed="false">
      <c r="A25" s="140" t="s">
        <v>702</v>
      </c>
      <c r="B25" s="104"/>
      <c r="C25" s="104"/>
      <c r="D25" s="104"/>
      <c r="E25" s="105" t="s">
        <v>159</v>
      </c>
      <c r="F25" s="105" t="s">
        <v>624</v>
      </c>
      <c r="G25" s="22" t="s">
        <v>1066</v>
      </c>
      <c r="H25" s="22" t="s">
        <v>716</v>
      </c>
      <c r="I25" s="104" t="s">
        <v>1211</v>
      </c>
      <c r="J25" s="104" t="s">
        <v>641</v>
      </c>
      <c r="K25" s="106" t="n">
        <v>1.67</v>
      </c>
      <c r="L25" s="104"/>
      <c r="M25" s="215" t="s">
        <v>1212</v>
      </c>
    </row>
    <row r="26" customFormat="false" ht="64.5" hidden="false" customHeight="true" outlineLevel="0" collapsed="false">
      <c r="A26" s="140" t="s">
        <v>706</v>
      </c>
      <c r="B26" s="104"/>
      <c r="C26" s="104"/>
      <c r="D26" s="104"/>
      <c r="E26" s="105" t="s">
        <v>166</v>
      </c>
      <c r="F26" s="105" t="s">
        <v>624</v>
      </c>
      <c r="G26" s="22" t="s">
        <v>1066</v>
      </c>
      <c r="H26" s="22" t="s">
        <v>716</v>
      </c>
      <c r="I26" s="104" t="s">
        <v>1213</v>
      </c>
      <c r="J26" s="104" t="s">
        <v>641</v>
      </c>
      <c r="K26" s="106" t="n">
        <v>1.67</v>
      </c>
      <c r="L26" s="104"/>
      <c r="M26" s="215" t="s">
        <v>1214</v>
      </c>
    </row>
    <row r="27" customFormat="false" ht="72" hidden="false" customHeight="true" outlineLevel="0" collapsed="false">
      <c r="A27" s="140" t="s">
        <v>1069</v>
      </c>
      <c r="B27" s="104"/>
      <c r="C27" s="104"/>
      <c r="D27" s="104"/>
      <c r="E27" s="105" t="s">
        <v>1070</v>
      </c>
      <c r="F27" s="105" t="s">
        <v>624</v>
      </c>
      <c r="G27" s="22" t="s">
        <v>1066</v>
      </c>
      <c r="H27" s="22" t="s">
        <v>716</v>
      </c>
      <c r="I27" s="104" t="s">
        <v>727</v>
      </c>
      <c r="J27" s="104" t="s">
        <v>641</v>
      </c>
      <c r="K27" s="106" t="n">
        <v>1.67</v>
      </c>
      <c r="L27" s="104"/>
      <c r="M27" s="215" t="s">
        <v>1215</v>
      </c>
    </row>
    <row r="28" customFormat="false" ht="65.25" hidden="false" customHeight="true" outlineLevel="0" collapsed="false">
      <c r="A28" s="140" t="s">
        <v>1071</v>
      </c>
      <c r="B28" s="104"/>
      <c r="C28" s="104"/>
      <c r="D28" s="104"/>
      <c r="E28" s="105" t="s">
        <v>1072</v>
      </c>
      <c r="F28" s="105" t="s">
        <v>624</v>
      </c>
      <c r="G28" s="22" t="s">
        <v>1066</v>
      </c>
      <c r="H28" s="22" t="s">
        <v>716</v>
      </c>
      <c r="I28" s="104" t="s">
        <v>1216</v>
      </c>
      <c r="J28" s="104" t="s">
        <v>641</v>
      </c>
      <c r="K28" s="106" t="n">
        <v>1.67</v>
      </c>
      <c r="L28" s="104"/>
      <c r="M28" s="215" t="s">
        <v>1217</v>
      </c>
    </row>
    <row r="29" customFormat="false" ht="74.25" hidden="false" customHeight="true" outlineLevel="0" collapsed="false">
      <c r="A29" s="140" t="s">
        <v>1073</v>
      </c>
      <c r="B29" s="104"/>
      <c r="C29" s="104"/>
      <c r="D29" s="104"/>
      <c r="E29" s="105" t="s">
        <v>1074</v>
      </c>
      <c r="F29" s="105" t="s">
        <v>624</v>
      </c>
      <c r="G29" s="22" t="s">
        <v>1066</v>
      </c>
      <c r="H29" s="22" t="s">
        <v>716</v>
      </c>
      <c r="I29" s="104" t="s">
        <v>733</v>
      </c>
      <c r="J29" s="104" t="s">
        <v>641</v>
      </c>
      <c r="K29" s="106" t="n">
        <v>1.67</v>
      </c>
      <c r="L29" s="104"/>
      <c r="M29" s="215" t="s">
        <v>1218</v>
      </c>
    </row>
    <row r="30" customFormat="false" ht="63.75" hidden="false" customHeight="true" outlineLevel="0" collapsed="false">
      <c r="A30" s="140" t="s">
        <v>1075</v>
      </c>
      <c r="B30" s="104"/>
      <c r="C30" s="104"/>
      <c r="D30" s="104"/>
      <c r="E30" s="105" t="s">
        <v>1076</v>
      </c>
      <c r="F30" s="105" t="s">
        <v>624</v>
      </c>
      <c r="G30" s="22" t="s">
        <v>1066</v>
      </c>
      <c r="H30" s="22" t="s">
        <v>716</v>
      </c>
      <c r="I30" s="104" t="s">
        <v>736</v>
      </c>
      <c r="J30" s="104" t="s">
        <v>641</v>
      </c>
      <c r="K30" s="106" t="n">
        <v>1.67</v>
      </c>
      <c r="L30" s="104"/>
      <c r="M30" s="215" t="s">
        <v>1219</v>
      </c>
    </row>
    <row r="31" customFormat="false" ht="47.25" hidden="false" customHeight="true" outlineLevel="0" collapsed="false">
      <c r="A31" s="109" t="s">
        <v>785</v>
      </c>
      <c r="B31" s="110" t="s">
        <v>634</v>
      </c>
      <c r="C31" s="110" t="s">
        <v>653</v>
      </c>
      <c r="D31" s="104" t="s">
        <v>623</v>
      </c>
      <c r="E31" s="105" t="s">
        <v>788</v>
      </c>
      <c r="F31" s="105" t="s">
        <v>686</v>
      </c>
      <c r="G31" s="22" t="s">
        <v>1078</v>
      </c>
      <c r="H31" s="22" t="s">
        <v>1079</v>
      </c>
      <c r="I31" s="213" t="s">
        <v>1220</v>
      </c>
      <c r="J31" s="109" t="s">
        <v>627</v>
      </c>
      <c r="K31" s="111" t="n">
        <v>10</v>
      </c>
      <c r="L31" s="110" t="s">
        <v>686</v>
      </c>
      <c r="M31" s="114" t="s">
        <v>743</v>
      </c>
    </row>
    <row r="32" customFormat="false" ht="50.25" hidden="false" customHeight="true" outlineLevel="0" collapsed="false">
      <c r="A32" s="113" t="s">
        <v>791</v>
      </c>
      <c r="B32" s="114" t="s">
        <v>45</v>
      </c>
      <c r="C32" s="110" t="s">
        <v>653</v>
      </c>
      <c r="D32" s="104" t="s">
        <v>623</v>
      </c>
      <c r="E32" s="105" t="s">
        <v>301</v>
      </c>
      <c r="F32" s="105" t="s">
        <v>686</v>
      </c>
      <c r="G32" s="22" t="s">
        <v>1078</v>
      </c>
      <c r="H32" s="22" t="s">
        <v>1079</v>
      </c>
      <c r="I32" s="215" t="s">
        <v>1221</v>
      </c>
      <c r="J32" s="113" t="s">
        <v>641</v>
      </c>
      <c r="K32" s="115" t="n">
        <v>3.3</v>
      </c>
      <c r="L32" s="114" t="s">
        <v>686</v>
      </c>
      <c r="M32" s="114" t="s">
        <v>1222</v>
      </c>
    </row>
    <row r="33" customFormat="false" ht="50.25" hidden="false" customHeight="true" outlineLevel="0" collapsed="false">
      <c r="A33" s="113" t="s">
        <v>794</v>
      </c>
      <c r="B33" s="114" t="s">
        <v>59</v>
      </c>
      <c r="C33" s="110" t="s">
        <v>653</v>
      </c>
      <c r="D33" s="104" t="s">
        <v>623</v>
      </c>
      <c r="E33" s="105" t="s">
        <v>309</v>
      </c>
      <c r="F33" s="105" t="s">
        <v>686</v>
      </c>
      <c r="G33" s="22" t="s">
        <v>1078</v>
      </c>
      <c r="H33" s="22" t="s">
        <v>1079</v>
      </c>
      <c r="I33" s="215" t="s">
        <v>1223</v>
      </c>
      <c r="J33" s="113" t="s">
        <v>641</v>
      </c>
      <c r="K33" s="115" t="n">
        <v>3.3</v>
      </c>
      <c r="L33" s="114" t="s">
        <v>686</v>
      </c>
      <c r="M33" s="215" t="s">
        <v>1224</v>
      </c>
    </row>
    <row r="34" customFormat="false" ht="63" hidden="false" customHeight="true" outlineLevel="0" collapsed="false">
      <c r="A34" s="113" t="s">
        <v>797</v>
      </c>
      <c r="B34" s="114" t="s">
        <v>69</v>
      </c>
      <c r="C34" s="110" t="s">
        <v>653</v>
      </c>
      <c r="D34" s="104" t="s">
        <v>623</v>
      </c>
      <c r="E34" s="105" t="s">
        <v>317</v>
      </c>
      <c r="F34" s="105" t="s">
        <v>686</v>
      </c>
      <c r="G34" s="22" t="s">
        <v>1078</v>
      </c>
      <c r="H34" s="22" t="s">
        <v>1079</v>
      </c>
      <c r="I34" s="215" t="s">
        <v>1225</v>
      </c>
      <c r="J34" s="113" t="s">
        <v>641</v>
      </c>
      <c r="K34" s="115" t="n">
        <v>3.3</v>
      </c>
      <c r="L34" s="114" t="s">
        <v>686</v>
      </c>
      <c r="M34" s="114" t="s">
        <v>1226</v>
      </c>
    </row>
    <row r="35" customFormat="false" ht="138.75" hidden="false" customHeight="true" outlineLevel="0" collapsed="false">
      <c r="A35" s="145" t="s">
        <v>800</v>
      </c>
      <c r="B35" s="146"/>
      <c r="C35" s="146"/>
      <c r="D35" s="146" t="s">
        <v>623</v>
      </c>
      <c r="E35" s="96" t="s">
        <v>325</v>
      </c>
      <c r="F35" s="105" t="s">
        <v>686</v>
      </c>
      <c r="G35" s="22" t="s">
        <v>1078</v>
      </c>
      <c r="H35" s="22" t="s">
        <v>1081</v>
      </c>
      <c r="I35" s="211" t="s">
        <v>1227</v>
      </c>
      <c r="J35" s="170" t="s">
        <v>627</v>
      </c>
      <c r="K35" s="171" t="n">
        <v>10</v>
      </c>
      <c r="L35" s="211" t="s">
        <v>686</v>
      </c>
      <c r="M35" s="173" t="s">
        <v>1228</v>
      </c>
    </row>
    <row r="36" customFormat="false" ht="25.5" hidden="false" customHeight="true" outlineLevel="0" collapsed="false">
      <c r="A36" s="109" t="s">
        <v>803</v>
      </c>
      <c r="B36" s="110" t="s">
        <v>673</v>
      </c>
      <c r="C36" s="110" t="s">
        <v>653</v>
      </c>
      <c r="D36" s="104" t="s">
        <v>623</v>
      </c>
      <c r="E36" s="105" t="s">
        <v>333</v>
      </c>
      <c r="F36" s="105" t="s">
        <v>686</v>
      </c>
      <c r="G36" s="22" t="s">
        <v>1078</v>
      </c>
      <c r="H36" s="22" t="s">
        <v>758</v>
      </c>
      <c r="I36" s="213" t="s">
        <v>1229</v>
      </c>
      <c r="J36" s="99" t="s">
        <v>627</v>
      </c>
      <c r="K36" s="219" t="n">
        <v>10</v>
      </c>
      <c r="L36" s="213" t="s">
        <v>686</v>
      </c>
      <c r="M36" s="215" t="s">
        <v>1230</v>
      </c>
    </row>
    <row r="37" customFormat="false" ht="63" hidden="false" customHeight="true" outlineLevel="0" collapsed="false">
      <c r="A37" s="113" t="s">
        <v>1083</v>
      </c>
      <c r="B37" s="114" t="s">
        <v>116</v>
      </c>
      <c r="C37" s="110" t="s">
        <v>653</v>
      </c>
      <c r="D37" s="104" t="s">
        <v>623</v>
      </c>
      <c r="E37" s="105" t="s">
        <v>1084</v>
      </c>
      <c r="F37" s="105" t="s">
        <v>686</v>
      </c>
      <c r="G37" s="22" t="s">
        <v>1078</v>
      </c>
      <c r="H37" s="22" t="s">
        <v>758</v>
      </c>
      <c r="I37" s="215" t="s">
        <v>1231</v>
      </c>
      <c r="J37" s="220" t="s">
        <v>641</v>
      </c>
      <c r="K37" s="221" t="n">
        <v>5</v>
      </c>
      <c r="L37" s="211" t="s">
        <v>686</v>
      </c>
      <c r="M37" s="215" t="s">
        <v>1232</v>
      </c>
    </row>
    <row r="38" customFormat="false" ht="50.25" hidden="false" customHeight="true" outlineLevel="0" collapsed="false">
      <c r="A38" s="113" t="s">
        <v>1086</v>
      </c>
      <c r="B38" s="114" t="s">
        <v>128</v>
      </c>
      <c r="C38" s="110" t="s">
        <v>653</v>
      </c>
      <c r="D38" s="104" t="s">
        <v>623</v>
      </c>
      <c r="E38" s="105" t="s">
        <v>1087</v>
      </c>
      <c r="F38" s="105" t="s">
        <v>686</v>
      </c>
      <c r="G38" s="22" t="s">
        <v>1078</v>
      </c>
      <c r="H38" s="22" t="s">
        <v>758</v>
      </c>
      <c r="I38" s="215" t="s">
        <v>1088</v>
      </c>
      <c r="J38" s="220" t="s">
        <v>641</v>
      </c>
      <c r="K38" s="221" t="n">
        <v>5</v>
      </c>
      <c r="L38" s="211" t="s">
        <v>686</v>
      </c>
      <c r="M38" s="215" t="s">
        <v>1233</v>
      </c>
    </row>
    <row r="39" customFormat="false" ht="63" hidden="false" customHeight="true" outlineLevel="0" collapsed="false">
      <c r="A39" s="103" t="s">
        <v>870</v>
      </c>
      <c r="B39" s="104" t="s">
        <v>172</v>
      </c>
      <c r="C39" s="104" t="s">
        <v>653</v>
      </c>
      <c r="D39" s="104" t="s">
        <v>623</v>
      </c>
      <c r="E39" s="105" t="s">
        <v>871</v>
      </c>
      <c r="F39" s="105" t="s">
        <v>686</v>
      </c>
      <c r="G39" s="22" t="s">
        <v>1078</v>
      </c>
      <c r="H39" s="22" t="s">
        <v>768</v>
      </c>
      <c r="I39" s="211" t="s">
        <v>1090</v>
      </c>
      <c r="J39" s="210" t="s">
        <v>627</v>
      </c>
      <c r="K39" s="214" t="n">
        <v>10</v>
      </c>
      <c r="L39" s="211" t="s">
        <v>686</v>
      </c>
      <c r="M39" s="215" t="s">
        <v>1091</v>
      </c>
    </row>
    <row r="40" customFormat="false" ht="126" hidden="false" customHeight="true" outlineLevel="0" collapsed="false">
      <c r="A40" s="140" t="s">
        <v>938</v>
      </c>
      <c r="B40" s="104" t="s">
        <v>772</v>
      </c>
      <c r="C40" s="104" t="s">
        <v>653</v>
      </c>
      <c r="D40" s="104" t="s">
        <v>623</v>
      </c>
      <c r="E40" s="105" t="s">
        <v>939</v>
      </c>
      <c r="F40" s="151" t="s">
        <v>686</v>
      </c>
      <c r="G40" s="22" t="s">
        <v>1078</v>
      </c>
      <c r="H40" s="22" t="s">
        <v>1092</v>
      </c>
      <c r="I40" s="211" t="s">
        <v>1093</v>
      </c>
      <c r="J40" s="170" t="s">
        <v>627</v>
      </c>
      <c r="K40" s="171" t="n">
        <v>10</v>
      </c>
      <c r="L40" s="211" t="s">
        <v>686</v>
      </c>
      <c r="M40" s="215" t="s">
        <v>1234</v>
      </c>
    </row>
    <row r="41" customFormat="false" ht="264.75" hidden="false" customHeight="true" outlineLevel="0" collapsed="false">
      <c r="A41" s="140" t="s">
        <v>960</v>
      </c>
      <c r="B41" s="104" t="s">
        <v>776</v>
      </c>
      <c r="C41" s="104" t="s">
        <v>653</v>
      </c>
      <c r="D41" s="104" t="s">
        <v>623</v>
      </c>
      <c r="E41" s="105" t="s">
        <v>695</v>
      </c>
      <c r="F41" s="151" t="s">
        <v>686</v>
      </c>
      <c r="G41" s="22" t="s">
        <v>1078</v>
      </c>
      <c r="H41" s="22" t="s">
        <v>1092</v>
      </c>
      <c r="I41" s="104" t="s">
        <v>1095</v>
      </c>
      <c r="J41" s="140" t="s">
        <v>627</v>
      </c>
      <c r="K41" s="142" t="n">
        <v>10</v>
      </c>
      <c r="L41" s="104" t="s">
        <v>686</v>
      </c>
      <c r="M41" s="114" t="s">
        <v>1235</v>
      </c>
    </row>
    <row r="42" customFormat="false" ht="53.25" hidden="false" customHeight="true" outlineLevel="0" collapsed="false">
      <c r="A42" s="140" t="s">
        <v>970</v>
      </c>
      <c r="B42" s="104" t="s">
        <v>786</v>
      </c>
      <c r="C42" s="104" t="s">
        <v>787</v>
      </c>
      <c r="D42" s="104" t="s">
        <v>623</v>
      </c>
      <c r="E42" s="105" t="s">
        <v>562</v>
      </c>
      <c r="F42" s="151" t="s">
        <v>686</v>
      </c>
      <c r="G42" s="22" t="s">
        <v>1078</v>
      </c>
      <c r="H42" s="22" t="s">
        <v>1092</v>
      </c>
      <c r="I42" s="104" t="s">
        <v>1098</v>
      </c>
      <c r="J42" s="140" t="s">
        <v>627</v>
      </c>
      <c r="K42" s="142" t="n">
        <v>10</v>
      </c>
      <c r="L42" s="104" t="s">
        <v>686</v>
      </c>
      <c r="M42" s="114" t="s">
        <v>1236</v>
      </c>
    </row>
    <row r="43" customFormat="false" ht="50.25" hidden="false" customHeight="true" outlineLevel="0" collapsed="false">
      <c r="A43" s="140" t="s">
        <v>973</v>
      </c>
      <c r="B43" s="104" t="s">
        <v>801</v>
      </c>
      <c r="C43" s="104" t="s">
        <v>653</v>
      </c>
      <c r="D43" s="104" t="s">
        <v>623</v>
      </c>
      <c r="E43" s="105" t="s">
        <v>566</v>
      </c>
      <c r="F43" s="151" t="s">
        <v>686</v>
      </c>
      <c r="G43" s="22" t="s">
        <v>1078</v>
      </c>
      <c r="H43" s="22" t="s">
        <v>1092</v>
      </c>
      <c r="I43" s="104" t="s">
        <v>1103</v>
      </c>
      <c r="J43" s="140" t="s">
        <v>627</v>
      </c>
      <c r="K43" s="142" t="n">
        <v>10</v>
      </c>
      <c r="L43" s="104" t="s">
        <v>686</v>
      </c>
      <c r="M43" s="114" t="s">
        <v>1237</v>
      </c>
    </row>
    <row r="44" customFormat="false" ht="88.5" hidden="false" customHeight="true" outlineLevel="0" collapsed="false">
      <c r="A44" s="103" t="s">
        <v>881</v>
      </c>
      <c r="B44" s="104" t="s">
        <v>714</v>
      </c>
      <c r="C44" s="104" t="s">
        <v>653</v>
      </c>
      <c r="D44" s="104" t="s">
        <v>623</v>
      </c>
      <c r="E44" s="105" t="s">
        <v>772</v>
      </c>
      <c r="F44" s="151" t="s">
        <v>686</v>
      </c>
      <c r="G44" s="22" t="s">
        <v>1078</v>
      </c>
      <c r="H44" s="22" t="s">
        <v>804</v>
      </c>
      <c r="I44" s="104" t="s">
        <v>1105</v>
      </c>
      <c r="J44" s="103" t="s">
        <v>627</v>
      </c>
      <c r="K44" s="106" t="n">
        <v>10</v>
      </c>
      <c r="L44" s="104" t="s">
        <v>686</v>
      </c>
      <c r="M44" s="114" t="s">
        <v>1238</v>
      </c>
    </row>
    <row r="45" s="232" customFormat="true" ht="282.75" hidden="false" customHeight="true" outlineLevel="0" collapsed="false">
      <c r="A45" s="222" t="s">
        <v>771</v>
      </c>
      <c r="B45" s="223"/>
      <c r="C45" s="223"/>
      <c r="D45" s="223" t="s">
        <v>623</v>
      </c>
      <c r="E45" s="224" t="s">
        <v>281</v>
      </c>
      <c r="F45" s="225" t="s">
        <v>624</v>
      </c>
      <c r="G45" s="226"/>
      <c r="H45" s="227"/>
      <c r="I45" s="228" t="s">
        <v>1239</v>
      </c>
      <c r="J45" s="229" t="s">
        <v>627</v>
      </c>
      <c r="K45" s="230" t="n">
        <v>10</v>
      </c>
      <c r="L45" s="231" t="s">
        <v>628</v>
      </c>
      <c r="M45" s="228" t="s">
        <v>1240</v>
      </c>
    </row>
    <row r="46" s="232" customFormat="true" ht="108.75" hidden="false" customHeight="true" outlineLevel="0" collapsed="false">
      <c r="A46" s="222" t="s">
        <v>775</v>
      </c>
      <c r="B46" s="223"/>
      <c r="C46" s="223"/>
      <c r="D46" s="223" t="s">
        <v>623</v>
      </c>
      <c r="E46" s="224" t="s">
        <v>699</v>
      </c>
      <c r="F46" s="225" t="s">
        <v>624</v>
      </c>
      <c r="G46" s="226"/>
      <c r="H46" s="227"/>
      <c r="I46" s="228" t="s">
        <v>1241</v>
      </c>
      <c r="J46" s="229" t="s">
        <v>627</v>
      </c>
      <c r="K46" s="230" t="n">
        <v>10</v>
      </c>
      <c r="L46" s="229" t="s">
        <v>628</v>
      </c>
      <c r="M46" s="228" t="s">
        <v>1242</v>
      </c>
    </row>
    <row r="47" customFormat="false" ht="56.25" hidden="false" customHeight="true" outlineLevel="0" collapsed="false">
      <c r="A47" s="103" t="s">
        <v>892</v>
      </c>
      <c r="B47" s="104" t="s">
        <v>281</v>
      </c>
      <c r="C47" s="104" t="s">
        <v>653</v>
      </c>
      <c r="D47" s="104" t="s">
        <v>623</v>
      </c>
      <c r="E47" s="105" t="s">
        <v>776</v>
      </c>
      <c r="F47" s="151" t="s">
        <v>686</v>
      </c>
      <c r="G47" s="22" t="s">
        <v>808</v>
      </c>
      <c r="H47" s="22" t="s">
        <v>1243</v>
      </c>
      <c r="I47" s="110" t="s">
        <v>1244</v>
      </c>
      <c r="J47" s="103" t="s">
        <v>627</v>
      </c>
      <c r="K47" s="106" t="n">
        <v>10</v>
      </c>
      <c r="L47" s="104" t="s">
        <v>686</v>
      </c>
      <c r="M47" s="233" t="s">
        <v>653</v>
      </c>
    </row>
    <row r="48" customFormat="false" ht="37.5" hidden="false" customHeight="true" outlineLevel="0" collapsed="false">
      <c r="A48" s="113" t="s">
        <v>895</v>
      </c>
      <c r="B48" s="114" t="s">
        <v>1245</v>
      </c>
      <c r="C48" s="114" t="s">
        <v>653</v>
      </c>
      <c r="D48" s="104" t="s">
        <v>623</v>
      </c>
      <c r="E48" s="105" t="s">
        <v>427</v>
      </c>
      <c r="F48" s="151" t="s">
        <v>686</v>
      </c>
      <c r="G48" s="22" t="s">
        <v>808</v>
      </c>
      <c r="H48" s="22" t="s">
        <v>1243</v>
      </c>
      <c r="I48" s="114" t="s">
        <v>1246</v>
      </c>
      <c r="J48" s="113" t="s">
        <v>641</v>
      </c>
      <c r="K48" s="115" t="n">
        <v>3.3</v>
      </c>
      <c r="L48" s="110" t="s">
        <v>686</v>
      </c>
      <c r="M48" s="114" t="s">
        <v>1247</v>
      </c>
    </row>
    <row r="49" customFormat="false" ht="88.5" hidden="false" customHeight="true" outlineLevel="0" collapsed="false">
      <c r="A49" s="113" t="s">
        <v>899</v>
      </c>
      <c r="B49" s="114" t="s">
        <v>1248</v>
      </c>
      <c r="C49" s="114" t="s">
        <v>653</v>
      </c>
      <c r="D49" s="104" t="s">
        <v>623</v>
      </c>
      <c r="E49" s="105" t="s">
        <v>440</v>
      </c>
      <c r="F49" s="151" t="s">
        <v>686</v>
      </c>
      <c r="G49" s="22" t="s">
        <v>808</v>
      </c>
      <c r="H49" s="22" t="s">
        <v>1243</v>
      </c>
      <c r="I49" s="114" t="s">
        <v>829</v>
      </c>
      <c r="J49" s="113" t="s">
        <v>641</v>
      </c>
      <c r="K49" s="115" t="n">
        <v>3.3</v>
      </c>
      <c r="L49" s="110" t="s">
        <v>686</v>
      </c>
      <c r="M49" s="114" t="s">
        <v>1249</v>
      </c>
    </row>
    <row r="50" customFormat="false" ht="25.5" hidden="false" customHeight="true" outlineLevel="0" collapsed="false">
      <c r="A50" s="113" t="s">
        <v>904</v>
      </c>
      <c r="B50" s="114" t="s">
        <v>998</v>
      </c>
      <c r="C50" s="114" t="s">
        <v>653</v>
      </c>
      <c r="D50" s="104" t="s">
        <v>623</v>
      </c>
      <c r="E50" s="105" t="s">
        <v>447</v>
      </c>
      <c r="F50" s="151" t="s">
        <v>686</v>
      </c>
      <c r="G50" s="22" t="s">
        <v>808</v>
      </c>
      <c r="H50" s="22" t="s">
        <v>1243</v>
      </c>
      <c r="I50" s="114" t="s">
        <v>838</v>
      </c>
      <c r="J50" s="113" t="s">
        <v>641</v>
      </c>
      <c r="K50" s="115" t="n">
        <v>3.3</v>
      </c>
      <c r="L50" s="110" t="s">
        <v>686</v>
      </c>
      <c r="M50" s="114" t="s">
        <v>1250</v>
      </c>
    </row>
    <row r="51" customFormat="false" ht="50.25" hidden="false" customHeight="true" outlineLevel="0" collapsed="false">
      <c r="A51" s="103" t="s">
        <v>912</v>
      </c>
      <c r="B51" s="104" t="s">
        <v>699</v>
      </c>
      <c r="C51" s="104" t="s">
        <v>653</v>
      </c>
      <c r="D51" s="104" t="s">
        <v>623</v>
      </c>
      <c r="E51" s="105" t="s">
        <v>786</v>
      </c>
      <c r="F51" s="151" t="s">
        <v>686</v>
      </c>
      <c r="G51" s="22" t="s">
        <v>808</v>
      </c>
      <c r="H51" s="22" t="s">
        <v>848</v>
      </c>
      <c r="I51" s="110" t="s">
        <v>849</v>
      </c>
      <c r="J51" s="103" t="s">
        <v>627</v>
      </c>
      <c r="K51" s="106" t="n">
        <v>10</v>
      </c>
      <c r="L51" s="110" t="s">
        <v>686</v>
      </c>
      <c r="M51" s="114" t="s">
        <v>653</v>
      </c>
    </row>
    <row r="52" customFormat="false" ht="113.25" hidden="false" customHeight="true" outlineLevel="0" collapsed="false">
      <c r="A52" s="113" t="s">
        <v>916</v>
      </c>
      <c r="B52" s="114" t="s">
        <v>287</v>
      </c>
      <c r="C52" s="114" t="s">
        <v>653</v>
      </c>
      <c r="D52" s="104" t="s">
        <v>623</v>
      </c>
      <c r="E52" s="105" t="s">
        <v>457</v>
      </c>
      <c r="F52" s="151" t="s">
        <v>686</v>
      </c>
      <c r="G52" s="22" t="s">
        <v>808</v>
      </c>
      <c r="H52" s="22" t="s">
        <v>848</v>
      </c>
      <c r="I52" s="114" t="s">
        <v>851</v>
      </c>
      <c r="J52" s="113" t="s">
        <v>641</v>
      </c>
      <c r="K52" s="115" t="n">
        <v>3.3</v>
      </c>
      <c r="L52" s="104" t="s">
        <v>686</v>
      </c>
      <c r="M52" s="114" t="s">
        <v>1251</v>
      </c>
    </row>
    <row r="53" customFormat="false" ht="88.5" hidden="false" customHeight="true" outlineLevel="0" collapsed="false">
      <c r="A53" s="113" t="s">
        <v>919</v>
      </c>
      <c r="B53" s="114" t="s">
        <v>295</v>
      </c>
      <c r="C53" s="114" t="s">
        <v>653</v>
      </c>
      <c r="D53" s="104" t="s">
        <v>623</v>
      </c>
      <c r="E53" s="105" t="s">
        <v>469</v>
      </c>
      <c r="F53" s="151" t="s">
        <v>686</v>
      </c>
      <c r="G53" s="22" t="s">
        <v>808</v>
      </c>
      <c r="H53" s="22" t="s">
        <v>848</v>
      </c>
      <c r="I53" s="114" t="s">
        <v>855</v>
      </c>
      <c r="J53" s="113" t="s">
        <v>641</v>
      </c>
      <c r="K53" s="115" t="n">
        <v>3.3</v>
      </c>
      <c r="L53" s="104" t="s">
        <v>686</v>
      </c>
      <c r="M53" s="114" t="s">
        <v>1252</v>
      </c>
    </row>
    <row r="54" customFormat="false" ht="25.5" hidden="false" customHeight="true" outlineLevel="0" collapsed="false">
      <c r="A54" s="113" t="s">
        <v>1110</v>
      </c>
      <c r="B54" s="114" t="s">
        <v>653</v>
      </c>
      <c r="C54" s="114" t="s">
        <v>653</v>
      </c>
      <c r="D54" s="104" t="s">
        <v>623</v>
      </c>
      <c r="E54" s="105" t="s">
        <v>1111</v>
      </c>
      <c r="F54" s="151" t="s">
        <v>686</v>
      </c>
      <c r="G54" s="22" t="s">
        <v>808</v>
      </c>
      <c r="H54" s="22" t="s">
        <v>848</v>
      </c>
      <c r="I54" s="114" t="s">
        <v>838</v>
      </c>
      <c r="J54" s="113" t="s">
        <v>641</v>
      </c>
      <c r="K54" s="115" t="n">
        <v>3.3</v>
      </c>
      <c r="L54" s="110" t="s">
        <v>686</v>
      </c>
      <c r="M54" s="114" t="s">
        <v>1112</v>
      </c>
    </row>
    <row r="55" customFormat="false" ht="37.5" hidden="false" customHeight="true" outlineLevel="0" collapsed="false">
      <c r="A55" s="103" t="s">
        <v>922</v>
      </c>
      <c r="B55" s="104" t="s">
        <v>788</v>
      </c>
      <c r="C55" s="104" t="s">
        <v>653</v>
      </c>
      <c r="D55" s="104" t="s">
        <v>623</v>
      </c>
      <c r="E55" s="105" t="s">
        <v>923</v>
      </c>
      <c r="F55" s="151" t="s">
        <v>686</v>
      </c>
      <c r="G55" s="22" t="s">
        <v>808</v>
      </c>
      <c r="H55" s="22" t="s">
        <v>861</v>
      </c>
      <c r="I55" s="110" t="s">
        <v>862</v>
      </c>
      <c r="J55" s="103" t="s">
        <v>627</v>
      </c>
      <c r="K55" s="106" t="n">
        <v>10</v>
      </c>
      <c r="L55" s="104" t="s">
        <v>686</v>
      </c>
      <c r="M55" s="114" t="s">
        <v>653</v>
      </c>
    </row>
    <row r="56" customFormat="false" ht="75.75" hidden="false" customHeight="true" outlineLevel="0" collapsed="false">
      <c r="A56" s="103" t="s">
        <v>926</v>
      </c>
      <c r="B56" s="104" t="s">
        <v>653</v>
      </c>
      <c r="C56" s="104" t="s">
        <v>653</v>
      </c>
      <c r="D56" s="104" t="s">
        <v>623</v>
      </c>
      <c r="E56" s="105" t="s">
        <v>478</v>
      </c>
      <c r="F56" s="151" t="s">
        <v>686</v>
      </c>
      <c r="G56" s="22" t="s">
        <v>808</v>
      </c>
      <c r="H56" s="22" t="s">
        <v>861</v>
      </c>
      <c r="I56" s="114" t="s">
        <v>864</v>
      </c>
      <c r="J56" s="113" t="s">
        <v>641</v>
      </c>
      <c r="K56" s="106" t="n">
        <v>3.3</v>
      </c>
      <c r="L56" s="110" t="s">
        <v>686</v>
      </c>
      <c r="M56" s="114" t="s">
        <v>1253</v>
      </c>
    </row>
    <row r="57" customFormat="false" ht="88.5" hidden="false" customHeight="true" outlineLevel="0" collapsed="false">
      <c r="A57" s="103" t="s">
        <v>929</v>
      </c>
      <c r="B57" s="104" t="s">
        <v>653</v>
      </c>
      <c r="C57" s="104" t="s">
        <v>653</v>
      </c>
      <c r="D57" s="104" t="s">
        <v>623</v>
      </c>
      <c r="E57" s="105" t="s">
        <v>489</v>
      </c>
      <c r="F57" s="151" t="s">
        <v>686</v>
      </c>
      <c r="G57" s="22" t="s">
        <v>808</v>
      </c>
      <c r="H57" s="22" t="s">
        <v>861</v>
      </c>
      <c r="I57" s="114" t="s">
        <v>855</v>
      </c>
      <c r="J57" s="113" t="s">
        <v>641</v>
      </c>
      <c r="K57" s="106" t="n">
        <v>3.3</v>
      </c>
      <c r="L57" s="110" t="s">
        <v>686</v>
      </c>
      <c r="M57" s="114" t="s">
        <v>1254</v>
      </c>
    </row>
    <row r="58" customFormat="false" ht="25.5" hidden="false" customHeight="true" outlineLevel="0" collapsed="false">
      <c r="A58" s="103" t="s">
        <v>1114</v>
      </c>
      <c r="B58" s="104" t="s">
        <v>653</v>
      </c>
      <c r="C58" s="104" t="s">
        <v>653</v>
      </c>
      <c r="D58" s="104" t="s">
        <v>623</v>
      </c>
      <c r="E58" s="105" t="s">
        <v>1115</v>
      </c>
      <c r="F58" s="151" t="s">
        <v>686</v>
      </c>
      <c r="G58" s="22" t="s">
        <v>808</v>
      </c>
      <c r="H58" s="22" t="s">
        <v>861</v>
      </c>
      <c r="I58" s="114" t="s">
        <v>838</v>
      </c>
      <c r="J58" s="113" t="s">
        <v>641</v>
      </c>
      <c r="K58" s="106" t="n">
        <v>3.3</v>
      </c>
      <c r="L58" s="110" t="s">
        <v>686</v>
      </c>
      <c r="M58" s="114" t="s">
        <v>1255</v>
      </c>
    </row>
    <row r="59" customFormat="false" ht="37.5" hidden="false" customHeight="true" outlineLevel="0" collapsed="false">
      <c r="A59" s="103" t="s">
        <v>933</v>
      </c>
      <c r="B59" s="104" t="s">
        <v>653</v>
      </c>
      <c r="C59" s="104" t="s">
        <v>653</v>
      </c>
      <c r="D59" s="104" t="s">
        <v>623</v>
      </c>
      <c r="E59" s="105" t="s">
        <v>501</v>
      </c>
      <c r="F59" s="151" t="s">
        <v>686</v>
      </c>
      <c r="G59" s="22" t="s">
        <v>808</v>
      </c>
      <c r="H59" s="22" t="s">
        <v>872</v>
      </c>
      <c r="I59" s="110" t="s">
        <v>873</v>
      </c>
      <c r="J59" s="103" t="s">
        <v>627</v>
      </c>
      <c r="K59" s="106" t="n">
        <v>10</v>
      </c>
      <c r="L59" s="104" t="s">
        <v>686</v>
      </c>
      <c r="M59" s="114" t="s">
        <v>653</v>
      </c>
    </row>
    <row r="60" customFormat="false" ht="78" hidden="false" customHeight="true" outlineLevel="0" collapsed="false">
      <c r="A60" s="103" t="s">
        <v>1116</v>
      </c>
      <c r="B60" s="104" t="s">
        <v>653</v>
      </c>
      <c r="C60" s="104" t="s">
        <v>653</v>
      </c>
      <c r="D60" s="104" t="s">
        <v>623</v>
      </c>
      <c r="E60" s="105" t="s">
        <v>1117</v>
      </c>
      <c r="F60" s="151" t="s">
        <v>686</v>
      </c>
      <c r="G60" s="22" t="s">
        <v>808</v>
      </c>
      <c r="H60" s="22" t="s">
        <v>872</v>
      </c>
      <c r="I60" s="114" t="s">
        <v>875</v>
      </c>
      <c r="J60" s="113" t="s">
        <v>641</v>
      </c>
      <c r="K60" s="106" t="n">
        <v>3.3</v>
      </c>
      <c r="L60" s="110" t="s">
        <v>686</v>
      </c>
      <c r="M60" s="114" t="s">
        <v>1256</v>
      </c>
    </row>
    <row r="61" customFormat="false" ht="93" hidden="false" customHeight="true" outlineLevel="0" collapsed="false">
      <c r="A61" s="103" t="s">
        <v>1119</v>
      </c>
      <c r="B61" s="104" t="s">
        <v>653</v>
      </c>
      <c r="C61" s="104" t="s">
        <v>653</v>
      </c>
      <c r="D61" s="104" t="s">
        <v>623</v>
      </c>
      <c r="E61" s="105" t="s">
        <v>1120</v>
      </c>
      <c r="F61" s="151" t="s">
        <v>686</v>
      </c>
      <c r="G61" s="22" t="s">
        <v>808</v>
      </c>
      <c r="H61" s="22" t="s">
        <v>872</v>
      </c>
      <c r="I61" s="114" t="s">
        <v>855</v>
      </c>
      <c r="J61" s="113" t="s">
        <v>641</v>
      </c>
      <c r="K61" s="106" t="n">
        <v>3.3</v>
      </c>
      <c r="L61" s="110" t="s">
        <v>686</v>
      </c>
      <c r="M61" s="114" t="s">
        <v>1257</v>
      </c>
    </row>
    <row r="62" customFormat="false" ht="25.5" hidden="false" customHeight="true" outlineLevel="0" collapsed="false">
      <c r="A62" s="103" t="s">
        <v>1121</v>
      </c>
      <c r="B62" s="104" t="s">
        <v>653</v>
      </c>
      <c r="C62" s="104" t="s">
        <v>653</v>
      </c>
      <c r="D62" s="104" t="s">
        <v>623</v>
      </c>
      <c r="E62" s="105" t="s">
        <v>1122</v>
      </c>
      <c r="F62" s="151" t="s">
        <v>686</v>
      </c>
      <c r="G62" s="22" t="s">
        <v>808</v>
      </c>
      <c r="H62" s="22" t="s">
        <v>872</v>
      </c>
      <c r="I62" s="114" t="s">
        <v>838</v>
      </c>
      <c r="J62" s="113" t="s">
        <v>641</v>
      </c>
      <c r="K62" s="106" t="n">
        <v>3.3</v>
      </c>
      <c r="L62" s="110" t="s">
        <v>686</v>
      </c>
      <c r="M62" s="114" t="s">
        <v>1112</v>
      </c>
    </row>
    <row r="63" customFormat="false" ht="47.25" hidden="false" customHeight="true" outlineLevel="0" collapsed="false">
      <c r="A63" s="140" t="s">
        <v>859</v>
      </c>
      <c r="B63" s="159" t="s">
        <v>653</v>
      </c>
      <c r="C63" s="159" t="s">
        <v>653</v>
      </c>
      <c r="D63" s="159" t="s">
        <v>623</v>
      </c>
      <c r="E63" s="105" t="s">
        <v>860</v>
      </c>
      <c r="F63" s="105" t="s">
        <v>686</v>
      </c>
      <c r="G63" s="22" t="s">
        <v>882</v>
      </c>
      <c r="H63" s="22" t="s">
        <v>882</v>
      </c>
      <c r="I63" s="110" t="s">
        <v>893</v>
      </c>
      <c r="J63" s="140" t="s">
        <v>627</v>
      </c>
      <c r="K63" s="142" t="n">
        <v>10</v>
      </c>
      <c r="L63" s="159" t="s">
        <v>686</v>
      </c>
      <c r="M63" s="114" t="s">
        <v>894</v>
      </c>
    </row>
    <row r="64" customFormat="false" ht="130.5" hidden="false" customHeight="true" outlineLevel="0" collapsed="false">
      <c r="A64" s="140" t="s">
        <v>863</v>
      </c>
      <c r="B64" s="159" t="s">
        <v>653</v>
      </c>
      <c r="C64" s="159" t="s">
        <v>653</v>
      </c>
      <c r="D64" s="159" t="s">
        <v>623</v>
      </c>
      <c r="E64" s="105" t="s">
        <v>380</v>
      </c>
      <c r="F64" s="105" t="s">
        <v>686</v>
      </c>
      <c r="G64" s="22" t="s">
        <v>882</v>
      </c>
      <c r="H64" s="22" t="s">
        <v>896</v>
      </c>
      <c r="I64" s="234" t="s">
        <v>897</v>
      </c>
      <c r="J64" s="140" t="s">
        <v>641</v>
      </c>
      <c r="K64" s="142" t="n">
        <v>2.5</v>
      </c>
      <c r="L64" s="159" t="s">
        <v>686</v>
      </c>
      <c r="M64" s="114" t="s">
        <v>1258</v>
      </c>
    </row>
    <row r="65" customFormat="false" ht="130.5" hidden="false" customHeight="true" outlineLevel="0" collapsed="false">
      <c r="A65" s="140" t="s">
        <v>866</v>
      </c>
      <c r="B65" s="159" t="s">
        <v>653</v>
      </c>
      <c r="C65" s="159" t="s">
        <v>653</v>
      </c>
      <c r="D65" s="159" t="s">
        <v>623</v>
      </c>
      <c r="E65" s="105" t="s">
        <v>386</v>
      </c>
      <c r="F65" s="105" t="s">
        <v>686</v>
      </c>
      <c r="G65" s="22" t="s">
        <v>900</v>
      </c>
      <c r="H65" s="22" t="s">
        <v>901</v>
      </c>
      <c r="I65" s="234" t="s">
        <v>902</v>
      </c>
      <c r="J65" s="140" t="s">
        <v>641</v>
      </c>
      <c r="K65" s="142" t="n">
        <v>2.5</v>
      </c>
      <c r="L65" s="159" t="s">
        <v>686</v>
      </c>
      <c r="M65" s="114" t="s">
        <v>1258</v>
      </c>
    </row>
    <row r="66" customFormat="false" ht="124.5" hidden="false" customHeight="true" outlineLevel="0" collapsed="false">
      <c r="A66" s="140" t="s">
        <v>868</v>
      </c>
      <c r="B66" s="159" t="s">
        <v>653</v>
      </c>
      <c r="C66" s="159" t="s">
        <v>653</v>
      </c>
      <c r="D66" s="159" t="s">
        <v>623</v>
      </c>
      <c r="E66" s="105" t="s">
        <v>392</v>
      </c>
      <c r="F66" s="105" t="s">
        <v>686</v>
      </c>
      <c r="G66" s="22" t="s">
        <v>900</v>
      </c>
      <c r="H66" s="22" t="s">
        <v>905</v>
      </c>
      <c r="I66" s="234" t="s">
        <v>1125</v>
      </c>
      <c r="J66" s="140" t="s">
        <v>641</v>
      </c>
      <c r="K66" s="142" t="n">
        <v>2.5</v>
      </c>
      <c r="L66" s="159" t="s">
        <v>686</v>
      </c>
      <c r="M66" s="114" t="s">
        <v>1258</v>
      </c>
    </row>
    <row r="67" customFormat="false" ht="126" hidden="false" customHeight="true" outlineLevel="0" collapsed="false">
      <c r="A67" s="140" t="s">
        <v>1127</v>
      </c>
      <c r="B67" s="159" t="s">
        <v>653</v>
      </c>
      <c r="C67" s="159" t="s">
        <v>653</v>
      </c>
      <c r="D67" s="159" t="s">
        <v>623</v>
      </c>
      <c r="E67" s="105" t="s">
        <v>1128</v>
      </c>
      <c r="F67" s="105" t="s">
        <v>686</v>
      </c>
      <c r="G67" s="22" t="s">
        <v>900</v>
      </c>
      <c r="H67" s="22" t="s">
        <v>909</v>
      </c>
      <c r="I67" s="234" t="s">
        <v>1259</v>
      </c>
      <c r="J67" s="140" t="s">
        <v>641</v>
      </c>
      <c r="K67" s="142" t="n">
        <v>2.5</v>
      </c>
      <c r="L67" s="159" t="s">
        <v>686</v>
      </c>
      <c r="M67" s="114" t="s">
        <v>1258</v>
      </c>
    </row>
    <row r="68" customFormat="false" ht="57.75" hidden="false" customHeight="true" outlineLevel="0" collapsed="false">
      <c r="A68" s="103" t="s">
        <v>980</v>
      </c>
      <c r="B68" s="104" t="s">
        <v>807</v>
      </c>
      <c r="C68" s="104" t="s">
        <v>172</v>
      </c>
      <c r="D68" s="104" t="s">
        <v>623</v>
      </c>
      <c r="E68" s="105" t="s">
        <v>579</v>
      </c>
      <c r="F68" s="151" t="s">
        <v>686</v>
      </c>
      <c r="G68" s="127"/>
      <c r="H68" s="22" t="s">
        <v>914</v>
      </c>
      <c r="I68" s="110" t="s">
        <v>915</v>
      </c>
      <c r="J68" s="103" t="s">
        <v>627</v>
      </c>
      <c r="K68" s="106" t="n">
        <v>10</v>
      </c>
      <c r="L68" s="104" t="s">
        <v>628</v>
      </c>
      <c r="M68" s="137" t="s">
        <v>1260</v>
      </c>
    </row>
    <row r="69" customFormat="false" ht="14.25" hidden="false" customHeight="true" outlineLevel="0" collapsed="false">
      <c r="A69" s="140"/>
      <c r="B69" s="104"/>
      <c r="C69" s="104"/>
      <c r="D69" s="104"/>
      <c r="E69" s="105"/>
      <c r="F69" s="151" t="s">
        <v>686</v>
      </c>
      <c r="G69" s="105"/>
      <c r="H69" s="151"/>
      <c r="I69" s="110"/>
      <c r="J69" s="110"/>
      <c r="K69" s="110"/>
      <c r="L69" s="110"/>
      <c r="M69" s="137" t="s">
        <v>1261</v>
      </c>
    </row>
    <row r="70" customFormat="false" ht="14.25" hidden="false" customHeight="true" outlineLevel="0" collapsed="false">
      <c r="A70" s="140"/>
      <c r="B70" s="104"/>
      <c r="C70" s="104"/>
      <c r="D70" s="104"/>
      <c r="E70" s="105"/>
      <c r="F70" s="151" t="s">
        <v>686</v>
      </c>
      <c r="G70" s="105"/>
      <c r="H70" s="151"/>
      <c r="I70" s="110"/>
      <c r="J70" s="110"/>
      <c r="K70" s="110"/>
      <c r="L70" s="110"/>
      <c r="M70" s="137" t="s">
        <v>1262</v>
      </c>
    </row>
    <row r="71" customFormat="false" ht="14.25" hidden="false" customHeight="true" outlineLevel="0" collapsed="false">
      <c r="A71" s="140"/>
      <c r="B71" s="104"/>
      <c r="C71" s="104"/>
      <c r="D71" s="104"/>
      <c r="E71" s="105"/>
      <c r="F71" s="151" t="s">
        <v>686</v>
      </c>
      <c r="G71" s="105"/>
      <c r="H71" s="151"/>
      <c r="I71" s="110"/>
      <c r="J71" s="110"/>
      <c r="K71" s="110"/>
      <c r="L71" s="110"/>
      <c r="M71" s="137" t="s">
        <v>1263</v>
      </c>
    </row>
    <row r="72" customFormat="false" ht="14.25" hidden="false" customHeight="true" outlineLevel="0" collapsed="false">
      <c r="A72" s="140"/>
      <c r="B72" s="104"/>
      <c r="C72" s="104"/>
      <c r="D72" s="104"/>
      <c r="E72" s="105"/>
      <c r="F72" s="151" t="s">
        <v>686</v>
      </c>
      <c r="G72" s="105"/>
      <c r="H72" s="151"/>
      <c r="I72" s="110"/>
      <c r="J72" s="110"/>
      <c r="K72" s="110"/>
      <c r="L72" s="110"/>
      <c r="M72" s="137" t="s">
        <v>1264</v>
      </c>
    </row>
    <row r="73" customFormat="false" ht="14.25" hidden="false" customHeight="true" outlineLevel="0" collapsed="false">
      <c r="A73" s="140"/>
      <c r="B73" s="104"/>
      <c r="C73" s="104"/>
      <c r="D73" s="104"/>
      <c r="E73" s="105"/>
      <c r="F73" s="151" t="s">
        <v>686</v>
      </c>
      <c r="G73" s="105"/>
      <c r="H73" s="151"/>
      <c r="I73" s="110"/>
      <c r="J73" s="110"/>
      <c r="K73" s="110"/>
      <c r="L73" s="110"/>
      <c r="M73" s="137" t="s">
        <v>1265</v>
      </c>
    </row>
    <row r="74" customFormat="false" ht="99" hidden="false" customHeight="true" outlineLevel="0" collapsed="false">
      <c r="A74" s="103" t="s">
        <v>1130</v>
      </c>
      <c r="B74" s="104" t="s">
        <v>653</v>
      </c>
      <c r="C74" s="104" t="s">
        <v>653</v>
      </c>
      <c r="D74" s="104" t="s">
        <v>623</v>
      </c>
      <c r="E74" s="105" t="s">
        <v>1131</v>
      </c>
      <c r="F74" s="151" t="s">
        <v>686</v>
      </c>
      <c r="G74" s="22" t="s">
        <v>913</v>
      </c>
      <c r="H74" s="22" t="s">
        <v>914</v>
      </c>
      <c r="I74" s="114" t="s">
        <v>917</v>
      </c>
      <c r="J74" s="103" t="s">
        <v>641</v>
      </c>
      <c r="K74" s="106" t="n">
        <v>5</v>
      </c>
      <c r="L74" s="110" t="s">
        <v>628</v>
      </c>
      <c r="M74" s="114" t="s">
        <v>1266</v>
      </c>
    </row>
    <row r="75" customFormat="false" ht="94.5" hidden="false" customHeight="true" outlineLevel="0" collapsed="false">
      <c r="A75" s="103" t="s">
        <v>1132</v>
      </c>
      <c r="B75" s="104" t="s">
        <v>653</v>
      </c>
      <c r="C75" s="104" t="s">
        <v>653</v>
      </c>
      <c r="D75" s="104" t="s">
        <v>623</v>
      </c>
      <c r="E75" s="105" t="s">
        <v>1133</v>
      </c>
      <c r="F75" s="151" t="s">
        <v>686</v>
      </c>
      <c r="G75" s="22" t="s">
        <v>913</v>
      </c>
      <c r="H75" s="22" t="s">
        <v>914</v>
      </c>
      <c r="I75" s="114" t="s">
        <v>920</v>
      </c>
      <c r="J75" s="103" t="s">
        <v>641</v>
      </c>
      <c r="K75" s="106" t="n">
        <v>5</v>
      </c>
      <c r="L75" s="110" t="s">
        <v>686</v>
      </c>
      <c r="M75" s="114" t="s">
        <v>1267</v>
      </c>
    </row>
    <row r="76" customFormat="false" ht="37.5" hidden="false" customHeight="true" outlineLevel="0" collapsed="false">
      <c r="A76" s="103" t="s">
        <v>984</v>
      </c>
      <c r="B76" s="104" t="s">
        <v>653</v>
      </c>
      <c r="C76" s="104" t="s">
        <v>653</v>
      </c>
      <c r="D76" s="104" t="s">
        <v>623</v>
      </c>
      <c r="E76" s="105" t="s">
        <v>985</v>
      </c>
      <c r="F76" s="151" t="s">
        <v>686</v>
      </c>
      <c r="G76" s="22" t="s">
        <v>913</v>
      </c>
      <c r="H76" s="22" t="s">
        <v>924</v>
      </c>
      <c r="I76" s="104" t="s">
        <v>925</v>
      </c>
      <c r="J76" s="103" t="s">
        <v>627</v>
      </c>
      <c r="K76" s="106" t="n">
        <v>10</v>
      </c>
      <c r="L76" s="104" t="s">
        <v>686</v>
      </c>
      <c r="M76" s="114" t="s">
        <v>1268</v>
      </c>
    </row>
    <row r="77" customFormat="false" ht="37.5" hidden="false" customHeight="true" outlineLevel="0" collapsed="false">
      <c r="A77" s="103" t="s">
        <v>988</v>
      </c>
      <c r="B77" s="104" t="s">
        <v>653</v>
      </c>
      <c r="C77" s="104" t="s">
        <v>653</v>
      </c>
      <c r="D77" s="104" t="s">
        <v>623</v>
      </c>
      <c r="E77" s="105" t="s">
        <v>588</v>
      </c>
      <c r="F77" s="151" t="s">
        <v>686</v>
      </c>
      <c r="G77" s="22" t="s">
        <v>913</v>
      </c>
      <c r="H77" s="22" t="s">
        <v>924</v>
      </c>
      <c r="I77" s="104" t="s">
        <v>1269</v>
      </c>
      <c r="J77" s="103" t="s">
        <v>641</v>
      </c>
      <c r="K77" s="106" t="n">
        <v>5</v>
      </c>
      <c r="L77" s="110" t="s">
        <v>628</v>
      </c>
      <c r="M77" s="114" t="s">
        <v>1270</v>
      </c>
    </row>
    <row r="78" customFormat="false" ht="75.75" hidden="false" customHeight="true" outlineLevel="0" collapsed="false">
      <c r="A78" s="103" t="s">
        <v>991</v>
      </c>
      <c r="B78" s="104" t="s">
        <v>653</v>
      </c>
      <c r="C78" s="104" t="s">
        <v>653</v>
      </c>
      <c r="D78" s="104" t="s">
        <v>623</v>
      </c>
      <c r="E78" s="105" t="s">
        <v>596</v>
      </c>
      <c r="F78" s="151" t="s">
        <v>686</v>
      </c>
      <c r="G78" s="22" t="s">
        <v>913</v>
      </c>
      <c r="H78" s="22" t="s">
        <v>924</v>
      </c>
      <c r="I78" s="104" t="s">
        <v>930</v>
      </c>
      <c r="J78" s="103" t="s">
        <v>641</v>
      </c>
      <c r="K78" s="106" t="n">
        <v>5</v>
      </c>
      <c r="L78" s="110" t="s">
        <v>686</v>
      </c>
      <c r="M78" s="114" t="s">
        <v>1271</v>
      </c>
    </row>
    <row r="79" customFormat="false" ht="25.5" hidden="false" customHeight="true" outlineLevel="0" collapsed="false">
      <c r="A79" s="140" t="s">
        <v>757</v>
      </c>
      <c r="B79" s="146" t="s">
        <v>653</v>
      </c>
      <c r="C79" s="146" t="s">
        <v>653</v>
      </c>
      <c r="D79" s="146" t="s">
        <v>623</v>
      </c>
      <c r="E79" s="105" t="s">
        <v>672</v>
      </c>
      <c r="F79" s="217" t="s">
        <v>624</v>
      </c>
      <c r="G79" s="22" t="s">
        <v>934</v>
      </c>
      <c r="H79" s="22" t="s">
        <v>935</v>
      </c>
      <c r="I79" s="104" t="s">
        <v>1272</v>
      </c>
      <c r="J79" s="140" t="s">
        <v>627</v>
      </c>
      <c r="K79" s="142" t="n">
        <v>10</v>
      </c>
      <c r="L79" s="159" t="s">
        <v>936</v>
      </c>
      <c r="M79" s="104" t="s">
        <v>1273</v>
      </c>
    </row>
    <row r="80" customFormat="false" ht="88.5" hidden="false" customHeight="true" outlineLevel="0" collapsed="false">
      <c r="A80" s="145" t="s">
        <v>761</v>
      </c>
      <c r="B80" s="235"/>
      <c r="C80" s="235"/>
      <c r="D80" s="114" t="s">
        <v>623</v>
      </c>
      <c r="E80" s="236" t="s">
        <v>263</v>
      </c>
      <c r="F80" s="217" t="s">
        <v>624</v>
      </c>
      <c r="G80" s="22" t="s">
        <v>934</v>
      </c>
      <c r="H80" s="22" t="s">
        <v>935</v>
      </c>
      <c r="I80" s="114" t="s">
        <v>1274</v>
      </c>
      <c r="J80" s="145" t="s">
        <v>641</v>
      </c>
      <c r="K80" s="237" t="n">
        <v>5</v>
      </c>
      <c r="L80" s="114" t="s">
        <v>628</v>
      </c>
      <c r="M80" s="114" t="s">
        <v>1275</v>
      </c>
    </row>
    <row r="81" customFormat="false" ht="75.75" hidden="false" customHeight="true" outlineLevel="0" collapsed="false">
      <c r="A81" s="145" t="s">
        <v>764</v>
      </c>
      <c r="B81" s="235"/>
      <c r="C81" s="235"/>
      <c r="D81" s="235" t="s">
        <v>623</v>
      </c>
      <c r="E81" s="236" t="s">
        <v>271</v>
      </c>
      <c r="F81" s="217" t="s">
        <v>624</v>
      </c>
      <c r="G81" s="22" t="s">
        <v>934</v>
      </c>
      <c r="H81" s="22" t="s">
        <v>935</v>
      </c>
      <c r="I81" s="114" t="s">
        <v>1276</v>
      </c>
      <c r="J81" s="145" t="s">
        <v>641</v>
      </c>
      <c r="K81" s="237" t="n">
        <v>5</v>
      </c>
      <c r="L81" s="114" t="s">
        <v>686</v>
      </c>
      <c r="M81" s="114" t="s">
        <v>1277</v>
      </c>
    </row>
    <row r="82" customFormat="false" ht="201.75" hidden="false" customHeight="true" outlineLevel="0" collapsed="false">
      <c r="A82" s="145" t="s">
        <v>767</v>
      </c>
      <c r="B82" s="146"/>
      <c r="C82" s="146"/>
      <c r="D82" s="146" t="s">
        <v>623</v>
      </c>
      <c r="E82" s="96" t="s">
        <v>275</v>
      </c>
      <c r="F82" s="217" t="s">
        <v>624</v>
      </c>
      <c r="G82" s="22" t="s">
        <v>934</v>
      </c>
      <c r="H82" s="22" t="s">
        <v>940</v>
      </c>
      <c r="I82" s="147" t="s">
        <v>1278</v>
      </c>
      <c r="J82" s="140" t="s">
        <v>627</v>
      </c>
      <c r="K82" s="142" t="n">
        <v>10</v>
      </c>
      <c r="L82" s="104" t="s">
        <v>628</v>
      </c>
      <c r="M82" s="147" t="s">
        <v>1279</v>
      </c>
    </row>
    <row r="83" customFormat="false" ht="88.5" hidden="false" customHeight="true" outlineLevel="0" collapsed="false">
      <c r="A83" s="103" t="s">
        <v>976</v>
      </c>
      <c r="B83" s="104" t="s">
        <v>275</v>
      </c>
      <c r="C83" s="104" t="s">
        <v>148</v>
      </c>
      <c r="D83" s="104" t="s">
        <v>623</v>
      </c>
      <c r="E83" s="105" t="s">
        <v>575</v>
      </c>
      <c r="F83" s="151" t="s">
        <v>686</v>
      </c>
      <c r="G83" s="22" t="s">
        <v>934</v>
      </c>
      <c r="H83" s="22" t="s">
        <v>961</v>
      </c>
      <c r="I83" s="104" t="s">
        <v>968</v>
      </c>
      <c r="J83" s="103" t="s">
        <v>627</v>
      </c>
      <c r="K83" s="106" t="n">
        <v>10</v>
      </c>
      <c r="L83" s="104" t="s">
        <v>686</v>
      </c>
      <c r="M83" s="114" t="s">
        <v>1280</v>
      </c>
    </row>
    <row r="84" customFormat="false" ht="66" hidden="false" customHeight="true" outlineLevel="0" collapsed="false">
      <c r="A84" s="140" t="s">
        <v>710</v>
      </c>
      <c r="B84" s="104" t="s">
        <v>847</v>
      </c>
      <c r="C84" s="104" t="s">
        <v>714</v>
      </c>
      <c r="D84" s="104" t="s">
        <v>623</v>
      </c>
      <c r="E84" s="105" t="s">
        <v>172</v>
      </c>
      <c r="F84" s="217" t="s">
        <v>624</v>
      </c>
      <c r="G84" s="22" t="s">
        <v>934</v>
      </c>
      <c r="H84" s="22" t="s">
        <v>971</v>
      </c>
      <c r="I84" s="104" t="s">
        <v>563</v>
      </c>
      <c r="J84" s="140" t="s">
        <v>627</v>
      </c>
      <c r="K84" s="142" t="n">
        <v>10</v>
      </c>
      <c r="L84" s="104" t="s">
        <v>628</v>
      </c>
      <c r="M84" s="114" t="s">
        <v>1281</v>
      </c>
    </row>
    <row r="85" customFormat="false" ht="75.75" hidden="false" customHeight="true" outlineLevel="0" collapsed="false">
      <c r="A85" s="140" t="s">
        <v>713</v>
      </c>
      <c r="B85" s="104" t="s">
        <v>860</v>
      </c>
      <c r="C85" s="104" t="s">
        <v>739</v>
      </c>
      <c r="D85" s="104" t="s">
        <v>623</v>
      </c>
      <c r="E85" s="105" t="s">
        <v>714</v>
      </c>
      <c r="F85" s="217" t="s">
        <v>624</v>
      </c>
      <c r="G85" s="22" t="s">
        <v>934</v>
      </c>
      <c r="H85" s="22" t="s">
        <v>971</v>
      </c>
      <c r="I85" s="104" t="s">
        <v>567</v>
      </c>
      <c r="J85" s="140" t="s">
        <v>627</v>
      </c>
      <c r="K85" s="142" t="n">
        <v>10</v>
      </c>
      <c r="L85" s="104" t="s">
        <v>628</v>
      </c>
      <c r="M85" s="114" t="s">
        <v>1282</v>
      </c>
    </row>
    <row r="86" customFormat="false" ht="50.25" hidden="false" customHeight="true" outlineLevel="0" collapsed="false">
      <c r="A86" s="140" t="s">
        <v>994</v>
      </c>
      <c r="B86" s="104" t="s">
        <v>871</v>
      </c>
      <c r="C86" s="104" t="s">
        <v>653</v>
      </c>
      <c r="D86" s="104" t="s">
        <v>623</v>
      </c>
      <c r="E86" s="105" t="s">
        <v>600</v>
      </c>
      <c r="F86" s="216" t="s">
        <v>686</v>
      </c>
      <c r="G86" s="22" t="s">
        <v>977</v>
      </c>
      <c r="H86" s="22" t="s">
        <v>978</v>
      </c>
      <c r="I86" s="104" t="s">
        <v>1139</v>
      </c>
      <c r="J86" s="140" t="s">
        <v>627</v>
      </c>
      <c r="K86" s="142" t="n">
        <v>10</v>
      </c>
      <c r="L86" s="104" t="s">
        <v>686</v>
      </c>
      <c r="M86" s="114" t="s">
        <v>1283</v>
      </c>
    </row>
    <row r="87" customFormat="false" ht="126" hidden="false" customHeight="true" outlineLevel="0" collapsed="false">
      <c r="A87" s="140" t="s">
        <v>1140</v>
      </c>
      <c r="B87" s="104" t="s">
        <v>923</v>
      </c>
      <c r="C87" s="104" t="s">
        <v>255</v>
      </c>
      <c r="D87" s="104" t="s">
        <v>623</v>
      </c>
      <c r="E87" s="105" t="s">
        <v>1141</v>
      </c>
      <c r="F87" s="105" t="s">
        <v>981</v>
      </c>
      <c r="G87" s="22" t="s">
        <v>977</v>
      </c>
      <c r="H87" s="22" t="s">
        <v>978</v>
      </c>
      <c r="I87" s="104" t="s">
        <v>1142</v>
      </c>
      <c r="J87" s="140" t="s">
        <v>627</v>
      </c>
      <c r="K87" s="142" t="n">
        <v>10</v>
      </c>
      <c r="L87" s="104" t="s">
        <v>686</v>
      </c>
      <c r="M87" s="114" t="s">
        <v>1284</v>
      </c>
    </row>
    <row r="88" customFormat="false" ht="113.25" hidden="false" customHeight="true" outlineLevel="0" collapsed="false">
      <c r="A88" s="140" t="s">
        <v>1144</v>
      </c>
      <c r="B88" s="104" t="s">
        <v>501</v>
      </c>
      <c r="C88" s="104" t="s">
        <v>672</v>
      </c>
      <c r="D88" s="104" t="s">
        <v>623</v>
      </c>
      <c r="E88" s="105" t="s">
        <v>1145</v>
      </c>
      <c r="F88" s="105" t="s">
        <v>981</v>
      </c>
      <c r="G88" s="22" t="s">
        <v>977</v>
      </c>
      <c r="H88" s="22" t="s">
        <v>986</v>
      </c>
      <c r="I88" s="104" t="s">
        <v>1285</v>
      </c>
      <c r="J88" s="140" t="s">
        <v>627</v>
      </c>
      <c r="K88" s="142" t="n">
        <v>10</v>
      </c>
      <c r="L88" s="104" t="s">
        <v>686</v>
      </c>
      <c r="M88" s="114" t="s">
        <v>1286</v>
      </c>
    </row>
    <row r="89" customFormat="false" ht="409.5" hidden="false" customHeight="true" outlineLevel="0" collapsed="false">
      <c r="A89" s="140" t="s">
        <v>1146</v>
      </c>
      <c r="B89" s="104" t="s">
        <v>939</v>
      </c>
      <c r="C89" s="104" t="s">
        <v>275</v>
      </c>
      <c r="D89" s="104" t="s">
        <v>623</v>
      </c>
      <c r="E89" s="105" t="s">
        <v>1147</v>
      </c>
      <c r="F89" s="105" t="s">
        <v>981</v>
      </c>
      <c r="G89" s="22" t="s">
        <v>977</v>
      </c>
      <c r="H89" s="22" t="s">
        <v>1148</v>
      </c>
      <c r="I89" s="104" t="s">
        <v>601</v>
      </c>
      <c r="J89" s="140" t="s">
        <v>627</v>
      </c>
      <c r="K89" s="142" t="n">
        <v>10</v>
      </c>
      <c r="L89" s="104" t="s">
        <v>628</v>
      </c>
      <c r="M89" s="114" t="s">
        <v>1287</v>
      </c>
    </row>
    <row r="90" s="94" customFormat="true" ht="55.5" hidden="false" customHeight="true" outlineLevel="0" collapsed="false">
      <c r="H90" s="4"/>
      <c r="K90" s="93"/>
    </row>
    <row r="91" s="94" customFormat="true" ht="14.25" hidden="false" customHeight="true" outlineLevel="0" collapsed="false">
      <c r="H91" s="4"/>
      <c r="K91" s="93"/>
    </row>
    <row r="92" s="94" customFormat="true" ht="14.25" hidden="false" customHeight="true" outlineLevel="0" collapsed="false">
      <c r="H92" s="4"/>
      <c r="K92" s="93"/>
    </row>
    <row r="93" s="94" customFormat="true" ht="14.25" hidden="false" customHeight="true" outlineLevel="0" collapsed="false">
      <c r="H93" s="4"/>
      <c r="K93" s="93"/>
    </row>
    <row r="94" s="94" customFormat="true" ht="14.25" hidden="false" customHeight="true" outlineLevel="0" collapsed="false">
      <c r="H94" s="4"/>
      <c r="K94" s="93"/>
    </row>
    <row r="95" customFormat="false" ht="14.25" hidden="false" customHeight="true" outlineLevel="0" collapsed="false">
      <c r="A95" s="202"/>
      <c r="B95" s="203"/>
      <c r="C95" s="203"/>
      <c r="D95" s="203"/>
      <c r="G95" s="95"/>
      <c r="H95" s="204"/>
      <c r="I95" s="203"/>
      <c r="J95" s="202"/>
      <c r="K95" s="202"/>
      <c r="L95" s="203"/>
      <c r="M95" s="205"/>
    </row>
    <row r="96" customFormat="false" ht="14.25" hidden="false" customHeight="true" outlineLevel="0" collapsed="false">
      <c r="A96" s="202"/>
      <c r="B96" s="203"/>
      <c r="C96" s="203"/>
      <c r="D96" s="203"/>
      <c r="G96" s="95"/>
      <c r="H96" s="204"/>
      <c r="I96" s="203"/>
      <c r="J96" s="202"/>
      <c r="K96" s="202"/>
      <c r="L96" s="203"/>
      <c r="M96" s="205"/>
    </row>
    <row r="97" customFormat="false" ht="14.25" hidden="false" customHeight="true" outlineLevel="0" collapsed="false">
      <c r="A97" s="202"/>
      <c r="B97" s="203"/>
      <c r="C97" s="203"/>
      <c r="D97" s="203"/>
      <c r="G97" s="95"/>
      <c r="H97" s="204"/>
      <c r="I97" s="203"/>
      <c r="J97" s="202"/>
      <c r="K97" s="202"/>
      <c r="L97" s="203"/>
      <c r="M97" s="205"/>
    </row>
    <row r="98" customFormat="false" ht="14.25" hidden="false" customHeight="true" outlineLevel="0" collapsed="false">
      <c r="A98" s="202"/>
      <c r="B98" s="203"/>
      <c r="C98" s="203"/>
      <c r="D98" s="203"/>
      <c r="G98" s="95"/>
      <c r="H98" s="204"/>
      <c r="I98" s="203"/>
      <c r="J98" s="202"/>
      <c r="K98" s="202"/>
      <c r="L98" s="203"/>
      <c r="M98" s="205"/>
    </row>
    <row r="99" customFormat="false" ht="14.25" hidden="false" customHeight="true" outlineLevel="0" collapsed="false">
      <c r="A99" s="202"/>
      <c r="B99" s="203"/>
      <c r="C99" s="203"/>
      <c r="D99" s="203"/>
      <c r="G99" s="95"/>
      <c r="H99" s="204"/>
      <c r="I99" s="203"/>
      <c r="J99" s="202"/>
      <c r="K99" s="202"/>
      <c r="L99" s="203"/>
      <c r="M99" s="205"/>
    </row>
    <row r="100" customFormat="false" ht="14.25" hidden="false" customHeight="true" outlineLevel="0" collapsed="false">
      <c r="A100" s="202"/>
      <c r="B100" s="203"/>
      <c r="C100" s="203"/>
      <c r="D100" s="203"/>
      <c r="G100" s="95"/>
      <c r="H100" s="204"/>
      <c r="I100" s="203"/>
      <c r="J100" s="202"/>
      <c r="K100" s="202"/>
      <c r="L100" s="203"/>
      <c r="M100" s="205"/>
    </row>
    <row r="101" customFormat="false" ht="14.25" hidden="false" customHeight="true" outlineLevel="0" collapsed="false">
      <c r="A101" s="202"/>
      <c r="B101" s="203"/>
      <c r="C101" s="203"/>
      <c r="D101" s="203"/>
      <c r="G101" s="95"/>
      <c r="H101" s="204"/>
      <c r="I101" s="203"/>
      <c r="J101" s="202"/>
      <c r="K101" s="202"/>
      <c r="L101" s="203"/>
      <c r="M101" s="205"/>
    </row>
    <row r="102" customFormat="false" ht="14.25" hidden="false" customHeight="true" outlineLevel="0" collapsed="false">
      <c r="A102" s="202"/>
      <c r="B102" s="203"/>
      <c r="C102" s="203"/>
      <c r="D102" s="203"/>
      <c r="G102" s="95"/>
      <c r="H102" s="204"/>
      <c r="I102" s="203"/>
      <c r="J102" s="202"/>
      <c r="K102" s="202"/>
      <c r="L102" s="203"/>
      <c r="M102" s="205"/>
    </row>
    <row r="103" customFormat="false" ht="14.25" hidden="false" customHeight="true" outlineLevel="0" collapsed="false">
      <c r="A103" s="202"/>
      <c r="B103" s="203"/>
      <c r="C103" s="203"/>
      <c r="D103" s="203"/>
      <c r="G103" s="95"/>
      <c r="H103" s="204"/>
      <c r="I103" s="203"/>
      <c r="J103" s="202"/>
      <c r="K103" s="202"/>
      <c r="L103" s="203"/>
      <c r="M103" s="205"/>
    </row>
    <row r="104" customFormat="false" ht="14.25" hidden="false" customHeight="true" outlineLevel="0" collapsed="false">
      <c r="A104" s="202"/>
      <c r="B104" s="203"/>
      <c r="C104" s="203"/>
      <c r="D104" s="203"/>
      <c r="G104" s="95"/>
      <c r="H104" s="204"/>
      <c r="I104" s="203"/>
      <c r="J104" s="202"/>
      <c r="K104" s="202"/>
      <c r="L104" s="203"/>
      <c r="M104" s="205"/>
    </row>
    <row r="105" customFormat="false" ht="14.25" hidden="false" customHeight="true" outlineLevel="0" collapsed="false">
      <c r="A105" s="202"/>
      <c r="B105" s="203"/>
      <c r="C105" s="203"/>
      <c r="D105" s="203"/>
      <c r="G105" s="95"/>
      <c r="H105" s="204"/>
      <c r="I105" s="203"/>
      <c r="J105" s="202"/>
      <c r="K105" s="202"/>
      <c r="L105" s="203"/>
      <c r="M105" s="205"/>
    </row>
    <row r="106" customFormat="false" ht="14.25" hidden="false" customHeight="true" outlineLevel="0" collapsed="false">
      <c r="A106" s="202"/>
      <c r="B106" s="203"/>
      <c r="C106" s="203"/>
      <c r="D106" s="203"/>
      <c r="G106" s="95"/>
      <c r="H106" s="204"/>
      <c r="I106" s="203"/>
      <c r="J106" s="202"/>
      <c r="K106" s="202"/>
      <c r="L106" s="203"/>
      <c r="M106" s="205"/>
    </row>
    <row r="107" customFormat="false" ht="14.25" hidden="false" customHeight="true" outlineLevel="0" collapsed="false">
      <c r="A107" s="202"/>
      <c r="B107" s="203"/>
      <c r="C107" s="203"/>
      <c r="D107" s="203"/>
      <c r="G107" s="95"/>
      <c r="H107" s="204"/>
      <c r="I107" s="203"/>
      <c r="J107" s="202"/>
      <c r="K107" s="202"/>
      <c r="L107" s="203"/>
      <c r="M107" s="205"/>
    </row>
    <row r="108" customFormat="false" ht="14.25" hidden="false" customHeight="true" outlineLevel="0" collapsed="false">
      <c r="A108" s="202"/>
      <c r="B108" s="203"/>
      <c r="C108" s="203"/>
      <c r="D108" s="203"/>
      <c r="G108" s="95"/>
      <c r="H108" s="204"/>
      <c r="I108" s="203"/>
      <c r="J108" s="202"/>
      <c r="K108" s="202"/>
      <c r="L108" s="203"/>
      <c r="M108" s="205"/>
    </row>
    <row r="109" customFormat="false" ht="14.25" hidden="false" customHeight="true" outlineLevel="0" collapsed="false">
      <c r="A109" s="202"/>
      <c r="B109" s="203"/>
      <c r="C109" s="203"/>
      <c r="D109" s="203"/>
      <c r="G109" s="95"/>
      <c r="H109" s="204"/>
      <c r="I109" s="203"/>
      <c r="J109" s="202"/>
      <c r="K109" s="202"/>
      <c r="L109" s="203"/>
      <c r="M109" s="205"/>
    </row>
    <row r="110" customFormat="false" ht="14.25" hidden="false" customHeight="true" outlineLevel="0" collapsed="false">
      <c r="A110" s="202"/>
      <c r="B110" s="203"/>
      <c r="C110" s="203"/>
      <c r="D110" s="203"/>
      <c r="G110" s="95"/>
      <c r="H110" s="204"/>
      <c r="I110" s="203"/>
      <c r="J110" s="202"/>
      <c r="K110" s="202"/>
      <c r="L110" s="203"/>
      <c r="M110" s="205"/>
    </row>
    <row r="111" customFormat="false" ht="14.25" hidden="false" customHeight="true" outlineLevel="0" collapsed="false">
      <c r="A111" s="202"/>
      <c r="B111" s="203"/>
      <c r="C111" s="203"/>
      <c r="D111" s="203"/>
      <c r="G111" s="95"/>
      <c r="H111" s="204"/>
      <c r="I111" s="203"/>
      <c r="J111" s="202"/>
      <c r="K111" s="202"/>
      <c r="L111" s="203"/>
      <c r="M111" s="205"/>
    </row>
    <row r="112" customFormat="false" ht="14.25" hidden="false" customHeight="true" outlineLevel="0" collapsed="false">
      <c r="A112" s="202"/>
      <c r="B112" s="203"/>
      <c r="C112" s="203"/>
      <c r="D112" s="203"/>
      <c r="G112" s="95"/>
      <c r="H112" s="204"/>
      <c r="I112" s="203"/>
      <c r="J112" s="202"/>
      <c r="K112" s="202"/>
      <c r="L112" s="203"/>
      <c r="M112" s="205"/>
    </row>
    <row r="113" customFormat="false" ht="14.25" hidden="false" customHeight="true" outlineLevel="0" collapsed="false">
      <c r="A113" s="202"/>
      <c r="B113" s="203"/>
      <c r="C113" s="203"/>
      <c r="D113" s="203"/>
      <c r="G113" s="95"/>
      <c r="H113" s="204"/>
      <c r="I113" s="203"/>
      <c r="J113" s="202"/>
      <c r="K113" s="202"/>
      <c r="L113" s="203"/>
      <c r="M113" s="205"/>
    </row>
    <row r="114" customFormat="false" ht="14.25" hidden="false" customHeight="true" outlineLevel="0" collapsed="false">
      <c r="A114" s="202"/>
      <c r="B114" s="203"/>
      <c r="C114" s="203"/>
      <c r="D114" s="203"/>
      <c r="G114" s="95"/>
      <c r="H114" s="204"/>
      <c r="I114" s="203"/>
      <c r="J114" s="202"/>
      <c r="K114" s="202"/>
      <c r="L114" s="203"/>
      <c r="M114" s="205"/>
    </row>
    <row r="115" customFormat="false" ht="14.25" hidden="false" customHeight="true" outlineLevel="0" collapsed="false">
      <c r="A115" s="202"/>
      <c r="B115" s="203"/>
      <c r="C115" s="203"/>
      <c r="D115" s="203"/>
      <c r="G115" s="95"/>
      <c r="H115" s="204"/>
      <c r="I115" s="203"/>
      <c r="J115" s="202"/>
      <c r="K115" s="202"/>
      <c r="L115" s="203"/>
      <c r="M115" s="205"/>
    </row>
    <row r="116" customFormat="false" ht="14.25" hidden="false" customHeight="true" outlineLevel="0" collapsed="false">
      <c r="A116" s="202"/>
      <c r="B116" s="203"/>
      <c r="C116" s="203"/>
      <c r="D116" s="203"/>
      <c r="G116" s="95"/>
      <c r="H116" s="204"/>
      <c r="I116" s="203"/>
      <c r="J116" s="202"/>
      <c r="K116" s="202"/>
      <c r="L116" s="203"/>
      <c r="M116" s="205"/>
    </row>
    <row r="117" customFormat="false" ht="14.25" hidden="false" customHeight="true" outlineLevel="0" collapsed="false">
      <c r="A117" s="202"/>
      <c r="B117" s="203"/>
      <c r="C117" s="203"/>
      <c r="D117" s="203"/>
      <c r="G117" s="95"/>
      <c r="H117" s="204"/>
      <c r="I117" s="203"/>
      <c r="J117" s="202"/>
      <c r="K117" s="202"/>
      <c r="L117" s="203"/>
      <c r="M117" s="205"/>
    </row>
    <row r="118" customFormat="false" ht="14.25" hidden="false" customHeight="true" outlineLevel="0" collapsed="false">
      <c r="A118" s="202"/>
      <c r="B118" s="203"/>
      <c r="C118" s="203"/>
      <c r="D118" s="203"/>
      <c r="G118" s="95"/>
      <c r="H118" s="204"/>
      <c r="I118" s="203"/>
      <c r="J118" s="202"/>
      <c r="K118" s="202"/>
      <c r="L118" s="203"/>
      <c r="M118" s="205"/>
    </row>
    <row r="119" customFormat="false" ht="15.75" hidden="false" customHeight="true" outlineLevel="0" collapsed="false">
      <c r="A119" s="202"/>
      <c r="B119" s="203"/>
      <c r="C119" s="203"/>
      <c r="D119" s="203"/>
      <c r="G119" s="95"/>
      <c r="H119" s="204"/>
      <c r="I119" s="203"/>
      <c r="J119" s="202"/>
      <c r="K119" s="202"/>
      <c r="L119" s="203"/>
      <c r="M119" s="205" t="s">
        <v>998</v>
      </c>
    </row>
    <row r="120" customFormat="false" ht="14.25" hidden="false" customHeight="true" outlineLevel="0" collapsed="false">
      <c r="A120" s="202"/>
      <c r="B120" s="203"/>
      <c r="C120" s="203"/>
      <c r="D120" s="203"/>
      <c r="G120" s="95"/>
      <c r="H120" s="204"/>
      <c r="I120" s="203"/>
      <c r="J120" s="202"/>
      <c r="K120" s="202"/>
      <c r="L120" s="203"/>
      <c r="M120" s="205"/>
    </row>
    <row r="121" customFormat="false" ht="14.25" hidden="false" customHeight="true" outlineLevel="0" collapsed="false">
      <c r="A121" s="202"/>
      <c r="B121" s="203"/>
      <c r="C121" s="203"/>
      <c r="D121" s="203"/>
      <c r="G121" s="95"/>
      <c r="H121" s="204"/>
      <c r="I121" s="203"/>
      <c r="J121" s="202"/>
      <c r="K121" s="202"/>
      <c r="L121" s="203"/>
      <c r="M121" s="205"/>
    </row>
    <row r="122" customFormat="false" ht="14.25" hidden="false" customHeight="true" outlineLevel="0" collapsed="false">
      <c r="A122" s="202"/>
      <c r="B122" s="203"/>
      <c r="C122" s="203"/>
      <c r="D122" s="203"/>
      <c r="G122" s="95"/>
      <c r="H122" s="204"/>
      <c r="I122" s="203"/>
      <c r="J122" s="202"/>
      <c r="K122" s="202"/>
      <c r="L122" s="203"/>
      <c r="M122" s="205"/>
    </row>
    <row r="123" customFormat="false" ht="14.25" hidden="false" customHeight="true" outlineLevel="0" collapsed="false">
      <c r="A123" s="202"/>
      <c r="B123" s="203"/>
      <c r="C123" s="203"/>
      <c r="D123" s="203"/>
      <c r="G123" s="95"/>
      <c r="H123" s="204"/>
      <c r="I123" s="203"/>
      <c r="J123" s="202"/>
      <c r="K123" s="202"/>
      <c r="L123" s="203"/>
      <c r="M123" s="205"/>
    </row>
    <row r="124" customFormat="false" ht="14.25" hidden="false" customHeight="true" outlineLevel="0" collapsed="false">
      <c r="A124" s="202"/>
      <c r="B124" s="203"/>
      <c r="C124" s="203"/>
      <c r="D124" s="203"/>
      <c r="G124" s="95"/>
      <c r="H124" s="204"/>
      <c r="I124" s="203"/>
      <c r="J124" s="202"/>
      <c r="K124" s="202"/>
      <c r="L124" s="203"/>
      <c r="M124" s="205"/>
    </row>
    <row r="125" customFormat="false" ht="14.25" hidden="false" customHeight="true" outlineLevel="0" collapsed="false">
      <c r="A125" s="202"/>
      <c r="B125" s="203"/>
      <c r="C125" s="203"/>
      <c r="D125" s="203"/>
      <c r="G125" s="95"/>
      <c r="H125" s="204"/>
      <c r="I125" s="203"/>
      <c r="J125" s="202"/>
      <c r="K125" s="202"/>
      <c r="L125" s="203"/>
      <c r="M125" s="205"/>
    </row>
    <row r="126" customFormat="false" ht="15.75" hidden="false" customHeight="true" outlineLevel="0" collapsed="false">
      <c r="A126" s="202"/>
      <c r="B126" s="203"/>
      <c r="C126" s="203"/>
      <c r="D126" s="203"/>
      <c r="G126" s="95"/>
      <c r="H126" s="204"/>
      <c r="I126" s="203"/>
      <c r="J126" s="202"/>
      <c r="K126" s="202"/>
      <c r="L126" s="203"/>
      <c r="M126" s="205" t="s">
        <v>998</v>
      </c>
    </row>
    <row r="127" customFormat="false" ht="14.25" hidden="false" customHeight="true" outlineLevel="0" collapsed="false">
      <c r="A127" s="202"/>
      <c r="B127" s="203"/>
      <c r="C127" s="203"/>
      <c r="D127" s="203"/>
      <c r="G127" s="95"/>
      <c r="H127" s="204"/>
      <c r="I127" s="203"/>
      <c r="J127" s="202"/>
      <c r="K127" s="202"/>
      <c r="L127" s="203"/>
      <c r="M127" s="205"/>
    </row>
    <row r="128" customFormat="false" ht="14.25" hidden="false" customHeight="true" outlineLevel="0" collapsed="false">
      <c r="A128" s="202"/>
      <c r="B128" s="203"/>
      <c r="C128" s="203"/>
      <c r="D128" s="203"/>
      <c r="G128" s="95"/>
      <c r="H128" s="204"/>
      <c r="I128" s="203"/>
      <c r="J128" s="202"/>
      <c r="K128" s="202"/>
      <c r="L128" s="203"/>
      <c r="M128" s="205"/>
    </row>
    <row r="129" customFormat="false" ht="14.25" hidden="false" customHeight="true" outlineLevel="0" collapsed="false">
      <c r="A129" s="202"/>
      <c r="B129" s="203"/>
      <c r="C129" s="203"/>
      <c r="D129" s="203"/>
      <c r="G129" s="95"/>
      <c r="H129" s="204"/>
      <c r="I129" s="203"/>
      <c r="J129" s="202"/>
      <c r="K129" s="202"/>
      <c r="L129" s="203"/>
      <c r="M129" s="205"/>
    </row>
    <row r="130" customFormat="false" ht="14.25" hidden="false" customHeight="true" outlineLevel="0" collapsed="false">
      <c r="A130" s="202"/>
      <c r="B130" s="203"/>
      <c r="C130" s="203"/>
      <c r="D130" s="203"/>
      <c r="G130" s="95"/>
      <c r="H130" s="204"/>
      <c r="I130" s="203"/>
      <c r="J130" s="202"/>
      <c r="K130" s="202"/>
      <c r="L130" s="203"/>
      <c r="M130" s="205"/>
    </row>
    <row r="131" customFormat="false" ht="14.25" hidden="false" customHeight="true" outlineLevel="0" collapsed="false">
      <c r="A131" s="202"/>
      <c r="B131" s="203"/>
      <c r="C131" s="203"/>
      <c r="D131" s="203"/>
      <c r="G131" s="95"/>
      <c r="H131" s="204"/>
      <c r="I131" s="203"/>
      <c r="J131" s="202"/>
      <c r="K131" s="202"/>
      <c r="L131" s="203"/>
      <c r="M131" s="205"/>
    </row>
    <row r="132" customFormat="false" ht="15.75" hidden="false" customHeight="true" outlineLevel="0" collapsed="false">
      <c r="A132" s="202"/>
      <c r="B132" s="203"/>
      <c r="C132" s="203"/>
      <c r="D132" s="203"/>
      <c r="G132" s="95"/>
      <c r="H132" s="204"/>
      <c r="I132" s="203"/>
      <c r="J132" s="202"/>
      <c r="K132" s="202"/>
      <c r="L132" s="203"/>
      <c r="M132" s="205" t="s">
        <v>998</v>
      </c>
    </row>
    <row r="133" customFormat="false" ht="14.25" hidden="false" customHeight="true" outlineLevel="0" collapsed="false">
      <c r="A133" s="202"/>
      <c r="B133" s="203"/>
      <c r="C133" s="203"/>
      <c r="D133" s="203"/>
      <c r="G133" s="95"/>
      <c r="H133" s="204"/>
      <c r="I133" s="203"/>
      <c r="J133" s="202"/>
      <c r="K133" s="202"/>
      <c r="L133" s="203"/>
      <c r="M133" s="205"/>
    </row>
    <row r="134" customFormat="false" ht="14.25" hidden="false" customHeight="true" outlineLevel="0" collapsed="false">
      <c r="A134" s="202"/>
      <c r="B134" s="203"/>
      <c r="C134" s="203"/>
      <c r="D134" s="203"/>
      <c r="G134" s="95"/>
      <c r="H134" s="204"/>
      <c r="I134" s="203"/>
      <c r="J134" s="202"/>
      <c r="K134" s="202"/>
      <c r="L134" s="203"/>
      <c r="M134" s="205"/>
    </row>
    <row r="135" customFormat="false" ht="14.25" hidden="false" customHeight="true" outlineLevel="0" collapsed="false">
      <c r="A135" s="202"/>
      <c r="B135" s="203"/>
      <c r="C135" s="203"/>
      <c r="D135" s="203"/>
      <c r="G135" s="95"/>
      <c r="H135" s="204"/>
      <c r="I135" s="203"/>
      <c r="J135" s="202"/>
      <c r="K135" s="202"/>
      <c r="L135" s="203"/>
      <c r="M135" s="205"/>
    </row>
    <row r="136" customFormat="false" ht="14.25" hidden="false" customHeight="true" outlineLevel="0" collapsed="false">
      <c r="A136" s="202"/>
      <c r="B136" s="203"/>
      <c r="C136" s="203"/>
      <c r="D136" s="203"/>
      <c r="G136" s="95"/>
      <c r="H136" s="204"/>
      <c r="I136" s="203"/>
      <c r="J136" s="202"/>
      <c r="K136" s="202"/>
      <c r="L136" s="203"/>
      <c r="M136" s="205"/>
    </row>
    <row r="137" customFormat="false" ht="14.25" hidden="false" customHeight="true" outlineLevel="0" collapsed="false">
      <c r="A137" s="202"/>
      <c r="B137" s="203"/>
      <c r="C137" s="203"/>
      <c r="D137" s="203"/>
      <c r="G137" s="95"/>
      <c r="H137" s="204"/>
      <c r="I137" s="203"/>
      <c r="J137" s="202"/>
      <c r="K137" s="202"/>
      <c r="L137" s="203"/>
      <c r="M137" s="205"/>
    </row>
    <row r="138" customFormat="false" ht="14.25" hidden="false" customHeight="true" outlineLevel="0" collapsed="false">
      <c r="A138" s="202"/>
      <c r="B138" s="203"/>
      <c r="C138" s="203"/>
      <c r="D138" s="203"/>
      <c r="G138" s="95"/>
      <c r="H138" s="204"/>
      <c r="I138" s="203"/>
      <c r="J138" s="202"/>
      <c r="K138" s="202"/>
      <c r="L138" s="203"/>
      <c r="M138" s="205"/>
    </row>
    <row r="139" customFormat="false" ht="14.25" hidden="false" customHeight="true" outlineLevel="0" collapsed="false">
      <c r="A139" s="202"/>
      <c r="B139" s="203"/>
      <c r="C139" s="203"/>
      <c r="D139" s="203"/>
      <c r="G139" s="95"/>
      <c r="H139" s="204"/>
      <c r="I139" s="203"/>
      <c r="J139" s="202"/>
      <c r="K139" s="202"/>
      <c r="L139" s="203"/>
      <c r="M139" s="205"/>
    </row>
    <row r="140" customFormat="false" ht="14.25" hidden="false" customHeight="true" outlineLevel="0" collapsed="false">
      <c r="A140" s="202"/>
      <c r="B140" s="203"/>
      <c r="C140" s="203"/>
      <c r="D140" s="203"/>
      <c r="G140" s="95"/>
      <c r="H140" s="204"/>
      <c r="I140" s="203"/>
      <c r="J140" s="202"/>
      <c r="K140" s="202"/>
      <c r="L140" s="203"/>
      <c r="M140" s="205"/>
    </row>
    <row r="141" customFormat="false" ht="14.25" hidden="false" customHeight="true" outlineLevel="0" collapsed="false">
      <c r="A141" s="202"/>
      <c r="B141" s="203"/>
      <c r="C141" s="203"/>
      <c r="D141" s="203"/>
      <c r="G141" s="95"/>
      <c r="H141" s="204"/>
      <c r="I141" s="203"/>
      <c r="J141" s="202"/>
      <c r="K141" s="202"/>
      <c r="L141" s="203"/>
      <c r="M141" s="205"/>
    </row>
    <row r="142" customFormat="false" ht="14.25" hidden="false" customHeight="true" outlineLevel="0" collapsed="false">
      <c r="A142" s="202"/>
      <c r="B142" s="203"/>
      <c r="C142" s="203"/>
      <c r="D142" s="203"/>
      <c r="G142" s="95"/>
      <c r="H142" s="204"/>
      <c r="I142" s="203"/>
      <c r="J142" s="202"/>
      <c r="K142" s="202"/>
      <c r="L142" s="203"/>
      <c r="M142" s="205"/>
    </row>
    <row r="143" customFormat="false" ht="14.25" hidden="false" customHeight="true" outlineLevel="0" collapsed="false">
      <c r="A143" s="202"/>
      <c r="B143" s="203"/>
      <c r="C143" s="203"/>
      <c r="D143" s="203"/>
      <c r="G143" s="95"/>
      <c r="H143" s="204"/>
      <c r="I143" s="203"/>
      <c r="J143" s="202"/>
      <c r="K143" s="202"/>
      <c r="L143" s="203"/>
      <c r="M143" s="205"/>
    </row>
    <row r="144" customFormat="false" ht="14.25" hidden="false" customHeight="true" outlineLevel="0" collapsed="false">
      <c r="A144" s="202"/>
      <c r="B144" s="203"/>
      <c r="C144" s="203"/>
      <c r="D144" s="203"/>
      <c r="G144" s="95"/>
      <c r="H144" s="204"/>
      <c r="I144" s="203"/>
      <c r="J144" s="202"/>
      <c r="K144" s="202"/>
      <c r="L144" s="203"/>
      <c r="M144" s="205"/>
    </row>
    <row r="145" customFormat="false" ht="14.25" hidden="false" customHeight="true" outlineLevel="0" collapsed="false">
      <c r="A145" s="202"/>
      <c r="B145" s="203"/>
      <c r="C145" s="203"/>
      <c r="D145" s="203"/>
      <c r="G145" s="95"/>
      <c r="H145" s="204"/>
      <c r="I145" s="203"/>
      <c r="J145" s="202"/>
      <c r="K145" s="202"/>
      <c r="L145" s="203"/>
      <c r="M145" s="205"/>
    </row>
    <row r="146" customFormat="false" ht="14.25" hidden="false" customHeight="true" outlineLevel="0" collapsed="false">
      <c r="A146" s="202"/>
      <c r="B146" s="203"/>
      <c r="C146" s="203"/>
      <c r="D146" s="203"/>
      <c r="G146" s="95"/>
      <c r="H146" s="204"/>
      <c r="I146" s="203"/>
      <c r="J146" s="202"/>
      <c r="K146" s="202"/>
      <c r="L146" s="203"/>
      <c r="M146" s="205"/>
    </row>
    <row r="147" customFormat="false" ht="14.25" hidden="false" customHeight="true" outlineLevel="0" collapsed="false">
      <c r="A147" s="202"/>
      <c r="B147" s="203"/>
      <c r="C147" s="203"/>
      <c r="D147" s="203"/>
      <c r="G147" s="95"/>
      <c r="H147" s="204"/>
      <c r="I147" s="203"/>
      <c r="J147" s="202"/>
      <c r="K147" s="202"/>
      <c r="L147" s="203"/>
      <c r="M147" s="205"/>
    </row>
    <row r="148" customFormat="false" ht="14.25" hidden="false" customHeight="true" outlineLevel="0" collapsed="false">
      <c r="A148" s="202"/>
      <c r="B148" s="203"/>
      <c r="C148" s="203"/>
      <c r="D148" s="203"/>
      <c r="G148" s="95"/>
      <c r="H148" s="204"/>
      <c r="I148" s="203"/>
      <c r="J148" s="202"/>
      <c r="K148" s="202"/>
      <c r="L148" s="203"/>
      <c r="M148" s="205"/>
    </row>
    <row r="149" customFormat="false" ht="14.25" hidden="false" customHeight="true" outlineLevel="0" collapsed="false">
      <c r="A149" s="202"/>
      <c r="B149" s="203"/>
      <c r="C149" s="203"/>
      <c r="D149" s="203"/>
      <c r="G149" s="95"/>
      <c r="H149" s="204"/>
      <c r="I149" s="203"/>
      <c r="J149" s="202"/>
      <c r="K149" s="202"/>
      <c r="L149" s="203"/>
      <c r="M149" s="205"/>
    </row>
    <row r="150" customFormat="false" ht="14.25" hidden="false" customHeight="true" outlineLevel="0" collapsed="false">
      <c r="A150" s="202"/>
      <c r="B150" s="203"/>
      <c r="C150" s="203"/>
      <c r="D150" s="203"/>
      <c r="G150" s="95"/>
      <c r="H150" s="204"/>
      <c r="I150" s="203"/>
      <c r="J150" s="202"/>
      <c r="K150" s="202"/>
      <c r="L150" s="203"/>
      <c r="M150" s="205"/>
    </row>
    <row r="151" customFormat="false" ht="14.25" hidden="false" customHeight="true" outlineLevel="0" collapsed="false">
      <c r="A151" s="202"/>
      <c r="B151" s="203"/>
      <c r="C151" s="203"/>
      <c r="D151" s="203"/>
      <c r="G151" s="95"/>
      <c r="H151" s="204"/>
      <c r="I151" s="203"/>
      <c r="J151" s="202"/>
      <c r="K151" s="202"/>
      <c r="L151" s="203"/>
      <c r="M151" s="205"/>
    </row>
    <row r="152" customFormat="false" ht="14.25" hidden="false" customHeight="true" outlineLevel="0" collapsed="false">
      <c r="A152" s="202"/>
      <c r="B152" s="203"/>
      <c r="C152" s="203"/>
      <c r="D152" s="203"/>
      <c r="G152" s="95"/>
      <c r="H152" s="204"/>
      <c r="I152" s="203"/>
      <c r="J152" s="202"/>
      <c r="K152" s="202"/>
      <c r="L152" s="203"/>
      <c r="M152" s="205"/>
    </row>
    <row r="153" customFormat="false" ht="14.25" hidden="false" customHeight="true" outlineLevel="0" collapsed="false">
      <c r="A153" s="202"/>
      <c r="B153" s="203"/>
      <c r="C153" s="203"/>
      <c r="D153" s="203"/>
      <c r="G153" s="95"/>
      <c r="H153" s="204"/>
      <c r="I153" s="203"/>
      <c r="J153" s="202"/>
      <c r="K153" s="202"/>
      <c r="L153" s="203"/>
      <c r="M153" s="205"/>
    </row>
    <row r="154" customFormat="false" ht="15" hidden="false" customHeight="true" outlineLevel="0" collapsed="false">
      <c r="A154" s="202"/>
      <c r="B154" s="203"/>
      <c r="C154" s="203"/>
      <c r="D154" s="203"/>
      <c r="G154" s="95"/>
      <c r="H154" s="204"/>
      <c r="I154" s="203"/>
      <c r="J154" s="202"/>
      <c r="K154" s="202"/>
      <c r="L154" s="203"/>
      <c r="M154" s="205" t="s">
        <v>998</v>
      </c>
    </row>
    <row r="155" customFormat="false" ht="14.25" hidden="false" customHeight="true" outlineLevel="0" collapsed="false">
      <c r="A155" s="202"/>
      <c r="B155" s="203"/>
      <c r="C155" s="203"/>
      <c r="D155" s="203"/>
      <c r="G155" s="95"/>
      <c r="H155" s="204"/>
      <c r="I155" s="203"/>
      <c r="J155" s="202"/>
      <c r="K155" s="202"/>
      <c r="L155" s="203"/>
      <c r="M155" s="205"/>
    </row>
    <row r="156" customFormat="false" ht="14.25" hidden="false" customHeight="true" outlineLevel="0" collapsed="false">
      <c r="A156" s="202"/>
      <c r="B156" s="203"/>
      <c r="C156" s="203"/>
      <c r="D156" s="203"/>
      <c r="G156" s="95"/>
      <c r="H156" s="204"/>
      <c r="I156" s="203"/>
      <c r="J156" s="202"/>
      <c r="K156" s="202"/>
      <c r="L156" s="203"/>
      <c r="M156" s="205"/>
    </row>
    <row r="157" customFormat="false" ht="15" hidden="false" customHeight="true" outlineLevel="0" collapsed="false">
      <c r="A157" s="202"/>
      <c r="B157" s="203"/>
      <c r="C157" s="203"/>
      <c r="D157" s="203"/>
      <c r="G157" s="95"/>
      <c r="H157" s="204"/>
      <c r="I157" s="203"/>
      <c r="J157" s="202"/>
      <c r="K157" s="202"/>
      <c r="L157" s="203"/>
      <c r="M157" s="205" t="s">
        <v>998</v>
      </c>
    </row>
    <row r="158" customFormat="false" ht="14.25" hidden="false" customHeight="true" outlineLevel="0" collapsed="false">
      <c r="A158" s="202"/>
      <c r="B158" s="203"/>
      <c r="C158" s="203"/>
      <c r="D158" s="203"/>
      <c r="G158" s="95"/>
      <c r="H158" s="204"/>
      <c r="I158" s="203"/>
      <c r="J158" s="202"/>
      <c r="K158" s="202"/>
      <c r="L158" s="203"/>
      <c r="M158" s="205"/>
    </row>
    <row r="159" customFormat="false" ht="14.25" hidden="false" customHeight="true" outlineLevel="0" collapsed="false">
      <c r="A159" s="202"/>
      <c r="B159" s="203"/>
      <c r="C159" s="203"/>
      <c r="D159" s="203"/>
      <c r="G159" s="95"/>
      <c r="H159" s="204"/>
      <c r="I159" s="203"/>
      <c r="J159" s="202"/>
      <c r="K159" s="202"/>
      <c r="L159" s="203"/>
      <c r="M159" s="205"/>
    </row>
    <row r="160" customFormat="false" ht="14.25" hidden="false" customHeight="true" outlineLevel="0" collapsed="false">
      <c r="G160" s="95"/>
      <c r="H160" s="204"/>
    </row>
    <row r="161" customFormat="false" ht="14.25" hidden="false" customHeight="true" outlineLevel="0" collapsed="false">
      <c r="G161" s="95"/>
      <c r="H161" s="204"/>
    </row>
    <row r="162" customFormat="false" ht="14.25" hidden="false" customHeight="true" outlineLevel="0" collapsed="false">
      <c r="G162" s="95"/>
      <c r="H162" s="204"/>
    </row>
    <row r="163" customFormat="false" ht="14.25" hidden="false" customHeight="true" outlineLevel="0" collapsed="false">
      <c r="G163" s="95"/>
      <c r="H163" s="204"/>
    </row>
    <row r="164" customFormat="false" ht="14.25" hidden="false" customHeight="true" outlineLevel="0" collapsed="false">
      <c r="G164" s="95"/>
      <c r="H164" s="204"/>
    </row>
    <row r="165" customFormat="false" ht="14.25" hidden="false" customHeight="true" outlineLevel="0" collapsed="false">
      <c r="G165" s="95"/>
      <c r="H165" s="204"/>
    </row>
    <row r="166" customFormat="false" ht="14.25" hidden="false" customHeight="true" outlineLevel="0" collapsed="false">
      <c r="G166" s="95"/>
      <c r="H166" s="204"/>
    </row>
    <row r="167" customFormat="false" ht="14.25" hidden="false" customHeight="true" outlineLevel="0" collapsed="false">
      <c r="G167" s="95"/>
      <c r="H167" s="204"/>
    </row>
    <row r="168" customFormat="false" ht="14.25" hidden="false" customHeight="true" outlineLevel="0" collapsed="false">
      <c r="G168" s="95"/>
      <c r="H168" s="204"/>
    </row>
    <row r="169" customFormat="false" ht="14.25" hidden="false" customHeight="true" outlineLevel="0" collapsed="false">
      <c r="G169" s="95"/>
      <c r="H169" s="204"/>
    </row>
    <row r="170" customFormat="false" ht="14.25" hidden="false" customHeight="true" outlineLevel="0" collapsed="false">
      <c r="G170" s="95"/>
      <c r="H170" s="204"/>
    </row>
    <row r="171" customFormat="false" ht="14.25" hidden="false" customHeight="true" outlineLevel="0" collapsed="false">
      <c r="G171" s="95"/>
      <c r="H171" s="204"/>
    </row>
    <row r="172" customFormat="false" ht="14.25" hidden="false" customHeight="true" outlineLevel="0" collapsed="false">
      <c r="G172" s="95"/>
      <c r="H172" s="204"/>
    </row>
    <row r="173" customFormat="false" ht="14.25" hidden="false" customHeight="true" outlineLevel="0" collapsed="false">
      <c r="G173" s="95"/>
      <c r="H173" s="204"/>
    </row>
    <row r="174" customFormat="false" ht="14.25" hidden="false" customHeight="true" outlineLevel="0" collapsed="false">
      <c r="G174" s="95"/>
      <c r="H174" s="204"/>
    </row>
    <row r="175" customFormat="false" ht="14.25" hidden="false" customHeight="true" outlineLevel="0" collapsed="false">
      <c r="G175" s="95"/>
      <c r="H175" s="204"/>
    </row>
    <row r="176" customFormat="false" ht="14.25" hidden="false" customHeight="true" outlineLevel="0" collapsed="false">
      <c r="G176" s="95"/>
      <c r="H176" s="204"/>
    </row>
    <row r="177" customFormat="false" ht="14.25" hidden="false" customHeight="true" outlineLevel="0" collapsed="false">
      <c r="G177" s="95"/>
      <c r="H177" s="204"/>
    </row>
    <row r="178" customFormat="false" ht="14.25" hidden="false" customHeight="true" outlineLevel="0" collapsed="false">
      <c r="G178" s="95"/>
      <c r="H178" s="204"/>
    </row>
    <row r="179" customFormat="false" ht="14.25" hidden="false" customHeight="true" outlineLevel="0" collapsed="false">
      <c r="G179" s="95"/>
      <c r="H179" s="204"/>
    </row>
    <row r="180" customFormat="false" ht="14.25" hidden="false" customHeight="true" outlineLevel="0" collapsed="false">
      <c r="G180" s="95"/>
      <c r="H180" s="204"/>
    </row>
    <row r="181" customFormat="false" ht="14.25" hidden="false" customHeight="true" outlineLevel="0" collapsed="false">
      <c r="G181" s="95"/>
      <c r="H181" s="204"/>
    </row>
    <row r="182" customFormat="false" ht="14.25" hidden="false" customHeight="true" outlineLevel="0" collapsed="false">
      <c r="G182" s="95"/>
      <c r="H182" s="204"/>
    </row>
    <row r="183" customFormat="false" ht="14.25" hidden="false" customHeight="true" outlineLevel="0" collapsed="false">
      <c r="G183" s="95"/>
      <c r="H183" s="204"/>
    </row>
    <row r="184" customFormat="false" ht="14.25" hidden="false" customHeight="true" outlineLevel="0" collapsed="false">
      <c r="G184" s="95"/>
      <c r="H184" s="204"/>
    </row>
    <row r="185" customFormat="false" ht="14.25" hidden="false" customHeight="true" outlineLevel="0" collapsed="false">
      <c r="G185" s="95"/>
      <c r="H185" s="204"/>
    </row>
    <row r="186" customFormat="false" ht="14.25" hidden="false" customHeight="true" outlineLevel="0" collapsed="false">
      <c r="G186" s="95"/>
      <c r="H186" s="204"/>
    </row>
    <row r="187" customFormat="false" ht="14.25" hidden="false" customHeight="true" outlineLevel="0" collapsed="false">
      <c r="G187" s="95"/>
      <c r="H187" s="204"/>
    </row>
    <row r="188" customFormat="false" ht="14.25" hidden="false" customHeight="true" outlineLevel="0" collapsed="false">
      <c r="G188" s="95"/>
      <c r="H188" s="204"/>
    </row>
    <row r="189" customFormat="false" ht="14.25" hidden="false" customHeight="true" outlineLevel="0" collapsed="false">
      <c r="G189" s="95"/>
      <c r="H189" s="204"/>
    </row>
    <row r="190" customFormat="false" ht="14.25" hidden="false" customHeight="true" outlineLevel="0" collapsed="false">
      <c r="G190" s="95"/>
      <c r="H190" s="204"/>
    </row>
    <row r="191" customFormat="false" ht="14.25" hidden="false" customHeight="true" outlineLevel="0" collapsed="false">
      <c r="G191" s="95"/>
      <c r="H191" s="204"/>
    </row>
    <row r="192" customFormat="false" ht="14.25" hidden="false" customHeight="true" outlineLevel="0" collapsed="false">
      <c r="G192" s="95"/>
      <c r="H192" s="204"/>
    </row>
    <row r="193" customFormat="false" ht="14.25" hidden="false" customHeight="true" outlineLevel="0" collapsed="false">
      <c r="G193" s="95"/>
      <c r="H193" s="204"/>
    </row>
    <row r="194" customFormat="false" ht="14.25" hidden="false" customHeight="true" outlineLevel="0" collapsed="false">
      <c r="G194" s="95"/>
      <c r="H194" s="204"/>
    </row>
    <row r="195" customFormat="false" ht="14.25" hidden="false" customHeight="true" outlineLevel="0" collapsed="false">
      <c r="G195" s="95"/>
      <c r="H195" s="204"/>
    </row>
    <row r="196" customFormat="false" ht="14.25" hidden="false" customHeight="true" outlineLevel="0" collapsed="false">
      <c r="G196" s="95"/>
      <c r="H196" s="204"/>
    </row>
    <row r="197" customFormat="false" ht="14.25" hidden="false" customHeight="true" outlineLevel="0" collapsed="false">
      <c r="G197" s="95"/>
      <c r="H197" s="204"/>
    </row>
    <row r="198" customFormat="false" ht="14.25" hidden="false" customHeight="true" outlineLevel="0" collapsed="false">
      <c r="G198" s="95"/>
      <c r="H198" s="204"/>
    </row>
    <row r="199" customFormat="false" ht="14.25" hidden="false" customHeight="true" outlineLevel="0" collapsed="false">
      <c r="G199" s="95"/>
      <c r="H199" s="204"/>
    </row>
    <row r="200" customFormat="false" ht="14.25" hidden="false" customHeight="true" outlineLevel="0" collapsed="false">
      <c r="G200" s="95"/>
      <c r="H200" s="204"/>
    </row>
    <row r="201" customFormat="false" ht="14.25" hidden="false" customHeight="true" outlineLevel="0" collapsed="false">
      <c r="G201" s="95"/>
      <c r="H201" s="204"/>
    </row>
    <row r="202" customFormat="false" ht="14.25" hidden="false" customHeight="true" outlineLevel="0" collapsed="false">
      <c r="G202" s="95"/>
      <c r="H202" s="204"/>
    </row>
    <row r="203" customFormat="false" ht="14.25" hidden="false" customHeight="true" outlineLevel="0" collapsed="false">
      <c r="G203" s="95"/>
      <c r="H203" s="204"/>
    </row>
    <row r="204" customFormat="false" ht="14.25" hidden="false" customHeight="true" outlineLevel="0" collapsed="false">
      <c r="G204" s="95"/>
      <c r="H204" s="204"/>
    </row>
    <row r="205" customFormat="false" ht="14.25" hidden="false" customHeight="true" outlineLevel="0" collapsed="false">
      <c r="G205" s="95"/>
      <c r="H205" s="204"/>
    </row>
    <row r="206" customFormat="false" ht="14.25" hidden="false" customHeight="true" outlineLevel="0" collapsed="false">
      <c r="G206" s="95"/>
      <c r="H206" s="204"/>
    </row>
    <row r="207" customFormat="false" ht="14.25" hidden="false" customHeight="true" outlineLevel="0" collapsed="false">
      <c r="G207" s="95"/>
      <c r="H207" s="204"/>
    </row>
    <row r="208" customFormat="false" ht="14.25" hidden="false" customHeight="true" outlineLevel="0" collapsed="false">
      <c r="G208" s="95"/>
      <c r="H208" s="204"/>
    </row>
    <row r="209" customFormat="false" ht="14.25" hidden="false" customHeight="true" outlineLevel="0" collapsed="false">
      <c r="G209" s="95"/>
      <c r="H209" s="204"/>
    </row>
    <row r="210" customFormat="false" ht="14.25" hidden="false" customHeight="true" outlineLevel="0" collapsed="false">
      <c r="G210" s="95"/>
      <c r="H210" s="204"/>
    </row>
    <row r="211" customFormat="false" ht="14.25" hidden="false" customHeight="true" outlineLevel="0" collapsed="false">
      <c r="G211" s="95"/>
      <c r="H211" s="204"/>
    </row>
    <row r="212" customFormat="false" ht="14.25" hidden="false" customHeight="true" outlineLevel="0" collapsed="false">
      <c r="G212" s="95"/>
      <c r="H212" s="204"/>
    </row>
    <row r="213" customFormat="false" ht="14.25" hidden="false" customHeight="true" outlineLevel="0" collapsed="false">
      <c r="G213" s="95"/>
      <c r="H213" s="204"/>
    </row>
    <row r="214" customFormat="false" ht="14.25" hidden="false" customHeight="true" outlineLevel="0" collapsed="false">
      <c r="G214" s="95"/>
      <c r="H214" s="204"/>
    </row>
    <row r="215" customFormat="false" ht="14.25" hidden="false" customHeight="true" outlineLevel="0" collapsed="false">
      <c r="G215" s="95"/>
      <c r="H215" s="204"/>
    </row>
    <row r="216" customFormat="false" ht="14.25" hidden="false" customHeight="true" outlineLevel="0" collapsed="false">
      <c r="G216" s="95"/>
      <c r="H216" s="204"/>
    </row>
    <row r="217" customFormat="false" ht="14.25" hidden="false" customHeight="true" outlineLevel="0" collapsed="false">
      <c r="G217" s="95"/>
      <c r="H217" s="204"/>
    </row>
    <row r="218" customFormat="false" ht="14.25" hidden="false" customHeight="true" outlineLevel="0" collapsed="false">
      <c r="G218" s="95"/>
      <c r="H218" s="204"/>
    </row>
    <row r="219" customFormat="false" ht="14.25" hidden="false" customHeight="true" outlineLevel="0" collapsed="false">
      <c r="G219" s="95"/>
      <c r="H219" s="204"/>
    </row>
    <row r="220" customFormat="false" ht="14.25" hidden="false" customHeight="true" outlineLevel="0" collapsed="false">
      <c r="G220" s="95"/>
      <c r="H220" s="204"/>
    </row>
    <row r="221" customFormat="false" ht="14.25" hidden="false" customHeight="true" outlineLevel="0" collapsed="false">
      <c r="G221" s="95"/>
      <c r="H221" s="204"/>
    </row>
    <row r="222" customFormat="false" ht="14.25" hidden="false" customHeight="true" outlineLevel="0" collapsed="false">
      <c r="G222" s="206"/>
      <c r="H222" s="207"/>
    </row>
  </sheetData>
  <mergeCells count="7">
    <mergeCell ref="B68:B73"/>
    <mergeCell ref="C68:C73"/>
    <mergeCell ref="D68:D73"/>
    <mergeCell ref="I68:I73"/>
    <mergeCell ref="J68:J73"/>
    <mergeCell ref="K68:K73"/>
    <mergeCell ref="L68:L7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I14" activeCellId="0" sqref="I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18</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9" t="s">
        <v>1291</v>
      </c>
    </row>
    <row r="3" customFormat="false" ht="14.2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State-level planning framework</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provision for a State Spatial Planning Board which is mandated with planning policies and reforms for the state?</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Part A - Check if the state Town and Country Planning (T&amp;CP) act provides for a state-level town and country planning board/ spatial planning board or equivalent body with a 'Shall' provision. If yes, score 5. Where the law only enables the constitution of such a body (e.g., “the State Government may constitute”), additionally verify whether the body has actually been constituted through a government notification or order, or by checking the official website of the relevant State Government department or planning body. If yes, score 5.Part B - If Part A is scored as 'Yes', check whether the body has an explicit mandate to advise on or formulate state-level spatial planning policies and reforms. if yes, score 5.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Please note that the name of the body need not be identical, provided its statutory functions correspond to the intent of the question.</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"Part A: State planning board provided / constituted ("&amp;TEXT($C$7/2,"0.00")&amp;")"</f>
        <v>Part A: State planning board provided / constituted (5.00)</v>
      </c>
      <c r="I12" s="246" t="str">
        <f aca="false">"Part B: Mandate on state spatial planning policies &amp; reforms (counts only if Part A = YES) ("&amp;TEXT($C$7/2,"0.00")&amp;")"</f>
        <v>Part B: Mandate on state spatial planning policies &amp; reforms (counts only if Part A = YES) (5.00)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4.25" hidden="false" customHeight="true" outlineLevel="0" collapsed="false">
      <c r="A14" s="247" t="s">
        <v>19</v>
      </c>
      <c r="B14" s="248" t="s">
        <v>25</v>
      </c>
      <c r="C14" s="248" t="s">
        <v>1306</v>
      </c>
      <c r="D14" s="248" t="s">
        <v>1307</v>
      </c>
      <c r="E14" s="248" t="s">
        <v>1308</v>
      </c>
      <c r="F14" s="248" t="s">
        <v>803</v>
      </c>
      <c r="G14" s="248" t="s">
        <v>26</v>
      </c>
      <c r="H14" s="249"/>
      <c r="I14" s="249" t="s">
        <v>1309</v>
      </c>
      <c r="J14" s="250" t="str">
        <f aca="false">IF(COUNTIFS('Scores (start here)'!$A:$A,$B$1,'Scores (start here)'!$B:$B,$A14,'Scores (start here)'!$F:$F,"&gt;=0")&gt;0,SUMIFS('Scores (start here)'!$F:$F,'Scores (start here)'!$A:$A,$B$1,'Scores (start here)'!$B:$B,$A14),L14)</f>
        <v/>
      </c>
      <c r="K14" s="251" t="s">
        <v>1310</v>
      </c>
      <c r="L14" s="77" t="str">
        <f aca="false">IF(H14="","",IF(H14="NO",0,IF(I14="","",IF(I14="YES",$C$7,$C$7/2))))</f>
        <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14.25" hidden="false" customHeight="true" outlineLevel="0" collapsed="false">
      <c r="A33" s="247" t="s">
        <v>30</v>
      </c>
      <c r="B33" s="248"/>
      <c r="C33" s="248"/>
      <c r="D33" s="248"/>
      <c r="E33" s="248"/>
      <c r="F33" s="248"/>
      <c r="G33" s="248"/>
      <c r="H33" s="249"/>
      <c r="I33" s="249"/>
      <c r="J33" s="250" t="str">
        <f aca="false">IF(COUNTIFS('Scores (start here)'!$A:$A,$B$1,'Scores (start here)'!$B:$B,$A33,'Scores (start here)'!$F:$F,"&gt;=0")&gt;0,SUMIFS('Scores (start here)'!$F:$F,'Scores (start here)'!$A:$A,$B$1,'Scores (start here)'!$B:$B,$A33),L33)</f>
        <v/>
      </c>
      <c r="K33" s="248" t="s">
        <v>1311</v>
      </c>
      <c r="L33" s="77" t="str">
        <f aca="false">IF(H33="","",IF(H33="NO",0,IF(I33="","",IF(I33="YES",$C$7,$C$7/2))))</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33</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9" t="s">
        <v>1291</v>
      </c>
    </row>
    <row r="3" customFormat="false" ht="14.2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State-level planning framework</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provision for the establishment of Planning Authorities for notified new towns or special developments?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T&amp;CP Act has provisions for establishing a planning authority for new areas/towns notified. The state can also be considered, if the provision mandates the existing planning authority to develop a plan for the notified new area.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25</v>
      </c>
      <c r="C14" s="248" t="s">
        <v>1313</v>
      </c>
      <c r="D14" s="248" t="s">
        <v>1314</v>
      </c>
      <c r="E14" s="248" t="s">
        <v>1315</v>
      </c>
      <c r="F14" s="248" t="s">
        <v>846</v>
      </c>
      <c r="G14" s="248" t="s">
        <v>26</v>
      </c>
      <c r="H14" s="249" t="s">
        <v>1309</v>
      </c>
      <c r="I14" s="250" t="n">
        <f aca="false">IF(COUNTIFS('Scores (start here)'!$A:$A,$B$1,'Scores (start here)'!$B:$B,$A14,'Scores (start here)'!$F:$F,"&gt;=0")&gt;0,SUMIFS('Scores (start here)'!$F:$F,'Scores (start here)'!$A:$A,$B$1,'Scores (start here)'!$B:$B,$A14),K14)</f>
        <v>10</v>
      </c>
      <c r="J14" s="251" t="s">
        <v>1316</v>
      </c>
      <c r="K14" s="252" t="n">
        <f aca="false">IF(H14="YES",$C$7,IF(H14="NO",0,""))</f>
        <v>10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91.25" hidden="false" customHeight="true" outlineLevel="0" collapsed="false">
      <c r="A33" s="247" t="s">
        <v>30</v>
      </c>
      <c r="B33" s="248" t="s">
        <v>41</v>
      </c>
      <c r="C33" s="248" t="s">
        <v>1317</v>
      </c>
      <c r="D33" s="248" t="s">
        <v>1318</v>
      </c>
      <c r="E33" s="248" t="s">
        <v>1319</v>
      </c>
      <c r="F33" s="248" t="s">
        <v>767</v>
      </c>
      <c r="G33" s="248" t="s">
        <v>42</v>
      </c>
      <c r="H33" s="249" t="s">
        <v>1309</v>
      </c>
      <c r="I33" s="250" t="n">
        <f aca="false">IF(COUNTIFS('Scores (start here)'!$A:$A,$B$1,'Scores (start here)'!$B:$B,$A33,'Scores (start here)'!$F:$F,"&gt;=0")&gt;0,SUMIFS('Scores (start here)'!$F:$F,'Scores (start here)'!$A:$A,$B$1,'Scores (start here)'!$B:$B,$A33),K33)</f>
        <v>10</v>
      </c>
      <c r="J33" s="251" t="s">
        <v>1320</v>
      </c>
      <c r="K33" s="252" t="n">
        <f aca="false">IF(H33="YES",$C$7,IF(H33="NO",0,""))</f>
        <v>10</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B9" activeCellId="0" sqref="B9"/>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45</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43.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Metropolitan/ Regional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T&amp;CP Act should mandate three levels of spatial plans.  &gt;:&lt; Check the T&amp;CP/Metropolitan Planning Act for provisions that mandate the creation of a metropolitan/regional plan. Relevant metropolitan authority act/urban areas development authority act can also be considered for evidence. If the city is not a metropolitan, the act should mandate the creation of a regional plan.</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49</v>
      </c>
      <c r="C14" s="248" t="s">
        <v>1321</v>
      </c>
      <c r="D14" s="248" t="s">
        <v>1322</v>
      </c>
      <c r="E14" s="248" t="s">
        <v>1323</v>
      </c>
      <c r="F14" s="248" t="s">
        <v>754</v>
      </c>
      <c r="G14" s="248" t="s">
        <v>50</v>
      </c>
      <c r="H14" s="249" t="s">
        <v>1309</v>
      </c>
      <c r="I14" s="250" t="n">
        <f aca="false">IF(COUNTIFS('Scores (start here)'!$A:$A,$B$1,'Scores (start here)'!$B:$B,$A14,'Scores (start here)'!$F:$F,"&gt;=0")&gt;0,SUMIFS('Scores (start here)'!$F:$F,'Scores (start here)'!$A:$A,$B$1,'Scores (start here)'!$B:$B,$A14),K14)</f>
        <v>3.33</v>
      </c>
      <c r="J14" s="251" t="s">
        <v>1324</v>
      </c>
      <c r="K14" s="252" t="n">
        <f aca="false">IF(H14="YES",$C$7,IF(H14="NO",0,""))</f>
        <v>3.33</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80" hidden="false" customHeight="true" outlineLevel="0" collapsed="false">
      <c r="A33" s="247" t="s">
        <v>30</v>
      </c>
      <c r="B33" s="248" t="s">
        <v>54</v>
      </c>
      <c r="C33" s="248" t="s">
        <v>1325</v>
      </c>
      <c r="D33" s="248" t="s">
        <v>1326</v>
      </c>
      <c r="E33" s="248" t="s">
        <v>1327</v>
      </c>
      <c r="F33" s="248" t="s">
        <v>1328</v>
      </c>
      <c r="G33" s="248" t="s">
        <v>55</v>
      </c>
      <c r="H33" s="249"/>
      <c r="I33" s="250" t="str">
        <f aca="false">IF(COUNTIFS('Scores (start here)'!$A:$A,$B$1,'Scores (start here)'!$B:$B,$A33,'Scores (start here)'!$F:$F,"&gt;=0")&gt;0,SUMIFS('Scores (start here)'!$F:$F,'Scores (start here)'!$A:$A,$B$1,'Scores (start here)'!$B:$B,$A33),K33)</f>
        <v/>
      </c>
      <c r="J33" s="251" t="s">
        <v>1329</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6" activeCellId="0" sqref="B6"/>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59</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43.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Municipal/city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T&amp;CP Act should mandate three levels of spatial plans.  &gt;:&lt; Check the T&amp;CP Act for provisions that mandate the creation of a municipal/city plan. Relevant urban areas development authority act can also be considered for evidence.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25</v>
      </c>
      <c r="C14" s="248" t="s">
        <v>1330</v>
      </c>
      <c r="D14" s="248" t="s">
        <v>1331</v>
      </c>
      <c r="E14" s="248" t="s">
        <v>1332</v>
      </c>
      <c r="F14" s="248" t="s">
        <v>892</v>
      </c>
      <c r="G14" s="248" t="s">
        <v>26</v>
      </c>
      <c r="H14" s="249" t="s">
        <v>1309</v>
      </c>
      <c r="I14" s="250" t="n">
        <f aca="false">IF(COUNTIFS('Scores (start here)'!$A:$A,$B$1,'Scores (start here)'!$B:$B,$A14,'Scores (start here)'!$F:$F,"&gt;=0")&gt;0,SUMIFS('Scores (start here)'!$F:$F,'Scores (start here)'!$A:$A,$B$1,'Scores (start here)'!$B:$B,$A14),K14)</f>
        <v>3.33</v>
      </c>
      <c r="J14" s="251" t="s">
        <v>1333</v>
      </c>
      <c r="K14" s="252" t="n">
        <f aca="false">IF(H14="YES",$C$7,IF(H14="NO",0,""))</f>
        <v>3.33</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23.25" hidden="false" customHeight="true" outlineLevel="0" collapsed="false">
      <c r="A33" s="247" t="s">
        <v>30</v>
      </c>
      <c r="B33" s="248" t="s">
        <v>65</v>
      </c>
      <c r="C33" s="248" t="s">
        <v>1334</v>
      </c>
      <c r="D33" s="248" t="s">
        <v>1335</v>
      </c>
      <c r="E33" s="248" t="s">
        <v>1336</v>
      </c>
      <c r="F33" s="248" t="s">
        <v>671</v>
      </c>
      <c r="G33" s="248" t="s">
        <v>66</v>
      </c>
      <c r="H33" s="249" t="s">
        <v>1309</v>
      </c>
      <c r="I33" s="250" t="n">
        <f aca="false">IF(COUNTIFS('Scores (start here)'!$A:$A,$B$1,'Scores (start here)'!$B:$B,$A33,'Scores (start here)'!$F:$F,"&gt;=0")&gt;0,SUMIFS('Scores (start here)'!$F:$F,'Scores (start here)'!$A:$A,$B$1,'Scores (start here)'!$B:$B,$A33),K33)</f>
        <v>3.33</v>
      </c>
      <c r="J33" s="251" t="s">
        <v>1337</v>
      </c>
      <c r="K33" s="252" t="n">
        <f aca="false">IF(H33="YES",$C$7,IF(H33="NO",0,""))</f>
        <v>3.33</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H16" activeCellId="0" sqref="H16"/>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 collapsed="false" customWidth="true" hidden="false" outlineLevel="0" max="11" min="11" style="77" width="30"/>
  </cols>
  <sheetData>
    <row r="1" customFormat="false" ht="14.25" hidden="false" customHeight="true" outlineLevel="0" collapsed="false">
      <c r="A1" s="238" t="s">
        <v>1288</v>
      </c>
      <c r="B1" s="238" t="s">
        <v>69</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43.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Ward(s)/local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101.2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T&amp;CP Act should mandate three levels of spatial plans.  &gt;:&lt; Check the T&amp;CP Act for provisions that mandate the creation of a third tier of plan at the zone/ward level. Town planning schemes that are developed within the framework of the municipal/city plan shall not be considered. </v>
      </c>
    </row>
    <row r="10" customFormat="false" ht="43.5"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capture in the comments if the mandate is for a zonal/ward/local area plan, mention the type.</v>
      </c>
    </row>
    <row r="11" customFormat="false" ht="28.5" hidden="false" customHeight="true" outlineLevel="0" collapsed="false">
      <c r="H11" s="243" t="s">
        <v>1294</v>
      </c>
      <c r="I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246" t="s">
        <v>1338</v>
      </c>
      <c r="L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here)'!$B:$B,$A13),L13)</f>
        <v/>
      </c>
      <c r="J13" s="248"/>
      <c r="K13" s="248"/>
      <c r="L13" s="77" t="str">
        <f aca="false">IF(H13="YES",$C$7,IF(H13="NO",0,""))</f>
        <v/>
      </c>
    </row>
    <row r="14" customFormat="false" ht="14.25" hidden="false" customHeight="true" outlineLevel="0" collapsed="false">
      <c r="A14" s="247" t="s">
        <v>19</v>
      </c>
      <c r="B14" s="248" t="s">
        <v>25</v>
      </c>
      <c r="C14" s="248" t="s">
        <v>1339</v>
      </c>
      <c r="D14" s="248" t="s">
        <v>1340</v>
      </c>
      <c r="E14" s="248" t="s">
        <v>1341</v>
      </c>
      <c r="F14" s="248" t="s">
        <v>892</v>
      </c>
      <c r="G14" s="248" t="s">
        <v>26</v>
      </c>
      <c r="H14" s="249"/>
      <c r="I14" s="250" t="str">
        <f aca="false">IF(COUNTIFS('Scores (start here)'!$A:$A,$B$1,'Scores (start here)'!$B:$B,$A14,'Scores (start here)'!$F:$F,"&gt;=0")&gt;0,SUMIFS('Scores (start here)'!$F:$F,'Scores (start here)'!$A:$A,$B$1,'Scores (start here)'!$B:$B,$A14),L14)</f>
        <v/>
      </c>
      <c r="J14" s="251" t="s">
        <v>1342</v>
      </c>
      <c r="K14" s="248"/>
      <c r="L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here)'!$B:$B,$A15),L15)</f>
        <v/>
      </c>
      <c r="J15" s="248"/>
      <c r="K15" s="248"/>
      <c r="L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here)'!$B:$B,$A16),L16)</f>
        <v/>
      </c>
      <c r="J16" s="248"/>
      <c r="K16" s="248"/>
      <c r="L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here)'!$B:$B,$A17),L17)</f>
        <v/>
      </c>
      <c r="J17" s="248"/>
      <c r="K17" s="248"/>
      <c r="L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here)'!$B:$B,$A18),L18)</f>
        <v/>
      </c>
      <c r="J18" s="248"/>
      <c r="K18" s="248"/>
      <c r="L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here)'!$B:$B,$A19),L19)</f>
        <v/>
      </c>
      <c r="J19" s="248"/>
      <c r="K19" s="248"/>
      <c r="L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here)'!$B:$B,$A20),L20)</f>
        <v/>
      </c>
      <c r="J20" s="248"/>
      <c r="K20" s="248"/>
      <c r="L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here)'!$B:$B,$A21),L21)</f>
        <v/>
      </c>
      <c r="J21" s="248"/>
      <c r="K21" s="248"/>
      <c r="L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here)'!$B:$B,$A22),L22)</f>
        <v/>
      </c>
      <c r="J22" s="248"/>
      <c r="K22" s="248"/>
      <c r="L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here)'!$B:$B,$A23),L23)</f>
        <v/>
      </c>
      <c r="J23" s="248"/>
      <c r="K23" s="248"/>
      <c r="L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here)'!$B:$B,$A24),L24)</f>
        <v/>
      </c>
      <c r="J24" s="248"/>
      <c r="K24" s="248"/>
      <c r="L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here)'!$B:$B,$A25),L25)</f>
        <v/>
      </c>
      <c r="J25" s="248"/>
      <c r="K25" s="248"/>
      <c r="L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here)'!$B:$B,$A26),L26)</f>
        <v/>
      </c>
      <c r="J26" s="248"/>
      <c r="K26" s="248"/>
      <c r="L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here)'!$B:$B,$A27),L27)</f>
        <v/>
      </c>
      <c r="J27" s="248"/>
      <c r="K27" s="248"/>
      <c r="L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here)'!$B:$B,$A28),L28)</f>
        <v/>
      </c>
      <c r="J28" s="248"/>
      <c r="K28" s="248"/>
      <c r="L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here)'!$B:$B,$A29),L29)</f>
        <v/>
      </c>
      <c r="J29" s="248"/>
      <c r="K29" s="248"/>
      <c r="L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here)'!$B:$B,$A30),L30)</f>
        <v/>
      </c>
      <c r="J30" s="248"/>
      <c r="K30" s="248"/>
      <c r="L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here)'!$B:$B,$A31),L31)</f>
        <v/>
      </c>
      <c r="J31" s="248"/>
      <c r="K31" s="248"/>
      <c r="L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here)'!$B:$B,$A32),L32)</f>
        <v/>
      </c>
      <c r="J32" s="248"/>
      <c r="K32" s="248"/>
      <c r="L32" s="77" t="str">
        <f aca="false">IF(H32="YES",$C$7,IF(H32="NO",0,""))</f>
        <v/>
      </c>
    </row>
    <row r="33" customFormat="false" ht="348" hidden="false" customHeight="true" outlineLevel="0" collapsed="false">
      <c r="A33" s="247" t="s">
        <v>30</v>
      </c>
      <c r="B33" s="248" t="s">
        <v>54</v>
      </c>
      <c r="C33" s="248" t="s">
        <v>1343</v>
      </c>
      <c r="D33" s="248" t="s">
        <v>1344</v>
      </c>
      <c r="E33" s="248" t="s">
        <v>1345</v>
      </c>
      <c r="F33" s="248" t="s">
        <v>1346</v>
      </c>
      <c r="G33" s="248" t="s">
        <v>55</v>
      </c>
      <c r="H33" s="249"/>
      <c r="I33" s="250" t="str">
        <f aca="false">IF(COUNTIFS('Scores (start here)'!$A:$A,$B$1,'Scores (start here)'!$B:$B,$A33,'Scores (start here)'!$F:$F,"&gt;=0")&gt;0,SUMIFS('Scores (start here)'!$F:$F,'Scores (start here)'!$A:$A,$B$1,'Scores (start here)'!$B:$B,$A33),L33)</f>
        <v/>
      </c>
      <c r="J33" s="251" t="s">
        <v>1347</v>
      </c>
      <c r="K33" s="248"/>
      <c r="L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here)'!$B:$B,$A34),L34)</f>
        <v/>
      </c>
      <c r="J34" s="248"/>
      <c r="K34" s="248"/>
      <c r="L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here)'!$B:$B,$A35),L35)</f>
        <v/>
      </c>
      <c r="J35" s="248"/>
      <c r="K35" s="248"/>
      <c r="L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here)'!$B:$B,$A36),L36)</f>
        <v/>
      </c>
      <c r="J36" s="248"/>
      <c r="K36" s="248"/>
      <c r="L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here)'!$B:$B,$A37),L37)</f>
        <v/>
      </c>
      <c r="J37" s="248"/>
      <c r="K37" s="248"/>
      <c r="L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here)'!$B:$B,$A38),L38)</f>
        <v/>
      </c>
      <c r="J38" s="248"/>
      <c r="K38" s="248"/>
      <c r="L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here)'!$B:$B,$A39),L39)</f>
        <v/>
      </c>
      <c r="J39" s="248"/>
      <c r="K39" s="248"/>
      <c r="L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here)'!$B:$B,$A40),L40)</f>
        <v/>
      </c>
      <c r="J40" s="248"/>
      <c r="K40" s="248"/>
      <c r="L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here)'!$B:$B,$A41),L41)</f>
        <v/>
      </c>
      <c r="J41" s="248"/>
      <c r="K41" s="248"/>
      <c r="L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76</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9" t="s">
        <v>1291</v>
      </c>
    </row>
    <row r="3" customFormat="false" ht="14.2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 planning boundary of the municipal/city plan aligned with political and administrative boundaries?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boundary.For example:Entire ULG only = Score 10Entire ULG + 10 complete Gram Panchayats = Score 10Entire ULG + 15 complete revenue villages = Score 10Entire ULG + 2 complete taluks = Score 10ULG + only part of a Gram Panchayat/revenue village = Score 0Planning boundary itself divides the ULG, leaving part of the ULG outside the plan = Score 0 Use the notification/text defining the planning area as the primary source.Refer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t="s">
        <v>49</v>
      </c>
      <c r="C14" s="248" t="s">
        <v>1348</v>
      </c>
      <c r="D14" s="248" t="s">
        <v>1349</v>
      </c>
      <c r="E14" s="248" t="s">
        <v>1350</v>
      </c>
      <c r="F14" s="248" t="s">
        <v>738</v>
      </c>
      <c r="G14" s="251" t="s">
        <v>50</v>
      </c>
      <c r="H14" s="249" t="s">
        <v>1309</v>
      </c>
      <c r="I14" s="250" t="n">
        <f aca="false">IF(COUNTIFS('Scores (start here)'!$A:$A,$B$1,'Scores (start here)'!$B:$B,$A14,'Scores (start here)'!$F:$F,"&gt;=0")&gt;0,SUMIFS('Scores (start here)'!$F:$F,'Scores (start here)'!$A:$A,$B$1,'Scores (start here)'!$B:$B,$A14),K14)</f>
        <v>10</v>
      </c>
      <c r="J14" s="251" t="s">
        <v>1351</v>
      </c>
      <c r="K14" s="252" t="n">
        <f aca="false">IF(H14="YES",$C$7,IF(H14="NO",0,""))</f>
        <v>10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23.25" hidden="false" customHeight="true" outlineLevel="0" collapsed="false">
      <c r="A33" s="247" t="s">
        <v>30</v>
      </c>
      <c r="B33" s="248" t="s">
        <v>124</v>
      </c>
      <c r="C33" s="248" t="s">
        <v>1352</v>
      </c>
      <c r="D33" s="248" t="s">
        <v>1353</v>
      </c>
      <c r="E33" s="248" t="s">
        <v>1354</v>
      </c>
      <c r="F33" s="248" t="s">
        <v>1355</v>
      </c>
      <c r="G33" s="248" t="s">
        <v>125</v>
      </c>
      <c r="H33" s="249" t="s">
        <v>1356</v>
      </c>
      <c r="I33" s="250" t="n">
        <f aca="false">IF(COUNTIFS('Scores (start here)'!$A:$A,$B$1,'Scores (start here)'!$B:$B,$A33,'Scores (start here)'!$F:$F,"&gt;=0")&gt;0,SUMIFS('Scores (start here)'!$F:$F,'Scores (start here)'!$A:$A,$B$1,'Scores (start here)'!$B:$B,$A33),K33)</f>
        <v>0</v>
      </c>
      <c r="J33" s="251" t="s">
        <v>1357</v>
      </c>
      <c r="K33" s="77" t="n">
        <f aca="false">IF(H33="YES",$C$7,IF(H33="NO",0,""))</f>
        <v>0</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84</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43.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metropolitan/regional plan be approved by the state government?</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state T&amp;CP Act for provisions that delineate a decentralised plan approval process.  &gt;:&lt; Check if the T&amp;CP Act/metropolitan planning act mandates the metropolitan/regional plan to be approved by the state government.</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87</v>
      </c>
      <c r="C14" s="248" t="s">
        <v>1358</v>
      </c>
      <c r="D14" s="248" t="s">
        <v>1359</v>
      </c>
      <c r="E14" s="248" t="s">
        <v>1360</v>
      </c>
      <c r="F14" s="248" t="s">
        <v>1361</v>
      </c>
      <c r="G14" s="248" t="s">
        <v>88</v>
      </c>
      <c r="H14" s="249"/>
      <c r="I14" s="250" t="str">
        <f aca="false">IF(COUNTIFS('Scores (start here)'!$A:$A,$B$1,'Scores (start here)'!$B:$B,$A14,'Scores (start here)'!$F:$F,"&gt;=0")&gt;0,SUMIFS('Scores (start here)'!$F:$F,'Scores (start here)'!$A:$A,$B$1,'Scores (start here)'!$B:$B,$A14),K14)</f>
        <v/>
      </c>
      <c r="J14" s="251" t="s">
        <v>1362</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80" hidden="false" customHeight="true" outlineLevel="0" collapsed="false">
      <c r="A33" s="247" t="s">
        <v>30</v>
      </c>
      <c r="B33" s="248" t="s">
        <v>54</v>
      </c>
      <c r="C33" s="248" t="s">
        <v>1363</v>
      </c>
      <c r="D33" s="248" t="s">
        <v>1364</v>
      </c>
      <c r="E33" s="248" t="s">
        <v>1365</v>
      </c>
      <c r="F33" s="248" t="s">
        <v>1366</v>
      </c>
      <c r="G33" s="248" t="s">
        <v>55</v>
      </c>
      <c r="H33" s="249" t="s">
        <v>1309</v>
      </c>
      <c r="I33" s="250" t="n">
        <f aca="false">IF(COUNTIFS('Scores (start here)'!$A:$A,$B$1,'Scores (start here)'!$B:$B,$A33,'Scores (start here)'!$F:$F,"&gt;=0")&gt;0,SUMIFS('Scores (start here)'!$F:$F,'Scores (start here)'!$A:$A,$B$1,'Scores (start here)'!$B:$B,$A33),K33)</f>
        <v>3.33</v>
      </c>
      <c r="J33" s="251" t="s">
        <v>1367</v>
      </c>
      <c r="K33" s="252" t="n">
        <f aca="false">IF(H33="YES",$C$7,IF(H33="NO",0,""))</f>
        <v>3.33</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94</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43.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municipal/city plan be approved by the MPC (Metropolitan Planning Committee)  for metropolitan cities or by DPC (District Planning Committee) for non-metropolitan cities?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state T&amp;CP Act for provisions that delineate a decentralised plan approval process.  &gt;:&lt; 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plan is to be approved by the state.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25</v>
      </c>
      <c r="C14" s="248" t="s">
        <v>1368</v>
      </c>
      <c r="D14" s="248" t="s">
        <v>1369</v>
      </c>
      <c r="E14" s="248" t="s">
        <v>1370</v>
      </c>
      <c r="F14" s="248" t="s">
        <v>938</v>
      </c>
      <c r="G14" s="248" t="s">
        <v>26</v>
      </c>
      <c r="H14" s="249"/>
      <c r="I14" s="250" t="str">
        <f aca="false">IF(COUNTIFS('Scores (start here)'!$A:$A,$B$1,'Scores (start here)'!$B:$B,$A14,'Scores (start here)'!$F:$F,"&gt;=0")&gt;0,SUMIFS('Scores (start here)'!$F:$F,'Scores (start here)'!$A:$A,$B$1,'Scores (start here)'!$B:$B,$A14),K14)</f>
        <v/>
      </c>
      <c r="J14" s="251" t="s">
        <v>1371</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258.75" hidden="false" customHeight="true" outlineLevel="0" collapsed="false">
      <c r="A33" s="247" t="s">
        <v>30</v>
      </c>
      <c r="B33" s="248" t="s">
        <v>155</v>
      </c>
      <c r="C33" s="248" t="s">
        <v>1372</v>
      </c>
      <c r="D33" s="248" t="s">
        <v>1373</v>
      </c>
      <c r="E33" s="248" t="s">
        <v>1374</v>
      </c>
      <c r="F33" s="248" t="s">
        <v>652</v>
      </c>
      <c r="G33" s="248" t="s">
        <v>156</v>
      </c>
      <c r="H33" s="249"/>
      <c r="I33" s="250" t="str">
        <f aca="false">IF(COUNTIFS('Scores (start here)'!$A:$A,$B$1,'Scores (start here)'!$B:$B,$A33,'Scores (start here)'!$F:$F,"&gt;=0")&gt;0,SUMIFS('Scores (start here)'!$F:$F,'Scores (start here)'!$A:$A,$B$1,'Scores (start here)'!$B:$B,$A33),K33)</f>
        <v/>
      </c>
      <c r="J33" s="251" t="s">
        <v>1375</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101</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43.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ward(s)/local plan be approved by the ULG?</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state T&amp;CP Act for provisions that delineate a decentralised plan approval process.  &gt;:&lt; Check if the T&amp;CP Act mandates the zonal/ward plans to be approved by the ULG.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25</v>
      </c>
      <c r="C14" s="248" t="s">
        <v>1376</v>
      </c>
      <c r="D14" s="248" t="s">
        <v>1377</v>
      </c>
      <c r="E14" s="248" t="s">
        <v>1378</v>
      </c>
      <c r="F14" s="248" t="s">
        <v>1379</v>
      </c>
      <c r="G14" s="248" t="s">
        <v>26</v>
      </c>
      <c r="H14" s="249"/>
      <c r="I14" s="250" t="str">
        <f aca="false">IF(COUNTIFS('Scores (start here)'!$A:$A,$B$1,'Scores (start here)'!$B:$B,$A14,'Scores (start here)'!$F:$F,"&gt;=0")&gt;0,SUMIFS('Scores (start here)'!$F:$F,'Scores (start here)'!$A:$A,$B$1,'Scores (start here)'!$B:$B,$A14),K14)</f>
        <v/>
      </c>
      <c r="J14" s="251" t="s">
        <v>1380</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247.5" hidden="false" customHeight="true" outlineLevel="0" collapsed="false">
      <c r="A33" s="247" t="s">
        <v>30</v>
      </c>
      <c r="B33" s="248" t="s">
        <v>54</v>
      </c>
      <c r="C33" s="248" t="s">
        <v>1381</v>
      </c>
      <c r="D33" s="248" t="s">
        <v>1382</v>
      </c>
      <c r="E33" s="248" t="s">
        <v>1383</v>
      </c>
      <c r="F33" s="248" t="s">
        <v>1346</v>
      </c>
      <c r="G33" s="248" t="s">
        <v>55</v>
      </c>
      <c r="H33" s="249"/>
      <c r="I33" s="250" t="str">
        <f aca="false">IF(COUNTIFS('Scores (start here)'!$A:$A,$B$1,'Scores (start here)'!$B:$B,$A33,'Scores (start here)'!$F:$F,"&gt;=0")&gt;0,SUMIFS('Scores (start here)'!$F:$F,'Scores (start here)'!$A:$A,$B$1,'Scores (start here)'!$B:$B,$A33),K33)</f>
        <v/>
      </c>
      <c r="J33" s="251" t="s">
        <v>1384</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I14" activeCellId="0" sqref="I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0" min="8" style="77" width="22"/>
    <col collapsed="false" customWidth="true" hidden="false" outlineLevel="0" max="11" min="11" style="77" width="14"/>
    <col collapsed="false" customWidth="true" hidden="false" outlineLevel="0" max="12" min="12" style="77" width="45"/>
  </cols>
  <sheetData>
    <row r="1" customFormat="false" ht="14.25" hidden="false" customHeight="true" outlineLevel="0" collapsed="false">
      <c r="A1" s="238" t="s">
        <v>1288</v>
      </c>
      <c r="B1" s="238" t="s">
        <v>109</v>
      </c>
      <c r="C1" s="239" t="s">
        <v>1289</v>
      </c>
      <c r="K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9" t="s">
        <v>1291</v>
      </c>
    </row>
    <row r="3" customFormat="false" ht="14.2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each level of Municipal/City Plans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clearly define the objectives/contents of each level of spatial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Act for provisions that detail the objectives and contents of each level of spatial plan. The Act should broadly mention what each level of spatial plan should cover. Score 3.33 each for the objectives and contents of - 1. Metropolitan/regional plan2. Municipal/city plan3. Ward(s)/local plan If the T&amp;CP Act provides for all three, score 10. </v>
      </c>
    </row>
    <row r="10" customFormat="false" ht="51.75"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1385</v>
      </c>
    </row>
    <row r="11" customFormat="false" ht="28.5" hidden="false" customHeight="true" outlineLevel="0" collapsed="false">
      <c r="H11" s="243" t="s">
        <v>1294</v>
      </c>
      <c r="I11" s="243" t="s">
        <v>1294</v>
      </c>
      <c r="J11" s="243" t="s">
        <v>1294</v>
      </c>
      <c r="K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"Objectives/contents: Metropolitan/regional plan ("&amp;TEXT($C$7/3,"0.00")&amp;")"</f>
        <v>Objectives/contents: Metropolitan/regional plan (3.33)</v>
      </c>
      <c r="I12" s="246" t="str">
        <f aca="false">"Objectives/contents: Municipal/city plan ("&amp;TEXT($C$7/3,"0.00")&amp;")"</f>
        <v>Objectives/contents: Municipal/city plan (3.33)</v>
      </c>
      <c r="J12" s="246" t="str">
        <f aca="false">"Objectives/contents: Ward/local plan ("&amp;TEXT($C$7/3,"0.00")&amp;")"</f>
        <v>Objectives/contents: Ward/local plan (3.33)</v>
      </c>
      <c r="K12" s="244" t="s">
        <v>1303</v>
      </c>
      <c r="L12" s="246" t="s">
        <v>1304</v>
      </c>
      <c r="M12" s="77" t="s">
        <v>1305</v>
      </c>
    </row>
    <row r="13" customFormat="false" ht="14.25" hidden="false" customHeight="true" outlineLevel="0" collapsed="false">
      <c r="A13" s="247" t="s">
        <v>999</v>
      </c>
      <c r="B13" s="248"/>
      <c r="C13" s="248"/>
      <c r="D13" s="248"/>
      <c r="E13" s="248"/>
      <c r="F13" s="248"/>
      <c r="G13" s="248"/>
      <c r="H13" s="249"/>
      <c r="I13" s="249"/>
      <c r="J13" s="249"/>
      <c r="K13" s="250" t="str">
        <f aca="false">IF(COUNTIFS('Scores (start here)'!$A:$A,$B$1,'Scores (start here)'!$B:$B,$A13,'Scores (start here)'!$F:$F,"&gt;=0")&gt;0,SUMIFS('Scores (start here)'!$F:$F,'Scores (start here)'!$A:$A,$B$1,'Scores (start here)'!$B:$B,$A13),M13)</f>
        <v/>
      </c>
      <c r="L13" s="248"/>
      <c r="M13" s="77" t="str">
        <f aca="false">IF(OR(H13="",I13="",J13=""),"",COUNTIF(H13:J13,"YES")/3*$C$7)</f>
        <v/>
      </c>
    </row>
    <row r="14" customFormat="false" ht="14.25" hidden="false" customHeight="true" outlineLevel="0" collapsed="false">
      <c r="A14" s="247" t="s">
        <v>19</v>
      </c>
      <c r="B14" s="248" t="s">
        <v>25</v>
      </c>
      <c r="C14" s="248" t="s">
        <v>1386</v>
      </c>
      <c r="D14" s="248" t="s">
        <v>1387</v>
      </c>
      <c r="E14" s="248" t="s">
        <v>1388</v>
      </c>
      <c r="F14" s="248" t="s">
        <v>922</v>
      </c>
      <c r="G14" s="248" t="s">
        <v>26</v>
      </c>
      <c r="H14" s="249"/>
      <c r="I14" s="249" t="s">
        <v>1309</v>
      </c>
      <c r="J14" s="249" t="s">
        <v>1309</v>
      </c>
      <c r="K14" s="250" t="str">
        <f aca="false">IF(COUNTIFS('Scores (start here)'!$A:$A,$B$1,'Scores (start here)'!$B:$B,$A14,'Scores (start here)'!$F:$F,"&gt;=0")&gt;0,SUMIFS('Scores (start here)'!$F:$F,'Scores (start here)'!$A:$A,$B$1,'Scores (start here)'!$B:$B,$A14),M14)</f>
        <v/>
      </c>
      <c r="L14" s="251" t="s">
        <v>1389</v>
      </c>
      <c r="M14" s="77" t="str">
        <f aca="false">IF(OR(H14="",I14="",J14=""),"",COUNTIF(H14:J14,"YES")/3*$C$7)</f>
        <v/>
      </c>
    </row>
    <row r="15" customFormat="false" ht="14.25" hidden="false" customHeight="true" outlineLevel="0" collapsed="false">
      <c r="A15" s="247" t="s">
        <v>1000</v>
      </c>
      <c r="B15" s="248"/>
      <c r="C15" s="248"/>
      <c r="D15" s="248"/>
      <c r="E15" s="248"/>
      <c r="F15" s="248"/>
      <c r="G15" s="248"/>
      <c r="H15" s="249"/>
      <c r="I15" s="249"/>
      <c r="J15" s="249"/>
      <c r="K15" s="250" t="str">
        <f aca="false">IF(COUNTIFS('Scores (start here)'!$A:$A,$B$1,'Scores (start here)'!$B:$B,$A15,'Scores (start here)'!$F:$F,"&gt;=0")&gt;0,SUMIFS('Scores (start here)'!$F:$F,'Scores (start here)'!$A:$A,$B$1,'Scores (start here)'!$B:$B,$A15),M15)</f>
        <v/>
      </c>
      <c r="L15" s="248"/>
      <c r="M15" s="77" t="str">
        <f aca="false">IF(OR(H15="",I15="",J15=""),"",COUNTIF(H15:J15,"YES")/3*$C$7)</f>
        <v/>
      </c>
    </row>
    <row r="16" customFormat="false" ht="14.25" hidden="false" customHeight="true" outlineLevel="0" collapsed="false">
      <c r="A16" s="247" t="s">
        <v>1001</v>
      </c>
      <c r="B16" s="248"/>
      <c r="C16" s="248"/>
      <c r="D16" s="248"/>
      <c r="E16" s="248"/>
      <c r="F16" s="248"/>
      <c r="G16" s="248"/>
      <c r="H16" s="249"/>
      <c r="I16" s="249"/>
      <c r="J16" s="249"/>
      <c r="K16" s="250" t="str">
        <f aca="false">IF(COUNTIFS('Scores (start here)'!$A:$A,$B$1,'Scores (start here)'!$B:$B,$A16,'Scores (start here)'!$F:$F,"&gt;=0")&gt;0,SUMIFS('Scores (start here)'!$F:$F,'Scores (start here)'!$A:$A,$B$1,'Scores (start here)'!$B:$B,$A16),M16)</f>
        <v/>
      </c>
      <c r="L16" s="248"/>
      <c r="M16" s="77" t="str">
        <f aca="false">IF(OR(H16="",I16="",J16=""),"",COUNTIF(H16:J16,"YES")/3*$C$7)</f>
        <v/>
      </c>
    </row>
    <row r="17" customFormat="false" ht="14.25" hidden="false" customHeight="true" outlineLevel="0" collapsed="false">
      <c r="A17" s="247" t="s">
        <v>1002</v>
      </c>
      <c r="B17" s="248"/>
      <c r="C17" s="248"/>
      <c r="D17" s="248"/>
      <c r="E17" s="248"/>
      <c r="F17" s="248"/>
      <c r="G17" s="248"/>
      <c r="H17" s="249"/>
      <c r="I17" s="249"/>
      <c r="J17" s="249"/>
      <c r="K17" s="250" t="str">
        <f aca="false">IF(COUNTIFS('Scores (start here)'!$A:$A,$B$1,'Scores (start here)'!$B:$B,$A17,'Scores (start here)'!$F:$F,"&gt;=0")&gt;0,SUMIFS('Scores (start here)'!$F:$F,'Scores (start here)'!$A:$A,$B$1,'Scores (start here)'!$B:$B,$A17),M17)</f>
        <v/>
      </c>
      <c r="L17" s="248"/>
      <c r="M17" s="77" t="str">
        <f aca="false">IF(OR(H17="",I17="",J17=""),"",COUNTIF(H17:J17,"YES")/3*$C$7)</f>
        <v/>
      </c>
    </row>
    <row r="18" customFormat="false" ht="14.25" hidden="false" customHeight="true" outlineLevel="0" collapsed="false">
      <c r="A18" s="247" t="s">
        <v>1003</v>
      </c>
      <c r="B18" s="248"/>
      <c r="C18" s="248"/>
      <c r="D18" s="248"/>
      <c r="E18" s="248"/>
      <c r="F18" s="248"/>
      <c r="G18" s="248"/>
      <c r="H18" s="249"/>
      <c r="I18" s="249"/>
      <c r="J18" s="249"/>
      <c r="K18" s="250" t="str">
        <f aca="false">IF(COUNTIFS('Scores (start here)'!$A:$A,$B$1,'Scores (start here)'!$B:$B,$A18,'Scores (start here)'!$F:$F,"&gt;=0")&gt;0,SUMIFS('Scores (start here)'!$F:$F,'Scores (start here)'!$A:$A,$B$1,'Scores (start here)'!$B:$B,$A18),M18)</f>
        <v/>
      </c>
      <c r="L18" s="248"/>
      <c r="M18" s="77" t="str">
        <f aca="false">IF(OR(H18="",I18="",J18=""),"",COUNTIF(H18:J18,"YES")/3*$C$7)</f>
        <v/>
      </c>
    </row>
    <row r="19" customFormat="false" ht="14.25" hidden="false" customHeight="true" outlineLevel="0" collapsed="false">
      <c r="A19" s="247" t="s">
        <v>1004</v>
      </c>
      <c r="B19" s="248"/>
      <c r="C19" s="248"/>
      <c r="D19" s="248"/>
      <c r="E19" s="248"/>
      <c r="F19" s="248"/>
      <c r="G19" s="248"/>
      <c r="H19" s="249"/>
      <c r="I19" s="249"/>
      <c r="J19" s="249"/>
      <c r="K19" s="250" t="str">
        <f aca="false">IF(COUNTIFS('Scores (start here)'!$A:$A,$B$1,'Scores (start here)'!$B:$B,$A19,'Scores (start here)'!$F:$F,"&gt;=0")&gt;0,SUMIFS('Scores (start here)'!$F:$F,'Scores (start here)'!$A:$A,$B$1,'Scores (start here)'!$B:$B,$A19),M19)</f>
        <v/>
      </c>
      <c r="L19" s="248"/>
      <c r="M19" s="77" t="str">
        <f aca="false">IF(OR(H19="",I19="",J19=""),"",COUNTIF(H19:J19,"YES")/3*$C$7)</f>
        <v/>
      </c>
    </row>
    <row r="20" customFormat="false" ht="14.25" hidden="false" customHeight="true" outlineLevel="0" collapsed="false">
      <c r="A20" s="247" t="s">
        <v>1005</v>
      </c>
      <c r="B20" s="248"/>
      <c r="C20" s="248"/>
      <c r="D20" s="248"/>
      <c r="E20" s="248"/>
      <c r="F20" s="248"/>
      <c r="G20" s="248"/>
      <c r="H20" s="249"/>
      <c r="I20" s="249"/>
      <c r="J20" s="249"/>
      <c r="K20" s="250" t="str">
        <f aca="false">IF(COUNTIFS('Scores (start here)'!$A:$A,$B$1,'Scores (start here)'!$B:$B,$A20,'Scores (start here)'!$F:$F,"&gt;=0")&gt;0,SUMIFS('Scores (start here)'!$F:$F,'Scores (start here)'!$A:$A,$B$1,'Scores (start here)'!$B:$B,$A20),M20)</f>
        <v/>
      </c>
      <c r="L20" s="248"/>
      <c r="M20" s="77" t="str">
        <f aca="false">IF(OR(H20="",I20="",J20=""),"",COUNTIF(H20:J20,"YES")/3*$C$7)</f>
        <v/>
      </c>
    </row>
    <row r="21" customFormat="false" ht="14.25" hidden="false" customHeight="true" outlineLevel="0" collapsed="false">
      <c r="A21" s="247" t="s">
        <v>1006</v>
      </c>
      <c r="B21" s="248"/>
      <c r="C21" s="248"/>
      <c r="D21" s="248"/>
      <c r="E21" s="248"/>
      <c r="F21" s="248"/>
      <c r="G21" s="248"/>
      <c r="H21" s="249"/>
      <c r="I21" s="249"/>
      <c r="J21" s="249"/>
      <c r="K21" s="250" t="str">
        <f aca="false">IF(COUNTIFS('Scores (start here)'!$A:$A,$B$1,'Scores (start here)'!$B:$B,$A21,'Scores (start here)'!$F:$F,"&gt;=0")&gt;0,SUMIFS('Scores (start here)'!$F:$F,'Scores (start here)'!$A:$A,$B$1,'Scores (start here)'!$B:$B,$A21),M21)</f>
        <v/>
      </c>
      <c r="L21" s="248"/>
      <c r="M21" s="77" t="str">
        <f aca="false">IF(OR(H21="",I21="",J21=""),"",COUNTIF(H21:J21,"YES")/3*$C$7)</f>
        <v/>
      </c>
    </row>
    <row r="22" customFormat="false" ht="14.25" hidden="false" customHeight="true" outlineLevel="0" collapsed="false">
      <c r="A22" s="247" t="s">
        <v>1007</v>
      </c>
      <c r="B22" s="248"/>
      <c r="C22" s="248"/>
      <c r="D22" s="248"/>
      <c r="E22" s="248"/>
      <c r="F22" s="248"/>
      <c r="G22" s="248"/>
      <c r="H22" s="249"/>
      <c r="I22" s="249"/>
      <c r="J22" s="249"/>
      <c r="K22" s="250" t="str">
        <f aca="false">IF(COUNTIFS('Scores (start here)'!$A:$A,$B$1,'Scores (start here)'!$B:$B,$A22,'Scores (start here)'!$F:$F,"&gt;=0")&gt;0,SUMIFS('Scores (start here)'!$F:$F,'Scores (start here)'!$A:$A,$B$1,'Scores (start here)'!$B:$B,$A22),M22)</f>
        <v/>
      </c>
      <c r="L22" s="248"/>
      <c r="M22" s="77" t="str">
        <f aca="false">IF(OR(H22="",I22="",J22=""),"",COUNTIF(H22:J22,"YES")/3*$C$7)</f>
        <v/>
      </c>
    </row>
    <row r="23" customFormat="false" ht="14.25" hidden="false" customHeight="true" outlineLevel="0" collapsed="false">
      <c r="A23" s="247" t="s">
        <v>1008</v>
      </c>
      <c r="B23" s="248"/>
      <c r="C23" s="248"/>
      <c r="D23" s="248"/>
      <c r="E23" s="248"/>
      <c r="F23" s="248"/>
      <c r="G23" s="248"/>
      <c r="H23" s="249"/>
      <c r="I23" s="249"/>
      <c r="J23" s="249"/>
      <c r="K23" s="250" t="str">
        <f aca="false">IF(COUNTIFS('Scores (start here)'!$A:$A,$B$1,'Scores (start here)'!$B:$B,$A23,'Scores (start here)'!$F:$F,"&gt;=0")&gt;0,SUMIFS('Scores (start here)'!$F:$F,'Scores (start here)'!$A:$A,$B$1,'Scores (start here)'!$B:$B,$A23),M23)</f>
        <v/>
      </c>
      <c r="L23" s="248"/>
      <c r="M23" s="77" t="str">
        <f aca="false">IF(OR(H23="",I23="",J23=""),"",COUNTIF(H23:J23,"YES")/3*$C$7)</f>
        <v/>
      </c>
    </row>
    <row r="24" customFormat="false" ht="14.25" hidden="false" customHeight="true" outlineLevel="0" collapsed="false">
      <c r="A24" s="247" t="s">
        <v>1009</v>
      </c>
      <c r="B24" s="248"/>
      <c r="C24" s="248"/>
      <c r="D24" s="248"/>
      <c r="E24" s="248"/>
      <c r="F24" s="248"/>
      <c r="G24" s="248"/>
      <c r="H24" s="249"/>
      <c r="I24" s="249"/>
      <c r="J24" s="249"/>
      <c r="K24" s="250" t="str">
        <f aca="false">IF(COUNTIFS('Scores (start here)'!$A:$A,$B$1,'Scores (start here)'!$B:$B,$A24,'Scores (start here)'!$F:$F,"&gt;=0")&gt;0,SUMIFS('Scores (start here)'!$F:$F,'Scores (start here)'!$A:$A,$B$1,'Scores (start here)'!$B:$B,$A24),M24)</f>
        <v/>
      </c>
      <c r="L24" s="248"/>
      <c r="M24" s="77" t="str">
        <f aca="false">IF(OR(H24="",I24="",J24=""),"",COUNTIF(H24:J24,"YES")/3*$C$7)</f>
        <v/>
      </c>
    </row>
    <row r="25" customFormat="false" ht="14.25" hidden="false" customHeight="true" outlineLevel="0" collapsed="false">
      <c r="A25" s="247" t="s">
        <v>1010</v>
      </c>
      <c r="B25" s="248"/>
      <c r="C25" s="248"/>
      <c r="D25" s="248"/>
      <c r="E25" s="248"/>
      <c r="F25" s="248"/>
      <c r="G25" s="248"/>
      <c r="H25" s="249"/>
      <c r="I25" s="249"/>
      <c r="J25" s="249"/>
      <c r="K25" s="250" t="str">
        <f aca="false">IF(COUNTIFS('Scores (start here)'!$A:$A,$B$1,'Scores (start here)'!$B:$B,$A25,'Scores (start here)'!$F:$F,"&gt;=0")&gt;0,SUMIFS('Scores (start here)'!$F:$F,'Scores (start here)'!$A:$A,$B$1,'Scores (start here)'!$B:$B,$A25),M25)</f>
        <v/>
      </c>
      <c r="L25" s="248"/>
      <c r="M25" s="77" t="str">
        <f aca="false">IF(OR(H25="",I25="",J25=""),"",COUNTIF(H25:J25,"YES")/3*$C$7)</f>
        <v/>
      </c>
    </row>
    <row r="26" customFormat="false" ht="14.25" hidden="false" customHeight="true" outlineLevel="0" collapsed="false">
      <c r="A26" s="247" t="s">
        <v>1011</v>
      </c>
      <c r="B26" s="248"/>
      <c r="C26" s="248"/>
      <c r="D26" s="248"/>
      <c r="E26" s="248"/>
      <c r="F26" s="248"/>
      <c r="G26" s="248"/>
      <c r="H26" s="249"/>
      <c r="I26" s="249"/>
      <c r="J26" s="249"/>
      <c r="K26" s="250" t="str">
        <f aca="false">IF(COUNTIFS('Scores (start here)'!$A:$A,$B$1,'Scores (start here)'!$B:$B,$A26,'Scores (start here)'!$F:$F,"&gt;=0")&gt;0,SUMIFS('Scores (start here)'!$F:$F,'Scores (start here)'!$A:$A,$B$1,'Scores (start here)'!$B:$B,$A26),M26)</f>
        <v/>
      </c>
      <c r="L26" s="248"/>
      <c r="M26" s="77" t="str">
        <f aca="false">IF(OR(H26="",I26="",J26=""),"",COUNTIF(H26:J26,"YES")/3*$C$7)</f>
        <v/>
      </c>
    </row>
    <row r="27" customFormat="false" ht="14.25" hidden="false" customHeight="true" outlineLevel="0" collapsed="false">
      <c r="A27" s="247" t="s">
        <v>1012</v>
      </c>
      <c r="B27" s="248"/>
      <c r="C27" s="248"/>
      <c r="D27" s="248"/>
      <c r="E27" s="248"/>
      <c r="F27" s="248"/>
      <c r="G27" s="248"/>
      <c r="H27" s="249"/>
      <c r="I27" s="249"/>
      <c r="J27" s="249"/>
      <c r="K27" s="250" t="str">
        <f aca="false">IF(COUNTIFS('Scores (start here)'!$A:$A,$B$1,'Scores (start here)'!$B:$B,$A27,'Scores (start here)'!$F:$F,"&gt;=0")&gt;0,SUMIFS('Scores (start here)'!$F:$F,'Scores (start here)'!$A:$A,$B$1,'Scores (start here)'!$B:$B,$A27),M27)</f>
        <v/>
      </c>
      <c r="L27" s="248"/>
      <c r="M27" s="77" t="str">
        <f aca="false">IF(OR(H27="",I27="",J27=""),"",COUNTIF(H27:J27,"YES")/3*$C$7)</f>
        <v/>
      </c>
    </row>
    <row r="28" customFormat="false" ht="14.25" hidden="false" customHeight="true" outlineLevel="0" collapsed="false">
      <c r="A28" s="247" t="s">
        <v>1013</v>
      </c>
      <c r="B28" s="248"/>
      <c r="C28" s="248"/>
      <c r="D28" s="248"/>
      <c r="E28" s="248"/>
      <c r="F28" s="248"/>
      <c r="G28" s="248"/>
      <c r="H28" s="249"/>
      <c r="I28" s="249"/>
      <c r="J28" s="249"/>
      <c r="K28" s="250" t="str">
        <f aca="false">IF(COUNTIFS('Scores (start here)'!$A:$A,$B$1,'Scores (start here)'!$B:$B,$A28,'Scores (start here)'!$F:$F,"&gt;=0")&gt;0,SUMIFS('Scores (start here)'!$F:$F,'Scores (start here)'!$A:$A,$B$1,'Scores (start here)'!$B:$B,$A28),M28)</f>
        <v/>
      </c>
      <c r="L28" s="248"/>
      <c r="M28" s="77" t="str">
        <f aca="false">IF(OR(H28="",I28="",J28=""),"",COUNTIF(H28:J28,"YES")/3*$C$7)</f>
        <v/>
      </c>
    </row>
    <row r="29" customFormat="false" ht="14.25" hidden="false" customHeight="true" outlineLevel="0" collapsed="false">
      <c r="A29" s="247" t="s">
        <v>1014</v>
      </c>
      <c r="B29" s="248"/>
      <c r="C29" s="248"/>
      <c r="D29" s="248"/>
      <c r="E29" s="248"/>
      <c r="F29" s="248"/>
      <c r="G29" s="248"/>
      <c r="H29" s="249"/>
      <c r="I29" s="249"/>
      <c r="J29" s="249"/>
      <c r="K29" s="250" t="str">
        <f aca="false">IF(COUNTIFS('Scores (start here)'!$A:$A,$B$1,'Scores (start here)'!$B:$B,$A29,'Scores (start here)'!$F:$F,"&gt;=0")&gt;0,SUMIFS('Scores (start here)'!$F:$F,'Scores (start here)'!$A:$A,$B$1,'Scores (start here)'!$B:$B,$A29),M29)</f>
        <v/>
      </c>
      <c r="L29" s="248"/>
      <c r="M29" s="77" t="str">
        <f aca="false">IF(OR(H29="",I29="",J29=""),"",COUNTIF(H29:J29,"YES")/3*$C$7)</f>
        <v/>
      </c>
    </row>
    <row r="30" customFormat="false" ht="14.25" hidden="false" customHeight="true" outlineLevel="0" collapsed="false">
      <c r="A30" s="247" t="s">
        <v>1015</v>
      </c>
      <c r="B30" s="248"/>
      <c r="C30" s="248"/>
      <c r="D30" s="248"/>
      <c r="E30" s="248"/>
      <c r="F30" s="248"/>
      <c r="G30" s="248"/>
      <c r="H30" s="249"/>
      <c r="I30" s="249"/>
      <c r="J30" s="249"/>
      <c r="K30" s="250" t="str">
        <f aca="false">IF(COUNTIFS('Scores (start here)'!$A:$A,$B$1,'Scores (start here)'!$B:$B,$A30,'Scores (start here)'!$F:$F,"&gt;=0")&gt;0,SUMIFS('Scores (start here)'!$F:$F,'Scores (start here)'!$A:$A,$B$1,'Scores (start here)'!$B:$B,$A30),M30)</f>
        <v/>
      </c>
      <c r="L30" s="248"/>
      <c r="M30" s="77" t="str">
        <f aca="false">IF(OR(H30="",I30="",J30=""),"",COUNTIF(H30:J30,"YES")/3*$C$7)</f>
        <v/>
      </c>
    </row>
    <row r="31" customFormat="false" ht="14.25" hidden="false" customHeight="true" outlineLevel="0" collapsed="false">
      <c r="A31" s="247" t="s">
        <v>1016</v>
      </c>
      <c r="B31" s="248"/>
      <c r="C31" s="248"/>
      <c r="D31" s="248"/>
      <c r="E31" s="248"/>
      <c r="F31" s="248"/>
      <c r="G31" s="248"/>
      <c r="H31" s="249"/>
      <c r="I31" s="249"/>
      <c r="J31" s="249"/>
      <c r="K31" s="250" t="str">
        <f aca="false">IF(COUNTIFS('Scores (start here)'!$A:$A,$B$1,'Scores (start here)'!$B:$B,$A31,'Scores (start here)'!$F:$F,"&gt;=0")&gt;0,SUMIFS('Scores (start here)'!$F:$F,'Scores (start here)'!$A:$A,$B$1,'Scores (start here)'!$B:$B,$A31),M31)</f>
        <v/>
      </c>
      <c r="L31" s="248"/>
      <c r="M31" s="77" t="str">
        <f aca="false">IF(OR(H31="",I31="",J31=""),"",COUNTIF(H31:J31,"YES")/3*$C$7)</f>
        <v/>
      </c>
    </row>
    <row r="32" customFormat="false" ht="14.25" hidden="false" customHeight="true" outlineLevel="0" collapsed="false">
      <c r="A32" s="247" t="s">
        <v>1017</v>
      </c>
      <c r="B32" s="248"/>
      <c r="C32" s="248"/>
      <c r="D32" s="248"/>
      <c r="E32" s="248"/>
      <c r="F32" s="248"/>
      <c r="G32" s="248"/>
      <c r="H32" s="249"/>
      <c r="I32" s="249"/>
      <c r="J32" s="249"/>
      <c r="K32" s="250" t="str">
        <f aca="false">IF(COUNTIFS('Scores (start here)'!$A:$A,$B$1,'Scores (start here)'!$B:$B,$A32,'Scores (start here)'!$F:$F,"&gt;=0")&gt;0,SUMIFS('Scores (start here)'!$F:$F,'Scores (start here)'!$A:$A,$B$1,'Scores (start here)'!$B:$B,$A32),M32)</f>
        <v/>
      </c>
      <c r="L32" s="248"/>
      <c r="M32" s="77" t="str">
        <f aca="false">IF(OR(H32="",I32="",J32=""),"",COUNTIF(H32:J32,"YES")/3*$C$7)</f>
        <v/>
      </c>
    </row>
    <row r="33" customFormat="false" ht="14.25" hidden="false" customHeight="true" outlineLevel="0" collapsed="false">
      <c r="A33" s="247" t="s">
        <v>30</v>
      </c>
      <c r="B33" s="248"/>
      <c r="C33" s="248"/>
      <c r="D33" s="248"/>
      <c r="E33" s="248"/>
      <c r="F33" s="248"/>
      <c r="G33" s="248"/>
      <c r="H33" s="249"/>
      <c r="I33" s="249"/>
      <c r="J33" s="249"/>
      <c r="K33" s="250" t="str">
        <f aca="false">IF(COUNTIFS('Scores (start here)'!$A:$A,$B$1,'Scores (start here)'!$B:$B,$A33,'Scores (start here)'!$F:$F,"&gt;=0")&gt;0,SUMIFS('Scores (start here)'!$F:$F,'Scores (start here)'!$A:$A,$B$1,'Scores (start here)'!$B:$B,$A33),M33)</f>
        <v/>
      </c>
      <c r="L33" s="248" t="s">
        <v>1390</v>
      </c>
      <c r="M33" s="77" t="str">
        <f aca="false">IF(OR(H33="",I33="",J33=""),"",COUNTIF(H33:J33,"YES")/3*$C$7)</f>
        <v/>
      </c>
    </row>
    <row r="34" customFormat="false" ht="14.25" hidden="false" customHeight="true" outlineLevel="0" collapsed="false">
      <c r="A34" s="247" t="s">
        <v>1018</v>
      </c>
      <c r="B34" s="248"/>
      <c r="C34" s="248"/>
      <c r="D34" s="248"/>
      <c r="E34" s="248"/>
      <c r="F34" s="248"/>
      <c r="G34" s="248"/>
      <c r="H34" s="249"/>
      <c r="I34" s="249"/>
      <c r="J34" s="249"/>
      <c r="K34" s="250" t="str">
        <f aca="false">IF(COUNTIFS('Scores (start here)'!$A:$A,$B$1,'Scores (start here)'!$B:$B,$A34,'Scores (start here)'!$F:$F,"&gt;=0")&gt;0,SUMIFS('Scores (start here)'!$F:$F,'Scores (start here)'!$A:$A,$B$1,'Scores (start here)'!$B:$B,$A34),M34)</f>
        <v/>
      </c>
      <c r="L34" s="248"/>
      <c r="M34" s="77" t="str">
        <f aca="false">IF(OR(H34="",I34="",J34=""),"",COUNTIF(H34:J34,"YES")/3*$C$7)</f>
        <v/>
      </c>
    </row>
    <row r="35" customFormat="false" ht="14.25" hidden="false" customHeight="true" outlineLevel="0" collapsed="false">
      <c r="A35" s="247" t="s">
        <v>1019</v>
      </c>
      <c r="B35" s="248"/>
      <c r="C35" s="248"/>
      <c r="D35" s="248"/>
      <c r="E35" s="248"/>
      <c r="F35" s="248"/>
      <c r="G35" s="248"/>
      <c r="H35" s="249"/>
      <c r="I35" s="249"/>
      <c r="J35" s="249"/>
      <c r="K35" s="250" t="str">
        <f aca="false">IF(COUNTIFS('Scores (start here)'!$A:$A,$B$1,'Scores (start here)'!$B:$B,$A35,'Scores (start here)'!$F:$F,"&gt;=0")&gt;0,SUMIFS('Scores (start here)'!$F:$F,'Scores (start here)'!$A:$A,$B$1,'Scores (start here)'!$B:$B,$A35),M35)</f>
        <v/>
      </c>
      <c r="L35" s="248"/>
      <c r="M35" s="77" t="str">
        <f aca="false">IF(OR(H35="",I35="",J35=""),"",COUNTIF(H35:J35,"YES")/3*$C$7)</f>
        <v/>
      </c>
    </row>
    <row r="36" customFormat="false" ht="14.25" hidden="false" customHeight="true" outlineLevel="0" collapsed="false">
      <c r="A36" s="247" t="s">
        <v>1020</v>
      </c>
      <c r="B36" s="248"/>
      <c r="C36" s="248"/>
      <c r="D36" s="248"/>
      <c r="E36" s="248"/>
      <c r="F36" s="248"/>
      <c r="G36" s="248"/>
      <c r="H36" s="249"/>
      <c r="I36" s="249"/>
      <c r="J36" s="249"/>
      <c r="K36" s="250" t="str">
        <f aca="false">IF(COUNTIFS('Scores (start here)'!$A:$A,$B$1,'Scores (start here)'!$B:$B,$A36,'Scores (start here)'!$F:$F,"&gt;=0")&gt;0,SUMIFS('Scores (start here)'!$F:$F,'Scores (start here)'!$A:$A,$B$1,'Scores (start here)'!$B:$B,$A36),M36)</f>
        <v/>
      </c>
      <c r="L36" s="248"/>
      <c r="M36" s="77" t="str">
        <f aca="false">IF(OR(H36="",I36="",J36=""),"",COUNTIF(H36:J36,"YES")/3*$C$7)</f>
        <v/>
      </c>
    </row>
    <row r="37" customFormat="false" ht="14.25" hidden="false" customHeight="true" outlineLevel="0" collapsed="false">
      <c r="A37" s="247" t="s">
        <v>1021</v>
      </c>
      <c r="B37" s="248"/>
      <c r="C37" s="248"/>
      <c r="D37" s="248"/>
      <c r="E37" s="248"/>
      <c r="F37" s="248"/>
      <c r="G37" s="248"/>
      <c r="H37" s="249"/>
      <c r="I37" s="249"/>
      <c r="J37" s="249"/>
      <c r="K37" s="250" t="str">
        <f aca="false">IF(COUNTIFS('Scores (start here)'!$A:$A,$B$1,'Scores (start here)'!$B:$B,$A37,'Scores (start here)'!$F:$F,"&gt;=0")&gt;0,SUMIFS('Scores (start here)'!$F:$F,'Scores (start here)'!$A:$A,$B$1,'Scores (start here)'!$B:$B,$A37),M37)</f>
        <v/>
      </c>
      <c r="L37" s="248"/>
      <c r="M37" s="77" t="str">
        <f aca="false">IF(OR(H37="",I37="",J37=""),"",COUNTIF(H37:J37,"YES")/3*$C$7)</f>
        <v/>
      </c>
    </row>
    <row r="38" customFormat="false" ht="14.25" hidden="false" customHeight="true" outlineLevel="0" collapsed="false">
      <c r="A38" s="247" t="s">
        <v>1022</v>
      </c>
      <c r="B38" s="248"/>
      <c r="C38" s="248"/>
      <c r="D38" s="248"/>
      <c r="E38" s="248"/>
      <c r="F38" s="248"/>
      <c r="G38" s="248"/>
      <c r="H38" s="249"/>
      <c r="I38" s="249"/>
      <c r="J38" s="249"/>
      <c r="K38" s="250" t="str">
        <f aca="false">IF(COUNTIFS('Scores (start here)'!$A:$A,$B$1,'Scores (start here)'!$B:$B,$A38,'Scores (start here)'!$F:$F,"&gt;=0")&gt;0,SUMIFS('Scores (start here)'!$F:$F,'Scores (start here)'!$A:$A,$B$1,'Scores (start here)'!$B:$B,$A38),M38)</f>
        <v/>
      </c>
      <c r="L38" s="248"/>
      <c r="M38" s="77" t="str">
        <f aca="false">IF(OR(H38="",I38="",J38=""),"",COUNTIF(H38:J38,"YES")/3*$C$7)</f>
        <v/>
      </c>
    </row>
    <row r="39" customFormat="false" ht="14.25" hidden="false" customHeight="true" outlineLevel="0" collapsed="false">
      <c r="A39" s="247" t="s">
        <v>1023</v>
      </c>
      <c r="B39" s="248"/>
      <c r="C39" s="248"/>
      <c r="D39" s="248"/>
      <c r="E39" s="248"/>
      <c r="F39" s="248"/>
      <c r="G39" s="248"/>
      <c r="H39" s="249"/>
      <c r="I39" s="249"/>
      <c r="J39" s="249"/>
      <c r="K39" s="250" t="str">
        <f aca="false">IF(COUNTIFS('Scores (start here)'!$A:$A,$B$1,'Scores (start here)'!$B:$B,$A39,'Scores (start here)'!$F:$F,"&gt;=0")&gt;0,SUMIFS('Scores (start here)'!$F:$F,'Scores (start here)'!$A:$A,$B$1,'Scores (start here)'!$B:$B,$A39),M39)</f>
        <v/>
      </c>
      <c r="L39" s="248"/>
      <c r="M39" s="77" t="str">
        <f aca="false">IF(OR(H39="",I39="",J39=""),"",COUNTIF(H39:J39,"YES")/3*$C$7)</f>
        <v/>
      </c>
    </row>
    <row r="40" customFormat="false" ht="14.25" hidden="false" customHeight="true" outlineLevel="0" collapsed="false">
      <c r="A40" s="247" t="s">
        <v>1024</v>
      </c>
      <c r="B40" s="248"/>
      <c r="C40" s="248"/>
      <c r="D40" s="248"/>
      <c r="E40" s="248"/>
      <c r="F40" s="248"/>
      <c r="G40" s="248"/>
      <c r="H40" s="249"/>
      <c r="I40" s="249"/>
      <c r="J40" s="249"/>
      <c r="K40" s="250" t="str">
        <f aca="false">IF(COUNTIFS('Scores (start here)'!$A:$A,$B$1,'Scores (start here)'!$B:$B,$A40,'Scores (start here)'!$F:$F,"&gt;=0")&gt;0,SUMIFS('Scores (start here)'!$F:$F,'Scores (start here)'!$A:$A,$B$1,'Scores (start here)'!$B:$B,$A40),M40)</f>
        <v/>
      </c>
      <c r="L40" s="248"/>
      <c r="M40" s="77" t="str">
        <f aca="false">IF(OR(H40="",I40="",J40=""),"",COUNTIF(H40:J40,"YES")/3*$C$7)</f>
        <v/>
      </c>
    </row>
    <row r="41" customFormat="false" ht="14.25" hidden="false" customHeight="true" outlineLevel="0" collapsed="false">
      <c r="A41" s="247" t="s">
        <v>1025</v>
      </c>
      <c r="B41" s="248"/>
      <c r="C41" s="248"/>
      <c r="D41" s="248"/>
      <c r="E41" s="248"/>
      <c r="F41" s="248"/>
      <c r="G41" s="248"/>
      <c r="H41" s="249"/>
      <c r="I41" s="249"/>
      <c r="J41" s="249"/>
      <c r="K41" s="250" t="str">
        <f aca="false">IF(COUNTIFS('Scores (start here)'!$A:$A,$B$1,'Scores (start here)'!$B:$B,$A41,'Scores (start here)'!$F:$F,"&gt;=0")&gt;0,SUMIFS('Scores (start here)'!$F:$F,'Scores (start here)'!$A:$A,$B$1,'Scores (start here)'!$B:$B,$A41),M41)</f>
        <v/>
      </c>
      <c r="L41" s="248"/>
      <c r="M41" s="77" t="str">
        <f aca="false">IF(OR(H41="",I41="",J41=""),"",COUNTIF(H41:J41,"YES")/3*$C$7)</f>
        <v/>
      </c>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K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C10" activeCellId="0" sqref="C10"/>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116</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43.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 &gt;:&lt; Metropolitan and district planning institutions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functional MPC/DPC? &gt;:&lt; Does the law provide for the constitution of an MPC/DPC?</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Law/Policy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Part A:  Check whether there is a mandate in the Municipal or T&amp;CP Act for the constitution of MPC/DPC. If yes, score 2.5                                                                                                                                                                   Part B: Check whether the State has notified the rules for the MPC/DPC applicable to the city. If yes, score 2.5.MPC applies to metropolitan cities (46 cities); DPC applies for non-metropolitan cities</v>
      </c>
    </row>
    <row r="10" customFormat="false" ht="54"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1385</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"Part A: Mandate in Municipal / T&amp;CP Act ("&amp;TEXT($C$7/2,"0.00")&amp;")"</f>
        <v>Part A: Mandate in Municipal / T&amp;CP Act (2.50)</v>
      </c>
      <c r="I12" s="246" t="str">
        <f aca="false">"Part B: MPC/DPC rules notified ("&amp;TEXT($C$7/2,"0.00")&amp;")"</f>
        <v>Part B: MPC/DPC rules notified (2.50)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IF(OR(H13="",I13=""),"",COUNTIF(H13:I13,"YES")/2*$C$7)</f>
        <v/>
      </c>
    </row>
    <row r="14" customFormat="false" ht="14.25" hidden="false" customHeight="true" outlineLevel="0" collapsed="false">
      <c r="A14" s="247" t="s">
        <v>19</v>
      </c>
      <c r="B14" s="248" t="s">
        <v>49</v>
      </c>
      <c r="C14" s="248" t="s">
        <v>1391</v>
      </c>
      <c r="D14" s="248" t="s">
        <v>1392</v>
      </c>
      <c r="E14" s="248" t="s">
        <v>1393</v>
      </c>
      <c r="F14" s="248" t="s">
        <v>754</v>
      </c>
      <c r="G14" s="248" t="s">
        <v>50</v>
      </c>
      <c r="H14" s="249" t="s">
        <v>1309</v>
      </c>
      <c r="I14" s="249"/>
      <c r="J14" s="250" t="str">
        <f aca="false">IF(COUNTIFS('Scores (start here)'!$A:$A,$B$1,'Scores (start here)'!$B:$B,$A14,'Scores (start here)'!$F:$F,"&gt;=0")&gt;0,SUMIFS('Scores (start here)'!$F:$F,'Scores (start here)'!$A:$A,$B$1,'Scores (start here)'!$B:$B,$A14),L14)</f>
        <v/>
      </c>
      <c r="K14" s="251" t="s">
        <v>1394</v>
      </c>
      <c r="L14" s="77" t="str">
        <f aca="false">IF(OR(H14="",I14=""),"",COUNTIF(H14:I14,"YES")/2*$C$7)</f>
        <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IF(OR(H15="",I15=""),"",COUNTIF(H15:I15,"YES")/2*$C$7)</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IF(OR(H16="",I16=""),"",COUNTIF(H16:I16,"YES")/2*$C$7)</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IF(OR(H17="",I17=""),"",COUNTIF(H17:I17,"YES")/2*$C$7)</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IF(OR(H18="",I18=""),"",COUNTIF(H18:I18,"YES")/2*$C$7)</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IF(OR(H19="",I19=""),"",COUNTIF(H19:I19,"YES")/2*$C$7)</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IF(OR(H20="",I20=""),"",COUNTIF(H20:I20,"YES")/2*$C$7)</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IF(OR(H21="",I21=""),"",COUNTIF(H21:I21,"YES")/2*$C$7)</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IF(OR(H22="",I22=""),"",COUNTIF(H22:I22,"YES")/2*$C$7)</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IF(OR(H23="",I23=""),"",COUNTIF(H23:I23,"YES")/2*$C$7)</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IF(OR(H24="",I24=""),"",COUNTIF(H24:I24,"YES")/2*$C$7)</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IF(OR(H25="",I25=""),"",COUNTIF(H25:I25,"YES")/2*$C$7)</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IF(OR(H26="",I26=""),"",COUNTIF(H26:I26,"YES")/2*$C$7)</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IF(OR(H27="",I27=""),"",COUNTIF(H27:I27,"YES")/2*$C$7)</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IF(OR(H28="",I28=""),"",COUNTIF(H28:I28,"YES")/2*$C$7)</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IF(OR(H29="",I29=""),"",COUNTIF(H29:I29,"YES")/2*$C$7)</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IF(OR(H30="",I30=""),"",COUNTIF(H30:I30,"YES")/2*$C$7)</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IF(OR(H31="",I31=""),"",COUNTIF(H31:I31,"YES")/2*$C$7)</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IF(OR(H32="",I32=""),"",COUNTIF(H32:I32,"YES")/2*$C$7)</f>
        <v/>
      </c>
    </row>
    <row r="33" customFormat="false" ht="14.25" hidden="false" customHeight="true" outlineLevel="0" collapsed="false">
      <c r="A33" s="247" t="s">
        <v>30</v>
      </c>
      <c r="B33" s="248" t="s">
        <v>124</v>
      </c>
      <c r="C33" s="248" t="s">
        <v>1395</v>
      </c>
      <c r="D33" s="248" t="s">
        <v>1396</v>
      </c>
      <c r="E33" s="248"/>
      <c r="F33" s="248" t="s">
        <v>775</v>
      </c>
      <c r="G33" s="248" t="s">
        <v>125</v>
      </c>
      <c r="H33" s="249" t="s">
        <v>1309</v>
      </c>
      <c r="I33" s="249"/>
      <c r="J33" s="250" t="str">
        <f aca="false">IF(COUNTIFS('Scores (start here)'!$A:$A,$B$1,'Scores (start here)'!$B:$B,$A33,'Scores (start here)'!$F:$F,"&gt;=0")&gt;0,SUMIFS('Scores (start here)'!$F:$F,'Scores (start here)'!$A:$A,$B$1,'Scores (start here)'!$B:$B,$A33),L33)</f>
        <v/>
      </c>
      <c r="K33" s="251" t="s">
        <v>1397</v>
      </c>
      <c r="L33" s="77" t="str">
        <f aca="false">IF(OR(H33="",I33=""),"",COUNTIF(H33:I33,"YES")/2*$C$7)</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IF(OR(H34="",I34=""),"",COUNTIF(H34:I34,"YES")/2*$C$7)</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IF(OR(H35="",I35=""),"",COUNTIF(H35:I35,"YES")/2*$C$7)</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IF(OR(H36="",I36=""),"",COUNTIF(H36:I36,"YES")/2*$C$7)</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IF(OR(H37="",I37=""),"",COUNTIF(H37:I37,"YES")/2*$C$7)</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IF(OR(H38="",I38=""),"",COUNTIF(H38:I38,"YES")/2*$C$7)</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IF(OR(H39="",I39=""),"",COUNTIF(H39:I39,"YES")/2*$C$7)</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IF(OR(H40="",I40=""),"",COUNTIF(H40:I40,"YES")/2*$C$7)</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IF(OR(H41="",I41=""),"",COUNTIF(H41:I41,"YES")/2*$C$7)</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128</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43.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 &gt;:&lt; Metropolitan and district planning institutions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functional MPC/DPC? &gt;:&lt; Have they met at least once in the past two years?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Check whether the MPC/DPC has met at least once in the past two years. Score 5 where there is evidence of meeting in the last two years.Evidence: State UD/Municipal Administration department notifications/constitution orders/website; MPC/DPC meeting minutes, agendas or resolutions; MPC/DPC and metropolitan planning authority/development authority websites and RTIs.</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c r="C14" s="248"/>
      <c r="D14" s="248"/>
      <c r="E14" s="248"/>
      <c r="F14" s="248"/>
      <c r="G14" s="248"/>
      <c r="H14" s="249"/>
      <c r="I14" s="250" t="str">
        <f aca="false">IF(COUNTIFS('Scores (start here)'!$A:$A,$B$1,'Scores (start here)'!$B:$B,$A14,'Scores (start here)'!$F:$F,"&gt;=0")&gt;0,SUMIFS('Scores (start here)'!$F:$F,'Scores (start here)'!$A:$A,$B$1,'Scores (start here)'!$B:$B,$A14),K14)</f>
        <v/>
      </c>
      <c r="J14" s="248" t="s">
        <v>1398</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c r="C33" s="248"/>
      <c r="D33" s="248"/>
      <c r="E33" s="248"/>
      <c r="F33" s="248"/>
      <c r="G33" s="248"/>
      <c r="H33" s="249"/>
      <c r="I33" s="250" t="str">
        <f aca="false">IF(COUNTIFS('Scores (start here)'!$A:$A,$B$1,'Scores (start here)'!$B:$B,$A33,'Scores (start here)'!$F:$F,"&gt;=0")&gt;0,SUMIFS('Scores (start here)'!$F:$F,'Scores (start here)'!$A:$A,$B$1,'Scores (start here)'!$B:$B,$A33),K33)</f>
        <v/>
      </c>
      <c r="J33" s="248" t="s">
        <v>1399</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132</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9" t="s">
        <v>1291</v>
      </c>
    </row>
    <row r="3" customFormat="false" ht="14.25" hidden="false" customHeight="true" outlineLevel="0" collapsed="false">
      <c r="A3" s="238" t="s">
        <v>615</v>
      </c>
      <c r="B3" s="91"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(million-plus) have a Metropolitan Authority?</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1400</v>
      </c>
    </row>
    <row r="11" customFormat="false" ht="28.5" hidden="false" customHeight="true" outlineLevel="0" collapsed="false">
      <c r="H11" s="243" t="s">
        <v>1401</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IF(H13="NA","NA",IF(H13="YES",$C$7,IF(H13="NO",0,"")))</f>
        <v/>
      </c>
    </row>
    <row r="14" customFormat="false" ht="14.25" hidden="false" customHeight="true" outlineLevel="0" collapsed="false">
      <c r="A14" s="247" t="s">
        <v>19</v>
      </c>
      <c r="B14" s="248" t="s">
        <v>49</v>
      </c>
      <c r="C14" s="248" t="s">
        <v>1348</v>
      </c>
      <c r="D14" s="248" t="s">
        <v>1402</v>
      </c>
      <c r="E14" s="248" t="s">
        <v>1403</v>
      </c>
      <c r="F14" s="248" t="s">
        <v>21</v>
      </c>
      <c r="G14" s="248" t="s">
        <v>50</v>
      </c>
      <c r="H14" s="249"/>
      <c r="I14" s="250" t="str">
        <f aca="false">IF(COUNTIFS('Scores (start here)'!$A:$A,$B$1,'Scores (start here)'!$B:$B,$A14,'Scores (start here)'!$F:$F,"&gt;=0")&gt;0,SUMIFS('Scores (start here)'!$F:$F,'Scores (start here)'!$A:$A,$B$1,'Scores (start here)'!$B:$B,$A14),K14)</f>
        <v/>
      </c>
      <c r="J14" s="251" t="s">
        <v>1404</v>
      </c>
      <c r="K14" s="77" t="str">
        <f aca="false">IF(H14="NA","NA",IF(H14="YES",$C$7,IF(H14="NO",0,"")))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IF(H15="NA","NA",IF(H15="YES",$C$7,IF(H15="NO",0,"")))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IF(H16="NA","NA",IF(H16="YES",$C$7,IF(H16="NO",0,"")))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IF(H17="NA","NA",IF(H17="YES",$C$7,IF(H17="NO",0,"")))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IF(H18="NA","NA",IF(H18="YES",$C$7,IF(H18="NO",0,"")))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IF(H19="NA","NA",IF(H19="YES",$C$7,IF(H19="NO",0,"")))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IF(H20="NA","NA",IF(H20="YES",$C$7,IF(H20="NO",0,"")))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IF(H21="NA","NA",IF(H21="YES",$C$7,IF(H21="NO",0,"")))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IF(H22="NA","NA",IF(H22="YES",$C$7,IF(H22="NO",0,"")))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IF(H23="NA","NA",IF(H23="YES",$C$7,IF(H23="NO",0,"")))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IF(H24="NA","NA",IF(H24="YES",$C$7,IF(H24="NO",0,"")))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IF(H25="NA","NA",IF(H25="YES",$C$7,IF(H25="NO",0,"")))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IF(H26="NA","NA",IF(H26="YES",$C$7,IF(H26="NO",0,"")))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IF(H27="NA","NA",IF(H27="YES",$C$7,IF(H27="NO",0,"")))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IF(H28="NA","NA",IF(H28="YES",$C$7,IF(H28="NO",0,"")))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IF(H29="NA","NA",IF(H29="YES",$C$7,IF(H29="NO",0,"")))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IF(H30="NA","NA",IF(H30="YES",$C$7,IF(H30="NO",0,"")))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IF(H31="NA","NA",IF(H31="YES",$C$7,IF(H31="NO",0,"")))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IF(H32="NA","NA",IF(H32="YES",$C$7,IF(H32="NO",0,"")))</f>
        <v/>
      </c>
    </row>
    <row r="33" customFormat="false" ht="236.25" hidden="false" customHeight="true" outlineLevel="0" collapsed="false">
      <c r="A33" s="247" t="s">
        <v>30</v>
      </c>
      <c r="B33" s="248" t="s">
        <v>124</v>
      </c>
      <c r="C33" s="248" t="s">
        <v>1405</v>
      </c>
      <c r="D33" s="248" t="s">
        <v>1406</v>
      </c>
      <c r="E33" s="248"/>
      <c r="F33" s="248" t="s">
        <v>775</v>
      </c>
      <c r="G33" s="248" t="s">
        <v>125</v>
      </c>
      <c r="H33" s="249"/>
      <c r="I33" s="250" t="str">
        <f aca="false">IF(COUNTIFS('Scores (start here)'!$A:$A,$B$1,'Scores (start here)'!$B:$B,$A33,'Scores (start here)'!$F:$F,"&gt;=0")&gt;0,SUMIFS('Scores (start here)'!$F:$F,'Scores (start here)'!$A:$A,$B$1,'Scores (start here)'!$B:$B,$A33),K33)</f>
        <v/>
      </c>
      <c r="J33" s="251" t="s">
        <v>1407</v>
      </c>
      <c r="K33" s="77" t="str">
        <f aca="false">IF(H33="NA","NA",IF(H33="YES",$C$7,IF(H33="NO",0,"")))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IF(H34="NA","NA",IF(H34="YES",$C$7,IF(H34="NO",0,"")))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IF(H35="NA","NA",IF(H35="YES",$C$7,IF(H35="NO",0,"")))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IF(H36="NA","NA",IF(H36="YES",$C$7,IF(H36="NO",0,"")))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IF(H37="NA","NA",IF(H37="YES",$C$7,IF(H37="NO",0,"")))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IF(H38="NA","NA",IF(H38="YES",$C$7,IF(H38="NO",0,"")))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IF(H39="NA","NA",IF(H39="YES",$C$7,IF(H39="NO",0,"")))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IF(H40="NA","NA",IF(H40="YES",$C$7,IF(H40="NO",0,"")))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IF(H41="NA","NA",IF(H41="YES",$C$7,IF(H41="NO",0,"")))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140</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Inter-agency participation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participation of all parastatals/ agencies /ULGs in creation of Spatial plans (metro/municipal/ward)?</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49</v>
      </c>
      <c r="C14" s="248" t="s">
        <v>1348</v>
      </c>
      <c r="D14" s="248" t="s">
        <v>1408</v>
      </c>
      <c r="E14" s="248" t="s">
        <v>1409</v>
      </c>
      <c r="F14" s="248" t="s">
        <v>738</v>
      </c>
      <c r="G14" s="248" t="s">
        <v>50</v>
      </c>
      <c r="H14" s="249"/>
      <c r="I14" s="250" t="str">
        <f aca="false">IF(COUNTIFS('Scores (start here)'!$A:$A,$B$1,'Scores (start here)'!$B:$B,$A14,'Scores (start here)'!$F:$F,"&gt;=0")&gt;0,SUMIFS('Scores (start here)'!$F:$F,'Scores (start here)'!$A:$A,$B$1,'Scores (start here)'!$B:$B,$A14),K14)</f>
        <v/>
      </c>
      <c r="J14" s="251" t="s">
        <v>1410</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34.5" hidden="false" customHeight="true" outlineLevel="0" collapsed="false">
      <c r="A33" s="247" t="s">
        <v>30</v>
      </c>
      <c r="B33" s="248" t="s">
        <v>54</v>
      </c>
      <c r="C33" s="248" t="s">
        <v>1411</v>
      </c>
      <c r="D33" s="248" t="s">
        <v>1412</v>
      </c>
      <c r="E33" s="248" t="s">
        <v>1413</v>
      </c>
      <c r="F33" s="248" t="s">
        <v>1366</v>
      </c>
      <c r="G33" s="248" t="s">
        <v>55</v>
      </c>
      <c r="H33" s="249"/>
      <c r="I33" s="250" t="str">
        <f aca="false">IF(COUNTIFS('Scores (start here)'!$A:$A,$B$1,'Scores (start here)'!$B:$B,$A33,'Scores (start here)'!$F:$F,"&gt;=0")&gt;0,SUMIFS('Scores (start here)'!$F:$F,'Scores (start here)'!$A:$A,$B$1,'Scores (start here)'!$B:$B,$A33),K33)</f>
        <v/>
      </c>
      <c r="J33" s="251" t="s">
        <v>1414</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148</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public participation in preparation of the municipal plan through Area Sabhas / Ward Sabhas and other means?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T&amp;CP Act mandates public participation in preparation of municipal/city plan through:Part A: Formal platforms such as ward committees and area sabhas. If yes, score 5.Part B: Other means* for municipal/city plan. If yes, score 5.*Even if the provision alludes to 'public participation/consultation or consolidation of suggestions and objections without specifying the mode for the same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1385</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"Part A: Formal platforms (ward committees / area sabhas) ("&amp;TEXT($C$7/2,"0.00")&amp;")"</f>
        <v>Part A: Formal platforms (ward committees / area sabhas) (5.00)</v>
      </c>
      <c r="I12" s="246" t="str">
        <f aca="false">"Part B: Other means ("&amp;TEXT($C$7/2,"0.00")&amp;")"</f>
        <v>Part B: Other means (5.00)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IF(OR(H13="",I13=""),"",COUNTIF(H13:I13,"YES")/2*$C$7)</f>
        <v/>
      </c>
    </row>
    <row r="14" customFormat="false" ht="14.25" hidden="false" customHeight="true" outlineLevel="0" collapsed="false">
      <c r="A14" s="247" t="s">
        <v>19</v>
      </c>
      <c r="B14" s="248" t="s">
        <v>25</v>
      </c>
      <c r="C14" s="248" t="s">
        <v>1415</v>
      </c>
      <c r="D14" s="248" t="s">
        <v>1416</v>
      </c>
      <c r="E14" s="248" t="s">
        <v>1417</v>
      </c>
      <c r="F14" s="248" t="s">
        <v>912</v>
      </c>
      <c r="G14" s="248" t="s">
        <v>26</v>
      </c>
      <c r="H14" s="249"/>
      <c r="I14" s="249" t="s">
        <v>1309</v>
      </c>
      <c r="J14" s="250" t="str">
        <f aca="false">IF(COUNTIFS('Scores (start here)'!$A:$A,$B$1,'Scores (start here)'!$B:$B,$A14,'Scores (start here)'!$F:$F,"&gt;=0")&gt;0,SUMIFS('Scores (start here)'!$F:$F,'Scores (start here)'!$A:$A,$B$1,'Scores (start here)'!$B:$B,$A14),L14)</f>
        <v/>
      </c>
      <c r="K14" s="251" t="s">
        <v>1418</v>
      </c>
      <c r="L14" s="77" t="str">
        <f aca="false">IF(OR(H14="",I14=""),"",COUNTIF(H14:I14,"YES")/2*$C$7)</f>
        <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IF(OR(H15="",I15=""),"",COUNTIF(H15:I15,"YES")/2*$C$7)</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IF(OR(H16="",I16=""),"",COUNTIF(H16:I16,"YES")/2*$C$7)</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IF(OR(H17="",I17=""),"",COUNTIF(H17:I17,"YES")/2*$C$7)</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IF(OR(H18="",I18=""),"",COUNTIF(H18:I18,"YES")/2*$C$7)</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IF(OR(H19="",I19=""),"",COUNTIF(H19:I19,"YES")/2*$C$7)</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IF(OR(H20="",I20=""),"",COUNTIF(H20:I20,"YES")/2*$C$7)</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IF(OR(H21="",I21=""),"",COUNTIF(H21:I21,"YES")/2*$C$7)</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IF(OR(H22="",I22=""),"",COUNTIF(H22:I22,"YES")/2*$C$7)</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IF(OR(H23="",I23=""),"",COUNTIF(H23:I23,"YES")/2*$C$7)</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IF(OR(H24="",I24=""),"",COUNTIF(H24:I24,"YES")/2*$C$7)</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IF(OR(H25="",I25=""),"",COUNTIF(H25:I25,"YES")/2*$C$7)</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IF(OR(H26="",I26=""),"",COUNTIF(H26:I26,"YES")/2*$C$7)</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IF(OR(H27="",I27=""),"",COUNTIF(H27:I27,"YES")/2*$C$7)</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IF(OR(H28="",I28=""),"",COUNTIF(H28:I28,"YES")/2*$C$7)</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IF(OR(H29="",I29=""),"",COUNTIF(H29:I29,"YES")/2*$C$7)</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IF(OR(H30="",I30=""),"",COUNTIF(H30:I30,"YES")/2*$C$7)</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IF(OR(H31="",I31=""),"",COUNTIF(H31:I31,"YES")/2*$C$7)</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IF(OR(H32="",I32=""),"",COUNTIF(H32:I32,"YES")/2*$C$7)</f>
        <v/>
      </c>
    </row>
    <row r="33" customFormat="false" ht="14.25" hidden="false" customHeight="true" outlineLevel="0" collapsed="false">
      <c r="A33" s="247" t="s">
        <v>30</v>
      </c>
      <c r="B33" s="248" t="s">
        <v>155</v>
      </c>
      <c r="C33" s="248" t="s">
        <v>1419</v>
      </c>
      <c r="D33" s="248" t="s">
        <v>1420</v>
      </c>
      <c r="E33" s="248" t="s">
        <v>1421</v>
      </c>
      <c r="F33" s="248" t="s">
        <v>633</v>
      </c>
      <c r="G33" s="248" t="s">
        <v>156</v>
      </c>
      <c r="H33" s="249"/>
      <c r="I33" s="249" t="s">
        <v>1309</v>
      </c>
      <c r="J33" s="250" t="str">
        <f aca="false">IF(COUNTIFS('Scores (start here)'!$A:$A,$B$1,'Scores (start here)'!$B:$B,$A33,'Scores (start here)'!$F:$F,"&gt;=0")&gt;0,SUMIFS('Scores (start here)'!$F:$F,'Scores (start here)'!$A:$A,$B$1,'Scores (start here)'!$B:$B,$A33),L33)</f>
        <v/>
      </c>
      <c r="K33" s="251" t="s">
        <v>1422</v>
      </c>
      <c r="L33" s="77" t="str">
        <f aca="false">IF(OR(H33="",I33=""),"",COUNTIF(H33:I33,"YES")/2*$C$7)</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IF(OR(H34="",I34=""),"",COUNTIF(H34:I34,"YES")/2*$C$7)</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IF(OR(H35="",I35=""),"",COUNTIF(H35:I35,"YES")/2*$C$7)</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IF(OR(H36="",I36=""),"",COUNTIF(H36:I36,"YES")/2*$C$7)</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IF(OR(H37="",I37=""),"",COUNTIF(H37:I37,"YES")/2*$C$7)</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IF(OR(H38="",I38=""),"",COUNTIF(H38:I38,"YES")/2*$C$7)</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IF(OR(H39="",I39=""),"",COUNTIF(H39:I39,"YES")/2*$C$7)</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IF(OR(H40="",I40=""),"",COUNTIF(H40:I40,"YES")/2*$C$7)</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IF(OR(H41="",I41=""),"",COUNTIF(H41:I41,"YES")/2*$C$7)</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159</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 &gt;:&lt; Municipal/City Plan preparation, participation and review</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 &gt;:&lt; Public participation and scrutiny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public scrutiny for (including objections and responses) municipal/city plan? &gt;:&lt; Does the law mandate public scrutiny for (including objections and responses) municipal/city plan through Area Sabhas / Ward Sabhas and other means?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Law/Policy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Check if the T&amp;CP Act mandates public scrutiny (including objections and responses) through:Part A: Formal platforms such as ward committees and area sabhas. If yes, score 2.50.Part B: Other means* for municipal/city plan. If yes, score 2.50*Even if the provision alludes to 'public scrutiny/consultation or consolidation of suggestions and objections without specifying the mode for the same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1385</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"Part A: Formal platforms (ward committees / area sabhas) ("&amp;TEXT($C$7/2,"0.00")&amp;")"</f>
        <v>Part A: Formal platforms (ward committees / area sabhas) (2.50)</v>
      </c>
      <c r="I12" s="246" t="str">
        <f aca="false">"Part B: Other means ("&amp;TEXT($C$7/2,"0.00")&amp;")"</f>
        <v>Part B: Other means (2.50)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IF(OR(H13="",I13=""),"",COUNTIF(H13:I13,"YES")/2*$C$7)</f>
        <v/>
      </c>
    </row>
    <row r="14" customFormat="false" ht="14.25" hidden="false" customHeight="true" outlineLevel="0" collapsed="false">
      <c r="A14" s="247" t="s">
        <v>19</v>
      </c>
      <c r="B14" s="248" t="s">
        <v>25</v>
      </c>
      <c r="C14" s="248" t="s">
        <v>1423</v>
      </c>
      <c r="D14" s="248" t="s">
        <v>1424</v>
      </c>
      <c r="E14" s="248" t="s">
        <v>1425</v>
      </c>
      <c r="F14" s="248" t="s">
        <v>938</v>
      </c>
      <c r="G14" s="248" t="s">
        <v>26</v>
      </c>
      <c r="H14" s="249"/>
      <c r="I14" s="249" t="s">
        <v>1309</v>
      </c>
      <c r="J14" s="250" t="str">
        <f aca="false">IF(COUNTIFS('Scores (start here)'!$A:$A,$B$1,'Scores (start here)'!$B:$B,$A14,'Scores (start here)'!$F:$F,"&gt;=0")&gt;0,SUMIFS('Scores (start here)'!$F:$F,'Scores (start here)'!$A:$A,$B$1,'Scores (start here)'!$B:$B,$A14),L14)</f>
        <v/>
      </c>
      <c r="K14" s="251" t="s">
        <v>1426</v>
      </c>
      <c r="L14" s="77" t="str">
        <f aca="false">IF(OR(H14="",I14=""),"",COUNTIF(H14:I14,"YES")/2*$C$7)</f>
        <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IF(OR(H15="",I15=""),"",COUNTIF(H15:I15,"YES")/2*$C$7)</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IF(OR(H16="",I16=""),"",COUNTIF(H16:I16,"YES")/2*$C$7)</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IF(OR(H17="",I17=""),"",COUNTIF(H17:I17,"YES")/2*$C$7)</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IF(OR(H18="",I18=""),"",COUNTIF(H18:I18,"YES")/2*$C$7)</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IF(OR(H19="",I19=""),"",COUNTIF(H19:I19,"YES")/2*$C$7)</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IF(OR(H20="",I20=""),"",COUNTIF(H20:I20,"YES")/2*$C$7)</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IF(OR(H21="",I21=""),"",COUNTIF(H21:I21,"YES")/2*$C$7)</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IF(OR(H22="",I22=""),"",COUNTIF(H22:I22,"YES")/2*$C$7)</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IF(OR(H23="",I23=""),"",COUNTIF(H23:I23,"YES")/2*$C$7)</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IF(OR(H24="",I24=""),"",COUNTIF(H24:I24,"YES")/2*$C$7)</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IF(OR(H25="",I25=""),"",COUNTIF(H25:I25,"YES")/2*$C$7)</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IF(OR(H26="",I26=""),"",COUNTIF(H26:I26,"YES")/2*$C$7)</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IF(OR(H27="",I27=""),"",COUNTIF(H27:I27,"YES")/2*$C$7)</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IF(OR(H28="",I28=""),"",COUNTIF(H28:I28,"YES")/2*$C$7)</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IF(OR(H29="",I29=""),"",COUNTIF(H29:I29,"YES")/2*$C$7)</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IF(OR(H30="",I30=""),"",COUNTIF(H30:I30,"YES")/2*$C$7)</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IF(OR(H31="",I31=""),"",COUNTIF(H31:I31,"YES")/2*$C$7)</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IF(OR(H32="",I32=""),"",COUNTIF(H32:I32,"YES")/2*$C$7)</f>
        <v/>
      </c>
    </row>
    <row r="33" customFormat="false" ht="79.5" hidden="false" customHeight="true" outlineLevel="0" collapsed="false">
      <c r="A33" s="247" t="s">
        <v>30</v>
      </c>
      <c r="B33" s="248" t="s">
        <v>155</v>
      </c>
      <c r="C33" s="248" t="s">
        <v>1419</v>
      </c>
      <c r="D33" s="248" t="s">
        <v>1427</v>
      </c>
      <c r="E33" s="248" t="s">
        <v>1428</v>
      </c>
      <c r="F33" s="248" t="s">
        <v>633</v>
      </c>
      <c r="G33" s="248" t="s">
        <v>156</v>
      </c>
      <c r="H33" s="249"/>
      <c r="I33" s="249" t="s">
        <v>1309</v>
      </c>
      <c r="J33" s="250" t="str">
        <f aca="false">IF(COUNTIFS('Scores (start here)'!$A:$A,$B$1,'Scores (start here)'!$B:$B,$A33,'Scores (start here)'!$F:$F,"&gt;=0")&gt;0,SUMIFS('Scores (start here)'!$F:$F,'Scores (start here)'!$A:$A,$B$1,'Scores (start here)'!$B:$B,$A33),L33)</f>
        <v/>
      </c>
      <c r="K33" s="251" t="s">
        <v>1429</v>
      </c>
      <c r="L33" s="77" t="str">
        <f aca="false">IF(OR(H33="",I33=""),"",COUNTIF(H33:I33,"YES")/2*$C$7)</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IF(OR(H34="",I34=""),"",COUNTIF(H34:I34,"YES")/2*$C$7)</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IF(OR(H35="",I35=""),"",COUNTIF(H35:I35,"YES")/2*$C$7)</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IF(OR(H36="",I36=""),"",COUNTIF(H36:I36,"YES")/2*$C$7)</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IF(OR(H37="",I37=""),"",COUNTIF(H37:I37,"YES")/2*$C$7)</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IF(OR(H38="",I38=""),"",COUNTIF(H38:I38,"YES")/2*$C$7)</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IF(OR(H39="",I39=""),"",COUNTIF(H39:I39,"YES")/2*$C$7)</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IF(OR(H40="",I40=""),"",COUNTIF(H40:I40,"YES")/2*$C$7)</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IF(OR(H41="",I41=""),"",COUNTIF(H41:I41,"YES")/2*$C$7)</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166</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 &gt;:&lt; Municipal/City Plan preparation, participation and review</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 &gt;:&lt; Public participation and scrutiny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public scrutiny for (including objections and responses) municipal/city plan? &gt;:&lt; Was the public scrutiny undertaken for (including objections and responses) municipal/city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Check Development Authority/ULG websites (as applicable) for consultation minutes/details/notifcations for inviting suggestions; newspaper reports; and the municipal/city plan for evidence of public scrutiny. If such evidence is found, score 5.</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c r="C14" s="248"/>
      <c r="D14" s="248"/>
      <c r="E14" s="248"/>
      <c r="F14" s="248"/>
      <c r="G14" s="248"/>
      <c r="H14" s="249"/>
      <c r="I14" s="250" t="str">
        <f aca="false">IF(COUNTIFS('Scores (start here)'!$A:$A,$B$1,'Scores (start here)'!$B:$B,$A14,'Scores (start here)'!$F:$F,"&gt;=0")&gt;0,SUMIFS('Scores (start here)'!$F:$F,'Scores (start here)'!$A:$A,$B$1,'Scores (start here)'!$B:$B,$A14),K14)</f>
        <v/>
      </c>
      <c r="J14" s="248" t="s">
        <v>1430</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t="s">
        <v>124</v>
      </c>
      <c r="C33" s="248" t="s">
        <v>1431</v>
      </c>
      <c r="D33" s="248" t="s">
        <v>1432</v>
      </c>
      <c r="E33" s="248" t="s">
        <v>1433</v>
      </c>
      <c r="F33" s="248" t="s">
        <v>1434</v>
      </c>
      <c r="G33" s="248" t="s">
        <v>125</v>
      </c>
      <c r="H33" s="249" t="s">
        <v>1309</v>
      </c>
      <c r="I33" s="250" t="n">
        <f aca="false">IF(COUNTIFS('Scores (start here)'!$A:$A,$B$1,'Scores (start here)'!$B:$B,$A33,'Scores (start here)'!$F:$F,"&gt;=0")&gt;0,SUMIFS('Scores (start here)'!$F:$F,'Scores (start here)'!$A:$A,$B$1,'Scores (start here)'!$B:$B,$A33),K33)</f>
        <v>5</v>
      </c>
      <c r="J33" s="251" t="s">
        <v>1435</v>
      </c>
      <c r="K33" s="252" t="n">
        <f aca="false">IF(H33="YES",$C$7,IF(H33="NO",0,""))</f>
        <v>5</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N41"/>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1" min="8" style="77" width="22"/>
    <col collapsed="false" customWidth="true" hidden="false" outlineLevel="0" max="12" min="12" style="77" width="14"/>
    <col collapsed="false" customWidth="true" hidden="false" outlineLevel="0" max="13" min="13" style="77" width="45"/>
  </cols>
  <sheetData>
    <row r="1" customFormat="false" ht="14.25" hidden="false" customHeight="true" outlineLevel="0" collapsed="false">
      <c r="A1" s="238" t="s">
        <v>1288</v>
      </c>
      <c r="B1" s="238" t="s">
        <v>172</v>
      </c>
      <c r="C1" s="239" t="s">
        <v>1289</v>
      </c>
      <c r="L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Plan modification and implementation review</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periodic review and revision of the notified municipal/city plan, including corresponding revisions to the Development Control Regulations (DCRs)?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Review the applicable State Town Planning Act.Score 10: The law mandates periodic review and revision of the municipal/city plan, specifies a review/revision timeline and responsible authority, and requires corresponding review and revision of the DCRs, where necessary, following municipal/city plan revision.Score 2.5 for each component and enter the sum if there are multiple components - 1. The law mandates periodic review and revision of the municipal/city plan ((alluding to the revision or creation of a new plan say after ten years) to the municipal/city plans shall not be considered).2. Specifies a review/revision timeline 3. Specifies for responsible authority4. Requires corresponding review and revision of the DCRs following municipal/city plan revision</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1385</v>
      </c>
    </row>
    <row r="11" customFormat="false" ht="28.5" hidden="false" customHeight="true" outlineLevel="0" collapsed="false">
      <c r="H11" s="243" t="s">
        <v>1294</v>
      </c>
      <c r="I11" s="243" t="s">
        <v>1294</v>
      </c>
      <c r="J11" s="243" t="s">
        <v>1294</v>
      </c>
      <c r="K11" s="243" t="s">
        <v>1294</v>
      </c>
      <c r="L11" s="244" t="s">
        <v>1295</v>
      </c>
      <c r="N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"Periodic review &amp; revision mandated ("&amp;TEXT($C$7/4,"0.00")&amp;")"</f>
        <v>Periodic review &amp; revision mandated (2.50)</v>
      </c>
      <c r="I12" s="246" t="str">
        <f aca="false">"Review/revision timeline specified ("&amp;TEXT($C$7/4,"0.00")&amp;")"</f>
        <v>Review/revision timeline specified (2.50)</v>
      </c>
      <c r="J12" s="246" t="str">
        <f aca="false">"Responsible authority specified ("&amp;TEXT($C$7/4,"0.00")&amp;")"</f>
        <v>Responsible authority specified (2.50)</v>
      </c>
      <c r="K12" s="246" t="str">
        <f aca="false">"Corresponding DCR revision required ("&amp;TEXT($C$7/4,"0.00")&amp;")"</f>
        <v>Corresponding DCR revision required (2.50)</v>
      </c>
      <c r="L12" s="244" t="s">
        <v>1303</v>
      </c>
      <c r="M12" s="246" t="s">
        <v>1304</v>
      </c>
      <c r="N12" s="77" t="s">
        <v>1305</v>
      </c>
    </row>
    <row r="13" customFormat="false" ht="14.25" hidden="false" customHeight="true" outlineLevel="0" collapsed="false">
      <c r="A13" s="247" t="s">
        <v>999</v>
      </c>
      <c r="B13" s="248"/>
      <c r="C13" s="248"/>
      <c r="D13" s="248"/>
      <c r="E13" s="248"/>
      <c r="F13" s="248"/>
      <c r="G13" s="248"/>
      <c r="H13" s="249"/>
      <c r="I13" s="249"/>
      <c r="J13" s="249"/>
      <c r="K13" s="249"/>
      <c r="L13" s="250" t="str">
        <f aca="false">IF(COUNTIFS('Scores (start here)'!$A:$A,$B$1,'Scores (start here)'!$B:$B,$A13,'Scores (start here)'!$F:$F,"&gt;=0")&gt;0,SUMIFS('Scores (start here)'!$F:$F,'Scores (start here)'!$A:$A,$B$1,'Scores (start here)'!$B:$B,$A13),N13)</f>
        <v/>
      </c>
      <c r="M13" s="248"/>
      <c r="N13" s="77" t="str">
        <f aca="false">IF(OR(H13="",I13="",J13="",K13=""),"",COUNTIF(H13:K13,"YES")/4*$C$7)</f>
        <v/>
      </c>
    </row>
    <row r="14" customFormat="false" ht="14.25" hidden="false" customHeight="true" outlineLevel="0" collapsed="false">
      <c r="A14" s="247" t="s">
        <v>19</v>
      </c>
      <c r="B14" s="248" t="s">
        <v>25</v>
      </c>
      <c r="C14" s="248" t="s">
        <v>1436</v>
      </c>
      <c r="D14" s="248" t="s">
        <v>1437</v>
      </c>
      <c r="E14" s="248" t="s">
        <v>1438</v>
      </c>
      <c r="F14" s="248" t="s">
        <v>1439</v>
      </c>
      <c r="G14" s="248" t="s">
        <v>26</v>
      </c>
      <c r="H14" s="249" t="s">
        <v>1356</v>
      </c>
      <c r="I14" s="249" t="s">
        <v>1309</v>
      </c>
      <c r="J14" s="249" t="s">
        <v>1309</v>
      </c>
      <c r="K14" s="249" t="s">
        <v>1309</v>
      </c>
      <c r="L14" s="250" t="n">
        <f aca="false">IF(COUNTIFS('Scores (start here)'!$A:$A,$B$1,'Scores (start here)'!$B:$B,$A14,'Scores (start here)'!$F:$F,"&gt;=0")&gt;0,SUMIFS('Scores (start here)'!$F:$F,'Scores (start here)'!$A:$A,$B$1,'Scores (start here)'!$B:$B,$A14),N14)</f>
        <v>7.5</v>
      </c>
      <c r="M14" s="251" t="s">
        <v>1440</v>
      </c>
      <c r="N14" s="77" t="n">
        <f aca="false">IF(OR(H14="",I14="",J14="",K14=""),"",COUNTIF(H14:K14,"YES")/4*$C$7)</f>
        <v>7.5</v>
      </c>
    </row>
    <row r="15" customFormat="false" ht="14.25" hidden="false" customHeight="true" outlineLevel="0" collapsed="false">
      <c r="A15" s="247" t="s">
        <v>1000</v>
      </c>
      <c r="B15" s="248"/>
      <c r="C15" s="248"/>
      <c r="D15" s="248"/>
      <c r="E15" s="248"/>
      <c r="F15" s="248"/>
      <c r="G15" s="248"/>
      <c r="H15" s="249"/>
      <c r="I15" s="249"/>
      <c r="J15" s="249"/>
      <c r="K15" s="249"/>
      <c r="L15" s="250" t="str">
        <f aca="false">IF(COUNTIFS('Scores (start here)'!$A:$A,$B$1,'Scores (start here)'!$B:$B,$A15,'Scores (start here)'!$F:$F,"&gt;=0")&gt;0,SUMIFS('Scores (start here)'!$F:$F,'Scores (start here)'!$A:$A,$B$1,'Scores (start here)'!$B:$B,$A15),N15)</f>
        <v/>
      </c>
      <c r="M15" s="248"/>
      <c r="N15" s="77" t="str">
        <f aca="false">IF(OR(H15="",I15="",J15="",K15=""),"",COUNTIF(H15:K15,"YES")/4*$C$7)</f>
        <v/>
      </c>
    </row>
    <row r="16" customFormat="false" ht="14.25" hidden="false" customHeight="true" outlineLevel="0" collapsed="false">
      <c r="A16" s="247" t="s">
        <v>1001</v>
      </c>
      <c r="B16" s="248"/>
      <c r="C16" s="248"/>
      <c r="D16" s="248"/>
      <c r="E16" s="248"/>
      <c r="F16" s="248"/>
      <c r="G16" s="248"/>
      <c r="H16" s="249"/>
      <c r="I16" s="249"/>
      <c r="J16" s="249"/>
      <c r="K16" s="249"/>
      <c r="L16" s="250" t="str">
        <f aca="false">IF(COUNTIFS('Scores (start here)'!$A:$A,$B$1,'Scores (start here)'!$B:$B,$A16,'Scores (start here)'!$F:$F,"&gt;=0")&gt;0,SUMIFS('Scores (start here)'!$F:$F,'Scores (start here)'!$A:$A,$B$1,'Scores (start here)'!$B:$B,$A16),N16)</f>
        <v/>
      </c>
      <c r="M16" s="248"/>
      <c r="N16" s="77" t="str">
        <f aca="false">IF(OR(H16="",I16="",J16="",K16=""),"",COUNTIF(H16:K16,"YES")/4*$C$7)</f>
        <v/>
      </c>
    </row>
    <row r="17" customFormat="false" ht="14.25" hidden="false" customHeight="true" outlineLevel="0" collapsed="false">
      <c r="A17" s="247" t="s">
        <v>1002</v>
      </c>
      <c r="B17" s="248"/>
      <c r="C17" s="248"/>
      <c r="D17" s="248"/>
      <c r="E17" s="248"/>
      <c r="F17" s="248"/>
      <c r="G17" s="248"/>
      <c r="H17" s="249"/>
      <c r="I17" s="249"/>
      <c r="J17" s="249"/>
      <c r="K17" s="249"/>
      <c r="L17" s="250" t="str">
        <f aca="false">IF(COUNTIFS('Scores (start here)'!$A:$A,$B$1,'Scores (start here)'!$B:$B,$A17,'Scores (start here)'!$F:$F,"&gt;=0")&gt;0,SUMIFS('Scores (start here)'!$F:$F,'Scores (start here)'!$A:$A,$B$1,'Scores (start here)'!$B:$B,$A17),N17)</f>
        <v/>
      </c>
      <c r="M17" s="248"/>
      <c r="N17" s="77" t="str">
        <f aca="false">IF(OR(H17="",I17="",J17="",K17=""),"",COUNTIF(H17:K17,"YES")/4*$C$7)</f>
        <v/>
      </c>
    </row>
    <row r="18" customFormat="false" ht="14.25" hidden="false" customHeight="true" outlineLevel="0" collapsed="false">
      <c r="A18" s="247" t="s">
        <v>1003</v>
      </c>
      <c r="B18" s="248"/>
      <c r="C18" s="248"/>
      <c r="D18" s="248"/>
      <c r="E18" s="248"/>
      <c r="F18" s="248"/>
      <c r="G18" s="248"/>
      <c r="H18" s="249"/>
      <c r="I18" s="249"/>
      <c r="J18" s="249"/>
      <c r="K18" s="249"/>
      <c r="L18" s="250" t="str">
        <f aca="false">IF(COUNTIFS('Scores (start here)'!$A:$A,$B$1,'Scores (start here)'!$B:$B,$A18,'Scores (start here)'!$F:$F,"&gt;=0")&gt;0,SUMIFS('Scores (start here)'!$F:$F,'Scores (start here)'!$A:$A,$B$1,'Scores (start here)'!$B:$B,$A18),N18)</f>
        <v/>
      </c>
      <c r="M18" s="248"/>
      <c r="N18" s="77" t="str">
        <f aca="false">IF(OR(H18="",I18="",J18="",K18=""),"",COUNTIF(H18:K18,"YES")/4*$C$7)</f>
        <v/>
      </c>
    </row>
    <row r="19" customFormat="false" ht="14.25" hidden="false" customHeight="true" outlineLevel="0" collapsed="false">
      <c r="A19" s="247" t="s">
        <v>1004</v>
      </c>
      <c r="B19" s="248"/>
      <c r="C19" s="248"/>
      <c r="D19" s="248"/>
      <c r="E19" s="248"/>
      <c r="F19" s="248"/>
      <c r="G19" s="248"/>
      <c r="H19" s="249"/>
      <c r="I19" s="249"/>
      <c r="J19" s="249"/>
      <c r="K19" s="249"/>
      <c r="L19" s="250" t="str">
        <f aca="false">IF(COUNTIFS('Scores (start here)'!$A:$A,$B$1,'Scores (start here)'!$B:$B,$A19,'Scores (start here)'!$F:$F,"&gt;=0")&gt;0,SUMIFS('Scores (start here)'!$F:$F,'Scores (start here)'!$A:$A,$B$1,'Scores (start here)'!$B:$B,$A19),N19)</f>
        <v/>
      </c>
      <c r="M19" s="248"/>
      <c r="N19" s="77" t="str">
        <f aca="false">IF(OR(H19="",I19="",J19="",K19=""),"",COUNTIF(H19:K19,"YES")/4*$C$7)</f>
        <v/>
      </c>
    </row>
    <row r="20" customFormat="false" ht="14.25" hidden="false" customHeight="true" outlineLevel="0" collapsed="false">
      <c r="A20" s="247" t="s">
        <v>1005</v>
      </c>
      <c r="B20" s="248"/>
      <c r="C20" s="248"/>
      <c r="D20" s="248"/>
      <c r="E20" s="248"/>
      <c r="F20" s="248"/>
      <c r="G20" s="248"/>
      <c r="H20" s="249"/>
      <c r="I20" s="249"/>
      <c r="J20" s="249"/>
      <c r="K20" s="249"/>
      <c r="L20" s="250" t="str">
        <f aca="false">IF(COUNTIFS('Scores (start here)'!$A:$A,$B$1,'Scores (start here)'!$B:$B,$A20,'Scores (start here)'!$F:$F,"&gt;=0")&gt;0,SUMIFS('Scores (start here)'!$F:$F,'Scores (start here)'!$A:$A,$B$1,'Scores (start here)'!$B:$B,$A20),N20)</f>
        <v/>
      </c>
      <c r="M20" s="248"/>
      <c r="N20" s="77" t="str">
        <f aca="false">IF(OR(H20="",I20="",J20="",K20=""),"",COUNTIF(H20:K20,"YES")/4*$C$7)</f>
        <v/>
      </c>
    </row>
    <row r="21" customFormat="false" ht="14.25" hidden="false" customHeight="true" outlineLevel="0" collapsed="false">
      <c r="A21" s="247" t="s">
        <v>1006</v>
      </c>
      <c r="B21" s="248"/>
      <c r="C21" s="248"/>
      <c r="D21" s="248"/>
      <c r="E21" s="248"/>
      <c r="F21" s="248"/>
      <c r="G21" s="248"/>
      <c r="H21" s="249"/>
      <c r="I21" s="249"/>
      <c r="J21" s="249"/>
      <c r="K21" s="249"/>
      <c r="L21" s="250" t="str">
        <f aca="false">IF(COUNTIFS('Scores (start here)'!$A:$A,$B$1,'Scores (start here)'!$B:$B,$A21,'Scores (start here)'!$F:$F,"&gt;=0")&gt;0,SUMIFS('Scores (start here)'!$F:$F,'Scores (start here)'!$A:$A,$B$1,'Scores (start here)'!$B:$B,$A21),N21)</f>
        <v/>
      </c>
      <c r="M21" s="248"/>
      <c r="N21" s="77" t="str">
        <f aca="false">IF(OR(H21="",I21="",J21="",K21=""),"",COUNTIF(H21:K21,"YES")/4*$C$7)</f>
        <v/>
      </c>
    </row>
    <row r="22" customFormat="false" ht="14.25" hidden="false" customHeight="true" outlineLevel="0" collapsed="false">
      <c r="A22" s="247" t="s">
        <v>1007</v>
      </c>
      <c r="B22" s="248"/>
      <c r="C22" s="248"/>
      <c r="D22" s="248"/>
      <c r="E22" s="248"/>
      <c r="F22" s="248"/>
      <c r="G22" s="248"/>
      <c r="H22" s="249"/>
      <c r="I22" s="249"/>
      <c r="J22" s="249"/>
      <c r="K22" s="249"/>
      <c r="L22" s="250" t="str">
        <f aca="false">IF(COUNTIFS('Scores (start here)'!$A:$A,$B$1,'Scores (start here)'!$B:$B,$A22,'Scores (start here)'!$F:$F,"&gt;=0")&gt;0,SUMIFS('Scores (start here)'!$F:$F,'Scores (start here)'!$A:$A,$B$1,'Scores (start here)'!$B:$B,$A22),N22)</f>
        <v/>
      </c>
      <c r="M22" s="248"/>
      <c r="N22" s="77" t="str">
        <f aca="false">IF(OR(H22="",I22="",J22="",K22=""),"",COUNTIF(H22:K22,"YES")/4*$C$7)</f>
        <v/>
      </c>
    </row>
    <row r="23" customFormat="false" ht="14.25" hidden="false" customHeight="true" outlineLevel="0" collapsed="false">
      <c r="A23" s="247" t="s">
        <v>1008</v>
      </c>
      <c r="B23" s="248"/>
      <c r="C23" s="248"/>
      <c r="D23" s="248"/>
      <c r="E23" s="248"/>
      <c r="F23" s="248"/>
      <c r="G23" s="248"/>
      <c r="H23" s="249"/>
      <c r="I23" s="249"/>
      <c r="J23" s="249"/>
      <c r="K23" s="249"/>
      <c r="L23" s="250" t="str">
        <f aca="false">IF(COUNTIFS('Scores (start here)'!$A:$A,$B$1,'Scores (start here)'!$B:$B,$A23,'Scores (start here)'!$F:$F,"&gt;=0")&gt;0,SUMIFS('Scores (start here)'!$F:$F,'Scores (start here)'!$A:$A,$B$1,'Scores (start here)'!$B:$B,$A23),N23)</f>
        <v/>
      </c>
      <c r="M23" s="248"/>
      <c r="N23" s="77" t="str">
        <f aca="false">IF(OR(H23="",I23="",J23="",K23=""),"",COUNTIF(H23:K23,"YES")/4*$C$7)</f>
        <v/>
      </c>
    </row>
    <row r="24" customFormat="false" ht="14.25" hidden="false" customHeight="true" outlineLevel="0" collapsed="false">
      <c r="A24" s="247" t="s">
        <v>1009</v>
      </c>
      <c r="B24" s="248"/>
      <c r="C24" s="248"/>
      <c r="D24" s="248"/>
      <c r="E24" s="248"/>
      <c r="F24" s="248"/>
      <c r="G24" s="248"/>
      <c r="H24" s="249"/>
      <c r="I24" s="249"/>
      <c r="J24" s="249"/>
      <c r="K24" s="249"/>
      <c r="L24" s="250" t="str">
        <f aca="false">IF(COUNTIFS('Scores (start here)'!$A:$A,$B$1,'Scores (start here)'!$B:$B,$A24,'Scores (start here)'!$F:$F,"&gt;=0")&gt;0,SUMIFS('Scores (start here)'!$F:$F,'Scores (start here)'!$A:$A,$B$1,'Scores (start here)'!$B:$B,$A24),N24)</f>
        <v/>
      </c>
      <c r="M24" s="248"/>
      <c r="N24" s="77" t="str">
        <f aca="false">IF(OR(H24="",I24="",J24="",K24=""),"",COUNTIF(H24:K24,"YES")/4*$C$7)</f>
        <v/>
      </c>
    </row>
    <row r="25" customFormat="false" ht="14.25" hidden="false" customHeight="true" outlineLevel="0" collapsed="false">
      <c r="A25" s="247" t="s">
        <v>1010</v>
      </c>
      <c r="B25" s="248"/>
      <c r="C25" s="248"/>
      <c r="D25" s="248"/>
      <c r="E25" s="248"/>
      <c r="F25" s="248"/>
      <c r="G25" s="248"/>
      <c r="H25" s="249"/>
      <c r="I25" s="249"/>
      <c r="J25" s="249"/>
      <c r="K25" s="249"/>
      <c r="L25" s="250" t="str">
        <f aca="false">IF(COUNTIFS('Scores (start here)'!$A:$A,$B$1,'Scores (start here)'!$B:$B,$A25,'Scores (start here)'!$F:$F,"&gt;=0")&gt;0,SUMIFS('Scores (start here)'!$F:$F,'Scores (start here)'!$A:$A,$B$1,'Scores (start here)'!$B:$B,$A25),N25)</f>
        <v/>
      </c>
      <c r="M25" s="248"/>
      <c r="N25" s="77" t="str">
        <f aca="false">IF(OR(H25="",I25="",J25="",K25=""),"",COUNTIF(H25:K25,"YES")/4*$C$7)</f>
        <v/>
      </c>
    </row>
    <row r="26" customFormat="false" ht="14.25" hidden="false" customHeight="true" outlineLevel="0" collapsed="false">
      <c r="A26" s="247" t="s">
        <v>1011</v>
      </c>
      <c r="B26" s="248"/>
      <c r="C26" s="248"/>
      <c r="D26" s="248"/>
      <c r="E26" s="248"/>
      <c r="F26" s="248"/>
      <c r="G26" s="248"/>
      <c r="H26" s="249"/>
      <c r="I26" s="249"/>
      <c r="J26" s="249"/>
      <c r="K26" s="249"/>
      <c r="L26" s="250" t="str">
        <f aca="false">IF(COUNTIFS('Scores (start here)'!$A:$A,$B$1,'Scores (start here)'!$B:$B,$A26,'Scores (start here)'!$F:$F,"&gt;=0")&gt;0,SUMIFS('Scores (start here)'!$F:$F,'Scores (start here)'!$A:$A,$B$1,'Scores (start here)'!$B:$B,$A26),N26)</f>
        <v/>
      </c>
      <c r="M26" s="248"/>
      <c r="N26" s="77" t="str">
        <f aca="false">IF(OR(H26="",I26="",J26="",K26=""),"",COUNTIF(H26:K26,"YES")/4*$C$7)</f>
        <v/>
      </c>
    </row>
    <row r="27" customFormat="false" ht="14.25" hidden="false" customHeight="true" outlineLevel="0" collapsed="false">
      <c r="A27" s="247" t="s">
        <v>1012</v>
      </c>
      <c r="B27" s="248"/>
      <c r="C27" s="248"/>
      <c r="D27" s="248"/>
      <c r="E27" s="248"/>
      <c r="F27" s="248"/>
      <c r="G27" s="248"/>
      <c r="H27" s="249"/>
      <c r="I27" s="249"/>
      <c r="J27" s="249"/>
      <c r="K27" s="249"/>
      <c r="L27" s="250" t="str">
        <f aca="false">IF(COUNTIFS('Scores (start here)'!$A:$A,$B$1,'Scores (start here)'!$B:$B,$A27,'Scores (start here)'!$F:$F,"&gt;=0")&gt;0,SUMIFS('Scores (start here)'!$F:$F,'Scores (start here)'!$A:$A,$B$1,'Scores (start here)'!$B:$B,$A27),N27)</f>
        <v/>
      </c>
      <c r="M27" s="248"/>
      <c r="N27" s="77" t="str">
        <f aca="false">IF(OR(H27="",I27="",J27="",K27=""),"",COUNTIF(H27:K27,"YES")/4*$C$7)</f>
        <v/>
      </c>
    </row>
    <row r="28" customFormat="false" ht="14.25" hidden="false" customHeight="true" outlineLevel="0" collapsed="false">
      <c r="A28" s="247" t="s">
        <v>1013</v>
      </c>
      <c r="B28" s="248"/>
      <c r="C28" s="248"/>
      <c r="D28" s="248"/>
      <c r="E28" s="248"/>
      <c r="F28" s="248"/>
      <c r="G28" s="248"/>
      <c r="H28" s="249"/>
      <c r="I28" s="249"/>
      <c r="J28" s="249"/>
      <c r="K28" s="249"/>
      <c r="L28" s="250" t="str">
        <f aca="false">IF(COUNTIFS('Scores (start here)'!$A:$A,$B$1,'Scores (start here)'!$B:$B,$A28,'Scores (start here)'!$F:$F,"&gt;=0")&gt;0,SUMIFS('Scores (start here)'!$F:$F,'Scores (start here)'!$A:$A,$B$1,'Scores (start here)'!$B:$B,$A28),N28)</f>
        <v/>
      </c>
      <c r="M28" s="248"/>
      <c r="N28" s="77" t="str">
        <f aca="false">IF(OR(H28="",I28="",J28="",K28=""),"",COUNTIF(H28:K28,"YES")/4*$C$7)</f>
        <v/>
      </c>
    </row>
    <row r="29" customFormat="false" ht="14.25" hidden="false" customHeight="true" outlineLevel="0" collapsed="false">
      <c r="A29" s="247" t="s">
        <v>1014</v>
      </c>
      <c r="B29" s="248"/>
      <c r="C29" s="248"/>
      <c r="D29" s="248"/>
      <c r="E29" s="248"/>
      <c r="F29" s="248"/>
      <c r="G29" s="248"/>
      <c r="H29" s="249"/>
      <c r="I29" s="249"/>
      <c r="J29" s="249"/>
      <c r="K29" s="249"/>
      <c r="L29" s="250" t="str">
        <f aca="false">IF(COUNTIFS('Scores (start here)'!$A:$A,$B$1,'Scores (start here)'!$B:$B,$A29,'Scores (start here)'!$F:$F,"&gt;=0")&gt;0,SUMIFS('Scores (start here)'!$F:$F,'Scores (start here)'!$A:$A,$B$1,'Scores (start here)'!$B:$B,$A29),N29)</f>
        <v/>
      </c>
      <c r="M29" s="248"/>
      <c r="N29" s="77" t="str">
        <f aca="false">IF(OR(H29="",I29="",J29="",K29=""),"",COUNTIF(H29:K29,"YES")/4*$C$7)</f>
        <v/>
      </c>
    </row>
    <row r="30" customFormat="false" ht="14.25" hidden="false" customHeight="true" outlineLevel="0" collapsed="false">
      <c r="A30" s="247" t="s">
        <v>1015</v>
      </c>
      <c r="B30" s="248"/>
      <c r="C30" s="248"/>
      <c r="D30" s="248"/>
      <c r="E30" s="248"/>
      <c r="F30" s="248"/>
      <c r="G30" s="248"/>
      <c r="H30" s="249"/>
      <c r="I30" s="249"/>
      <c r="J30" s="249"/>
      <c r="K30" s="249"/>
      <c r="L30" s="250" t="str">
        <f aca="false">IF(COUNTIFS('Scores (start here)'!$A:$A,$B$1,'Scores (start here)'!$B:$B,$A30,'Scores (start here)'!$F:$F,"&gt;=0")&gt;0,SUMIFS('Scores (start here)'!$F:$F,'Scores (start here)'!$A:$A,$B$1,'Scores (start here)'!$B:$B,$A30),N30)</f>
        <v/>
      </c>
      <c r="M30" s="248"/>
      <c r="N30" s="77" t="str">
        <f aca="false">IF(OR(H30="",I30="",J30="",K30=""),"",COUNTIF(H30:K30,"YES")/4*$C$7)</f>
        <v/>
      </c>
    </row>
    <row r="31" customFormat="false" ht="14.25" hidden="false" customHeight="true" outlineLevel="0" collapsed="false">
      <c r="A31" s="247" t="s">
        <v>1016</v>
      </c>
      <c r="B31" s="248"/>
      <c r="C31" s="248"/>
      <c r="D31" s="248"/>
      <c r="E31" s="248"/>
      <c r="F31" s="248"/>
      <c r="G31" s="248"/>
      <c r="H31" s="249"/>
      <c r="I31" s="249"/>
      <c r="J31" s="249"/>
      <c r="K31" s="249"/>
      <c r="L31" s="250" t="str">
        <f aca="false">IF(COUNTIFS('Scores (start here)'!$A:$A,$B$1,'Scores (start here)'!$B:$B,$A31,'Scores (start here)'!$F:$F,"&gt;=0")&gt;0,SUMIFS('Scores (start here)'!$F:$F,'Scores (start here)'!$A:$A,$B$1,'Scores (start here)'!$B:$B,$A31),N31)</f>
        <v/>
      </c>
      <c r="M31" s="248"/>
      <c r="N31" s="77" t="str">
        <f aca="false">IF(OR(H31="",I31="",J31="",K31=""),"",COUNTIF(H31:K31,"YES")/4*$C$7)</f>
        <v/>
      </c>
    </row>
    <row r="32" customFormat="false" ht="14.25" hidden="false" customHeight="true" outlineLevel="0" collapsed="false">
      <c r="A32" s="247" t="s">
        <v>1017</v>
      </c>
      <c r="B32" s="248"/>
      <c r="C32" s="248"/>
      <c r="D32" s="248"/>
      <c r="E32" s="248"/>
      <c r="F32" s="248"/>
      <c r="G32" s="248"/>
      <c r="H32" s="249"/>
      <c r="I32" s="249"/>
      <c r="J32" s="249"/>
      <c r="K32" s="249"/>
      <c r="L32" s="250" t="str">
        <f aca="false">IF(COUNTIFS('Scores (start here)'!$A:$A,$B$1,'Scores (start here)'!$B:$B,$A32,'Scores (start here)'!$F:$F,"&gt;=0")&gt;0,SUMIFS('Scores (start here)'!$F:$F,'Scores (start here)'!$A:$A,$B$1,'Scores (start here)'!$B:$B,$A32),N32)</f>
        <v/>
      </c>
      <c r="M32" s="248"/>
      <c r="N32" s="77" t="str">
        <f aca="false">IF(OR(H32="",I32="",J32="",K32=""),"",COUNTIF(H32:K32,"YES")/4*$C$7)</f>
        <v/>
      </c>
    </row>
    <row r="33" customFormat="false" ht="147" hidden="false" customHeight="true" outlineLevel="0" collapsed="false">
      <c r="A33" s="247" t="s">
        <v>30</v>
      </c>
      <c r="B33" s="248" t="s">
        <v>124</v>
      </c>
      <c r="C33" s="248" t="s">
        <v>1441</v>
      </c>
      <c r="D33" s="248" t="s">
        <v>1442</v>
      </c>
      <c r="E33" s="248" t="s">
        <v>1443</v>
      </c>
      <c r="F33" s="248" t="s">
        <v>1140</v>
      </c>
      <c r="G33" s="248" t="s">
        <v>125</v>
      </c>
      <c r="H33" s="249" t="s">
        <v>1309</v>
      </c>
      <c r="I33" s="249" t="s">
        <v>1309</v>
      </c>
      <c r="J33" s="249" t="s">
        <v>1309</v>
      </c>
      <c r="K33" s="249"/>
      <c r="L33" s="250" t="str">
        <f aca="false">IF(COUNTIFS('Scores (start here)'!$A:$A,$B$1,'Scores (start here)'!$B:$B,$A33,'Scores (start here)'!$F:$F,"&gt;=0")&gt;0,SUMIFS('Scores (start here)'!$F:$F,'Scores (start here)'!$A:$A,$B$1,'Scores (start here)'!$B:$B,$A33),N33)</f>
        <v/>
      </c>
      <c r="M33" s="251" t="s">
        <v>1444</v>
      </c>
      <c r="N33" s="77" t="str">
        <f aca="false">IF(OR(H33="",I33="",J33="",K33=""),"",COUNTIF(H33:K33,"YES")/4*$C$7)</f>
        <v/>
      </c>
    </row>
    <row r="34" customFormat="false" ht="14.25" hidden="false" customHeight="true" outlineLevel="0" collapsed="false">
      <c r="A34" s="247" t="s">
        <v>1018</v>
      </c>
      <c r="B34" s="248"/>
      <c r="C34" s="248"/>
      <c r="D34" s="248"/>
      <c r="E34" s="248"/>
      <c r="F34" s="248"/>
      <c r="G34" s="248"/>
      <c r="H34" s="249"/>
      <c r="I34" s="249"/>
      <c r="J34" s="249"/>
      <c r="K34" s="249"/>
      <c r="L34" s="250" t="str">
        <f aca="false">IF(COUNTIFS('Scores (start here)'!$A:$A,$B$1,'Scores (start here)'!$B:$B,$A34,'Scores (start here)'!$F:$F,"&gt;=0")&gt;0,SUMIFS('Scores (start here)'!$F:$F,'Scores (start here)'!$A:$A,$B$1,'Scores (start here)'!$B:$B,$A34),N34)</f>
        <v/>
      </c>
      <c r="M34" s="248"/>
      <c r="N34" s="77" t="str">
        <f aca="false">IF(OR(H34="",I34="",J34="",K34=""),"",COUNTIF(H34:K34,"YES")/4*$C$7)</f>
        <v/>
      </c>
    </row>
    <row r="35" customFormat="false" ht="14.25" hidden="false" customHeight="true" outlineLevel="0" collapsed="false">
      <c r="A35" s="247" t="s">
        <v>1019</v>
      </c>
      <c r="B35" s="248"/>
      <c r="C35" s="248"/>
      <c r="D35" s="248"/>
      <c r="E35" s="248"/>
      <c r="F35" s="248"/>
      <c r="G35" s="248"/>
      <c r="H35" s="249"/>
      <c r="I35" s="249"/>
      <c r="J35" s="249"/>
      <c r="K35" s="249"/>
      <c r="L35" s="250" t="str">
        <f aca="false">IF(COUNTIFS('Scores (start here)'!$A:$A,$B$1,'Scores (start here)'!$B:$B,$A35,'Scores (start here)'!$F:$F,"&gt;=0")&gt;0,SUMIFS('Scores (start here)'!$F:$F,'Scores (start here)'!$A:$A,$B$1,'Scores (start here)'!$B:$B,$A35),N35)</f>
        <v/>
      </c>
      <c r="M35" s="248"/>
      <c r="N35" s="77" t="str">
        <f aca="false">IF(OR(H35="",I35="",J35="",K35=""),"",COUNTIF(H35:K35,"YES")/4*$C$7)</f>
        <v/>
      </c>
    </row>
    <row r="36" customFormat="false" ht="14.25" hidden="false" customHeight="true" outlineLevel="0" collapsed="false">
      <c r="A36" s="247" t="s">
        <v>1020</v>
      </c>
      <c r="B36" s="248"/>
      <c r="C36" s="248"/>
      <c r="D36" s="248"/>
      <c r="E36" s="248"/>
      <c r="F36" s="248"/>
      <c r="G36" s="248"/>
      <c r="H36" s="249"/>
      <c r="I36" s="249"/>
      <c r="J36" s="249"/>
      <c r="K36" s="249"/>
      <c r="L36" s="250" t="str">
        <f aca="false">IF(COUNTIFS('Scores (start here)'!$A:$A,$B$1,'Scores (start here)'!$B:$B,$A36,'Scores (start here)'!$F:$F,"&gt;=0")&gt;0,SUMIFS('Scores (start here)'!$F:$F,'Scores (start here)'!$A:$A,$B$1,'Scores (start here)'!$B:$B,$A36),N36)</f>
        <v/>
      </c>
      <c r="M36" s="248"/>
      <c r="N36" s="77" t="str">
        <f aca="false">IF(OR(H36="",I36="",J36="",K36=""),"",COUNTIF(H36:K36,"YES")/4*$C$7)</f>
        <v/>
      </c>
    </row>
    <row r="37" customFormat="false" ht="14.25" hidden="false" customHeight="true" outlineLevel="0" collapsed="false">
      <c r="A37" s="247" t="s">
        <v>1021</v>
      </c>
      <c r="B37" s="248"/>
      <c r="C37" s="248"/>
      <c r="D37" s="248"/>
      <c r="E37" s="248"/>
      <c r="F37" s="248"/>
      <c r="G37" s="248"/>
      <c r="H37" s="249"/>
      <c r="I37" s="249"/>
      <c r="J37" s="249"/>
      <c r="K37" s="249"/>
      <c r="L37" s="250" t="str">
        <f aca="false">IF(COUNTIFS('Scores (start here)'!$A:$A,$B$1,'Scores (start here)'!$B:$B,$A37,'Scores (start here)'!$F:$F,"&gt;=0")&gt;0,SUMIFS('Scores (start here)'!$F:$F,'Scores (start here)'!$A:$A,$B$1,'Scores (start here)'!$B:$B,$A37),N37)</f>
        <v/>
      </c>
      <c r="M37" s="248"/>
      <c r="N37" s="77" t="str">
        <f aca="false">IF(OR(H37="",I37="",J37="",K37=""),"",COUNTIF(H37:K37,"YES")/4*$C$7)</f>
        <v/>
      </c>
    </row>
    <row r="38" customFormat="false" ht="14.25" hidden="false" customHeight="true" outlineLevel="0" collapsed="false">
      <c r="A38" s="247" t="s">
        <v>1022</v>
      </c>
      <c r="B38" s="248"/>
      <c r="C38" s="248"/>
      <c r="D38" s="248"/>
      <c r="E38" s="248"/>
      <c r="F38" s="248"/>
      <c r="G38" s="248"/>
      <c r="H38" s="249"/>
      <c r="I38" s="249"/>
      <c r="J38" s="249"/>
      <c r="K38" s="249"/>
      <c r="L38" s="250" t="str">
        <f aca="false">IF(COUNTIFS('Scores (start here)'!$A:$A,$B$1,'Scores (start here)'!$B:$B,$A38,'Scores (start here)'!$F:$F,"&gt;=0")&gt;0,SUMIFS('Scores (start here)'!$F:$F,'Scores (start here)'!$A:$A,$B$1,'Scores (start here)'!$B:$B,$A38),N38)</f>
        <v/>
      </c>
      <c r="M38" s="248"/>
      <c r="N38" s="77" t="str">
        <f aca="false">IF(OR(H38="",I38="",J38="",K38=""),"",COUNTIF(H38:K38,"YES")/4*$C$7)</f>
        <v/>
      </c>
    </row>
    <row r="39" customFormat="false" ht="14.25" hidden="false" customHeight="true" outlineLevel="0" collapsed="false">
      <c r="A39" s="247" t="s">
        <v>1023</v>
      </c>
      <c r="B39" s="248"/>
      <c r="C39" s="248"/>
      <c r="D39" s="248"/>
      <c r="E39" s="248"/>
      <c r="F39" s="248"/>
      <c r="G39" s="248"/>
      <c r="H39" s="249"/>
      <c r="I39" s="249"/>
      <c r="J39" s="249"/>
      <c r="K39" s="249"/>
      <c r="L39" s="250" t="str">
        <f aca="false">IF(COUNTIFS('Scores (start here)'!$A:$A,$B$1,'Scores (start here)'!$B:$B,$A39,'Scores (start here)'!$F:$F,"&gt;=0")&gt;0,SUMIFS('Scores (start here)'!$F:$F,'Scores (start here)'!$A:$A,$B$1,'Scores (start here)'!$B:$B,$A39),N39)</f>
        <v/>
      </c>
      <c r="M39" s="248"/>
      <c r="N39" s="77" t="str">
        <f aca="false">IF(OR(H39="",I39="",J39="",K39=""),"",COUNTIF(H39:K39,"YES")/4*$C$7)</f>
        <v/>
      </c>
    </row>
    <row r="40" customFormat="false" ht="14.25" hidden="false" customHeight="true" outlineLevel="0" collapsed="false">
      <c r="A40" s="247" t="s">
        <v>1024</v>
      </c>
      <c r="B40" s="248"/>
      <c r="C40" s="248"/>
      <c r="D40" s="248"/>
      <c r="E40" s="248"/>
      <c r="F40" s="248"/>
      <c r="G40" s="248"/>
      <c r="H40" s="249"/>
      <c r="I40" s="249"/>
      <c r="J40" s="249"/>
      <c r="K40" s="249"/>
      <c r="L40" s="250" t="str">
        <f aca="false">IF(COUNTIFS('Scores (start here)'!$A:$A,$B$1,'Scores (start here)'!$B:$B,$A40,'Scores (start here)'!$F:$F,"&gt;=0")&gt;0,SUMIFS('Scores (start here)'!$F:$F,'Scores (start here)'!$A:$A,$B$1,'Scores (start here)'!$B:$B,$A40),N40)</f>
        <v/>
      </c>
      <c r="M40" s="248"/>
      <c r="N40" s="77" t="str">
        <f aca="false">IF(OR(H40="",I40="",J40="",K40=""),"",COUNTIF(H40:K40,"YES")/4*$C$7)</f>
        <v/>
      </c>
    </row>
    <row r="41" customFormat="false" ht="14.25" hidden="false" customHeight="true" outlineLevel="0" collapsed="false">
      <c r="A41" s="247" t="s">
        <v>1025</v>
      </c>
      <c r="B41" s="248"/>
      <c r="C41" s="248"/>
      <c r="D41" s="248"/>
      <c r="E41" s="248"/>
      <c r="F41" s="248"/>
      <c r="G41" s="248"/>
      <c r="H41" s="249"/>
      <c r="I41" s="249"/>
      <c r="J41" s="249"/>
      <c r="K41" s="249"/>
      <c r="L41" s="250" t="str">
        <f aca="false">IF(COUNTIFS('Scores (start here)'!$A:$A,$B$1,'Scores (start here)'!$B:$B,$A41,'Scores (start here)'!$F:$F,"&gt;=0")&gt;0,SUMIFS('Scores (start here)'!$F:$F,'Scores (start here)'!$A:$A,$B$1,'Scores (start here)'!$B:$B,$A41),N41)</f>
        <v/>
      </c>
      <c r="M41" s="248"/>
      <c r="N41" s="77" t="str">
        <f aca="false">IF(OR(H41="",I41="",J41="",K41=""),"",COUNTIF(H41:K41,"YES")/4*$C$7)</f>
        <v/>
      </c>
    </row>
  </sheetData>
  <dataValidations count="1">
    <dataValidation allowBlank="true" error="Please enter a valid value (see note above the column)." errorStyle="stop" errorTitle="Invalid entry" operator="between" showDropDown="false" showErrorMessage="true" showInputMessage="false" sqref="H13:K41" type="list">
      <formula1>"YES,NO"</formula1>
      <formula2>0</formula2>
    </dataValidation>
  </dataValidations>
  <hyperlinks>
    <hyperlink ref="L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0" min="8" style="77" width="22"/>
    <col collapsed="false" customWidth="true" hidden="false" outlineLevel="0" max="11" min="11" style="77" width="14"/>
    <col collapsed="false" customWidth="true" hidden="false" outlineLevel="0" max="12" min="12" style="77" width="45"/>
  </cols>
  <sheetData>
    <row r="1" customFormat="false" ht="14.25" hidden="false" customHeight="true" outlineLevel="0" collapsed="false">
      <c r="A1" s="238" t="s">
        <v>1288</v>
      </c>
      <c r="B1" s="238" t="s">
        <v>181</v>
      </c>
      <c r="C1" s="239" t="s">
        <v>1289</v>
      </c>
      <c r="K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a) Water Supply/ Sewerage, Sanitation and Solid Waste Management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41" t="n">
        <f aca="false">VLOOKUP($B$1,'UPD Questions_290926 '!$E$1:$N$300,MATCH($A$7,'UPD Questions_290926 '!$E$1:$N$1,0),0)</f>
        <v>1.67</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1.Water Supply/sewerage plan or mandate to have a water supply component as part of the municipal/city plan. Score: 0.55                                                                                                             2. City sanitation plan or mandate to have a sanitation component as part of the municipal/city municipal/city plan. Score: 0.55                                                                                                                                                                                                                                                            3.Solid Waste Management Plan or mandate to have a solid waste management as part of the municipal/city municipal/city plan Score: 0.55Provisions that make such a plan optional with 'may' provision shall not be considered.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1385</v>
      </c>
    </row>
    <row r="11" customFormat="false" ht="28.5" hidden="false" customHeight="true" outlineLevel="0" collapsed="false">
      <c r="H11" s="243" t="s">
        <v>1294</v>
      </c>
      <c r="I11" s="243" t="s">
        <v>1294</v>
      </c>
      <c r="J11" s="243" t="s">
        <v>1294</v>
      </c>
      <c r="K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"Water supply / sewerage ("&amp;TEXT($C$7/3,"0.00")&amp;")"</f>
        <v>Water supply / sewerage (0.56)</v>
      </c>
      <c r="I12" s="246" t="str">
        <f aca="false">"City sanitation ("&amp;TEXT($C$7/3,"0.00")&amp;")"</f>
        <v>City sanitation (0.56)</v>
      </c>
      <c r="J12" s="246" t="str">
        <f aca="false">"Solid waste management ("&amp;TEXT($C$7/3,"0.00")&amp;")"</f>
        <v>Solid waste management (0.56)</v>
      </c>
      <c r="K12" s="244" t="s">
        <v>1303</v>
      </c>
      <c r="L12" s="246" t="s">
        <v>1304</v>
      </c>
      <c r="M12" s="77" t="s">
        <v>1305</v>
      </c>
    </row>
    <row r="13" customFormat="false" ht="14.25" hidden="false" customHeight="true" outlineLevel="0" collapsed="false">
      <c r="A13" s="247" t="s">
        <v>999</v>
      </c>
      <c r="B13" s="248"/>
      <c r="C13" s="248"/>
      <c r="D13" s="248"/>
      <c r="E13" s="248"/>
      <c r="F13" s="248"/>
      <c r="G13" s="248"/>
      <c r="H13" s="249"/>
      <c r="I13" s="249"/>
      <c r="J13" s="249"/>
      <c r="K13" s="250" t="str">
        <f aca="false">IF(COUNTIFS('Scores (start here)'!$A:$A,$B$1,'Scores (start here)'!$B:$B,$A13,'Scores (start here)'!$F:$F,"&gt;=0")&gt;0,SUMIFS('Scores (start here)'!$F:$F,'Scores (start here)'!$A:$A,$B$1,'Scores (start here)'!$B:$B,$A13),M13)</f>
        <v/>
      </c>
      <c r="L13" s="248"/>
      <c r="M13" s="77" t="str">
        <f aca="false">IF(OR(H13="",I13="",J13=""),"",COUNTIF(H13:J13,"YES")/3*$C$7)</f>
        <v/>
      </c>
    </row>
    <row r="14" customFormat="false" ht="14.25" hidden="false" customHeight="true" outlineLevel="0" collapsed="false">
      <c r="A14" s="247" t="s">
        <v>19</v>
      </c>
      <c r="B14" s="248" t="s">
        <v>49</v>
      </c>
      <c r="C14" s="248" t="s">
        <v>1445</v>
      </c>
      <c r="D14" s="248" t="s">
        <v>1446</v>
      </c>
      <c r="E14" s="248" t="s">
        <v>1447</v>
      </c>
      <c r="F14" s="248" t="s">
        <v>1448</v>
      </c>
      <c r="G14" s="248" t="s">
        <v>50</v>
      </c>
      <c r="H14" s="249"/>
      <c r="I14" s="249"/>
      <c r="J14" s="249"/>
      <c r="K14" s="250" t="str">
        <f aca="false">IF(COUNTIFS('Scores (start here)'!$A:$A,$B$1,'Scores (start here)'!$B:$B,$A14,'Scores (start here)'!$F:$F,"&gt;=0")&gt;0,SUMIFS('Scores (start here)'!$F:$F,'Scores (start here)'!$A:$A,$B$1,'Scores (start here)'!$B:$B,$A14),M14)</f>
        <v/>
      </c>
      <c r="L14" s="251" t="s">
        <v>1449</v>
      </c>
      <c r="M14" s="77" t="str">
        <f aca="false">IF(OR(H14="",I14="",J14=""),"",COUNTIF(H14:J14,"YES")/3*$C$7)</f>
        <v/>
      </c>
    </row>
    <row r="15" customFormat="false" ht="14.25" hidden="false" customHeight="true" outlineLevel="0" collapsed="false">
      <c r="A15" s="247" t="s">
        <v>1000</v>
      </c>
      <c r="B15" s="248"/>
      <c r="C15" s="248"/>
      <c r="D15" s="248"/>
      <c r="E15" s="248"/>
      <c r="F15" s="248"/>
      <c r="G15" s="248"/>
      <c r="H15" s="249"/>
      <c r="I15" s="249"/>
      <c r="J15" s="249"/>
      <c r="K15" s="250" t="str">
        <f aca="false">IF(COUNTIFS('Scores (start here)'!$A:$A,$B$1,'Scores (start here)'!$B:$B,$A15,'Scores (start here)'!$F:$F,"&gt;=0")&gt;0,SUMIFS('Scores (start here)'!$F:$F,'Scores (start here)'!$A:$A,$B$1,'Scores (start here)'!$B:$B,$A15),M15)</f>
        <v/>
      </c>
      <c r="L15" s="248"/>
      <c r="M15" s="77" t="str">
        <f aca="false">IF(OR(H15="",I15="",J15=""),"",COUNTIF(H15:J15,"YES")/3*$C$7)</f>
        <v/>
      </c>
    </row>
    <row r="16" customFormat="false" ht="14.25" hidden="false" customHeight="true" outlineLevel="0" collapsed="false">
      <c r="A16" s="247" t="s">
        <v>1001</v>
      </c>
      <c r="B16" s="248"/>
      <c r="C16" s="248"/>
      <c r="D16" s="248"/>
      <c r="E16" s="248"/>
      <c r="F16" s="248"/>
      <c r="G16" s="248"/>
      <c r="H16" s="249"/>
      <c r="I16" s="249"/>
      <c r="J16" s="249"/>
      <c r="K16" s="250" t="str">
        <f aca="false">IF(COUNTIFS('Scores (start here)'!$A:$A,$B$1,'Scores (start here)'!$B:$B,$A16,'Scores (start here)'!$F:$F,"&gt;=0")&gt;0,SUMIFS('Scores (start here)'!$F:$F,'Scores (start here)'!$A:$A,$B$1,'Scores (start here)'!$B:$B,$A16),M16)</f>
        <v/>
      </c>
      <c r="L16" s="248"/>
      <c r="M16" s="77" t="str">
        <f aca="false">IF(OR(H16="",I16="",J16=""),"",COUNTIF(H16:J16,"YES")/3*$C$7)</f>
        <v/>
      </c>
    </row>
    <row r="17" customFormat="false" ht="14.25" hidden="false" customHeight="true" outlineLevel="0" collapsed="false">
      <c r="A17" s="247" t="s">
        <v>1002</v>
      </c>
      <c r="B17" s="248"/>
      <c r="C17" s="248"/>
      <c r="D17" s="248"/>
      <c r="E17" s="248"/>
      <c r="F17" s="248"/>
      <c r="G17" s="248"/>
      <c r="H17" s="249"/>
      <c r="I17" s="249"/>
      <c r="J17" s="249"/>
      <c r="K17" s="250" t="str">
        <f aca="false">IF(COUNTIFS('Scores (start here)'!$A:$A,$B$1,'Scores (start here)'!$B:$B,$A17,'Scores (start here)'!$F:$F,"&gt;=0")&gt;0,SUMIFS('Scores (start here)'!$F:$F,'Scores (start here)'!$A:$A,$B$1,'Scores (start here)'!$B:$B,$A17),M17)</f>
        <v/>
      </c>
      <c r="L17" s="248"/>
      <c r="M17" s="77" t="str">
        <f aca="false">IF(OR(H17="",I17="",J17=""),"",COUNTIF(H17:J17,"YES")/3*$C$7)</f>
        <v/>
      </c>
    </row>
    <row r="18" customFormat="false" ht="14.25" hidden="false" customHeight="true" outlineLevel="0" collapsed="false">
      <c r="A18" s="247" t="s">
        <v>1003</v>
      </c>
      <c r="B18" s="248"/>
      <c r="C18" s="248"/>
      <c r="D18" s="248"/>
      <c r="E18" s="248"/>
      <c r="F18" s="248"/>
      <c r="G18" s="248"/>
      <c r="H18" s="249"/>
      <c r="I18" s="249"/>
      <c r="J18" s="249"/>
      <c r="K18" s="250" t="str">
        <f aca="false">IF(COUNTIFS('Scores (start here)'!$A:$A,$B$1,'Scores (start here)'!$B:$B,$A18,'Scores (start here)'!$F:$F,"&gt;=0")&gt;0,SUMIFS('Scores (start here)'!$F:$F,'Scores (start here)'!$A:$A,$B$1,'Scores (start here)'!$B:$B,$A18),M18)</f>
        <v/>
      </c>
      <c r="L18" s="248"/>
      <c r="M18" s="77" t="str">
        <f aca="false">IF(OR(H18="",I18="",J18=""),"",COUNTIF(H18:J18,"YES")/3*$C$7)</f>
        <v/>
      </c>
    </row>
    <row r="19" customFormat="false" ht="14.25" hidden="false" customHeight="true" outlineLevel="0" collapsed="false">
      <c r="A19" s="247" t="s">
        <v>1004</v>
      </c>
      <c r="B19" s="248"/>
      <c r="C19" s="248"/>
      <c r="D19" s="248"/>
      <c r="E19" s="248"/>
      <c r="F19" s="248"/>
      <c r="G19" s="248"/>
      <c r="H19" s="249"/>
      <c r="I19" s="249"/>
      <c r="J19" s="249"/>
      <c r="K19" s="250" t="str">
        <f aca="false">IF(COUNTIFS('Scores (start here)'!$A:$A,$B$1,'Scores (start here)'!$B:$B,$A19,'Scores (start here)'!$F:$F,"&gt;=0")&gt;0,SUMIFS('Scores (start here)'!$F:$F,'Scores (start here)'!$A:$A,$B$1,'Scores (start here)'!$B:$B,$A19),M19)</f>
        <v/>
      </c>
      <c r="L19" s="248"/>
      <c r="M19" s="77" t="str">
        <f aca="false">IF(OR(H19="",I19="",J19=""),"",COUNTIF(H19:J19,"YES")/3*$C$7)</f>
        <v/>
      </c>
    </row>
    <row r="20" customFormat="false" ht="14.25" hidden="false" customHeight="true" outlineLevel="0" collapsed="false">
      <c r="A20" s="247" t="s">
        <v>1005</v>
      </c>
      <c r="B20" s="248"/>
      <c r="C20" s="248"/>
      <c r="D20" s="248"/>
      <c r="E20" s="248"/>
      <c r="F20" s="248"/>
      <c r="G20" s="248"/>
      <c r="H20" s="249"/>
      <c r="I20" s="249"/>
      <c r="J20" s="249"/>
      <c r="K20" s="250" t="str">
        <f aca="false">IF(COUNTIFS('Scores (start here)'!$A:$A,$B$1,'Scores (start here)'!$B:$B,$A20,'Scores (start here)'!$F:$F,"&gt;=0")&gt;0,SUMIFS('Scores (start here)'!$F:$F,'Scores (start here)'!$A:$A,$B$1,'Scores (start here)'!$B:$B,$A20),M20)</f>
        <v/>
      </c>
      <c r="L20" s="248"/>
      <c r="M20" s="77" t="str">
        <f aca="false">IF(OR(H20="",I20="",J20=""),"",COUNTIF(H20:J20,"YES")/3*$C$7)</f>
        <v/>
      </c>
    </row>
    <row r="21" customFormat="false" ht="14.25" hidden="false" customHeight="true" outlineLevel="0" collapsed="false">
      <c r="A21" s="247" t="s">
        <v>1006</v>
      </c>
      <c r="B21" s="248"/>
      <c r="C21" s="248"/>
      <c r="D21" s="248"/>
      <c r="E21" s="248"/>
      <c r="F21" s="248"/>
      <c r="G21" s="248"/>
      <c r="H21" s="249"/>
      <c r="I21" s="249"/>
      <c r="J21" s="249"/>
      <c r="K21" s="250" t="str">
        <f aca="false">IF(COUNTIFS('Scores (start here)'!$A:$A,$B$1,'Scores (start here)'!$B:$B,$A21,'Scores (start here)'!$F:$F,"&gt;=0")&gt;0,SUMIFS('Scores (start here)'!$F:$F,'Scores (start here)'!$A:$A,$B$1,'Scores (start here)'!$B:$B,$A21),M21)</f>
        <v/>
      </c>
      <c r="L21" s="248"/>
      <c r="M21" s="77" t="str">
        <f aca="false">IF(OR(H21="",I21="",J21=""),"",COUNTIF(H21:J21,"YES")/3*$C$7)</f>
        <v/>
      </c>
    </row>
    <row r="22" customFormat="false" ht="14.25" hidden="false" customHeight="true" outlineLevel="0" collapsed="false">
      <c r="A22" s="247" t="s">
        <v>1007</v>
      </c>
      <c r="B22" s="248"/>
      <c r="C22" s="248"/>
      <c r="D22" s="248"/>
      <c r="E22" s="248"/>
      <c r="F22" s="248"/>
      <c r="G22" s="248"/>
      <c r="H22" s="249"/>
      <c r="I22" s="249"/>
      <c r="J22" s="249"/>
      <c r="K22" s="250" t="str">
        <f aca="false">IF(COUNTIFS('Scores (start here)'!$A:$A,$B$1,'Scores (start here)'!$B:$B,$A22,'Scores (start here)'!$F:$F,"&gt;=0")&gt;0,SUMIFS('Scores (start here)'!$F:$F,'Scores (start here)'!$A:$A,$B$1,'Scores (start here)'!$B:$B,$A22),M22)</f>
        <v/>
      </c>
      <c r="L22" s="248"/>
      <c r="M22" s="77" t="str">
        <f aca="false">IF(OR(H22="",I22="",J22=""),"",COUNTIF(H22:J22,"YES")/3*$C$7)</f>
        <v/>
      </c>
    </row>
    <row r="23" customFormat="false" ht="14.25" hidden="false" customHeight="true" outlineLevel="0" collapsed="false">
      <c r="A23" s="247" t="s">
        <v>1008</v>
      </c>
      <c r="B23" s="248"/>
      <c r="C23" s="248"/>
      <c r="D23" s="248"/>
      <c r="E23" s="248"/>
      <c r="F23" s="248"/>
      <c r="G23" s="248"/>
      <c r="H23" s="249"/>
      <c r="I23" s="249"/>
      <c r="J23" s="249"/>
      <c r="K23" s="250" t="str">
        <f aca="false">IF(COUNTIFS('Scores (start here)'!$A:$A,$B$1,'Scores (start here)'!$B:$B,$A23,'Scores (start here)'!$F:$F,"&gt;=0")&gt;0,SUMIFS('Scores (start here)'!$F:$F,'Scores (start here)'!$A:$A,$B$1,'Scores (start here)'!$B:$B,$A23),M23)</f>
        <v/>
      </c>
      <c r="L23" s="248"/>
      <c r="M23" s="77" t="str">
        <f aca="false">IF(OR(H23="",I23="",J23=""),"",COUNTIF(H23:J23,"YES")/3*$C$7)</f>
        <v/>
      </c>
    </row>
    <row r="24" customFormat="false" ht="14.25" hidden="false" customHeight="true" outlineLevel="0" collapsed="false">
      <c r="A24" s="247" t="s">
        <v>1009</v>
      </c>
      <c r="B24" s="248"/>
      <c r="C24" s="248"/>
      <c r="D24" s="248"/>
      <c r="E24" s="248"/>
      <c r="F24" s="248"/>
      <c r="G24" s="248"/>
      <c r="H24" s="249"/>
      <c r="I24" s="249"/>
      <c r="J24" s="249"/>
      <c r="K24" s="250" t="str">
        <f aca="false">IF(COUNTIFS('Scores (start here)'!$A:$A,$B$1,'Scores (start here)'!$B:$B,$A24,'Scores (start here)'!$F:$F,"&gt;=0")&gt;0,SUMIFS('Scores (start here)'!$F:$F,'Scores (start here)'!$A:$A,$B$1,'Scores (start here)'!$B:$B,$A24),M24)</f>
        <v/>
      </c>
      <c r="L24" s="248"/>
      <c r="M24" s="77" t="str">
        <f aca="false">IF(OR(H24="",I24="",J24=""),"",COUNTIF(H24:J24,"YES")/3*$C$7)</f>
        <v/>
      </c>
    </row>
    <row r="25" customFormat="false" ht="14.25" hidden="false" customHeight="true" outlineLevel="0" collapsed="false">
      <c r="A25" s="247" t="s">
        <v>1010</v>
      </c>
      <c r="B25" s="248"/>
      <c r="C25" s="248"/>
      <c r="D25" s="248"/>
      <c r="E25" s="248"/>
      <c r="F25" s="248"/>
      <c r="G25" s="248"/>
      <c r="H25" s="249"/>
      <c r="I25" s="249"/>
      <c r="J25" s="249"/>
      <c r="K25" s="250" t="str">
        <f aca="false">IF(COUNTIFS('Scores (start here)'!$A:$A,$B$1,'Scores (start here)'!$B:$B,$A25,'Scores (start here)'!$F:$F,"&gt;=0")&gt;0,SUMIFS('Scores (start here)'!$F:$F,'Scores (start here)'!$A:$A,$B$1,'Scores (start here)'!$B:$B,$A25),M25)</f>
        <v/>
      </c>
      <c r="L25" s="248"/>
      <c r="M25" s="77" t="str">
        <f aca="false">IF(OR(H25="",I25="",J25=""),"",COUNTIF(H25:J25,"YES")/3*$C$7)</f>
        <v/>
      </c>
    </row>
    <row r="26" customFormat="false" ht="14.25" hidden="false" customHeight="true" outlineLevel="0" collapsed="false">
      <c r="A26" s="247" t="s">
        <v>1011</v>
      </c>
      <c r="B26" s="248"/>
      <c r="C26" s="248"/>
      <c r="D26" s="248"/>
      <c r="E26" s="248"/>
      <c r="F26" s="248"/>
      <c r="G26" s="248"/>
      <c r="H26" s="249"/>
      <c r="I26" s="249"/>
      <c r="J26" s="249"/>
      <c r="K26" s="250" t="str">
        <f aca="false">IF(COUNTIFS('Scores (start here)'!$A:$A,$B$1,'Scores (start here)'!$B:$B,$A26,'Scores (start here)'!$F:$F,"&gt;=0")&gt;0,SUMIFS('Scores (start here)'!$F:$F,'Scores (start here)'!$A:$A,$B$1,'Scores (start here)'!$B:$B,$A26),M26)</f>
        <v/>
      </c>
      <c r="L26" s="248"/>
      <c r="M26" s="77" t="str">
        <f aca="false">IF(OR(H26="",I26="",J26=""),"",COUNTIF(H26:J26,"YES")/3*$C$7)</f>
        <v/>
      </c>
    </row>
    <row r="27" customFormat="false" ht="14.25" hidden="false" customHeight="true" outlineLevel="0" collapsed="false">
      <c r="A27" s="247" t="s">
        <v>1012</v>
      </c>
      <c r="B27" s="248"/>
      <c r="C27" s="248"/>
      <c r="D27" s="248"/>
      <c r="E27" s="248"/>
      <c r="F27" s="248"/>
      <c r="G27" s="248"/>
      <c r="H27" s="249"/>
      <c r="I27" s="249"/>
      <c r="J27" s="249"/>
      <c r="K27" s="250" t="str">
        <f aca="false">IF(COUNTIFS('Scores (start here)'!$A:$A,$B$1,'Scores (start here)'!$B:$B,$A27,'Scores (start here)'!$F:$F,"&gt;=0")&gt;0,SUMIFS('Scores (start here)'!$F:$F,'Scores (start here)'!$A:$A,$B$1,'Scores (start here)'!$B:$B,$A27),M27)</f>
        <v/>
      </c>
      <c r="L27" s="248"/>
      <c r="M27" s="77" t="str">
        <f aca="false">IF(OR(H27="",I27="",J27=""),"",COUNTIF(H27:J27,"YES")/3*$C$7)</f>
        <v/>
      </c>
    </row>
    <row r="28" customFormat="false" ht="14.25" hidden="false" customHeight="true" outlineLevel="0" collapsed="false">
      <c r="A28" s="247" t="s">
        <v>1013</v>
      </c>
      <c r="B28" s="248"/>
      <c r="C28" s="248"/>
      <c r="D28" s="248"/>
      <c r="E28" s="248"/>
      <c r="F28" s="248"/>
      <c r="G28" s="248"/>
      <c r="H28" s="249"/>
      <c r="I28" s="249"/>
      <c r="J28" s="249"/>
      <c r="K28" s="250" t="str">
        <f aca="false">IF(COUNTIFS('Scores (start here)'!$A:$A,$B$1,'Scores (start here)'!$B:$B,$A28,'Scores (start here)'!$F:$F,"&gt;=0")&gt;0,SUMIFS('Scores (start here)'!$F:$F,'Scores (start here)'!$A:$A,$B$1,'Scores (start here)'!$B:$B,$A28),M28)</f>
        <v/>
      </c>
      <c r="L28" s="248"/>
      <c r="M28" s="77" t="str">
        <f aca="false">IF(OR(H28="",I28="",J28=""),"",COUNTIF(H28:J28,"YES")/3*$C$7)</f>
        <v/>
      </c>
    </row>
    <row r="29" customFormat="false" ht="14.25" hidden="false" customHeight="true" outlineLevel="0" collapsed="false">
      <c r="A29" s="247" t="s">
        <v>1014</v>
      </c>
      <c r="B29" s="248"/>
      <c r="C29" s="248"/>
      <c r="D29" s="248"/>
      <c r="E29" s="248"/>
      <c r="F29" s="248"/>
      <c r="G29" s="248"/>
      <c r="H29" s="249"/>
      <c r="I29" s="249"/>
      <c r="J29" s="249"/>
      <c r="K29" s="250" t="str">
        <f aca="false">IF(COUNTIFS('Scores (start here)'!$A:$A,$B$1,'Scores (start here)'!$B:$B,$A29,'Scores (start here)'!$F:$F,"&gt;=0")&gt;0,SUMIFS('Scores (start here)'!$F:$F,'Scores (start here)'!$A:$A,$B$1,'Scores (start here)'!$B:$B,$A29),M29)</f>
        <v/>
      </c>
      <c r="L29" s="248"/>
      <c r="M29" s="77" t="str">
        <f aca="false">IF(OR(H29="",I29="",J29=""),"",COUNTIF(H29:J29,"YES")/3*$C$7)</f>
        <v/>
      </c>
    </row>
    <row r="30" customFormat="false" ht="14.25" hidden="false" customHeight="true" outlineLevel="0" collapsed="false">
      <c r="A30" s="247" t="s">
        <v>1015</v>
      </c>
      <c r="B30" s="248"/>
      <c r="C30" s="248"/>
      <c r="D30" s="248"/>
      <c r="E30" s="248"/>
      <c r="F30" s="248"/>
      <c r="G30" s="248"/>
      <c r="H30" s="249"/>
      <c r="I30" s="249"/>
      <c r="J30" s="249"/>
      <c r="K30" s="250" t="str">
        <f aca="false">IF(COUNTIFS('Scores (start here)'!$A:$A,$B$1,'Scores (start here)'!$B:$B,$A30,'Scores (start here)'!$F:$F,"&gt;=0")&gt;0,SUMIFS('Scores (start here)'!$F:$F,'Scores (start here)'!$A:$A,$B$1,'Scores (start here)'!$B:$B,$A30),M30)</f>
        <v/>
      </c>
      <c r="L30" s="248"/>
      <c r="M30" s="77" t="str">
        <f aca="false">IF(OR(H30="",I30="",J30=""),"",COUNTIF(H30:J30,"YES")/3*$C$7)</f>
        <v/>
      </c>
    </row>
    <row r="31" customFormat="false" ht="14.25" hidden="false" customHeight="true" outlineLevel="0" collapsed="false">
      <c r="A31" s="247" t="s">
        <v>1016</v>
      </c>
      <c r="B31" s="248"/>
      <c r="C31" s="248"/>
      <c r="D31" s="248"/>
      <c r="E31" s="248"/>
      <c r="F31" s="248"/>
      <c r="G31" s="248"/>
      <c r="H31" s="249"/>
      <c r="I31" s="249"/>
      <c r="J31" s="249"/>
      <c r="K31" s="250" t="str">
        <f aca="false">IF(COUNTIFS('Scores (start here)'!$A:$A,$B$1,'Scores (start here)'!$B:$B,$A31,'Scores (start here)'!$F:$F,"&gt;=0")&gt;0,SUMIFS('Scores (start here)'!$F:$F,'Scores (start here)'!$A:$A,$B$1,'Scores (start here)'!$B:$B,$A31),M31)</f>
        <v/>
      </c>
      <c r="L31" s="248"/>
      <c r="M31" s="77" t="str">
        <f aca="false">IF(OR(H31="",I31="",J31=""),"",COUNTIF(H31:J31,"YES")/3*$C$7)</f>
        <v/>
      </c>
    </row>
    <row r="32" customFormat="false" ht="14.25" hidden="false" customHeight="true" outlineLevel="0" collapsed="false">
      <c r="A32" s="247" t="s">
        <v>1017</v>
      </c>
      <c r="B32" s="248"/>
      <c r="C32" s="248"/>
      <c r="D32" s="248"/>
      <c r="E32" s="248"/>
      <c r="F32" s="248"/>
      <c r="G32" s="248"/>
      <c r="H32" s="249"/>
      <c r="I32" s="249"/>
      <c r="J32" s="249"/>
      <c r="K32" s="250" t="str">
        <f aca="false">IF(COUNTIFS('Scores (start here)'!$A:$A,$B$1,'Scores (start here)'!$B:$B,$A32,'Scores (start here)'!$F:$F,"&gt;=0")&gt;0,SUMIFS('Scores (start here)'!$F:$F,'Scores (start here)'!$A:$A,$B$1,'Scores (start here)'!$B:$B,$A32),M32)</f>
        <v/>
      </c>
      <c r="L32" s="248"/>
      <c r="M32" s="77" t="str">
        <f aca="false">IF(OR(H32="",I32="",J32=""),"",COUNTIF(H32:J32,"YES")/3*$C$7)</f>
        <v/>
      </c>
    </row>
    <row r="33" customFormat="false" ht="281.25" hidden="false" customHeight="true" outlineLevel="0" collapsed="false">
      <c r="A33" s="247" t="s">
        <v>30</v>
      </c>
      <c r="B33" s="248" t="s">
        <v>124</v>
      </c>
      <c r="C33" s="248" t="s">
        <v>1450</v>
      </c>
      <c r="D33" s="248" t="s">
        <v>1451</v>
      </c>
      <c r="E33" s="248" t="s">
        <v>1452</v>
      </c>
      <c r="F33" s="248" t="s">
        <v>1453</v>
      </c>
      <c r="G33" s="248" t="s">
        <v>125</v>
      </c>
      <c r="H33" s="249"/>
      <c r="I33" s="249"/>
      <c r="J33" s="249"/>
      <c r="K33" s="250" t="str">
        <f aca="false">IF(COUNTIFS('Scores (start here)'!$A:$A,$B$1,'Scores (start here)'!$B:$B,$A33,'Scores (start here)'!$F:$F,"&gt;=0")&gt;0,SUMIFS('Scores (start here)'!$F:$F,'Scores (start here)'!$A:$A,$B$1,'Scores (start here)'!$B:$B,$A33),M33)</f>
        <v/>
      </c>
      <c r="L33" s="251" t="s">
        <v>1454</v>
      </c>
      <c r="M33" s="77" t="str">
        <f aca="false">IF(OR(H33="",I33="",J33=""),"",COUNTIF(H33:J33,"YES")/3*$C$7)</f>
        <v/>
      </c>
    </row>
    <row r="34" customFormat="false" ht="14.25" hidden="false" customHeight="true" outlineLevel="0" collapsed="false">
      <c r="A34" s="247" t="s">
        <v>1018</v>
      </c>
      <c r="B34" s="248"/>
      <c r="C34" s="248"/>
      <c r="D34" s="248"/>
      <c r="E34" s="248"/>
      <c r="F34" s="248"/>
      <c r="G34" s="248"/>
      <c r="H34" s="249"/>
      <c r="I34" s="249"/>
      <c r="J34" s="249"/>
      <c r="K34" s="250" t="str">
        <f aca="false">IF(COUNTIFS('Scores (start here)'!$A:$A,$B$1,'Scores (start here)'!$B:$B,$A34,'Scores (start here)'!$F:$F,"&gt;=0")&gt;0,SUMIFS('Scores (start here)'!$F:$F,'Scores (start here)'!$A:$A,$B$1,'Scores (start here)'!$B:$B,$A34),M34)</f>
        <v/>
      </c>
      <c r="L34" s="248"/>
      <c r="M34" s="77" t="str">
        <f aca="false">IF(OR(H34="",I34="",J34=""),"",COUNTIF(H34:J34,"YES")/3*$C$7)</f>
        <v/>
      </c>
    </row>
    <row r="35" customFormat="false" ht="14.25" hidden="false" customHeight="true" outlineLevel="0" collapsed="false">
      <c r="A35" s="247" t="s">
        <v>1019</v>
      </c>
      <c r="B35" s="248"/>
      <c r="C35" s="248"/>
      <c r="D35" s="248"/>
      <c r="E35" s="248"/>
      <c r="F35" s="248"/>
      <c r="G35" s="248"/>
      <c r="H35" s="249"/>
      <c r="I35" s="249"/>
      <c r="J35" s="249"/>
      <c r="K35" s="250" t="str">
        <f aca="false">IF(COUNTIFS('Scores (start here)'!$A:$A,$B$1,'Scores (start here)'!$B:$B,$A35,'Scores (start here)'!$F:$F,"&gt;=0")&gt;0,SUMIFS('Scores (start here)'!$F:$F,'Scores (start here)'!$A:$A,$B$1,'Scores (start here)'!$B:$B,$A35),M35)</f>
        <v/>
      </c>
      <c r="L35" s="248"/>
      <c r="M35" s="77" t="str">
        <f aca="false">IF(OR(H35="",I35="",J35=""),"",COUNTIF(H35:J35,"YES")/3*$C$7)</f>
        <v/>
      </c>
    </row>
    <row r="36" customFormat="false" ht="14.25" hidden="false" customHeight="true" outlineLevel="0" collapsed="false">
      <c r="A36" s="247" t="s">
        <v>1020</v>
      </c>
      <c r="B36" s="248"/>
      <c r="C36" s="248"/>
      <c r="D36" s="248"/>
      <c r="E36" s="248"/>
      <c r="F36" s="248"/>
      <c r="G36" s="248"/>
      <c r="H36" s="249"/>
      <c r="I36" s="249"/>
      <c r="J36" s="249"/>
      <c r="K36" s="250" t="str">
        <f aca="false">IF(COUNTIFS('Scores (start here)'!$A:$A,$B$1,'Scores (start here)'!$B:$B,$A36,'Scores (start here)'!$F:$F,"&gt;=0")&gt;0,SUMIFS('Scores (start here)'!$F:$F,'Scores (start here)'!$A:$A,$B$1,'Scores (start here)'!$B:$B,$A36),M36)</f>
        <v/>
      </c>
      <c r="L36" s="248"/>
      <c r="M36" s="77" t="str">
        <f aca="false">IF(OR(H36="",I36="",J36=""),"",COUNTIF(H36:J36,"YES")/3*$C$7)</f>
        <v/>
      </c>
    </row>
    <row r="37" customFormat="false" ht="14.25" hidden="false" customHeight="true" outlineLevel="0" collapsed="false">
      <c r="A37" s="247" t="s">
        <v>1021</v>
      </c>
      <c r="B37" s="248"/>
      <c r="C37" s="248"/>
      <c r="D37" s="248"/>
      <c r="E37" s="248"/>
      <c r="F37" s="248"/>
      <c r="G37" s="248"/>
      <c r="H37" s="249"/>
      <c r="I37" s="249"/>
      <c r="J37" s="249"/>
      <c r="K37" s="250" t="str">
        <f aca="false">IF(COUNTIFS('Scores (start here)'!$A:$A,$B$1,'Scores (start here)'!$B:$B,$A37,'Scores (start here)'!$F:$F,"&gt;=0")&gt;0,SUMIFS('Scores (start here)'!$F:$F,'Scores (start here)'!$A:$A,$B$1,'Scores (start here)'!$B:$B,$A37),M37)</f>
        <v/>
      </c>
      <c r="L37" s="248"/>
      <c r="M37" s="77" t="str">
        <f aca="false">IF(OR(H37="",I37="",J37=""),"",COUNTIF(H37:J37,"YES")/3*$C$7)</f>
        <v/>
      </c>
    </row>
    <row r="38" customFormat="false" ht="14.25" hidden="false" customHeight="true" outlineLevel="0" collapsed="false">
      <c r="A38" s="247" t="s">
        <v>1022</v>
      </c>
      <c r="B38" s="248"/>
      <c r="C38" s="248"/>
      <c r="D38" s="248"/>
      <c r="E38" s="248"/>
      <c r="F38" s="248"/>
      <c r="G38" s="248"/>
      <c r="H38" s="249"/>
      <c r="I38" s="249"/>
      <c r="J38" s="249"/>
      <c r="K38" s="250" t="str">
        <f aca="false">IF(COUNTIFS('Scores (start here)'!$A:$A,$B$1,'Scores (start here)'!$B:$B,$A38,'Scores (start here)'!$F:$F,"&gt;=0")&gt;0,SUMIFS('Scores (start here)'!$F:$F,'Scores (start here)'!$A:$A,$B$1,'Scores (start here)'!$B:$B,$A38),M38)</f>
        <v/>
      </c>
      <c r="L38" s="248"/>
      <c r="M38" s="77" t="str">
        <f aca="false">IF(OR(H38="",I38="",J38=""),"",COUNTIF(H38:J38,"YES")/3*$C$7)</f>
        <v/>
      </c>
    </row>
    <row r="39" customFormat="false" ht="14.25" hidden="false" customHeight="true" outlineLevel="0" collapsed="false">
      <c r="A39" s="247" t="s">
        <v>1023</v>
      </c>
      <c r="B39" s="248"/>
      <c r="C39" s="248"/>
      <c r="D39" s="248"/>
      <c r="E39" s="248"/>
      <c r="F39" s="248"/>
      <c r="G39" s="248"/>
      <c r="H39" s="249"/>
      <c r="I39" s="249"/>
      <c r="J39" s="249"/>
      <c r="K39" s="250" t="str">
        <f aca="false">IF(COUNTIFS('Scores (start here)'!$A:$A,$B$1,'Scores (start here)'!$B:$B,$A39,'Scores (start here)'!$F:$F,"&gt;=0")&gt;0,SUMIFS('Scores (start here)'!$F:$F,'Scores (start here)'!$A:$A,$B$1,'Scores (start here)'!$B:$B,$A39),M39)</f>
        <v/>
      </c>
      <c r="L39" s="248"/>
      <c r="M39" s="77" t="str">
        <f aca="false">IF(OR(H39="",I39="",J39=""),"",COUNTIF(H39:J39,"YES")/3*$C$7)</f>
        <v/>
      </c>
    </row>
    <row r="40" customFormat="false" ht="14.25" hidden="false" customHeight="true" outlineLevel="0" collapsed="false">
      <c r="A40" s="247" t="s">
        <v>1024</v>
      </c>
      <c r="B40" s="248"/>
      <c r="C40" s="248"/>
      <c r="D40" s="248"/>
      <c r="E40" s="248"/>
      <c r="F40" s="248"/>
      <c r="G40" s="248"/>
      <c r="H40" s="249"/>
      <c r="I40" s="249"/>
      <c r="J40" s="249"/>
      <c r="K40" s="250" t="str">
        <f aca="false">IF(COUNTIFS('Scores (start here)'!$A:$A,$B$1,'Scores (start here)'!$B:$B,$A40,'Scores (start here)'!$F:$F,"&gt;=0")&gt;0,SUMIFS('Scores (start here)'!$F:$F,'Scores (start here)'!$A:$A,$B$1,'Scores (start here)'!$B:$B,$A40),M40)</f>
        <v/>
      </c>
      <c r="L40" s="248"/>
      <c r="M40" s="77" t="str">
        <f aca="false">IF(OR(H40="",I40="",J40=""),"",COUNTIF(H40:J40,"YES")/3*$C$7)</f>
        <v/>
      </c>
    </row>
    <row r="41" customFormat="false" ht="14.25" hidden="false" customHeight="true" outlineLevel="0" collapsed="false">
      <c r="A41" s="247" t="s">
        <v>1025</v>
      </c>
      <c r="B41" s="248"/>
      <c r="C41" s="248"/>
      <c r="D41" s="248"/>
      <c r="E41" s="248"/>
      <c r="F41" s="248"/>
      <c r="G41" s="248"/>
      <c r="H41" s="249"/>
      <c r="I41" s="249"/>
      <c r="J41" s="249"/>
      <c r="K41" s="250" t="str">
        <f aca="false">IF(COUNTIFS('Scores (start here)'!$A:$A,$B$1,'Scores (start here)'!$B:$B,$A41,'Scores (start here)'!$F:$F,"&gt;=0")&gt;0,SUMIFS('Scores (start here)'!$F:$F,'Scores (start here)'!$A:$A,$B$1,'Scores (start here)'!$B:$B,$A41),M41)</f>
        <v/>
      </c>
      <c r="L41" s="248"/>
      <c r="M41" s="77" t="str">
        <f aca="false">IF(OR(H41="",I41="",J41=""),"",COUNTIF(H41:J41,"YES")/3*$C$7)</f>
        <v/>
      </c>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K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191</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b) Disaster Resilience</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41" t="n">
        <f aca="false">VLOOKUP($B$1,'UPD Questions_290926 '!$E$1:$N$300,MATCH($A$7,'UPD Questions_290926 '!$E$1:$N$1,0),0)</f>
        <v>1.67</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disaster management/resilience plan or mandate to have a disaster management/resilience component as a part of the municipal/city plan. Provisions that make such a plan optional with 'may' provision shall not be considered.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49</v>
      </c>
      <c r="C14" s="248" t="s">
        <v>1455</v>
      </c>
      <c r="D14" s="248" t="s">
        <v>1456</v>
      </c>
      <c r="E14" s="248" t="s">
        <v>1457</v>
      </c>
      <c r="F14" s="248" t="s">
        <v>1458</v>
      </c>
      <c r="G14" s="248" t="s">
        <v>50</v>
      </c>
      <c r="H14" s="249"/>
      <c r="I14" s="250" t="str">
        <f aca="false">IF(COUNTIFS('Scores (start here)'!$A:$A,$B$1,'Scores (start here)'!$B:$B,$A14,'Scores (start here)'!$F:$F,"&gt;=0")&gt;0,SUMIFS('Scores (start here)'!$F:$F,'Scores (start here)'!$A:$A,$B$1,'Scores (start here)'!$B:$B,$A14),K14)</f>
        <v/>
      </c>
      <c r="J14" s="251" t="s">
        <v>1459</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c r="C33" s="248"/>
      <c r="D33" s="248"/>
      <c r="E33" s="248"/>
      <c r="F33" s="248"/>
      <c r="G33" s="248"/>
      <c r="H33" s="249"/>
      <c r="I33" s="250" t="str">
        <f aca="false">IF(COUNTIFS('Scores (start here)'!$A:$A,$B$1,'Scores (start here)'!$B:$B,$A33,'Scores (start here)'!$F:$F,"&gt;=0")&gt;0,SUMIFS('Scores (start here)'!$F:$F,'Scores (start here)'!$A:$A,$B$1,'Scores (start here)'!$B:$B,$A33),K33)</f>
        <v/>
      </c>
      <c r="J33" s="248" t="s">
        <v>1460</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197</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c) Comprehensive mobility</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41" t="n">
        <f aca="false">VLOOKUP($B$1,'UPD Questions_290926 '!$E$1:$N$300,MATCH($A$7,'UPD Questions_290926 '!$E$1:$N$1,0),0)</f>
        <v>1.67</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comprehensive mobility plan or mandate to have a mobility component as part of the municipal/city plan. Provisions that make such a plan optional with 'may' provision shall not be considered.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200</v>
      </c>
      <c r="C14" s="248" t="s">
        <v>1461</v>
      </c>
      <c r="D14" s="248" t="s">
        <v>1462</v>
      </c>
      <c r="E14" s="248" t="s">
        <v>1463</v>
      </c>
      <c r="F14" s="248" t="s">
        <v>771</v>
      </c>
      <c r="G14" s="248" t="s">
        <v>201</v>
      </c>
      <c r="H14" s="249" t="s">
        <v>1309</v>
      </c>
      <c r="I14" s="250" t="n">
        <f aca="false">IF(COUNTIFS('Scores (start here)'!$A:$A,$B$1,'Scores (start here)'!$B:$B,$A14,'Scores (start here)'!$F:$F,"&gt;=0")&gt;0,SUMIFS('Scores (start here)'!$F:$F,'Scores (start here)'!$A:$A,$B$1,'Scores (start here)'!$B:$B,$A14),K14)</f>
        <v>1.67</v>
      </c>
      <c r="J14" s="251" t="s">
        <v>1464</v>
      </c>
      <c r="K14" s="252" t="n">
        <f aca="false">IF(H14="YES",$C$7,IF(H14="NO",0,""))</f>
        <v>1.67</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91.25" hidden="false" customHeight="true" outlineLevel="0" collapsed="false">
      <c r="A33" s="247" t="s">
        <v>30</v>
      </c>
      <c r="B33" s="248" t="s">
        <v>124</v>
      </c>
      <c r="C33" s="248" t="s">
        <v>1465</v>
      </c>
      <c r="D33" s="248" t="s">
        <v>1466</v>
      </c>
      <c r="E33" s="248" t="s">
        <v>1467</v>
      </c>
      <c r="F33" s="248" t="s">
        <v>1453</v>
      </c>
      <c r="G33" s="248" t="s">
        <v>125</v>
      </c>
      <c r="H33" s="249"/>
      <c r="I33" s="250" t="str">
        <f aca="false">IF(COUNTIFS('Scores (start here)'!$A:$A,$B$1,'Scores (start here)'!$B:$B,$A33,'Scores (start here)'!$F:$F,"&gt;=0")&gt;0,SUMIFS('Scores (start here)'!$F:$F,'Scores (start here)'!$A:$A,$B$1,'Scores (start here)'!$B:$B,$A33),K33)</f>
        <v/>
      </c>
      <c r="J33" s="251" t="s">
        <v>1468</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206</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d) Sustainability/Climate/Environmental conservation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41" t="n">
        <f aca="false">VLOOKUP($B$1,'UPD Questions_290926 '!$E$1:$N$300,MATCH($A$7,'UPD Questions_290926 '!$E$1:$N$1,0),0)</f>
        <v>1.67</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sustainability plan or mandate to have a sustainability/climate/environmental conservation component as part of the municipal/city plan. Provisions that make such a plan optional with 'may' provision shall not be considered.</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49</v>
      </c>
      <c r="C14" s="248" t="s">
        <v>1348</v>
      </c>
      <c r="D14" s="248" t="s">
        <v>1469</v>
      </c>
      <c r="E14" s="248" t="s">
        <v>1470</v>
      </c>
      <c r="F14" s="248" t="s">
        <v>757</v>
      </c>
      <c r="G14" s="248" t="s">
        <v>50</v>
      </c>
      <c r="H14" s="249" t="s">
        <v>1309</v>
      </c>
      <c r="I14" s="250" t="n">
        <f aca="false">IF(COUNTIFS('Scores (start here)'!$A:$A,$B$1,'Scores (start here)'!$B:$B,$A14,'Scores (start here)'!$F:$F,"&gt;=0")&gt;0,SUMIFS('Scores (start here)'!$F:$F,'Scores (start here)'!$A:$A,$B$1,'Scores (start here)'!$B:$B,$A14),K14)</f>
        <v>1.67</v>
      </c>
      <c r="J14" s="251" t="s">
        <v>1471</v>
      </c>
      <c r="K14" s="252" t="n">
        <f aca="false">IF(H14="YES",$C$7,IF(H14="NO",0,""))</f>
        <v>1.67</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34.5" hidden="false" customHeight="true" outlineLevel="0" collapsed="false">
      <c r="A33" s="247" t="s">
        <v>30</v>
      </c>
      <c r="B33" s="248" t="s">
        <v>124</v>
      </c>
      <c r="C33" s="248" t="s">
        <v>1472</v>
      </c>
      <c r="D33" s="248" t="s">
        <v>1473</v>
      </c>
      <c r="E33" s="248" t="s">
        <v>1474</v>
      </c>
      <c r="F33" s="248" t="s">
        <v>1453</v>
      </c>
      <c r="G33" s="248" t="s">
        <v>125</v>
      </c>
      <c r="H33" s="249"/>
      <c r="I33" s="250" t="str">
        <f aca="false">IF(COUNTIFS('Scores (start here)'!$A:$A,$B$1,'Scores (start here)'!$B:$B,$A33,'Scores (start here)'!$F:$F,"&gt;=0")&gt;0,SUMIFS('Scores (start here)'!$F:$F,'Scores (start here)'!$A:$A,$B$1,'Scores (start here)'!$B:$B,$A33),K33)</f>
        <v/>
      </c>
      <c r="J33" s="251" t="s">
        <v>1475</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213</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e) Heritage conservation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41" t="n">
        <f aca="false">VLOOKUP($B$1,'UPD Questions_290926 '!$E$1:$N$300,MATCH($A$7,'UPD Questions_290926 '!$E$1:$N$1,0),0)</f>
        <v>1.67</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heritage conservation plan or mandate to have a heritage conservation component as part of the municipal/city plan. Provisions that make such a plan optional with 'may' provision shall not be considered.</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25</v>
      </c>
      <c r="C14" s="248" t="s">
        <v>1476</v>
      </c>
      <c r="D14" s="248" t="s">
        <v>1477</v>
      </c>
      <c r="E14" s="248" t="s">
        <v>1478</v>
      </c>
      <c r="F14" s="248" t="s">
        <v>938</v>
      </c>
      <c r="G14" s="248" t="s">
        <v>26</v>
      </c>
      <c r="H14" s="249" t="s">
        <v>1309</v>
      </c>
      <c r="I14" s="250" t="n">
        <f aca="false">IF(COUNTIFS('Scores (start here)'!$A:$A,$B$1,'Scores (start here)'!$B:$B,$A14,'Scores (start here)'!$F:$F,"&gt;=0")&gt;0,SUMIFS('Scores (start here)'!$F:$F,'Scores (start here)'!$A:$A,$B$1,'Scores (start here)'!$B:$B,$A14),K14)</f>
        <v>1.67</v>
      </c>
      <c r="J14" s="251" t="s">
        <v>1479</v>
      </c>
      <c r="K14" s="252" t="n">
        <f aca="false">IF(H14="YES",$C$7,IF(H14="NO",0,""))</f>
        <v>1.67</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c r="C33" s="248"/>
      <c r="D33" s="248"/>
      <c r="E33" s="248"/>
      <c r="F33" s="248"/>
      <c r="G33" s="248"/>
      <c r="H33" s="249"/>
      <c r="I33" s="250" t="str">
        <f aca="false">IF(COUNTIFS('Scores (start here)'!$A:$A,$B$1,'Scores (start here)'!$B:$B,$A33,'Scores (start here)'!$F:$F,"&gt;=0")&gt;0,SUMIFS('Scores (start here)'!$F:$F,'Scores (start here)'!$A:$A,$B$1,'Scores (start here)'!$B:$B,$A33),K33)</f>
        <v/>
      </c>
      <c r="J33" s="248" t="s">
        <v>1480</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0" min="8" style="77" width="22"/>
    <col collapsed="false" customWidth="true" hidden="false" outlineLevel="0" max="11" min="11" style="77" width="14"/>
    <col collapsed="false" customWidth="true" hidden="false" outlineLevel="0" max="12" min="12" style="77" width="45"/>
  </cols>
  <sheetData>
    <row r="1" customFormat="false" ht="14.25" hidden="false" customHeight="true" outlineLevel="0" collapsed="false">
      <c r="A1" s="238" t="s">
        <v>1288</v>
      </c>
      <c r="B1" s="238" t="s">
        <v>219</v>
      </c>
      <c r="C1" s="239" t="s">
        <v>1289</v>
      </c>
      <c r="K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f) Social Development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41" t="n">
        <f aca="false">VLOOKUP($B$1,'UPD Questions_290926 '!$E$1:$N$300,MATCH($A$7,'UPD Questions_290926 '!$E$1:$N$1,0),0)</f>
        <v>1.67</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social development plan or mandate to have a social development component as part of the municipal/city plan. Provisions that make such a plan optional with 'may' provision shall not be considered. Check if the social development plan includes components on planning for health, education and affordable housing. Score each component in the following manner:1.Public health. Score: 0.55                                                                                                             2. Education. Score: 0.55                                                                                                                                                                                                                                                            3. Affordable housing Score: 0.55</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1385</v>
      </c>
    </row>
    <row r="11" customFormat="false" ht="28.5" hidden="false" customHeight="true" outlineLevel="0" collapsed="false">
      <c r="H11" s="243" t="s">
        <v>1294</v>
      </c>
      <c r="I11" s="243" t="s">
        <v>1294</v>
      </c>
      <c r="J11" s="243" t="s">
        <v>1294</v>
      </c>
      <c r="K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"Public health ("&amp;TEXT($C$7/3,"0.00")&amp;")"</f>
        <v>Public health (0.56)</v>
      </c>
      <c r="I12" s="246" t="str">
        <f aca="false">"Education ("&amp;TEXT($C$7/3,"0.00")&amp;")"</f>
        <v>Education (0.56)</v>
      </c>
      <c r="J12" s="246" t="str">
        <f aca="false">"Affordable housing ("&amp;TEXT($C$7/3,"0.00")&amp;")"</f>
        <v>Affordable housing (0.56)</v>
      </c>
      <c r="K12" s="244" t="s">
        <v>1303</v>
      </c>
      <c r="L12" s="246" t="s">
        <v>1304</v>
      </c>
      <c r="M12" s="77" t="s">
        <v>1305</v>
      </c>
    </row>
    <row r="13" customFormat="false" ht="14.25" hidden="false" customHeight="true" outlineLevel="0" collapsed="false">
      <c r="A13" s="247" t="s">
        <v>999</v>
      </c>
      <c r="B13" s="248"/>
      <c r="C13" s="248"/>
      <c r="D13" s="248"/>
      <c r="E13" s="248"/>
      <c r="F13" s="248"/>
      <c r="G13" s="248"/>
      <c r="H13" s="249"/>
      <c r="I13" s="249"/>
      <c r="J13" s="249"/>
      <c r="K13" s="250" t="str">
        <f aca="false">IF(COUNTIFS('Scores (start here)'!$A:$A,$B$1,'Scores (start here)'!$B:$B,$A13,'Scores (start here)'!$F:$F,"&gt;=0")&gt;0,SUMIFS('Scores (start here)'!$F:$F,'Scores (start here)'!$A:$A,$B$1,'Scores (start here)'!$B:$B,$A13),M13)</f>
        <v/>
      </c>
      <c r="L13" s="248"/>
      <c r="M13" s="77" t="str">
        <f aca="false">IF(OR(H13="",I13="",J13=""),"",COUNTIF(H13:J13,"YES")/3*$C$7)</f>
        <v/>
      </c>
    </row>
    <row r="14" customFormat="false" ht="14.25" hidden="false" customHeight="true" outlineLevel="0" collapsed="false">
      <c r="A14" s="247" t="s">
        <v>19</v>
      </c>
      <c r="B14" s="248" t="s">
        <v>25</v>
      </c>
      <c r="C14" s="248" t="s">
        <v>1436</v>
      </c>
      <c r="D14" s="248" t="s">
        <v>1481</v>
      </c>
      <c r="E14" s="248" t="s">
        <v>1482</v>
      </c>
      <c r="F14" s="248" t="s">
        <v>922</v>
      </c>
      <c r="G14" s="248" t="s">
        <v>26</v>
      </c>
      <c r="H14" s="249"/>
      <c r="I14" s="249"/>
      <c r="J14" s="249"/>
      <c r="K14" s="250" t="str">
        <f aca="false">IF(COUNTIFS('Scores (start here)'!$A:$A,$B$1,'Scores (start here)'!$B:$B,$A14,'Scores (start here)'!$F:$F,"&gt;=0")&gt;0,SUMIFS('Scores (start here)'!$F:$F,'Scores (start here)'!$A:$A,$B$1,'Scores (start here)'!$B:$B,$A14),M14)</f>
        <v/>
      </c>
      <c r="L14" s="251" t="s">
        <v>1483</v>
      </c>
      <c r="M14" s="77" t="str">
        <f aca="false">IF(OR(H14="",I14="",J14=""),"",COUNTIF(H14:J14,"YES")/3*$C$7)</f>
        <v/>
      </c>
    </row>
    <row r="15" customFormat="false" ht="14.25" hidden="false" customHeight="true" outlineLevel="0" collapsed="false">
      <c r="A15" s="247" t="s">
        <v>1000</v>
      </c>
      <c r="B15" s="248"/>
      <c r="C15" s="248"/>
      <c r="D15" s="248"/>
      <c r="E15" s="248"/>
      <c r="F15" s="248"/>
      <c r="G15" s="248"/>
      <c r="H15" s="249"/>
      <c r="I15" s="249"/>
      <c r="J15" s="249"/>
      <c r="K15" s="250" t="str">
        <f aca="false">IF(COUNTIFS('Scores (start here)'!$A:$A,$B$1,'Scores (start here)'!$B:$B,$A15,'Scores (start here)'!$F:$F,"&gt;=0")&gt;0,SUMIFS('Scores (start here)'!$F:$F,'Scores (start here)'!$A:$A,$B$1,'Scores (start here)'!$B:$B,$A15),M15)</f>
        <v/>
      </c>
      <c r="L15" s="248"/>
      <c r="M15" s="77" t="str">
        <f aca="false">IF(OR(H15="",I15="",J15=""),"",COUNTIF(H15:J15,"YES")/3*$C$7)</f>
        <v/>
      </c>
    </row>
    <row r="16" customFormat="false" ht="14.25" hidden="false" customHeight="true" outlineLevel="0" collapsed="false">
      <c r="A16" s="247" t="s">
        <v>1001</v>
      </c>
      <c r="B16" s="248"/>
      <c r="C16" s="248"/>
      <c r="D16" s="248"/>
      <c r="E16" s="248"/>
      <c r="F16" s="248"/>
      <c r="G16" s="248"/>
      <c r="H16" s="249"/>
      <c r="I16" s="249"/>
      <c r="J16" s="249"/>
      <c r="K16" s="250" t="str">
        <f aca="false">IF(COUNTIFS('Scores (start here)'!$A:$A,$B$1,'Scores (start here)'!$B:$B,$A16,'Scores (start here)'!$F:$F,"&gt;=0")&gt;0,SUMIFS('Scores (start here)'!$F:$F,'Scores (start here)'!$A:$A,$B$1,'Scores (start here)'!$B:$B,$A16),M16)</f>
        <v/>
      </c>
      <c r="L16" s="248"/>
      <c r="M16" s="77" t="str">
        <f aca="false">IF(OR(H16="",I16="",J16=""),"",COUNTIF(H16:J16,"YES")/3*$C$7)</f>
        <v/>
      </c>
    </row>
    <row r="17" customFormat="false" ht="14.25" hidden="false" customHeight="true" outlineLevel="0" collapsed="false">
      <c r="A17" s="247" t="s">
        <v>1002</v>
      </c>
      <c r="B17" s="248"/>
      <c r="C17" s="248"/>
      <c r="D17" s="248"/>
      <c r="E17" s="248"/>
      <c r="F17" s="248"/>
      <c r="G17" s="248"/>
      <c r="H17" s="249"/>
      <c r="I17" s="249"/>
      <c r="J17" s="249"/>
      <c r="K17" s="250" t="str">
        <f aca="false">IF(COUNTIFS('Scores (start here)'!$A:$A,$B$1,'Scores (start here)'!$B:$B,$A17,'Scores (start here)'!$F:$F,"&gt;=0")&gt;0,SUMIFS('Scores (start here)'!$F:$F,'Scores (start here)'!$A:$A,$B$1,'Scores (start here)'!$B:$B,$A17),M17)</f>
        <v/>
      </c>
      <c r="L17" s="248"/>
      <c r="M17" s="77" t="str">
        <f aca="false">IF(OR(H17="",I17="",J17=""),"",COUNTIF(H17:J17,"YES")/3*$C$7)</f>
        <v/>
      </c>
    </row>
    <row r="18" customFormat="false" ht="14.25" hidden="false" customHeight="true" outlineLevel="0" collapsed="false">
      <c r="A18" s="247" t="s">
        <v>1003</v>
      </c>
      <c r="B18" s="248"/>
      <c r="C18" s="248"/>
      <c r="D18" s="248"/>
      <c r="E18" s="248"/>
      <c r="F18" s="248"/>
      <c r="G18" s="248"/>
      <c r="H18" s="249"/>
      <c r="I18" s="249"/>
      <c r="J18" s="249"/>
      <c r="K18" s="250" t="str">
        <f aca="false">IF(COUNTIFS('Scores (start here)'!$A:$A,$B$1,'Scores (start here)'!$B:$B,$A18,'Scores (start here)'!$F:$F,"&gt;=0")&gt;0,SUMIFS('Scores (start here)'!$F:$F,'Scores (start here)'!$A:$A,$B$1,'Scores (start here)'!$B:$B,$A18),M18)</f>
        <v/>
      </c>
      <c r="L18" s="248"/>
      <c r="M18" s="77" t="str">
        <f aca="false">IF(OR(H18="",I18="",J18=""),"",COUNTIF(H18:J18,"YES")/3*$C$7)</f>
        <v/>
      </c>
    </row>
    <row r="19" customFormat="false" ht="14.25" hidden="false" customHeight="true" outlineLevel="0" collapsed="false">
      <c r="A19" s="247" t="s">
        <v>1004</v>
      </c>
      <c r="B19" s="248"/>
      <c r="C19" s="248"/>
      <c r="D19" s="248"/>
      <c r="E19" s="248"/>
      <c r="F19" s="248"/>
      <c r="G19" s="248"/>
      <c r="H19" s="249"/>
      <c r="I19" s="249"/>
      <c r="J19" s="249"/>
      <c r="K19" s="250" t="str">
        <f aca="false">IF(COUNTIFS('Scores (start here)'!$A:$A,$B$1,'Scores (start here)'!$B:$B,$A19,'Scores (start here)'!$F:$F,"&gt;=0")&gt;0,SUMIFS('Scores (start here)'!$F:$F,'Scores (start here)'!$A:$A,$B$1,'Scores (start here)'!$B:$B,$A19),M19)</f>
        <v/>
      </c>
      <c r="L19" s="248"/>
      <c r="M19" s="77" t="str">
        <f aca="false">IF(OR(H19="",I19="",J19=""),"",COUNTIF(H19:J19,"YES")/3*$C$7)</f>
        <v/>
      </c>
    </row>
    <row r="20" customFormat="false" ht="14.25" hidden="false" customHeight="true" outlineLevel="0" collapsed="false">
      <c r="A20" s="247" t="s">
        <v>1005</v>
      </c>
      <c r="B20" s="248"/>
      <c r="C20" s="248"/>
      <c r="D20" s="248"/>
      <c r="E20" s="248"/>
      <c r="F20" s="248"/>
      <c r="G20" s="248"/>
      <c r="H20" s="249"/>
      <c r="I20" s="249"/>
      <c r="J20" s="249"/>
      <c r="K20" s="250" t="str">
        <f aca="false">IF(COUNTIFS('Scores (start here)'!$A:$A,$B$1,'Scores (start here)'!$B:$B,$A20,'Scores (start here)'!$F:$F,"&gt;=0")&gt;0,SUMIFS('Scores (start here)'!$F:$F,'Scores (start here)'!$A:$A,$B$1,'Scores (start here)'!$B:$B,$A20),M20)</f>
        <v/>
      </c>
      <c r="L20" s="248"/>
      <c r="M20" s="77" t="str">
        <f aca="false">IF(OR(H20="",I20="",J20=""),"",COUNTIF(H20:J20,"YES")/3*$C$7)</f>
        <v/>
      </c>
    </row>
    <row r="21" customFormat="false" ht="14.25" hidden="false" customHeight="true" outlineLevel="0" collapsed="false">
      <c r="A21" s="247" t="s">
        <v>1006</v>
      </c>
      <c r="B21" s="248"/>
      <c r="C21" s="248"/>
      <c r="D21" s="248"/>
      <c r="E21" s="248"/>
      <c r="F21" s="248"/>
      <c r="G21" s="248"/>
      <c r="H21" s="249"/>
      <c r="I21" s="249"/>
      <c r="J21" s="249"/>
      <c r="K21" s="250" t="str">
        <f aca="false">IF(COUNTIFS('Scores (start here)'!$A:$A,$B$1,'Scores (start here)'!$B:$B,$A21,'Scores (start here)'!$F:$F,"&gt;=0")&gt;0,SUMIFS('Scores (start here)'!$F:$F,'Scores (start here)'!$A:$A,$B$1,'Scores (start here)'!$B:$B,$A21),M21)</f>
        <v/>
      </c>
      <c r="L21" s="248"/>
      <c r="M21" s="77" t="str">
        <f aca="false">IF(OR(H21="",I21="",J21=""),"",COUNTIF(H21:J21,"YES")/3*$C$7)</f>
        <v/>
      </c>
    </row>
    <row r="22" customFormat="false" ht="14.25" hidden="false" customHeight="true" outlineLevel="0" collapsed="false">
      <c r="A22" s="247" t="s">
        <v>1007</v>
      </c>
      <c r="B22" s="248"/>
      <c r="C22" s="248"/>
      <c r="D22" s="248"/>
      <c r="E22" s="248"/>
      <c r="F22" s="248"/>
      <c r="G22" s="248"/>
      <c r="H22" s="249"/>
      <c r="I22" s="249"/>
      <c r="J22" s="249"/>
      <c r="K22" s="250" t="str">
        <f aca="false">IF(COUNTIFS('Scores (start here)'!$A:$A,$B$1,'Scores (start here)'!$B:$B,$A22,'Scores (start here)'!$F:$F,"&gt;=0")&gt;0,SUMIFS('Scores (start here)'!$F:$F,'Scores (start here)'!$A:$A,$B$1,'Scores (start here)'!$B:$B,$A22),M22)</f>
        <v/>
      </c>
      <c r="L22" s="248"/>
      <c r="M22" s="77" t="str">
        <f aca="false">IF(OR(H22="",I22="",J22=""),"",COUNTIF(H22:J22,"YES")/3*$C$7)</f>
        <v/>
      </c>
    </row>
    <row r="23" customFormat="false" ht="14.25" hidden="false" customHeight="true" outlineLevel="0" collapsed="false">
      <c r="A23" s="247" t="s">
        <v>1008</v>
      </c>
      <c r="B23" s="248"/>
      <c r="C23" s="248"/>
      <c r="D23" s="248"/>
      <c r="E23" s="248"/>
      <c r="F23" s="248"/>
      <c r="G23" s="248"/>
      <c r="H23" s="249"/>
      <c r="I23" s="249"/>
      <c r="J23" s="249"/>
      <c r="K23" s="250" t="str">
        <f aca="false">IF(COUNTIFS('Scores (start here)'!$A:$A,$B$1,'Scores (start here)'!$B:$B,$A23,'Scores (start here)'!$F:$F,"&gt;=0")&gt;0,SUMIFS('Scores (start here)'!$F:$F,'Scores (start here)'!$A:$A,$B$1,'Scores (start here)'!$B:$B,$A23),M23)</f>
        <v/>
      </c>
      <c r="L23" s="248"/>
      <c r="M23" s="77" t="str">
        <f aca="false">IF(OR(H23="",I23="",J23=""),"",COUNTIF(H23:J23,"YES")/3*$C$7)</f>
        <v/>
      </c>
    </row>
    <row r="24" customFormat="false" ht="14.25" hidden="false" customHeight="true" outlineLevel="0" collapsed="false">
      <c r="A24" s="247" t="s">
        <v>1009</v>
      </c>
      <c r="B24" s="248"/>
      <c r="C24" s="248"/>
      <c r="D24" s="248"/>
      <c r="E24" s="248"/>
      <c r="F24" s="248"/>
      <c r="G24" s="248"/>
      <c r="H24" s="249"/>
      <c r="I24" s="249"/>
      <c r="J24" s="249"/>
      <c r="K24" s="250" t="str">
        <f aca="false">IF(COUNTIFS('Scores (start here)'!$A:$A,$B$1,'Scores (start here)'!$B:$B,$A24,'Scores (start here)'!$F:$F,"&gt;=0")&gt;0,SUMIFS('Scores (start here)'!$F:$F,'Scores (start here)'!$A:$A,$B$1,'Scores (start here)'!$B:$B,$A24),M24)</f>
        <v/>
      </c>
      <c r="L24" s="248"/>
      <c r="M24" s="77" t="str">
        <f aca="false">IF(OR(H24="",I24="",J24=""),"",COUNTIF(H24:J24,"YES")/3*$C$7)</f>
        <v/>
      </c>
    </row>
    <row r="25" customFormat="false" ht="14.25" hidden="false" customHeight="true" outlineLevel="0" collapsed="false">
      <c r="A25" s="247" t="s">
        <v>1010</v>
      </c>
      <c r="B25" s="248"/>
      <c r="C25" s="248"/>
      <c r="D25" s="248"/>
      <c r="E25" s="248"/>
      <c r="F25" s="248"/>
      <c r="G25" s="248"/>
      <c r="H25" s="249"/>
      <c r="I25" s="249"/>
      <c r="J25" s="249"/>
      <c r="K25" s="250" t="str">
        <f aca="false">IF(COUNTIFS('Scores (start here)'!$A:$A,$B$1,'Scores (start here)'!$B:$B,$A25,'Scores (start here)'!$F:$F,"&gt;=0")&gt;0,SUMIFS('Scores (start here)'!$F:$F,'Scores (start here)'!$A:$A,$B$1,'Scores (start here)'!$B:$B,$A25),M25)</f>
        <v/>
      </c>
      <c r="L25" s="248"/>
      <c r="M25" s="77" t="str">
        <f aca="false">IF(OR(H25="",I25="",J25=""),"",COUNTIF(H25:J25,"YES")/3*$C$7)</f>
        <v/>
      </c>
    </row>
    <row r="26" customFormat="false" ht="14.25" hidden="false" customHeight="true" outlineLevel="0" collapsed="false">
      <c r="A26" s="247" t="s">
        <v>1011</v>
      </c>
      <c r="B26" s="248"/>
      <c r="C26" s="248"/>
      <c r="D26" s="248"/>
      <c r="E26" s="248"/>
      <c r="F26" s="248"/>
      <c r="G26" s="248"/>
      <c r="H26" s="249"/>
      <c r="I26" s="249"/>
      <c r="J26" s="249"/>
      <c r="K26" s="250" t="str">
        <f aca="false">IF(COUNTIFS('Scores (start here)'!$A:$A,$B$1,'Scores (start here)'!$B:$B,$A26,'Scores (start here)'!$F:$F,"&gt;=0")&gt;0,SUMIFS('Scores (start here)'!$F:$F,'Scores (start here)'!$A:$A,$B$1,'Scores (start here)'!$B:$B,$A26),M26)</f>
        <v/>
      </c>
      <c r="L26" s="248"/>
      <c r="M26" s="77" t="str">
        <f aca="false">IF(OR(H26="",I26="",J26=""),"",COUNTIF(H26:J26,"YES")/3*$C$7)</f>
        <v/>
      </c>
    </row>
    <row r="27" customFormat="false" ht="14.25" hidden="false" customHeight="true" outlineLevel="0" collapsed="false">
      <c r="A27" s="247" t="s">
        <v>1012</v>
      </c>
      <c r="B27" s="248"/>
      <c r="C27" s="248"/>
      <c r="D27" s="248"/>
      <c r="E27" s="248"/>
      <c r="F27" s="248"/>
      <c r="G27" s="248"/>
      <c r="H27" s="249"/>
      <c r="I27" s="249"/>
      <c r="J27" s="249"/>
      <c r="K27" s="250" t="str">
        <f aca="false">IF(COUNTIFS('Scores (start here)'!$A:$A,$B$1,'Scores (start here)'!$B:$B,$A27,'Scores (start here)'!$F:$F,"&gt;=0")&gt;0,SUMIFS('Scores (start here)'!$F:$F,'Scores (start here)'!$A:$A,$B$1,'Scores (start here)'!$B:$B,$A27),M27)</f>
        <v/>
      </c>
      <c r="L27" s="248"/>
      <c r="M27" s="77" t="str">
        <f aca="false">IF(OR(H27="",I27="",J27=""),"",COUNTIF(H27:J27,"YES")/3*$C$7)</f>
        <v/>
      </c>
    </row>
    <row r="28" customFormat="false" ht="14.25" hidden="false" customHeight="true" outlineLevel="0" collapsed="false">
      <c r="A28" s="247" t="s">
        <v>1013</v>
      </c>
      <c r="B28" s="248"/>
      <c r="C28" s="248"/>
      <c r="D28" s="248"/>
      <c r="E28" s="248"/>
      <c r="F28" s="248"/>
      <c r="G28" s="248"/>
      <c r="H28" s="249"/>
      <c r="I28" s="249"/>
      <c r="J28" s="249"/>
      <c r="K28" s="250" t="str">
        <f aca="false">IF(COUNTIFS('Scores (start here)'!$A:$A,$B$1,'Scores (start here)'!$B:$B,$A28,'Scores (start here)'!$F:$F,"&gt;=0")&gt;0,SUMIFS('Scores (start here)'!$F:$F,'Scores (start here)'!$A:$A,$B$1,'Scores (start here)'!$B:$B,$A28),M28)</f>
        <v/>
      </c>
      <c r="L28" s="248"/>
      <c r="M28" s="77" t="str">
        <f aca="false">IF(OR(H28="",I28="",J28=""),"",COUNTIF(H28:J28,"YES")/3*$C$7)</f>
        <v/>
      </c>
    </row>
    <row r="29" customFormat="false" ht="14.25" hidden="false" customHeight="true" outlineLevel="0" collapsed="false">
      <c r="A29" s="247" t="s">
        <v>1014</v>
      </c>
      <c r="B29" s="248"/>
      <c r="C29" s="248"/>
      <c r="D29" s="248"/>
      <c r="E29" s="248"/>
      <c r="F29" s="248"/>
      <c r="G29" s="248"/>
      <c r="H29" s="249"/>
      <c r="I29" s="249"/>
      <c r="J29" s="249"/>
      <c r="K29" s="250" t="str">
        <f aca="false">IF(COUNTIFS('Scores (start here)'!$A:$A,$B$1,'Scores (start here)'!$B:$B,$A29,'Scores (start here)'!$F:$F,"&gt;=0")&gt;0,SUMIFS('Scores (start here)'!$F:$F,'Scores (start here)'!$A:$A,$B$1,'Scores (start here)'!$B:$B,$A29),M29)</f>
        <v/>
      </c>
      <c r="L29" s="248"/>
      <c r="M29" s="77" t="str">
        <f aca="false">IF(OR(H29="",I29="",J29=""),"",COUNTIF(H29:J29,"YES")/3*$C$7)</f>
        <v/>
      </c>
    </row>
    <row r="30" customFormat="false" ht="14.25" hidden="false" customHeight="true" outlineLevel="0" collapsed="false">
      <c r="A30" s="247" t="s">
        <v>1015</v>
      </c>
      <c r="B30" s="248"/>
      <c r="C30" s="248"/>
      <c r="D30" s="248"/>
      <c r="E30" s="248"/>
      <c r="F30" s="248"/>
      <c r="G30" s="248"/>
      <c r="H30" s="249"/>
      <c r="I30" s="249"/>
      <c r="J30" s="249"/>
      <c r="K30" s="250" t="str">
        <f aca="false">IF(COUNTIFS('Scores (start here)'!$A:$A,$B$1,'Scores (start here)'!$B:$B,$A30,'Scores (start here)'!$F:$F,"&gt;=0")&gt;0,SUMIFS('Scores (start here)'!$F:$F,'Scores (start here)'!$A:$A,$B$1,'Scores (start here)'!$B:$B,$A30),M30)</f>
        <v/>
      </c>
      <c r="L30" s="248"/>
      <c r="M30" s="77" t="str">
        <f aca="false">IF(OR(H30="",I30="",J30=""),"",COUNTIF(H30:J30,"YES")/3*$C$7)</f>
        <v/>
      </c>
    </row>
    <row r="31" customFormat="false" ht="14.25" hidden="false" customHeight="true" outlineLevel="0" collapsed="false">
      <c r="A31" s="247" t="s">
        <v>1016</v>
      </c>
      <c r="B31" s="248"/>
      <c r="C31" s="248"/>
      <c r="D31" s="248"/>
      <c r="E31" s="248"/>
      <c r="F31" s="248"/>
      <c r="G31" s="248"/>
      <c r="H31" s="249"/>
      <c r="I31" s="249"/>
      <c r="J31" s="249"/>
      <c r="K31" s="250" t="str">
        <f aca="false">IF(COUNTIFS('Scores (start here)'!$A:$A,$B$1,'Scores (start here)'!$B:$B,$A31,'Scores (start here)'!$F:$F,"&gt;=0")&gt;0,SUMIFS('Scores (start here)'!$F:$F,'Scores (start here)'!$A:$A,$B$1,'Scores (start here)'!$B:$B,$A31),M31)</f>
        <v/>
      </c>
      <c r="L31" s="248"/>
      <c r="M31" s="77" t="str">
        <f aca="false">IF(OR(H31="",I31="",J31=""),"",COUNTIF(H31:J31,"YES")/3*$C$7)</f>
        <v/>
      </c>
    </row>
    <row r="32" customFormat="false" ht="14.25" hidden="false" customHeight="true" outlineLevel="0" collapsed="false">
      <c r="A32" s="247" t="s">
        <v>1017</v>
      </c>
      <c r="B32" s="248"/>
      <c r="C32" s="248"/>
      <c r="D32" s="248"/>
      <c r="E32" s="248"/>
      <c r="F32" s="248"/>
      <c r="G32" s="248"/>
      <c r="H32" s="249"/>
      <c r="I32" s="249"/>
      <c r="J32" s="249"/>
      <c r="K32" s="250" t="str">
        <f aca="false">IF(COUNTIFS('Scores (start here)'!$A:$A,$B$1,'Scores (start here)'!$B:$B,$A32,'Scores (start here)'!$F:$F,"&gt;=0")&gt;0,SUMIFS('Scores (start here)'!$F:$F,'Scores (start here)'!$A:$A,$B$1,'Scores (start here)'!$B:$B,$A32),M32)</f>
        <v/>
      </c>
      <c r="L32" s="248"/>
      <c r="M32" s="77" t="str">
        <f aca="false">IF(OR(H32="",I32="",J32=""),"",COUNTIF(H32:J32,"YES")/3*$C$7)</f>
        <v/>
      </c>
    </row>
    <row r="33" customFormat="false" ht="14.25" hidden="false" customHeight="true" outlineLevel="0" collapsed="false">
      <c r="A33" s="247" t="s">
        <v>30</v>
      </c>
      <c r="B33" s="248" t="s">
        <v>124</v>
      </c>
      <c r="C33" s="248" t="s">
        <v>1484</v>
      </c>
      <c r="D33" s="248" t="s">
        <v>1485</v>
      </c>
      <c r="E33" s="248" t="s">
        <v>1486</v>
      </c>
      <c r="F33" s="248" t="s">
        <v>1453</v>
      </c>
      <c r="G33" s="248" t="s">
        <v>125</v>
      </c>
      <c r="H33" s="249"/>
      <c r="I33" s="249"/>
      <c r="J33" s="249"/>
      <c r="K33" s="250" t="str">
        <f aca="false">IF(COUNTIFS('Scores (start here)'!$A:$A,$B$1,'Scores (start here)'!$B:$B,$A33,'Scores (start here)'!$F:$F,"&gt;=0")&gt;0,SUMIFS('Scores (start here)'!$F:$F,'Scores (start here)'!$A:$A,$B$1,'Scores (start here)'!$B:$B,$A33),M33)</f>
        <v/>
      </c>
      <c r="L33" s="251" t="s">
        <v>1487</v>
      </c>
      <c r="M33" s="77" t="str">
        <f aca="false">IF(OR(H33="",I33="",J33=""),"",COUNTIF(H33:J33,"YES")/3*$C$7)</f>
        <v/>
      </c>
    </row>
    <row r="34" customFormat="false" ht="14.25" hidden="false" customHeight="true" outlineLevel="0" collapsed="false">
      <c r="A34" s="247" t="s">
        <v>1018</v>
      </c>
      <c r="B34" s="248"/>
      <c r="C34" s="248"/>
      <c r="D34" s="248"/>
      <c r="E34" s="248"/>
      <c r="F34" s="248"/>
      <c r="G34" s="248"/>
      <c r="H34" s="249"/>
      <c r="I34" s="249"/>
      <c r="J34" s="249"/>
      <c r="K34" s="250" t="str">
        <f aca="false">IF(COUNTIFS('Scores (start here)'!$A:$A,$B$1,'Scores (start here)'!$B:$B,$A34,'Scores (start here)'!$F:$F,"&gt;=0")&gt;0,SUMIFS('Scores (start here)'!$F:$F,'Scores (start here)'!$A:$A,$B$1,'Scores (start here)'!$B:$B,$A34),M34)</f>
        <v/>
      </c>
      <c r="L34" s="248"/>
      <c r="M34" s="77" t="str">
        <f aca="false">IF(OR(H34="",I34="",J34=""),"",COUNTIF(H34:J34,"YES")/3*$C$7)</f>
        <v/>
      </c>
    </row>
    <row r="35" customFormat="false" ht="14.25" hidden="false" customHeight="true" outlineLevel="0" collapsed="false">
      <c r="A35" s="247" t="s">
        <v>1019</v>
      </c>
      <c r="B35" s="248"/>
      <c r="C35" s="248"/>
      <c r="D35" s="248"/>
      <c r="E35" s="248"/>
      <c r="F35" s="248"/>
      <c r="G35" s="248"/>
      <c r="H35" s="249"/>
      <c r="I35" s="249"/>
      <c r="J35" s="249"/>
      <c r="K35" s="250" t="str">
        <f aca="false">IF(COUNTIFS('Scores (start here)'!$A:$A,$B$1,'Scores (start here)'!$B:$B,$A35,'Scores (start here)'!$F:$F,"&gt;=0")&gt;0,SUMIFS('Scores (start here)'!$F:$F,'Scores (start here)'!$A:$A,$B$1,'Scores (start here)'!$B:$B,$A35),M35)</f>
        <v/>
      </c>
      <c r="L35" s="248"/>
      <c r="M35" s="77" t="str">
        <f aca="false">IF(OR(H35="",I35="",J35=""),"",COUNTIF(H35:J35,"YES")/3*$C$7)</f>
        <v/>
      </c>
    </row>
    <row r="36" customFormat="false" ht="14.25" hidden="false" customHeight="true" outlineLevel="0" collapsed="false">
      <c r="A36" s="247" t="s">
        <v>1020</v>
      </c>
      <c r="B36" s="248"/>
      <c r="C36" s="248"/>
      <c r="D36" s="248"/>
      <c r="E36" s="248"/>
      <c r="F36" s="248"/>
      <c r="G36" s="248"/>
      <c r="H36" s="249"/>
      <c r="I36" s="249"/>
      <c r="J36" s="249"/>
      <c r="K36" s="250" t="str">
        <f aca="false">IF(COUNTIFS('Scores (start here)'!$A:$A,$B$1,'Scores (start here)'!$B:$B,$A36,'Scores (start here)'!$F:$F,"&gt;=0")&gt;0,SUMIFS('Scores (start here)'!$F:$F,'Scores (start here)'!$A:$A,$B$1,'Scores (start here)'!$B:$B,$A36),M36)</f>
        <v/>
      </c>
      <c r="L36" s="248"/>
      <c r="M36" s="77" t="str">
        <f aca="false">IF(OR(H36="",I36="",J36=""),"",COUNTIF(H36:J36,"YES")/3*$C$7)</f>
        <v/>
      </c>
    </row>
    <row r="37" customFormat="false" ht="14.25" hidden="false" customHeight="true" outlineLevel="0" collapsed="false">
      <c r="A37" s="247" t="s">
        <v>1021</v>
      </c>
      <c r="B37" s="248"/>
      <c r="C37" s="248"/>
      <c r="D37" s="248"/>
      <c r="E37" s="248"/>
      <c r="F37" s="248"/>
      <c r="G37" s="248"/>
      <c r="H37" s="249"/>
      <c r="I37" s="249"/>
      <c r="J37" s="249"/>
      <c r="K37" s="250" t="str">
        <f aca="false">IF(COUNTIFS('Scores (start here)'!$A:$A,$B$1,'Scores (start here)'!$B:$B,$A37,'Scores (start here)'!$F:$F,"&gt;=0")&gt;0,SUMIFS('Scores (start here)'!$F:$F,'Scores (start here)'!$A:$A,$B$1,'Scores (start here)'!$B:$B,$A37),M37)</f>
        <v/>
      </c>
      <c r="L37" s="248"/>
      <c r="M37" s="77" t="str">
        <f aca="false">IF(OR(H37="",I37="",J37=""),"",COUNTIF(H37:J37,"YES")/3*$C$7)</f>
        <v/>
      </c>
    </row>
    <row r="38" customFormat="false" ht="14.25" hidden="false" customHeight="true" outlineLevel="0" collapsed="false">
      <c r="A38" s="247" t="s">
        <v>1022</v>
      </c>
      <c r="B38" s="248"/>
      <c r="C38" s="248"/>
      <c r="D38" s="248"/>
      <c r="E38" s="248"/>
      <c r="F38" s="248"/>
      <c r="G38" s="248"/>
      <c r="H38" s="249"/>
      <c r="I38" s="249"/>
      <c r="J38" s="249"/>
      <c r="K38" s="250" t="str">
        <f aca="false">IF(COUNTIFS('Scores (start here)'!$A:$A,$B$1,'Scores (start here)'!$B:$B,$A38,'Scores (start here)'!$F:$F,"&gt;=0")&gt;0,SUMIFS('Scores (start here)'!$F:$F,'Scores (start here)'!$A:$A,$B$1,'Scores (start here)'!$B:$B,$A38),M38)</f>
        <v/>
      </c>
      <c r="L38" s="248"/>
      <c r="M38" s="77" t="str">
        <f aca="false">IF(OR(H38="",I38="",J38=""),"",COUNTIF(H38:J38,"YES")/3*$C$7)</f>
        <v/>
      </c>
    </row>
    <row r="39" customFormat="false" ht="14.25" hidden="false" customHeight="true" outlineLevel="0" collapsed="false">
      <c r="A39" s="247" t="s">
        <v>1023</v>
      </c>
      <c r="B39" s="248"/>
      <c r="C39" s="248"/>
      <c r="D39" s="248"/>
      <c r="E39" s="248"/>
      <c r="F39" s="248"/>
      <c r="G39" s="248"/>
      <c r="H39" s="249"/>
      <c r="I39" s="249"/>
      <c r="J39" s="249"/>
      <c r="K39" s="250" t="str">
        <f aca="false">IF(COUNTIFS('Scores (start here)'!$A:$A,$B$1,'Scores (start here)'!$B:$B,$A39,'Scores (start here)'!$F:$F,"&gt;=0")&gt;0,SUMIFS('Scores (start here)'!$F:$F,'Scores (start here)'!$A:$A,$B$1,'Scores (start here)'!$B:$B,$A39),M39)</f>
        <v/>
      </c>
      <c r="L39" s="248"/>
      <c r="M39" s="77" t="str">
        <f aca="false">IF(OR(H39="",I39="",J39=""),"",COUNTIF(H39:J39,"YES")/3*$C$7)</f>
        <v/>
      </c>
    </row>
    <row r="40" customFormat="false" ht="14.25" hidden="false" customHeight="true" outlineLevel="0" collapsed="false">
      <c r="A40" s="247" t="s">
        <v>1024</v>
      </c>
      <c r="B40" s="248"/>
      <c r="C40" s="248"/>
      <c r="D40" s="248"/>
      <c r="E40" s="248"/>
      <c r="F40" s="248"/>
      <c r="G40" s="248"/>
      <c r="H40" s="249"/>
      <c r="I40" s="249"/>
      <c r="J40" s="249"/>
      <c r="K40" s="250" t="str">
        <f aca="false">IF(COUNTIFS('Scores (start here)'!$A:$A,$B$1,'Scores (start here)'!$B:$B,$A40,'Scores (start here)'!$F:$F,"&gt;=0")&gt;0,SUMIFS('Scores (start here)'!$F:$F,'Scores (start here)'!$A:$A,$B$1,'Scores (start here)'!$B:$B,$A40),M40)</f>
        <v/>
      </c>
      <c r="L40" s="248"/>
      <c r="M40" s="77" t="str">
        <f aca="false">IF(OR(H40="",I40="",J40=""),"",COUNTIF(H40:J40,"YES")/3*$C$7)</f>
        <v/>
      </c>
    </row>
    <row r="41" customFormat="false" ht="14.25" hidden="false" customHeight="true" outlineLevel="0" collapsed="false">
      <c r="A41" s="247" t="s">
        <v>1025</v>
      </c>
      <c r="B41" s="248"/>
      <c r="C41" s="248"/>
      <c r="D41" s="248"/>
      <c r="E41" s="248"/>
      <c r="F41" s="248"/>
      <c r="G41" s="248"/>
      <c r="H41" s="249"/>
      <c r="I41" s="249"/>
      <c r="J41" s="249"/>
      <c r="K41" s="250" t="str">
        <f aca="false">IF(COUNTIFS('Scores (start here)'!$A:$A,$B$1,'Scores (start here)'!$B:$B,$A41,'Scores (start here)'!$F:$F,"&gt;=0")&gt;0,SUMIFS('Scores (start here)'!$F:$F,'Scores (start here)'!$A:$A,$B$1,'Scores (start here)'!$B:$B,$A41),M41)</f>
        <v/>
      </c>
      <c r="L41" s="248"/>
      <c r="M41" s="77" t="str">
        <f aca="false">IF(OR(H41="",I41="",J41=""),"",COUNTIF(H41:J41,"YES")/3*$C$7)</f>
        <v/>
      </c>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K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227</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a Metropolitan/Regional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existence of such a document or map should be notified in respective state gazettes &gt;:&lt; Document should mention the words metropolitan/regional plan or any word that can be safely assumed to be a synonym for a metropolitan region. Check the website of the metro region development authority or urban development authority or ULB website. Score 3.33 if any of these apply, else, 0.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ensure an existence of a notified document of the plan. Maps alone will not make the cut</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230</v>
      </c>
      <c r="C14" s="248" t="s">
        <v>1488</v>
      </c>
      <c r="D14" s="248" t="s">
        <v>1489</v>
      </c>
      <c r="E14" s="248" t="s">
        <v>1490</v>
      </c>
      <c r="F14" s="248" t="s">
        <v>1491</v>
      </c>
      <c r="G14" s="248" t="s">
        <v>231</v>
      </c>
      <c r="H14" s="249"/>
      <c r="I14" s="250" t="str">
        <f aca="false">IF(COUNTIFS('Scores (start here)'!$A:$A,$B$1,'Scores (start here)'!$B:$B,$A14,'Scores (start here)'!$F:$F,"&gt;=0")&gt;0,SUMIFS('Scores (start here)'!$F:$F,'Scores (start here)'!$A:$A,$B$1,'Scores (start here)'!$B:$B,$A14),K14)</f>
        <v/>
      </c>
      <c r="J14" s="251" t="s">
        <v>1492</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34.5" hidden="false" customHeight="true" outlineLevel="0" collapsed="false">
      <c r="A33" s="247" t="s">
        <v>30</v>
      </c>
      <c r="B33" s="248" t="s">
        <v>124</v>
      </c>
      <c r="C33" s="248" t="s">
        <v>1395</v>
      </c>
      <c r="D33" s="248" t="s">
        <v>1396</v>
      </c>
      <c r="E33" s="248"/>
      <c r="F33" s="248" t="s">
        <v>775</v>
      </c>
      <c r="G33" s="248" t="s">
        <v>125</v>
      </c>
      <c r="H33" s="249"/>
      <c r="I33" s="250" t="str">
        <f aca="false">IF(COUNTIFS('Scores (start here)'!$A:$A,$B$1,'Scores (start here)'!$B:$B,$A33,'Scores (start here)'!$F:$F,"&gt;=0")&gt;0,SUMIFS('Scores (start here)'!$F:$F,'Scores (start here)'!$A:$A,$B$1,'Scores (start here)'!$B:$B,$A33),K33)</f>
        <v/>
      </c>
      <c r="J33" s="251" t="s">
        <v>1493</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237</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Municipal/City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existence of such a document or map should be notified in respective state gazettes &gt;:&lt; Document should mention the word municipal/development/city plan or municipal/city plan. Check the website of the urban development authority or ULG website or T&amp;CP Dept. Score 3.33 if any of these apply, else, 0.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ensure an existence of a notified document of the plan. Maps alone will not make the cut</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230</v>
      </c>
      <c r="C14" s="248" t="s">
        <v>1494</v>
      </c>
      <c r="D14" s="248" t="s">
        <v>1495</v>
      </c>
      <c r="E14" s="248"/>
      <c r="F14" s="248" t="s">
        <v>970</v>
      </c>
      <c r="G14" s="248" t="s">
        <v>231</v>
      </c>
      <c r="H14" s="249"/>
      <c r="I14" s="250" t="str">
        <f aca="false">IF(COUNTIFS('Scores (start here)'!$A:$A,$B$1,'Scores (start here)'!$B:$B,$A14,'Scores (start here)'!$F:$F,"&gt;=0")&gt;0,SUMIFS('Scores (start here)'!$F:$F,'Scores (start here)'!$A:$A,$B$1,'Scores (start here)'!$B:$B,$A14),K14)</f>
        <v/>
      </c>
      <c r="J14" s="251" t="s">
        <v>1496</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23.25" hidden="false" customHeight="true" outlineLevel="0" collapsed="false">
      <c r="A33" s="247" t="s">
        <v>30</v>
      </c>
      <c r="B33" s="248" t="s">
        <v>243</v>
      </c>
      <c r="C33" s="248" t="s">
        <v>1497</v>
      </c>
      <c r="D33" s="248" t="s">
        <v>1498</v>
      </c>
      <c r="E33" s="248" t="s">
        <v>1499</v>
      </c>
      <c r="F33" s="248" t="s">
        <v>622</v>
      </c>
      <c r="G33" s="248" t="s">
        <v>244</v>
      </c>
      <c r="H33" s="249" t="s">
        <v>1309</v>
      </c>
      <c r="I33" s="250" t="n">
        <f aca="false">IF(COUNTIFS('Scores (start here)'!$A:$A,$B$1,'Scores (start here)'!$B:$B,$A33,'Scores (start here)'!$F:$F,"&gt;=0")&gt;0,SUMIFS('Scores (start here)'!$F:$F,'Scores (start here)'!$A:$A,$B$1,'Scores (start here)'!$B:$B,$A33),K33)</f>
        <v>3.33</v>
      </c>
      <c r="J33" s="251" t="s">
        <v>1500</v>
      </c>
      <c r="K33" s="252" t="n">
        <f aca="false">IF(H33="YES",$C$7,IF(H33="NO",0,""))</f>
        <v>3.33</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247</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a Ward(s) /Local area/ neighbourhood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existence of such a document or map should be notified in respective state gazettes &gt;:&lt;  Document should mention the word ward development plan/zonal plan/local area plan. This can exist as a standalone document or spatial plans or map.  Score 3.33 if any of these apply, else, 0.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c r="C14" s="248"/>
      <c r="D14" s="248"/>
      <c r="E14" s="248"/>
      <c r="F14" s="248"/>
      <c r="G14" s="248"/>
      <c r="H14" s="249"/>
      <c r="I14" s="250" t="str">
        <f aca="false">IF(COUNTIFS('Scores (start here)'!$A:$A,$B$1,'Scores (start here)'!$B:$B,$A14,'Scores (start here)'!$F:$F,"&gt;=0")&gt;0,SUMIFS('Scores (start here)'!$F:$F,'Scores (start here)'!$A:$A,$B$1,'Scores (start here)'!$B:$B,$A14),K14)</f>
        <v/>
      </c>
      <c r="J14" s="248" t="s">
        <v>1501</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91.25" hidden="false" customHeight="true" outlineLevel="0" collapsed="false">
      <c r="A33" s="247" t="s">
        <v>30</v>
      </c>
      <c r="B33" s="248" t="s">
        <v>251</v>
      </c>
      <c r="C33" s="248"/>
      <c r="D33" s="248" t="s">
        <v>1502</v>
      </c>
      <c r="E33" s="248" t="s">
        <v>1503</v>
      </c>
      <c r="F33" s="248" t="s">
        <v>622</v>
      </c>
      <c r="G33" s="248" t="s">
        <v>252</v>
      </c>
      <c r="H33" s="249"/>
      <c r="I33" s="250" t="str">
        <f aca="false">IF(COUNTIFS('Scores (start here)'!$A:$A,$B$1,'Scores (start here)'!$B:$B,$A33,'Scores (start here)'!$F:$F,"&gt;=0")&gt;0,SUMIFS('Scores (start here)'!$F:$F,'Scores (start here)'!$A:$A,$B$1,'Scores (start here)'!$B:$B,$A33),K33)</f>
        <v/>
      </c>
      <c r="J33" s="251" t="s">
        <v>1504</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 collapsed="false" customWidth="true" hidden="false" outlineLevel="0" max="11" min="11" style="77" width="30"/>
  </cols>
  <sheetData>
    <row r="1" customFormat="false" ht="14.25" hidden="false" customHeight="true" outlineLevel="0" collapsed="false">
      <c r="A1" s="238" t="s">
        <v>1288</v>
      </c>
      <c r="B1" s="238" t="s">
        <v>255</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Validity of Municipal/City Plans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municipal/city plan that is currently in force and within its prescribed validity period?</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Review the applicable municipal/ city plan to identify the valid period, and the gazette notification date of the current and immediately preceding municipal/city plan Score 10 — notified within the statutory periodScore 0 — municipal/city plans that have lapsed and have not been replaced by a new municipal/city plan should be  treated as ‘no municipal/city plans/inactive municipal/city plans.The scorer to capture in the scoring sheet the amount of time (in months) that has been passed since the end of the validity period</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43" t="s">
        <v>1294</v>
      </c>
      <c r="I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246" t="s">
        <v>1505</v>
      </c>
      <c r="L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here)'!$B:$B,$A13),L13)</f>
        <v/>
      </c>
      <c r="J13" s="248"/>
      <c r="K13" s="248"/>
      <c r="L13" s="77" t="str">
        <f aca="false">IF(H13="YES",$C$7,IF(H13="NO",0,""))</f>
        <v/>
      </c>
    </row>
    <row r="14" customFormat="false" ht="14.25" hidden="false" customHeight="true" outlineLevel="0" collapsed="false">
      <c r="A14" s="247" t="s">
        <v>19</v>
      </c>
      <c r="B14" s="248" t="s">
        <v>230</v>
      </c>
      <c r="C14" s="248" t="s">
        <v>1506</v>
      </c>
      <c r="D14" s="248" t="s">
        <v>1507</v>
      </c>
      <c r="E14" s="248" t="s">
        <v>1508</v>
      </c>
      <c r="F14" s="248" t="s">
        <v>1509</v>
      </c>
      <c r="G14" s="248" t="s">
        <v>231</v>
      </c>
      <c r="H14" s="249"/>
      <c r="I14" s="250" t="str">
        <f aca="false">IF(COUNTIFS('Scores (start here)'!$A:$A,$B$1,'Scores (start here)'!$B:$B,$A14,'Scores (start here)'!$F:$F,"&gt;=0")&gt;0,SUMIFS('Scores (start here)'!$F:$F,'Scores (start here)'!$A:$A,$B$1,'Scores (start here)'!$B:$B,$A14),L14)</f>
        <v/>
      </c>
      <c r="J14" s="251" t="s">
        <v>1510</v>
      </c>
      <c r="K14" s="248"/>
      <c r="L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here)'!$B:$B,$A15),L15)</f>
        <v/>
      </c>
      <c r="J15" s="248"/>
      <c r="K15" s="248"/>
      <c r="L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here)'!$B:$B,$A16),L16)</f>
        <v/>
      </c>
      <c r="J16" s="248"/>
      <c r="K16" s="248"/>
      <c r="L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here)'!$B:$B,$A17),L17)</f>
        <v/>
      </c>
      <c r="J17" s="248"/>
      <c r="K17" s="248"/>
      <c r="L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here)'!$B:$B,$A18),L18)</f>
        <v/>
      </c>
      <c r="J18" s="248"/>
      <c r="K18" s="248"/>
      <c r="L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here)'!$B:$B,$A19),L19)</f>
        <v/>
      </c>
      <c r="J19" s="248"/>
      <c r="K19" s="248"/>
      <c r="L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here)'!$B:$B,$A20),L20)</f>
        <v/>
      </c>
      <c r="J20" s="248"/>
      <c r="K20" s="248"/>
      <c r="L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here)'!$B:$B,$A21),L21)</f>
        <v/>
      </c>
      <c r="J21" s="248"/>
      <c r="K21" s="248"/>
      <c r="L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here)'!$B:$B,$A22),L22)</f>
        <v/>
      </c>
      <c r="J22" s="248"/>
      <c r="K22" s="248"/>
      <c r="L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here)'!$B:$B,$A23),L23)</f>
        <v/>
      </c>
      <c r="J23" s="248"/>
      <c r="K23" s="248"/>
      <c r="L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here)'!$B:$B,$A24),L24)</f>
        <v/>
      </c>
      <c r="J24" s="248"/>
      <c r="K24" s="248"/>
      <c r="L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here)'!$B:$B,$A25),L25)</f>
        <v/>
      </c>
      <c r="J25" s="248"/>
      <c r="K25" s="248"/>
      <c r="L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here)'!$B:$B,$A26),L26)</f>
        <v/>
      </c>
      <c r="J26" s="248"/>
      <c r="K26" s="248"/>
      <c r="L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here)'!$B:$B,$A27),L27)</f>
        <v/>
      </c>
      <c r="J27" s="248"/>
      <c r="K27" s="248"/>
      <c r="L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here)'!$B:$B,$A28),L28)</f>
        <v/>
      </c>
      <c r="J28" s="248"/>
      <c r="K28" s="248"/>
      <c r="L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here)'!$B:$B,$A29),L29)</f>
        <v/>
      </c>
      <c r="J29" s="248"/>
      <c r="K29" s="248"/>
      <c r="L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here)'!$B:$B,$A30),L30)</f>
        <v/>
      </c>
      <c r="J30" s="248"/>
      <c r="K30" s="248"/>
      <c r="L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here)'!$B:$B,$A31),L31)</f>
        <v/>
      </c>
      <c r="J31" s="248"/>
      <c r="K31" s="248"/>
      <c r="L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here)'!$B:$B,$A32),L32)</f>
        <v/>
      </c>
      <c r="J32" s="248"/>
      <c r="K32" s="248"/>
      <c r="L32" s="77" t="str">
        <f aca="false">IF(H32="YES",$C$7,IF(H32="NO",0,""))</f>
        <v/>
      </c>
    </row>
    <row r="33" customFormat="false" ht="14.25" hidden="false" customHeight="true" outlineLevel="0" collapsed="false">
      <c r="A33" s="247" t="s">
        <v>30</v>
      </c>
      <c r="B33" s="248" t="s">
        <v>243</v>
      </c>
      <c r="C33" s="248" t="s">
        <v>1511</v>
      </c>
      <c r="D33" s="248" t="s">
        <v>1512</v>
      </c>
      <c r="E33" s="248" t="s">
        <v>1513</v>
      </c>
      <c r="F33" s="248" t="s">
        <v>622</v>
      </c>
      <c r="G33" s="248" t="s">
        <v>244</v>
      </c>
      <c r="H33" s="249" t="s">
        <v>1309</v>
      </c>
      <c r="I33" s="250" t="n">
        <f aca="false">IF(COUNTIFS('Scores (start here)'!$A:$A,$B$1,'Scores (start here)'!$B:$B,$A33,'Scores (start here)'!$F:$F,"&gt;=0")&gt;0,SUMIFS('Scores (start here)'!$F:$F,'Scores (start here)'!$A:$A,$B$1,'Scores (start here)'!$B:$B,$A33),L33)</f>
        <v>10</v>
      </c>
      <c r="J33" s="251" t="s">
        <v>1514</v>
      </c>
      <c r="K33" s="248"/>
      <c r="L33" s="252" t="n">
        <f aca="false">IF(H33="YES",$C$7,IF(H33="NO",0,""))</f>
        <v>10</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here)'!$B:$B,$A34),L34)</f>
        <v/>
      </c>
      <c r="J34" s="248"/>
      <c r="K34" s="248"/>
      <c r="L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here)'!$B:$B,$A35),L35)</f>
        <v/>
      </c>
      <c r="J35" s="248"/>
      <c r="K35" s="248"/>
      <c r="L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here)'!$B:$B,$A36),L36)</f>
        <v/>
      </c>
      <c r="J36" s="248"/>
      <c r="K36" s="248"/>
      <c r="L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here)'!$B:$B,$A37),L37)</f>
        <v/>
      </c>
      <c r="J37" s="248"/>
      <c r="K37" s="248"/>
      <c r="L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here)'!$B:$B,$A38),L38)</f>
        <v/>
      </c>
      <c r="J38" s="248"/>
      <c r="K38" s="248"/>
      <c r="L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here)'!$B:$B,$A39),L39)</f>
        <v/>
      </c>
      <c r="J39" s="248"/>
      <c r="K39" s="248"/>
      <c r="L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here)'!$B:$B,$A40),L40)</f>
        <v/>
      </c>
      <c r="J40" s="248"/>
      <c r="K40" s="248"/>
      <c r="L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here)'!$B:$B,$A41),L41)</f>
        <v/>
      </c>
      <c r="J41" s="248"/>
      <c r="K41" s="248"/>
      <c r="L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263</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Alignment across planning levels &gt;:&lt; Alignment across planning levels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 Are the spatial plans at the Metropolitan/Regional, Municipal and Ward(s) /Local level in a concurrent or nested timeline of validity? &gt;:&lt; Is the Metropolitan/Regional plan in a concurrent or nested timeline of validity with municipal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validity periods of the metropolitan/regional, municipal/city, and ward/zonal/local area/neighbourhood-level spatial plans align, ensuring that lower-level plans do not extend beyond the metropolitan/regional plan's validity. &gt;:&lt; 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plan should not extend beyond 2021.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230</v>
      </c>
      <c r="C14" s="248" t="s">
        <v>1515</v>
      </c>
      <c r="D14" s="248" t="s">
        <v>1516</v>
      </c>
      <c r="E14" s="248"/>
      <c r="F14" s="248" t="s">
        <v>1491</v>
      </c>
      <c r="G14" s="248" t="s">
        <v>231</v>
      </c>
      <c r="H14" s="249"/>
      <c r="I14" s="250" t="str">
        <f aca="false">IF(COUNTIFS('Scores (start here)'!$A:$A,$B$1,'Scores (start here)'!$B:$B,$A14,'Scores (start here)'!$F:$F,"&gt;=0")&gt;0,SUMIFS('Scores (start here)'!$F:$F,'Scores (start here)'!$A:$A,$B$1,'Scores (start here)'!$B:$B,$A14),K14)</f>
        <v/>
      </c>
      <c r="J14" s="251" t="s">
        <v>1517</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247.5" hidden="false" customHeight="true" outlineLevel="0" collapsed="false">
      <c r="A33" s="247" t="s">
        <v>30</v>
      </c>
      <c r="B33" s="248" t="s">
        <v>124</v>
      </c>
      <c r="C33" s="248" t="s">
        <v>1395</v>
      </c>
      <c r="D33" s="248" t="s">
        <v>1518</v>
      </c>
      <c r="E33" s="248"/>
      <c r="F33" s="248" t="s">
        <v>775</v>
      </c>
      <c r="G33" s="248" t="s">
        <v>125</v>
      </c>
      <c r="H33" s="249"/>
      <c r="I33" s="250" t="str">
        <f aca="false">IF(COUNTIFS('Scores (start here)'!$A:$A,$B$1,'Scores (start here)'!$B:$B,$A33,'Scores (start here)'!$F:$F,"&gt;=0")&gt;0,SUMIFS('Scores (start here)'!$F:$F,'Scores (start here)'!$A:$A,$B$1,'Scores (start here)'!$B:$B,$A33),K33)</f>
        <v/>
      </c>
      <c r="J33" s="251" t="s">
        <v>1519</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271</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Alignment across planning levels &gt;:&lt; Alignment across planning levels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 Are the spatial plans at the Metropolitan/Regional, Municipal and Ward(s) /Local level in a concurrent or nested timeline of validity? &gt;:&lt; Is the Municipal municipal/city plan in a concurrent or nested timeline of validity with Ward municipal/city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validity periods of the metropolitan/regional, municipal/city, and ward/zonal/local area/neighbourhood-level spatial plans align, ensuring that lower-level plans do not extend beyond the metropolitan/regional plan's validity. &gt;:&lt; Check whether the validity periods of the municipal/city municipal/city plan and ward/local-level plans overlap and are aligned, such that the validity of the ward/local-level plan does not extend beyond that of the municipal/city municipal/city plan. For example: if the municipal/city plan is valid from 2021–2041, the applicable ward/zonal/local-level plan should fall within and not extend beyond 2041.</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1520</v>
      </c>
    </row>
    <row r="11" customFormat="false" ht="28.5" hidden="false" customHeight="true" outlineLevel="0" collapsed="false">
      <c r="H11" s="243" t="s">
        <v>1401</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IF(H13="NA","NA",IF(H13="YES",$C$7,IF(H13="NO",0,"")))</f>
        <v/>
      </c>
    </row>
    <row r="14" customFormat="false" ht="14.25" hidden="false" customHeight="true" outlineLevel="0" collapsed="false">
      <c r="A14" s="247" t="s">
        <v>19</v>
      </c>
      <c r="B14" s="248"/>
      <c r="C14" s="248"/>
      <c r="D14" s="248"/>
      <c r="E14" s="248"/>
      <c r="F14" s="248"/>
      <c r="G14" s="248"/>
      <c r="H14" s="249"/>
      <c r="I14" s="250" t="str">
        <f aca="false">IF(COUNTIFS('Scores (start here)'!$A:$A,$B$1,'Scores (start here)'!$B:$B,$A14,'Scores (start here)'!$F:$F,"&gt;=0")&gt;0,SUMIFS('Scores (start here)'!$F:$F,'Scores (start here)'!$A:$A,$B$1,'Scores (start here)'!$B:$B,$A14),K14)</f>
        <v/>
      </c>
      <c r="J14" s="248" t="s">
        <v>1521</v>
      </c>
      <c r="K14" s="77" t="str">
        <f aca="false">IF(H14="NA","NA",IF(H14="YES",$C$7,IF(H14="NO",0,"")))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IF(H15="NA","NA",IF(H15="YES",$C$7,IF(H15="NO",0,"")))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IF(H16="NA","NA",IF(H16="YES",$C$7,IF(H16="NO",0,"")))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IF(H17="NA","NA",IF(H17="YES",$C$7,IF(H17="NO",0,"")))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IF(H18="NA","NA",IF(H18="YES",$C$7,IF(H18="NO",0,"")))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IF(H19="NA","NA",IF(H19="YES",$C$7,IF(H19="NO",0,"")))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IF(H20="NA","NA",IF(H20="YES",$C$7,IF(H20="NO",0,"")))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IF(H21="NA","NA",IF(H21="YES",$C$7,IF(H21="NO",0,"")))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IF(H22="NA","NA",IF(H22="YES",$C$7,IF(H22="NO",0,"")))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IF(H23="NA","NA",IF(H23="YES",$C$7,IF(H23="NO",0,"")))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IF(H24="NA","NA",IF(H24="YES",$C$7,IF(H24="NO",0,"")))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IF(H25="NA","NA",IF(H25="YES",$C$7,IF(H25="NO",0,"")))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IF(H26="NA","NA",IF(H26="YES",$C$7,IF(H26="NO",0,"")))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IF(H27="NA","NA",IF(H27="YES",$C$7,IF(H27="NO",0,"")))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IF(H28="NA","NA",IF(H28="YES",$C$7,IF(H28="NO",0,"")))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IF(H29="NA","NA",IF(H29="YES",$C$7,IF(H29="NO",0,"")))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IF(H30="NA","NA",IF(H30="YES",$C$7,IF(H30="NO",0,"")))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IF(H31="NA","NA",IF(H31="YES",$C$7,IF(H31="NO",0,"")))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IF(H32="NA","NA",IF(H32="YES",$C$7,IF(H32="NO",0,"")))</f>
        <v/>
      </c>
    </row>
    <row r="33" customFormat="false" ht="14.25" hidden="false" customHeight="true" outlineLevel="0" collapsed="false">
      <c r="A33" s="247" t="s">
        <v>30</v>
      </c>
      <c r="B33" s="248"/>
      <c r="C33" s="248"/>
      <c r="D33" s="248"/>
      <c r="E33" s="248"/>
      <c r="F33" s="248"/>
      <c r="G33" s="248"/>
      <c r="H33" s="249"/>
      <c r="I33" s="250" t="str">
        <f aca="false">IF(COUNTIFS('Scores (start here)'!$A:$A,$B$1,'Scores (start here)'!$B:$B,$A33,'Scores (start here)'!$F:$F,"&gt;=0")&gt;0,SUMIFS('Scores (start here)'!$F:$F,'Scores (start here)'!$A:$A,$B$1,'Scores (start here)'!$B:$B,$A33),K33)</f>
        <v/>
      </c>
      <c r="J33" s="248" t="s">
        <v>1522</v>
      </c>
      <c r="K33" s="77" t="str">
        <f aca="false">IF(H33="NA","NA",IF(H33="YES",$C$7,IF(H33="NO",0,"")))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IF(H34="NA","NA",IF(H34="YES",$C$7,IF(H34="NO",0,"")))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IF(H35="NA","NA",IF(H35="YES",$C$7,IF(H35="NO",0,"")))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IF(H36="NA","NA",IF(H36="YES",$C$7,IF(H36="NO",0,"")))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IF(H37="NA","NA",IF(H37="YES",$C$7,IF(H37="NO",0,"")))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IF(H38="NA","NA",IF(H38="YES",$C$7,IF(H38="NO",0,"")))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IF(H39="NA","NA",IF(H39="YES",$C$7,IF(H39="NO",0,"")))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IF(H40="NA","NA",IF(H40="YES",$C$7,IF(H40="NO",0,"")))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IF(H41="NA","NA",IF(H41="YES",$C$7,IF(H41="NO",0,"")))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275</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Inter-agency coordination and integration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 the municipal/city plans at each level, integrate the plans and priorities of various sectoral public departments and agencies?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creation of the municipal/city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municipal/city plan, or as MoM / notes on the planning authority's website.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c r="C14" s="248"/>
      <c r="D14" s="248"/>
      <c r="E14" s="248"/>
      <c r="F14" s="248"/>
      <c r="G14" s="251" t="s">
        <v>1523</v>
      </c>
      <c r="H14" s="249" t="s">
        <v>1356</v>
      </c>
      <c r="I14" s="250" t="n">
        <f aca="false">IF(COUNTIFS('Scores (start here)'!$A:$A,$B$1,'Scores (start here)'!$B:$B,$A14,'Scores (start here)'!$F:$F,"&gt;=0")&gt;0,SUMIFS('Scores (start here)'!$F:$F,'Scores (start here)'!$A:$A,$B$1,'Scores (start here)'!$B:$B,$A14),K14)</f>
        <v>0</v>
      </c>
      <c r="J14" s="248" t="s">
        <v>1524</v>
      </c>
      <c r="K14" s="77" t="n">
        <f aca="false">IF(H14="YES",$C$7,IF(H14="NO",0,""))</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303" hidden="false" customHeight="true" outlineLevel="0" collapsed="false">
      <c r="A33" s="247" t="s">
        <v>30</v>
      </c>
      <c r="B33" s="248" t="s">
        <v>124</v>
      </c>
      <c r="C33" s="248" t="s">
        <v>1525</v>
      </c>
      <c r="D33" s="248" t="s">
        <v>1526</v>
      </c>
      <c r="E33" s="248" t="s">
        <v>1527</v>
      </c>
      <c r="F33" s="248" t="s">
        <v>1528</v>
      </c>
      <c r="G33" s="248" t="s">
        <v>125</v>
      </c>
      <c r="H33" s="249"/>
      <c r="I33" s="250" t="str">
        <f aca="false">IF(COUNTIFS('Scores (start here)'!$A:$A,$B$1,'Scores (start here)'!$B:$B,$A33,'Scores (start here)'!$F:$F,"&gt;=0")&gt;0,SUMIFS('Scores (start here)'!$F:$F,'Scores (start here)'!$A:$A,$B$1,'Scores (start here)'!$B:$B,$A33),K33)</f>
        <v/>
      </c>
      <c r="J33" s="251" t="s">
        <v>1529</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0" activeCellId="0" sqref="G10"/>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281</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jobs and economy?</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key economic development priorities and provides measurable targets/outcomes for them. These may include:Increase in workforce participation.Number of jobs to be generated across economic sectors.Land identified/allocated for economic activities.Number/area of enterprises, industries or commercial activities to be facilitated.Provision of designated spaces/facilities for street vendors and other informal livelihoods. Score based on whether the municipal/city plan contains both:1. A clearly stated objective or priority in the municipal/city plan relating to the city’s economy, employment or livelihoods. This could include job creation, workforce participation, industrial/commercial development, informal livelihoods, economic clusters, markets, tourism, or allocating land/infrastructure to support economic activity.2.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plan does not identify clear economic development priorities and associated interventions. General or aspirational references to economic development, employment, jobs or livelihoods without clearly identified priorities and interventions shall not be considered for scoring.</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"Clear priorities &amp; interventions identified ("&amp;TEXT($C$7/2,"0.00")&amp;")"</f>
        <v>Clear priorities &amp; interventions identified (5.00)</v>
      </c>
      <c r="I12" s="246" t="str">
        <f aca="false">"Measurable targets / outcome indicators (counts only if priorities = YES) ("&amp;TEXT($C$7/2,"0.00")&amp;")"</f>
        <v>Measurable targets / outcome indicators (counts only if priorities = YES) (5.00)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5" hidden="false" customHeight="true" outlineLevel="0" collapsed="false">
      <c r="A14" s="247" t="s">
        <v>19</v>
      </c>
      <c r="B14" s="248"/>
      <c r="C14" s="248"/>
      <c r="D14" s="248"/>
      <c r="E14" s="248"/>
      <c r="F14" s="248"/>
      <c r="G14" s="253" t="s">
        <v>1530</v>
      </c>
      <c r="H14" s="249" t="s">
        <v>1356</v>
      </c>
      <c r="I14" s="249" t="s">
        <v>1356</v>
      </c>
      <c r="J14" s="250" t="n">
        <f aca="false">IF(COUNTIFS('Scores (start here)'!$A:$A,$B$1,'Scores (start here)'!$B:$B,$A14,'Scores (start here)'!$F:$F,"&gt;=0")&gt;0,SUMIFS('Scores (start here)'!$F:$F,'Scores (start here)'!$A:$A,$B$1,'Scores (start here)'!$B:$B,$A14),L14)</f>
        <v>0</v>
      </c>
      <c r="K14" s="248" t="s">
        <v>1531</v>
      </c>
      <c r="L14" s="77" t="n">
        <f aca="false">IF(H14="","",IF(H14="NO",0,IF(I14="","",IF(I14="YES",$C$7,$C$7/2))))</f>
        <v>0</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14.25" hidden="false" customHeight="true" outlineLevel="0" collapsed="false">
      <c r="A33" s="247" t="s">
        <v>30</v>
      </c>
      <c r="B33" s="248" t="s">
        <v>124</v>
      </c>
      <c r="C33" s="248" t="s">
        <v>1532</v>
      </c>
      <c r="D33" s="248" t="s">
        <v>1533</v>
      </c>
      <c r="E33" s="248" t="s">
        <v>1534</v>
      </c>
      <c r="F33" s="248" t="s">
        <v>1453</v>
      </c>
      <c r="G33" s="248" t="s">
        <v>125</v>
      </c>
      <c r="H33" s="249" t="s">
        <v>1309</v>
      </c>
      <c r="I33" s="249" t="s">
        <v>1309</v>
      </c>
      <c r="J33" s="250" t="n">
        <f aca="false">IF(COUNTIFS('Scores (start here)'!$A:$A,$B$1,'Scores (start here)'!$B:$B,$A33,'Scores (start here)'!$F:$F,"&gt;=0")&gt;0,SUMIFS('Scores (start here)'!$F:$F,'Scores (start here)'!$A:$A,$B$1,'Scores (start here)'!$B:$B,$A33),L33)</f>
        <v>10</v>
      </c>
      <c r="K33" s="251" t="s">
        <v>1535</v>
      </c>
      <c r="L33" s="252" t="n">
        <f aca="false">IF(H33="","",IF(H33="NO",0,IF(I33="","",IF(I33="YES",$C$7,$C$7/2))))</f>
        <v>10</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C9" colorId="64" zoomScale="100" zoomScaleNormal="100" zoomScalePageLayoutView="100" workbookViewId="0">
      <selection pane="topLeft" activeCell="K9" activeCellId="0" sqref="K9"/>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287</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environment and heritage conservation? &gt;:&lt; a) Environmental Conservation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  &gt;:&lt; Check whether the municipal/city plan identifies clear priorities, interventions and measurable targets/outcomes across the following two components:Natural Environment and Climate ResilienceThese may include:Protection, enhancement or increase of recreational and non-recreational green spaces, urban forests and natural habitats.Conservation, restoration or revival of lakes, wetlands and other water bodies.Protection of environmentally sensitive areas and natural assets through appropriate zoning, buffers or other development controls.Increase in green cover, afforestation or reforestation.Protection/restoration of biodiversity and ecologically significant areas.Reduction in air, water and soil pollution.Climate-change mitigation and adaptation, including reduction in greenhouse gas emissions.Promotion of renewable energy and clean technologies.Disaster-risk reduction and resilience of natural systems.                                                                                                                                                                                                                                              For each component, score as follows:Score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targets/outcome indicators. Score 0: The component is absent, or is referred to only in general/aspirational terms without clearly identified priorities and associated interventions</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"Clear priorities &amp; interventions identified ("&amp;TEXT($C$7/2,"0.00")&amp;")"</f>
        <v>Clear priorities &amp; interventions identified (2.50)</v>
      </c>
      <c r="I12" s="246" t="str">
        <f aca="false">"Measurable targets / outcome indicators (counts only if priorities = YES) ("&amp;TEXT($C$7/2,"0.00")&amp;")"</f>
        <v>Measurable targets / outcome indicators (counts only if priorities = YES) (2.50)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5" hidden="false" customHeight="true" outlineLevel="0" collapsed="false">
      <c r="A14" s="247" t="s">
        <v>19</v>
      </c>
      <c r="B14" s="248" t="s">
        <v>230</v>
      </c>
      <c r="C14" s="248" t="s">
        <v>1536</v>
      </c>
      <c r="D14" s="248" t="s">
        <v>1537</v>
      </c>
      <c r="E14" s="248"/>
      <c r="F14" s="248" t="s">
        <v>970</v>
      </c>
      <c r="G14" s="253" t="s">
        <v>231</v>
      </c>
      <c r="H14" s="249" t="s">
        <v>1356</v>
      </c>
      <c r="I14" s="249" t="s">
        <v>1356</v>
      </c>
      <c r="J14" s="250" t="n">
        <f aca="false">IF(COUNTIFS('Scores (start here)'!$A:$A,$B$1,'Scores (start here)'!$B:$B,$A14,'Scores (start here)'!$F:$F,"&gt;=0")&gt;0,SUMIFS('Scores (start here)'!$F:$F,'Scores (start here)'!$A:$A,$B$1,'Scores (start here)'!$B:$B,$A14),L14)</f>
        <v>0</v>
      </c>
      <c r="K14" s="251" t="s">
        <v>1538</v>
      </c>
      <c r="L14" s="77" t="n">
        <f aca="false">IF(H14="","",IF(H14="NO",0,IF(I14="","",IF(I14="YES",$C$7,$C$7/2))))</f>
        <v>0</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23.25" hidden="false" customHeight="true" outlineLevel="0" collapsed="false">
      <c r="A33" s="247" t="s">
        <v>30</v>
      </c>
      <c r="B33" s="248" t="s">
        <v>124</v>
      </c>
      <c r="C33" s="248" t="s">
        <v>1539</v>
      </c>
      <c r="D33" s="248" t="s">
        <v>1540</v>
      </c>
      <c r="E33" s="248" t="s">
        <v>1541</v>
      </c>
      <c r="F33" s="248" t="s">
        <v>1542</v>
      </c>
      <c r="G33" s="248" t="s">
        <v>125</v>
      </c>
      <c r="H33" s="249" t="s">
        <v>1309</v>
      </c>
      <c r="I33" s="249" t="s">
        <v>1309</v>
      </c>
      <c r="J33" s="250" t="n">
        <f aca="false">IF(COUNTIFS('Scores (start here)'!$A:$A,$B$1,'Scores (start here)'!$B:$B,$A33,'Scores (start here)'!$F:$F,"&gt;=0")&gt;0,SUMIFS('Scores (start here)'!$F:$F,'Scores (start here)'!$A:$A,$B$1,'Scores (start here)'!$B:$B,$A33),L33)</f>
        <v>5</v>
      </c>
      <c r="K33" s="251" t="s">
        <v>1543</v>
      </c>
      <c r="L33" s="252" t="n">
        <f aca="false">IF(H33="","",IF(H33="NO",0,IF(I33="","",IF(I33="YES",$C$7,$C$7/2))))</f>
        <v>5</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 ref="G14" r:id="rId1" display="https://apps.bbmpgov.in/bcap/PDF/BCAP_FullReport_091224.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I14" activeCellId="0" sqref="I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295</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environment and heritage conservation? &gt;:&lt; b) Heritage Conservation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  &gt;:&lt; Check whether the municipal/city  plan identifies clear priorities, interventions and measurable targets/outcomes across the following two components:                                                                       Heritage ConservationThese may include:Identification and protection of heritage buildings, precincts, sites and other heritage assets.Identification and protection of natural heritage and culturally significant landscapes.Conservation, restoration or adaptive reuse of heritage buildings/sites.Designation of heritage zones/precincts and appropriate development controls or buffer areas.Protection of the character and built form of heritage areas.Integration of heritage conservation with redevelopment and other development proposals.Measurable targets for conservation, restoration or protection of identified heritage assets/precincts. For each component, score as follows:Score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targets/outcme indicators. Score 0: The component is absent, or is referred to only in general/aspirational terms without clearly identified priorities and associated interventions.</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"Clear priorities &amp; interventions identified ("&amp;TEXT($C$7/2,"0.00")&amp;")"</f>
        <v>Clear priorities &amp; interventions identified (2.50)</v>
      </c>
      <c r="I12" s="246" t="str">
        <f aca="false">"Measurable targets / outcome indicators (counts only if priorities = YES) ("&amp;TEXT($C$7/2,"0.00")&amp;")"</f>
        <v>Measurable targets / outcome indicators (counts only if priorities = YES) (2.50)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5" hidden="false" customHeight="true" outlineLevel="0" collapsed="false">
      <c r="A14" s="247" t="s">
        <v>19</v>
      </c>
      <c r="B14" s="248"/>
      <c r="C14" s="248"/>
      <c r="D14" s="248"/>
      <c r="E14" s="248"/>
      <c r="F14" s="248"/>
      <c r="G14" s="253" t="s">
        <v>1530</v>
      </c>
      <c r="H14" s="249" t="s">
        <v>1356</v>
      </c>
      <c r="I14" s="249" t="s">
        <v>1356</v>
      </c>
      <c r="J14" s="250" t="n">
        <f aca="false">IF(COUNTIFS('Scores (start here)'!$A:$A,$B$1,'Scores (start here)'!$B:$B,$A14,'Scores (start here)'!$F:$F,"&gt;=0")&gt;0,SUMIFS('Scores (start here)'!$F:$F,'Scores (start here)'!$A:$A,$B$1,'Scores (start here)'!$B:$B,$A14),L14)</f>
        <v>0</v>
      </c>
      <c r="K14" s="248" t="s">
        <v>1544</v>
      </c>
      <c r="L14" s="77" t="n">
        <f aca="false">IF(H14="","",IF(H14="NO",0,IF(I14="","",IF(I14="YES",$C$7,$C$7/2))))</f>
        <v>0</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45.75" hidden="false" customHeight="true" outlineLevel="0" collapsed="false">
      <c r="A33" s="247" t="s">
        <v>30</v>
      </c>
      <c r="B33" s="248" t="s">
        <v>124</v>
      </c>
      <c r="C33" s="248" t="s">
        <v>1545</v>
      </c>
      <c r="D33" s="248" t="s">
        <v>1546</v>
      </c>
      <c r="E33" s="248" t="s">
        <v>1547</v>
      </c>
      <c r="F33" s="248" t="s">
        <v>1548</v>
      </c>
      <c r="G33" s="248" t="s">
        <v>125</v>
      </c>
      <c r="H33" s="249"/>
      <c r="I33" s="249"/>
      <c r="J33" s="250" t="str">
        <f aca="false">IF(COUNTIFS('Scores (start here)'!$A:$A,$B$1,'Scores (start here)'!$B:$B,$A33,'Scores (start here)'!$F:$F,"&gt;=0")&gt;0,SUMIFS('Scores (start here)'!$F:$F,'Scores (start here)'!$A:$A,$B$1,'Scores (start here)'!$B:$B,$A33),L33)</f>
        <v/>
      </c>
      <c r="K33" s="251" t="s">
        <v>1549</v>
      </c>
      <c r="L33" s="77" t="str">
        <f aca="false">IF(H33="","",IF(H33="NO",0,IF(I33="","",IF(I33="YES",$C$7,$C$7/2))))</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D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301</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social development (health care, education)? &gt;:&lt; a) Education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EducationThese may include:Coverage/accessibility of anganwadis and pre-primary facilities.Availability of schools relative to population/service standards.Accessibility of educational facilities, including for persons with disabilities.Other measurable education-related service or accessibility outcomes.                                                                     For each component, score as follows:Score: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"Clear priorities &amp; interventions identified ("&amp;TEXT($C$7/2,"0.00")&amp;")"</f>
        <v>Clear priorities &amp; interventions identified (1.67)</v>
      </c>
      <c r="I12" s="246" t="str">
        <f aca="false">"Measurable targets / outcome indicators (counts only if priorities = YES) ("&amp;TEXT($C$7/2,"0.00")&amp;")"</f>
        <v>Measurable targets / outcome indicators (counts only if priorities = YES) (1.67)</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5" hidden="false" customHeight="true" outlineLevel="0" collapsed="false">
      <c r="A14" s="247" t="s">
        <v>19</v>
      </c>
      <c r="B14" s="248" t="s">
        <v>230</v>
      </c>
      <c r="C14" s="248" t="s">
        <v>1550</v>
      </c>
      <c r="D14" s="248" t="s">
        <v>1551</v>
      </c>
      <c r="E14" s="248" t="s">
        <v>1552</v>
      </c>
      <c r="F14" s="248" t="s">
        <v>1553</v>
      </c>
      <c r="G14" s="253" t="s">
        <v>231</v>
      </c>
      <c r="H14" s="249" t="s">
        <v>1356</v>
      </c>
      <c r="I14" s="249" t="s">
        <v>1356</v>
      </c>
      <c r="J14" s="250" t="n">
        <f aca="false">IF(COUNTIFS('Scores (start here)'!$A:$A,$B$1,'Scores (start here)'!$B:$B,$A14,'Scores (start here)'!$F:$F,"&gt;=0")&gt;0,SUMIFS('Scores (start here)'!$F:$F,'Scores (start here)'!$A:$A,$B$1,'Scores (start here)'!$B:$B,$A14),L14)</f>
        <v>0</v>
      </c>
      <c r="K14" s="251" t="s">
        <v>1554</v>
      </c>
      <c r="L14" s="77" t="n">
        <f aca="false">IF(H14="","",IF(H14="NO",0,IF(I14="","",IF(I14="YES",$C$7,$C$7/2))))</f>
        <v>0</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45.75" hidden="false" customHeight="true" outlineLevel="0" collapsed="false">
      <c r="A33" s="247" t="s">
        <v>30</v>
      </c>
      <c r="B33" s="248" t="s">
        <v>124</v>
      </c>
      <c r="C33" s="248" t="s">
        <v>1555</v>
      </c>
      <c r="D33" s="248" t="s">
        <v>1556</v>
      </c>
      <c r="E33" s="248" t="s">
        <v>1557</v>
      </c>
      <c r="F33" s="248" t="s">
        <v>1558</v>
      </c>
      <c r="G33" s="248" t="s">
        <v>125</v>
      </c>
      <c r="H33" s="249"/>
      <c r="I33" s="249"/>
      <c r="J33" s="250" t="str">
        <f aca="false">IF(COUNTIFS('Scores (start here)'!$A:$A,$B$1,'Scores (start here)'!$B:$B,$A33,'Scores (start here)'!$F:$F,"&gt;=0")&gt;0,SUMIFS('Scores (start here)'!$F:$F,'Scores (start here)'!$A:$A,$B$1,'Scores (start here)'!$B:$B,$A33),L33)</f>
        <v/>
      </c>
      <c r="K33" s="251" t="s">
        <v>1559</v>
      </c>
      <c r="L33" s="77" t="str">
        <f aca="false">IF(H33="","",IF(H33="NO",0,IF(I33="","",IF(I33="YES",$C$7,$C$7/2))))</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 ref="G14" r:id="rId1" display="https://apps.bbmpgov.in/bcap/PDF/BCAP_FullReport_091224.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C9" colorId="64" zoomScale="100" zoomScaleNormal="100" zoomScalePageLayoutView="100" workbookViewId="0">
      <selection pane="topLeft" activeCell="G15" activeCellId="0" sqref="G15"/>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309</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social development (health care, education)? &gt;:&lt; b) Healthcare</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HealthcareThese may include:Coverage/accessibility of dispensaries and primary healthcare facilities.Coverage/accessibility of hospitals, maternity/child welfare centres, rehabilitation or diagnostic facilities.Improvements in access to healthcare.Public-health outcomes, including reduction in vector-borne diseases or other locally relevant health risks.                                  For each component, score as follows:Score: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"Clear priorities &amp; interventions identified ("&amp;TEXT($C$7/2,"0.00")&amp;")"</f>
        <v>Clear priorities &amp; interventions identified (1.67)</v>
      </c>
      <c r="I12" s="246" t="str">
        <f aca="false">"Measurable targets / outcome indicators (counts only if priorities = YES) ("&amp;TEXT($C$7/2,"0.00")&amp;")"</f>
        <v>Measurable targets / outcome indicators (counts only if priorities = YES) (1.67)</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5" hidden="false" customHeight="true" outlineLevel="0" collapsed="false">
      <c r="A14" s="247" t="s">
        <v>19</v>
      </c>
      <c r="B14" s="248" t="s">
        <v>230</v>
      </c>
      <c r="C14" s="248" t="s">
        <v>1560</v>
      </c>
      <c r="D14" s="248" t="s">
        <v>1561</v>
      </c>
      <c r="E14" s="248" t="s">
        <v>1562</v>
      </c>
      <c r="F14" s="248" t="s">
        <v>1563</v>
      </c>
      <c r="G14" s="253" t="s">
        <v>231</v>
      </c>
      <c r="H14" s="249" t="s">
        <v>1356</v>
      </c>
      <c r="I14" s="249" t="s">
        <v>1356</v>
      </c>
      <c r="J14" s="250" t="n">
        <f aca="false">IF(COUNTIFS('Scores (start here)'!$A:$A,$B$1,'Scores (start here)'!$B:$B,$A14,'Scores (start here)'!$F:$F,"&gt;=0")&gt;0,SUMIFS('Scores (start here)'!$F:$F,'Scores (start here)'!$A:$A,$B$1,'Scores (start here)'!$B:$B,$A14),L14)</f>
        <v>0</v>
      </c>
      <c r="K14" s="251" t="s">
        <v>1564</v>
      </c>
      <c r="L14" s="77" t="n">
        <f aca="false">IF(H14="","",IF(H14="NO",0,IF(I14="","",IF(I14="YES",$C$7,$C$7/2))))</f>
        <v>0</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157.5" hidden="false" customHeight="true" outlineLevel="0" collapsed="false">
      <c r="A33" s="247" t="s">
        <v>30</v>
      </c>
      <c r="B33" s="248" t="s">
        <v>124</v>
      </c>
      <c r="C33" s="248" t="s">
        <v>1565</v>
      </c>
      <c r="D33" s="248" t="s">
        <v>1566</v>
      </c>
      <c r="E33" s="248" t="s">
        <v>1567</v>
      </c>
      <c r="F33" s="248" t="s">
        <v>1568</v>
      </c>
      <c r="G33" s="248" t="s">
        <v>125</v>
      </c>
      <c r="H33" s="249"/>
      <c r="I33" s="249"/>
      <c r="J33" s="250" t="str">
        <f aca="false">IF(COUNTIFS('Scores (start here)'!$A:$A,$B$1,'Scores (start here)'!$B:$B,$A33,'Scores (start here)'!$F:$F,"&gt;=0")&gt;0,SUMIFS('Scores (start here)'!$F:$F,'Scores (start here)'!$A:$A,$B$1,'Scores (start here)'!$B:$B,$A33),L33)</f>
        <v/>
      </c>
      <c r="K33" s="251" t="s">
        <v>1569</v>
      </c>
      <c r="L33" s="77" t="str">
        <f aca="false">IF(H33="","",IF(H33="NO",0,IF(I33="","",IF(I33="YES",$C$7,$C$7/2))))</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 ref="G14" r:id="rId1" display="https://apps.bbmpgov.in/bcap/PDF/BCAP_FullReport_091224.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7" activeCellId="0" sqref="G17"/>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317</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social development (health care, education)? &gt;:&lt; c) Affordable housing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Affordable housingThese may include:Assessment of existing and projected affordable housing requirements.Number/percentage of slums or inadequate settlements proposed for rehabilitation/upgradation.Provision of affordable housing - Identification of land parcels.Increase in affordable housing as a proportion of housing stock.Access to livelihood opportunities, public transport and basic services. For each component, score as follows:Score: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"Clear priorities &amp; interventions identified ("&amp;TEXT($C$7/2,"0.00")&amp;")"</f>
        <v>Clear priorities &amp; interventions identified (1.67)</v>
      </c>
      <c r="I12" s="246" t="str">
        <f aca="false">"Measurable targets / outcome indicators (counts only if priorities = YES) ("&amp;TEXT($C$7/2,"0.00")&amp;")"</f>
        <v>Measurable targets / outcome indicators (counts only if priorities = YES) (1.67)</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5" hidden="false" customHeight="true" outlineLevel="0" collapsed="false">
      <c r="A14" s="247" t="s">
        <v>19</v>
      </c>
      <c r="B14" s="248"/>
      <c r="C14" s="248"/>
      <c r="D14" s="248"/>
      <c r="E14" s="248"/>
      <c r="F14" s="248"/>
      <c r="G14" s="253" t="s">
        <v>1530</v>
      </c>
      <c r="H14" s="249" t="s">
        <v>1356</v>
      </c>
      <c r="I14" s="249" t="s">
        <v>1356</v>
      </c>
      <c r="J14" s="250" t="n">
        <f aca="false">IF(COUNTIFS('Scores (start here)'!$A:$A,$B$1,'Scores (start here)'!$B:$B,$A14,'Scores (start here)'!$F:$F,"&gt;=0")&gt;0,SUMIFS('Scores (start here)'!$F:$F,'Scores (start here)'!$A:$A,$B$1,'Scores (start here)'!$B:$B,$A14),L14)</f>
        <v>0</v>
      </c>
      <c r="K14" s="248" t="s">
        <v>1570</v>
      </c>
      <c r="L14" s="77" t="n">
        <f aca="false">IF(H14="","",IF(H14="NO",0,IF(I14="","",IF(I14="YES",$C$7,$C$7/2))))</f>
        <v>0</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14.25" hidden="false" customHeight="true" outlineLevel="0" collapsed="false">
      <c r="A33" s="247" t="s">
        <v>30</v>
      </c>
      <c r="B33" s="248" t="s">
        <v>124</v>
      </c>
      <c r="C33" s="248" t="s">
        <v>1571</v>
      </c>
      <c r="D33" s="248" t="s">
        <v>1572</v>
      </c>
      <c r="E33" s="248" t="s">
        <v>1573</v>
      </c>
      <c r="F33" s="248" t="s">
        <v>1574</v>
      </c>
      <c r="G33" s="248" t="s">
        <v>125</v>
      </c>
      <c r="H33" s="249" t="s">
        <v>1309</v>
      </c>
      <c r="I33" s="249"/>
      <c r="J33" s="250" t="str">
        <f aca="false">IF(COUNTIFS('Scores (start here)'!$A:$A,$B$1,'Scores (start here)'!$B:$B,$A33,'Scores (start here)'!$F:$F,"&gt;=0")&gt;0,SUMIFS('Scores (start here)'!$F:$F,'Scores (start here)'!$A:$A,$B$1,'Scores (start here)'!$B:$B,$A33),L33)</f>
        <v/>
      </c>
      <c r="K33" s="251" t="s">
        <v>1575</v>
      </c>
      <c r="L33" s="77" t="str">
        <f aca="false">IF(H33="","",IF(H33="NO",0,IF(I33="","",IF(I33="YES",$C$7,$C$7/2))))</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C9" colorId="64" zoomScale="100" zoomScaleNormal="100" zoomScalePageLayoutView="100" workbookViewId="0">
      <selection pane="topLeft" activeCell="G15" activeCellId="0" sqref="G15"/>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325</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for women?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relating to women’s inclusion and access to the city.These may include:Economic participation and livelihoods: Measures to support women’s participation in formal and informal employment, including access to employment centres, markets, vending spaces and other livelihood opportunities.Access to infrastructure and basic services: Equitable access to housing, water and sanitation, healthcare, education, childcare and other public services.Mobility and accessibility: Safe and accessible public transport, walking and cycling infrastructure, and improved connectivity to employment and essential services.Safety and public spaces: Measures to improve women’s safety and access to streets, public spaces, parks and other public facilities.Care infrastructure: Provision and accessibility of childcare, care facilities and other infrastructure that supports women’s participation in economic and public life. Score 10: The municipal/city  plan identifies  atleast two or more clear priorities relating to women’s inclusion and associated interventions/actions and provides measurable/quantifiable targets or outcome indicators.Score 5: The municipal/city identifies  atleast two or more clear priorities relating to women’s inclusion and associated interventions/actions, but does not provide measurable targets/outcome indicators.Score 0: The municipal/city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"Clear priorities &amp; interventions identified ("&amp;TEXT($C$7/2,"0.00")&amp;")"</f>
        <v>Clear priorities &amp; interventions identified (5.00)</v>
      </c>
      <c r="I12" s="246" t="str">
        <f aca="false">"Measurable targets / outcome indicators (counts only if priorities = YES) ("&amp;TEXT($C$7/2,"0.00")&amp;")"</f>
        <v>Measurable targets / outcome indicators (counts only if priorities = YES) (5.00)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5" hidden="false" customHeight="true" outlineLevel="0" collapsed="false">
      <c r="A14" s="247" t="s">
        <v>19</v>
      </c>
      <c r="B14" s="248" t="s">
        <v>230</v>
      </c>
      <c r="C14" s="248" t="s">
        <v>1576</v>
      </c>
      <c r="D14" s="248" t="s">
        <v>1577</v>
      </c>
      <c r="E14" s="248" t="s">
        <v>1578</v>
      </c>
      <c r="F14" s="248" t="s">
        <v>1453</v>
      </c>
      <c r="G14" s="253" t="s">
        <v>231</v>
      </c>
      <c r="H14" s="249" t="s">
        <v>1356</v>
      </c>
      <c r="I14" s="249" t="s">
        <v>1356</v>
      </c>
      <c r="J14" s="250" t="n">
        <f aca="false">IF(COUNTIFS('Scores (start here)'!$A:$A,$B$1,'Scores (start here)'!$B:$B,$A14,'Scores (start here)'!$F:$F,"&gt;=0")&gt;0,SUMIFS('Scores (start here)'!$F:$F,'Scores (start here)'!$A:$A,$B$1,'Scores (start here)'!$B:$B,$A14),L14)</f>
        <v>0</v>
      </c>
      <c r="K14" s="251" t="s">
        <v>1579</v>
      </c>
      <c r="L14" s="77" t="n">
        <f aca="false">IF(H14="","",IF(H14="NO",0,IF(I14="","",IF(I14="YES",$C$7,$C$7/2))))</f>
        <v>0</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281.25" hidden="false" customHeight="true" outlineLevel="0" collapsed="false">
      <c r="A33" s="247" t="s">
        <v>30</v>
      </c>
      <c r="B33" s="248" t="s">
        <v>124</v>
      </c>
      <c r="C33" s="248" t="s">
        <v>1580</v>
      </c>
      <c r="D33" s="248" t="s">
        <v>1581</v>
      </c>
      <c r="E33" s="248" t="s">
        <v>1582</v>
      </c>
      <c r="F33" s="248" t="s">
        <v>1583</v>
      </c>
      <c r="G33" s="248" t="s">
        <v>125</v>
      </c>
      <c r="H33" s="249"/>
      <c r="I33" s="249"/>
      <c r="J33" s="250" t="str">
        <f aca="false">IF(COUNTIFS('Scores (start here)'!$A:$A,$B$1,'Scores (start here)'!$B:$B,$A33,'Scores (start here)'!$F:$F,"&gt;=0")&gt;0,SUMIFS('Scores (start here)'!$F:$F,'Scores (start here)'!$A:$A,$B$1,'Scores (start here)'!$B:$B,$A33),L33)</f>
        <v/>
      </c>
      <c r="K33" s="251" t="s">
        <v>1584</v>
      </c>
      <c r="L33" s="77" t="str">
        <f aca="false">IF(H33="","",IF(H33="NO",0,IF(I33="","",IF(I33="YES",$C$7,$C$7/2))))</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 ref="G14" r:id="rId1" display="https://apps.bbmpgov.in/bcap/PDF/BCAP_FullReport_091224.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6" activeCellId="0" sqref="G16"/>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333</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Shared spatial information and data coordination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common digital base municipal/city plan Map shared among Planning Authorities, and data updated through GIS with fixed periodicity by the relevent sectoral agencies (transport, network infrastructure, land use changes)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for the following:                                                                                                                    1) A State Spatial Data Centre with a map available for use by all agencies and parastatals in the state (Example: Karnataka State Remote Sensing Centre). If it is available, score 5                                                                                      2) The centre must provide atleast 2 of the following spatial data files (shape files/KML files) on - Land use, transport (road network, railway lines, metro lines etc.), admin boundaries (ward/corporation boundarie, metropolitan boundaries). If it is available, score 5 , else score 0 .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1385</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"Part 1: State spatial data centre / shared map ("&amp;TEXT($C$7/2,"0.00")&amp;")"</f>
        <v>Part 1: State spatial data centre / shared map (5.00)</v>
      </c>
      <c r="I12" s="246" t="str">
        <f aca="false">"Part 2: At least 2 spatial data files available ("&amp;TEXT($C$7/2,"0.00")&amp;")"</f>
        <v>Part 2: At least 2 spatial data files available (5.00)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IF(OR(H13="",I13=""),"",COUNTIF(H13:I13,"YES")/2*$C$7)</f>
        <v/>
      </c>
    </row>
    <row r="14" customFormat="false" ht="15" hidden="false" customHeight="true" outlineLevel="0" collapsed="false">
      <c r="A14" s="247" t="s">
        <v>19</v>
      </c>
      <c r="B14" s="248"/>
      <c r="C14" s="248"/>
      <c r="D14" s="248"/>
      <c r="E14" s="248"/>
      <c r="F14" s="248"/>
      <c r="G14" s="253" t="s">
        <v>1585</v>
      </c>
      <c r="H14" s="249" t="s">
        <v>1309</v>
      </c>
      <c r="I14" s="249" t="s">
        <v>1309</v>
      </c>
      <c r="J14" s="250" t="n">
        <f aca="false">IF(COUNTIFS('Scores (start here)'!$A:$A,$B$1,'Scores (start here)'!$B:$B,$A14,'Scores (start here)'!$F:$F,"&gt;=0")&gt;0,SUMIFS('Scores (start here)'!$F:$F,'Scores (start here)'!$A:$A,$B$1,'Scores (start here)'!$B:$B,$A14),L14)</f>
        <v>10</v>
      </c>
      <c r="K14" s="248" t="s">
        <v>1586</v>
      </c>
      <c r="L14" s="77" t="n">
        <f aca="false">IF(OR(H14="",I14=""),"",COUNTIF(H14:I14,"YES")/2*$C$7)</f>
        <v>10</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IF(OR(H15="",I15=""),"",COUNTIF(H15:I15,"YES")/2*$C$7)</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IF(OR(H16="",I16=""),"",COUNTIF(H16:I16,"YES")/2*$C$7)</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IF(OR(H17="",I17=""),"",COUNTIF(H17:I17,"YES")/2*$C$7)</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IF(OR(H18="",I18=""),"",COUNTIF(H18:I18,"YES")/2*$C$7)</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IF(OR(H19="",I19=""),"",COUNTIF(H19:I19,"YES")/2*$C$7)</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IF(OR(H20="",I20=""),"",COUNTIF(H20:I20,"YES")/2*$C$7)</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IF(OR(H21="",I21=""),"",COUNTIF(H21:I21,"YES")/2*$C$7)</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IF(OR(H22="",I22=""),"",COUNTIF(H22:I22,"YES")/2*$C$7)</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IF(OR(H23="",I23=""),"",COUNTIF(H23:I23,"YES")/2*$C$7)</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IF(OR(H24="",I24=""),"",COUNTIF(H24:I24,"YES")/2*$C$7)</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IF(OR(H25="",I25=""),"",COUNTIF(H25:I25,"YES")/2*$C$7)</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IF(OR(H26="",I26=""),"",COUNTIF(H26:I26,"YES")/2*$C$7)</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IF(OR(H27="",I27=""),"",COUNTIF(H27:I27,"YES")/2*$C$7)</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IF(OR(H28="",I28=""),"",COUNTIF(H28:I28,"YES")/2*$C$7)</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IF(OR(H29="",I29=""),"",COUNTIF(H29:I29,"YES")/2*$C$7)</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IF(OR(H30="",I30=""),"",COUNTIF(H30:I30,"YES")/2*$C$7)</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IF(OR(H31="",I31=""),"",COUNTIF(H31:I31,"YES")/2*$C$7)</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IF(OR(H32="",I32=""),"",COUNTIF(H32:I32,"YES")/2*$C$7)</f>
        <v/>
      </c>
    </row>
    <row r="33" customFormat="false" ht="14.25" hidden="false" customHeight="true" outlineLevel="0" collapsed="false">
      <c r="A33" s="247" t="s">
        <v>30</v>
      </c>
      <c r="B33" s="248"/>
      <c r="C33" s="248"/>
      <c r="D33" s="248"/>
      <c r="E33" s="248"/>
      <c r="F33" s="248"/>
      <c r="G33" s="248"/>
      <c r="H33" s="249"/>
      <c r="I33" s="249"/>
      <c r="J33" s="250" t="str">
        <f aca="false">IF(COUNTIFS('Scores (start here)'!$A:$A,$B$1,'Scores (start here)'!$B:$B,$A33,'Scores (start here)'!$F:$F,"&gt;=0")&gt;0,SUMIFS('Scores (start here)'!$F:$F,'Scores (start here)'!$A:$A,$B$1,'Scores (start here)'!$B:$B,$A33),L33)</f>
        <v/>
      </c>
      <c r="K33" s="248" t="s">
        <v>1587</v>
      </c>
      <c r="L33" s="77" t="str">
        <f aca="false">IF(OR(H33="",I33=""),"",COUNTIF(H33:I33,"YES")/2*$C$7)</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IF(OR(H34="",I34=""),"",COUNTIF(H34:I34,"YES")/2*$C$7)</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IF(OR(H35="",I35=""),"",COUNTIF(H35:I35,"YES")/2*$C$7)</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IF(OR(H36="",I36=""),"",COUNTIF(H36:I36,"YES")/2*$C$7)</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IF(OR(H37="",I37=""),"",COUNTIF(H37:I37,"YES")/2*$C$7)</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IF(OR(H38="",I38=""),"",COUNTIF(H38:I38,"YES")/2*$C$7)</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IF(OR(H39="",I39=""),"",COUNTIF(H39:I39,"YES")/2*$C$7)</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IF(OR(H40="",I40=""),"",COUNTIF(H40:I40,"YES")/2*$C$7)</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IF(OR(H41="",I41=""),"",COUNTIF(H41:I41,"YES")/2*$C$7)</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 ref="G14" r:id="rId1" display="https://ksrsac.karnataka.gov.in/map.asp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D9" colorId="64" zoomScale="100" zoomScaleNormal="100" zoomScalePageLayoutView="100" workbookViewId="0">
      <selection pane="topLeft" activeCell="G10" activeCellId="0" sqref="G10"/>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0" min="8" style="77" width="22"/>
    <col collapsed="false" customWidth="true" hidden="false" outlineLevel="0" max="11" min="11" style="77" width="14"/>
    <col collapsed="false" customWidth="true" hidden="false" outlineLevel="0" max="12" min="12" style="77" width="45"/>
  </cols>
  <sheetData>
    <row r="1" customFormat="false" ht="14.25" hidden="false" customHeight="true" outlineLevel="0" collapsed="false">
      <c r="A1" s="238" t="s">
        <v>1288</v>
      </c>
      <c r="B1" s="238" t="s">
        <v>337</v>
      </c>
      <c r="C1" s="239" t="s">
        <v>1289</v>
      </c>
      <c r="K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Water supply and sewerage, sanitation, solid waste management  &gt;:&lt; Water supply and sewerage, sanitation, solid waste management </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city have a notified and active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ULG website, relevant parastatal/sectoral agency website, master plan and other official government sources for the existence of the relevant plan.The plan should be currently applicable/active for the city. Do not treat a strategy, guideline, mission document, project report, or brief document prepared solely to satisfy a scheme requirement as a sectoral plan unless it performs the functions of a city-level sectoral plan. For the city sanitation plan, a one-page document prepared for the Swachh Bharat Mission shall not qualify, consistent with your existing methodology.</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1385</v>
      </c>
    </row>
    <row r="11" customFormat="false" ht="28.5" hidden="false" customHeight="true" outlineLevel="0" collapsed="false">
      <c r="H11" s="243" t="s">
        <v>1294</v>
      </c>
      <c r="I11" s="243" t="s">
        <v>1294</v>
      </c>
      <c r="J11" s="243" t="s">
        <v>1294</v>
      </c>
      <c r="K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"UPD23a1: Water Supply &amp; Sewerage Plan ("&amp;TEXT($C$7/3,"0.00")&amp;")"</f>
        <v>UPD23a1: Water Supply &amp; Sewerage Plan (1.11)</v>
      </c>
      <c r="I12" s="246" t="str">
        <f aca="false">"UPD23a2: Solid Waste Management Plan ("&amp;TEXT($C$7/3,"0.00")&amp;")"</f>
        <v>UPD23a2: Solid Waste Management Plan (1.11)</v>
      </c>
      <c r="J12" s="246" t="str">
        <f aca="false">"UPD23a3: City Sanitation Plan ("&amp;TEXT($C$7/3,"0.00")&amp;")"</f>
        <v>UPD23a3: City Sanitation Plan (1.11)</v>
      </c>
      <c r="K12" s="244" t="s">
        <v>1303</v>
      </c>
      <c r="L12" s="246" t="s">
        <v>1304</v>
      </c>
      <c r="M12" s="77" t="s">
        <v>1305</v>
      </c>
    </row>
    <row r="13" customFormat="false" ht="14.25" hidden="false" customHeight="true" outlineLevel="0" collapsed="false">
      <c r="A13" s="247" t="s">
        <v>999</v>
      </c>
      <c r="B13" s="248"/>
      <c r="C13" s="248"/>
      <c r="D13" s="248"/>
      <c r="E13" s="248"/>
      <c r="F13" s="248"/>
      <c r="G13" s="248"/>
      <c r="H13" s="249"/>
      <c r="I13" s="249"/>
      <c r="J13" s="249"/>
      <c r="K13" s="250" t="str">
        <f aca="false">IF(COUNTIFS('Scores (start here)'!$A:$A,$B$1,'Scores (start here)'!$B:$B,$A13,'Scores (start here)'!$F:$F,"&gt;=0")&gt;0,SUMIFS('Scores (start here)'!$F:$F,'Scores (start here)'!$A:$A,$B$1,'Scores (start here)'!$B:$B,$A13),M13)</f>
        <v/>
      </c>
      <c r="L13" s="248"/>
      <c r="M13" s="77" t="str">
        <f aca="false">IF(OR(H13="",I13="",J13=""),"",COUNTIF(H13:J13,"YES")/3*$C$7)</f>
        <v/>
      </c>
    </row>
    <row r="14" customFormat="false" ht="15" hidden="false" customHeight="true" outlineLevel="0" collapsed="false">
      <c r="A14" s="247" t="s">
        <v>19</v>
      </c>
      <c r="B14" s="248"/>
      <c r="C14" s="248"/>
      <c r="D14" s="248"/>
      <c r="E14" s="248"/>
      <c r="F14" s="248"/>
      <c r="G14" s="253" t="s">
        <v>1588</v>
      </c>
      <c r="H14" s="249" t="s">
        <v>1309</v>
      </c>
      <c r="I14" s="249" t="s">
        <v>1356</v>
      </c>
      <c r="J14" s="249" t="s">
        <v>1356</v>
      </c>
      <c r="K14" s="250" t="n">
        <f aca="false">IF(COUNTIFS('Scores (start here)'!$A:$A,$B$1,'Scores (start here)'!$B:$B,$A14,'Scores (start here)'!$F:$F,"&gt;=0")&gt;0,SUMIFS('Scores (start here)'!$F:$F,'Scores (start here)'!$A:$A,$B$1,'Scores (start here)'!$B:$B,$A14),M14)</f>
        <v>1.11</v>
      </c>
      <c r="L14" s="248" t="s">
        <v>1589</v>
      </c>
      <c r="M14" s="77" t="n">
        <f aca="false">IF(OR(H14="",I14="",J14=""),"",COUNTIF(H14:J14,"YES")/3*$C$7)</f>
        <v>1.11</v>
      </c>
    </row>
    <row r="15" customFormat="false" ht="14.25" hidden="false" customHeight="true" outlineLevel="0" collapsed="false">
      <c r="A15" s="247" t="s">
        <v>1000</v>
      </c>
      <c r="B15" s="248"/>
      <c r="C15" s="248"/>
      <c r="D15" s="248"/>
      <c r="E15" s="248"/>
      <c r="F15" s="248"/>
      <c r="G15" s="248"/>
      <c r="H15" s="249"/>
      <c r="I15" s="249"/>
      <c r="J15" s="249"/>
      <c r="K15" s="250" t="str">
        <f aca="false">IF(COUNTIFS('Scores (start here)'!$A:$A,$B$1,'Scores (start here)'!$B:$B,$A15,'Scores (start here)'!$F:$F,"&gt;=0")&gt;0,SUMIFS('Scores (start here)'!$F:$F,'Scores (start here)'!$A:$A,$B$1,'Scores (start here)'!$B:$B,$A15),M15)</f>
        <v/>
      </c>
      <c r="L15" s="248"/>
      <c r="M15" s="77" t="str">
        <f aca="false">IF(OR(H15="",I15="",J15=""),"",COUNTIF(H15:J15,"YES")/3*$C$7)</f>
        <v/>
      </c>
    </row>
    <row r="16" customFormat="false" ht="14.25" hidden="false" customHeight="true" outlineLevel="0" collapsed="false">
      <c r="A16" s="247" t="s">
        <v>1001</v>
      </c>
      <c r="B16" s="248"/>
      <c r="C16" s="248"/>
      <c r="D16" s="248"/>
      <c r="E16" s="248"/>
      <c r="F16" s="248"/>
      <c r="G16" s="248"/>
      <c r="H16" s="249"/>
      <c r="I16" s="249"/>
      <c r="J16" s="249"/>
      <c r="K16" s="250" t="str">
        <f aca="false">IF(COUNTIFS('Scores (start here)'!$A:$A,$B$1,'Scores (start here)'!$B:$B,$A16,'Scores (start here)'!$F:$F,"&gt;=0")&gt;0,SUMIFS('Scores (start here)'!$F:$F,'Scores (start here)'!$A:$A,$B$1,'Scores (start here)'!$B:$B,$A16),M16)</f>
        <v/>
      </c>
      <c r="L16" s="248"/>
      <c r="M16" s="77" t="str">
        <f aca="false">IF(OR(H16="",I16="",J16=""),"",COUNTIF(H16:J16,"YES")/3*$C$7)</f>
        <v/>
      </c>
    </row>
    <row r="17" customFormat="false" ht="14.25" hidden="false" customHeight="true" outlineLevel="0" collapsed="false">
      <c r="A17" s="247" t="s">
        <v>1002</v>
      </c>
      <c r="B17" s="248"/>
      <c r="C17" s="248"/>
      <c r="D17" s="248"/>
      <c r="E17" s="248"/>
      <c r="F17" s="248"/>
      <c r="G17" s="248"/>
      <c r="H17" s="249"/>
      <c r="I17" s="249"/>
      <c r="J17" s="249"/>
      <c r="K17" s="250" t="str">
        <f aca="false">IF(COUNTIFS('Scores (start here)'!$A:$A,$B$1,'Scores (start here)'!$B:$B,$A17,'Scores (start here)'!$F:$F,"&gt;=0")&gt;0,SUMIFS('Scores (start here)'!$F:$F,'Scores (start here)'!$A:$A,$B$1,'Scores (start here)'!$B:$B,$A17),M17)</f>
        <v/>
      </c>
      <c r="L17" s="248"/>
      <c r="M17" s="77" t="str">
        <f aca="false">IF(OR(H17="",I17="",J17=""),"",COUNTIF(H17:J17,"YES")/3*$C$7)</f>
        <v/>
      </c>
    </row>
    <row r="18" customFormat="false" ht="14.25" hidden="false" customHeight="true" outlineLevel="0" collapsed="false">
      <c r="A18" s="247" t="s">
        <v>1003</v>
      </c>
      <c r="B18" s="248"/>
      <c r="C18" s="248"/>
      <c r="D18" s="248"/>
      <c r="E18" s="248"/>
      <c r="F18" s="248"/>
      <c r="G18" s="248"/>
      <c r="H18" s="249"/>
      <c r="I18" s="249"/>
      <c r="J18" s="249"/>
      <c r="K18" s="250" t="str">
        <f aca="false">IF(COUNTIFS('Scores (start here)'!$A:$A,$B$1,'Scores (start here)'!$B:$B,$A18,'Scores (start here)'!$F:$F,"&gt;=0")&gt;0,SUMIFS('Scores (start here)'!$F:$F,'Scores (start here)'!$A:$A,$B$1,'Scores (start here)'!$B:$B,$A18),M18)</f>
        <v/>
      </c>
      <c r="L18" s="248"/>
      <c r="M18" s="77" t="str">
        <f aca="false">IF(OR(H18="",I18="",J18=""),"",COUNTIF(H18:J18,"YES")/3*$C$7)</f>
        <v/>
      </c>
    </row>
    <row r="19" customFormat="false" ht="14.25" hidden="false" customHeight="true" outlineLevel="0" collapsed="false">
      <c r="A19" s="247" t="s">
        <v>1004</v>
      </c>
      <c r="B19" s="248"/>
      <c r="C19" s="248"/>
      <c r="D19" s="248"/>
      <c r="E19" s="248"/>
      <c r="F19" s="248"/>
      <c r="G19" s="248"/>
      <c r="H19" s="249"/>
      <c r="I19" s="249"/>
      <c r="J19" s="249"/>
      <c r="K19" s="250" t="str">
        <f aca="false">IF(COUNTIFS('Scores (start here)'!$A:$A,$B$1,'Scores (start here)'!$B:$B,$A19,'Scores (start here)'!$F:$F,"&gt;=0")&gt;0,SUMIFS('Scores (start here)'!$F:$F,'Scores (start here)'!$A:$A,$B$1,'Scores (start here)'!$B:$B,$A19),M19)</f>
        <v/>
      </c>
      <c r="L19" s="248"/>
      <c r="M19" s="77" t="str">
        <f aca="false">IF(OR(H19="",I19="",J19=""),"",COUNTIF(H19:J19,"YES")/3*$C$7)</f>
        <v/>
      </c>
    </row>
    <row r="20" customFormat="false" ht="14.25" hidden="false" customHeight="true" outlineLevel="0" collapsed="false">
      <c r="A20" s="247" t="s">
        <v>1005</v>
      </c>
      <c r="B20" s="248"/>
      <c r="C20" s="248"/>
      <c r="D20" s="248"/>
      <c r="E20" s="248"/>
      <c r="F20" s="248"/>
      <c r="G20" s="248"/>
      <c r="H20" s="249"/>
      <c r="I20" s="249"/>
      <c r="J20" s="249"/>
      <c r="K20" s="250" t="str">
        <f aca="false">IF(COUNTIFS('Scores (start here)'!$A:$A,$B$1,'Scores (start here)'!$B:$B,$A20,'Scores (start here)'!$F:$F,"&gt;=0")&gt;0,SUMIFS('Scores (start here)'!$F:$F,'Scores (start here)'!$A:$A,$B$1,'Scores (start here)'!$B:$B,$A20),M20)</f>
        <v/>
      </c>
      <c r="L20" s="248"/>
      <c r="M20" s="77" t="str">
        <f aca="false">IF(OR(H20="",I20="",J20=""),"",COUNTIF(H20:J20,"YES")/3*$C$7)</f>
        <v/>
      </c>
    </row>
    <row r="21" customFormat="false" ht="14.25" hidden="false" customHeight="true" outlineLevel="0" collapsed="false">
      <c r="A21" s="247" t="s">
        <v>1006</v>
      </c>
      <c r="B21" s="248"/>
      <c r="C21" s="248"/>
      <c r="D21" s="248"/>
      <c r="E21" s="248"/>
      <c r="F21" s="248"/>
      <c r="G21" s="248"/>
      <c r="H21" s="249"/>
      <c r="I21" s="249"/>
      <c r="J21" s="249"/>
      <c r="K21" s="250" t="str">
        <f aca="false">IF(COUNTIFS('Scores (start here)'!$A:$A,$B$1,'Scores (start here)'!$B:$B,$A21,'Scores (start here)'!$F:$F,"&gt;=0")&gt;0,SUMIFS('Scores (start here)'!$F:$F,'Scores (start here)'!$A:$A,$B$1,'Scores (start here)'!$B:$B,$A21),M21)</f>
        <v/>
      </c>
      <c r="L21" s="248"/>
      <c r="M21" s="77" t="str">
        <f aca="false">IF(OR(H21="",I21="",J21=""),"",COUNTIF(H21:J21,"YES")/3*$C$7)</f>
        <v/>
      </c>
    </row>
    <row r="22" customFormat="false" ht="14.25" hidden="false" customHeight="true" outlineLevel="0" collapsed="false">
      <c r="A22" s="247" t="s">
        <v>1007</v>
      </c>
      <c r="B22" s="248"/>
      <c r="C22" s="248"/>
      <c r="D22" s="248"/>
      <c r="E22" s="248"/>
      <c r="F22" s="248"/>
      <c r="G22" s="248"/>
      <c r="H22" s="249"/>
      <c r="I22" s="249"/>
      <c r="J22" s="249"/>
      <c r="K22" s="250" t="str">
        <f aca="false">IF(COUNTIFS('Scores (start here)'!$A:$A,$B$1,'Scores (start here)'!$B:$B,$A22,'Scores (start here)'!$F:$F,"&gt;=0")&gt;0,SUMIFS('Scores (start here)'!$F:$F,'Scores (start here)'!$A:$A,$B$1,'Scores (start here)'!$B:$B,$A22),M22)</f>
        <v/>
      </c>
      <c r="L22" s="248"/>
      <c r="M22" s="77" t="str">
        <f aca="false">IF(OR(H22="",I22="",J22=""),"",COUNTIF(H22:J22,"YES")/3*$C$7)</f>
        <v/>
      </c>
    </row>
    <row r="23" customFormat="false" ht="14.25" hidden="false" customHeight="true" outlineLevel="0" collapsed="false">
      <c r="A23" s="247" t="s">
        <v>1008</v>
      </c>
      <c r="B23" s="248"/>
      <c r="C23" s="248"/>
      <c r="D23" s="248"/>
      <c r="E23" s="248"/>
      <c r="F23" s="248"/>
      <c r="G23" s="248"/>
      <c r="H23" s="249"/>
      <c r="I23" s="249"/>
      <c r="J23" s="249"/>
      <c r="K23" s="250" t="str">
        <f aca="false">IF(COUNTIFS('Scores (start here)'!$A:$A,$B$1,'Scores (start here)'!$B:$B,$A23,'Scores (start here)'!$F:$F,"&gt;=0")&gt;0,SUMIFS('Scores (start here)'!$F:$F,'Scores (start here)'!$A:$A,$B$1,'Scores (start here)'!$B:$B,$A23),M23)</f>
        <v/>
      </c>
      <c r="L23" s="248"/>
      <c r="M23" s="77" t="str">
        <f aca="false">IF(OR(H23="",I23="",J23=""),"",COUNTIF(H23:J23,"YES")/3*$C$7)</f>
        <v/>
      </c>
    </row>
    <row r="24" customFormat="false" ht="14.25" hidden="false" customHeight="true" outlineLevel="0" collapsed="false">
      <c r="A24" s="247" t="s">
        <v>1009</v>
      </c>
      <c r="B24" s="248"/>
      <c r="C24" s="248"/>
      <c r="D24" s="248"/>
      <c r="E24" s="248"/>
      <c r="F24" s="248"/>
      <c r="G24" s="248"/>
      <c r="H24" s="249"/>
      <c r="I24" s="249"/>
      <c r="J24" s="249"/>
      <c r="K24" s="250" t="str">
        <f aca="false">IF(COUNTIFS('Scores (start here)'!$A:$A,$B$1,'Scores (start here)'!$B:$B,$A24,'Scores (start here)'!$F:$F,"&gt;=0")&gt;0,SUMIFS('Scores (start here)'!$F:$F,'Scores (start here)'!$A:$A,$B$1,'Scores (start here)'!$B:$B,$A24),M24)</f>
        <v/>
      </c>
      <c r="L24" s="248"/>
      <c r="M24" s="77" t="str">
        <f aca="false">IF(OR(H24="",I24="",J24=""),"",COUNTIF(H24:J24,"YES")/3*$C$7)</f>
        <v/>
      </c>
    </row>
    <row r="25" customFormat="false" ht="14.25" hidden="false" customHeight="true" outlineLevel="0" collapsed="false">
      <c r="A25" s="247" t="s">
        <v>1010</v>
      </c>
      <c r="B25" s="248"/>
      <c r="C25" s="248"/>
      <c r="D25" s="248"/>
      <c r="E25" s="248"/>
      <c r="F25" s="248"/>
      <c r="G25" s="248"/>
      <c r="H25" s="249"/>
      <c r="I25" s="249"/>
      <c r="J25" s="249"/>
      <c r="K25" s="250" t="str">
        <f aca="false">IF(COUNTIFS('Scores (start here)'!$A:$A,$B$1,'Scores (start here)'!$B:$B,$A25,'Scores (start here)'!$F:$F,"&gt;=0")&gt;0,SUMIFS('Scores (start here)'!$F:$F,'Scores (start here)'!$A:$A,$B$1,'Scores (start here)'!$B:$B,$A25),M25)</f>
        <v/>
      </c>
      <c r="L25" s="248"/>
      <c r="M25" s="77" t="str">
        <f aca="false">IF(OR(H25="",I25="",J25=""),"",COUNTIF(H25:J25,"YES")/3*$C$7)</f>
        <v/>
      </c>
    </row>
    <row r="26" customFormat="false" ht="14.25" hidden="false" customHeight="true" outlineLevel="0" collapsed="false">
      <c r="A26" s="247" t="s">
        <v>1011</v>
      </c>
      <c r="B26" s="248"/>
      <c r="C26" s="248"/>
      <c r="D26" s="248"/>
      <c r="E26" s="248"/>
      <c r="F26" s="248"/>
      <c r="G26" s="248"/>
      <c r="H26" s="249"/>
      <c r="I26" s="249"/>
      <c r="J26" s="249"/>
      <c r="K26" s="250" t="str">
        <f aca="false">IF(COUNTIFS('Scores (start here)'!$A:$A,$B$1,'Scores (start here)'!$B:$B,$A26,'Scores (start here)'!$F:$F,"&gt;=0")&gt;0,SUMIFS('Scores (start here)'!$F:$F,'Scores (start here)'!$A:$A,$B$1,'Scores (start here)'!$B:$B,$A26),M26)</f>
        <v/>
      </c>
      <c r="L26" s="248"/>
      <c r="M26" s="77" t="str">
        <f aca="false">IF(OR(H26="",I26="",J26=""),"",COUNTIF(H26:J26,"YES")/3*$C$7)</f>
        <v/>
      </c>
    </row>
    <row r="27" customFormat="false" ht="14.25" hidden="false" customHeight="true" outlineLevel="0" collapsed="false">
      <c r="A27" s="247" t="s">
        <v>1012</v>
      </c>
      <c r="B27" s="248"/>
      <c r="C27" s="248"/>
      <c r="D27" s="248"/>
      <c r="E27" s="248"/>
      <c r="F27" s="248"/>
      <c r="G27" s="248"/>
      <c r="H27" s="249"/>
      <c r="I27" s="249"/>
      <c r="J27" s="249"/>
      <c r="K27" s="250" t="str">
        <f aca="false">IF(COUNTIFS('Scores (start here)'!$A:$A,$B$1,'Scores (start here)'!$B:$B,$A27,'Scores (start here)'!$F:$F,"&gt;=0")&gt;0,SUMIFS('Scores (start here)'!$F:$F,'Scores (start here)'!$A:$A,$B$1,'Scores (start here)'!$B:$B,$A27),M27)</f>
        <v/>
      </c>
      <c r="L27" s="248"/>
      <c r="M27" s="77" t="str">
        <f aca="false">IF(OR(H27="",I27="",J27=""),"",COUNTIF(H27:J27,"YES")/3*$C$7)</f>
        <v/>
      </c>
    </row>
    <row r="28" customFormat="false" ht="14.25" hidden="false" customHeight="true" outlineLevel="0" collapsed="false">
      <c r="A28" s="247" t="s">
        <v>1013</v>
      </c>
      <c r="B28" s="248"/>
      <c r="C28" s="248"/>
      <c r="D28" s="248"/>
      <c r="E28" s="248"/>
      <c r="F28" s="248"/>
      <c r="G28" s="248"/>
      <c r="H28" s="249"/>
      <c r="I28" s="249"/>
      <c r="J28" s="249"/>
      <c r="K28" s="250" t="str">
        <f aca="false">IF(COUNTIFS('Scores (start here)'!$A:$A,$B$1,'Scores (start here)'!$B:$B,$A28,'Scores (start here)'!$F:$F,"&gt;=0")&gt;0,SUMIFS('Scores (start here)'!$F:$F,'Scores (start here)'!$A:$A,$B$1,'Scores (start here)'!$B:$B,$A28),M28)</f>
        <v/>
      </c>
      <c r="L28" s="248"/>
      <c r="M28" s="77" t="str">
        <f aca="false">IF(OR(H28="",I28="",J28=""),"",COUNTIF(H28:J28,"YES")/3*$C$7)</f>
        <v/>
      </c>
    </row>
    <row r="29" customFormat="false" ht="14.25" hidden="false" customHeight="true" outlineLevel="0" collapsed="false">
      <c r="A29" s="247" t="s">
        <v>1014</v>
      </c>
      <c r="B29" s="248"/>
      <c r="C29" s="248"/>
      <c r="D29" s="248"/>
      <c r="E29" s="248"/>
      <c r="F29" s="248"/>
      <c r="G29" s="248"/>
      <c r="H29" s="249"/>
      <c r="I29" s="249"/>
      <c r="J29" s="249"/>
      <c r="K29" s="250" t="str">
        <f aca="false">IF(COUNTIFS('Scores (start here)'!$A:$A,$B$1,'Scores (start here)'!$B:$B,$A29,'Scores (start here)'!$F:$F,"&gt;=0")&gt;0,SUMIFS('Scores (start here)'!$F:$F,'Scores (start here)'!$A:$A,$B$1,'Scores (start here)'!$B:$B,$A29),M29)</f>
        <v/>
      </c>
      <c r="L29" s="248"/>
      <c r="M29" s="77" t="str">
        <f aca="false">IF(OR(H29="",I29="",J29=""),"",COUNTIF(H29:J29,"YES")/3*$C$7)</f>
        <v/>
      </c>
    </row>
    <row r="30" customFormat="false" ht="14.25" hidden="false" customHeight="true" outlineLevel="0" collapsed="false">
      <c r="A30" s="247" t="s">
        <v>1015</v>
      </c>
      <c r="B30" s="248"/>
      <c r="C30" s="248"/>
      <c r="D30" s="248"/>
      <c r="E30" s="248"/>
      <c r="F30" s="248"/>
      <c r="G30" s="248"/>
      <c r="H30" s="249"/>
      <c r="I30" s="249"/>
      <c r="J30" s="249"/>
      <c r="K30" s="250" t="str">
        <f aca="false">IF(COUNTIFS('Scores (start here)'!$A:$A,$B$1,'Scores (start here)'!$B:$B,$A30,'Scores (start here)'!$F:$F,"&gt;=0")&gt;0,SUMIFS('Scores (start here)'!$F:$F,'Scores (start here)'!$A:$A,$B$1,'Scores (start here)'!$B:$B,$A30),M30)</f>
        <v/>
      </c>
      <c r="L30" s="248"/>
      <c r="M30" s="77" t="str">
        <f aca="false">IF(OR(H30="",I30="",J30=""),"",COUNTIF(H30:J30,"YES")/3*$C$7)</f>
        <v/>
      </c>
    </row>
    <row r="31" customFormat="false" ht="14.25" hidden="false" customHeight="true" outlineLevel="0" collapsed="false">
      <c r="A31" s="247" t="s">
        <v>1016</v>
      </c>
      <c r="B31" s="248"/>
      <c r="C31" s="248"/>
      <c r="D31" s="248"/>
      <c r="E31" s="248"/>
      <c r="F31" s="248"/>
      <c r="G31" s="248"/>
      <c r="H31" s="249"/>
      <c r="I31" s="249"/>
      <c r="J31" s="249"/>
      <c r="K31" s="250" t="str">
        <f aca="false">IF(COUNTIFS('Scores (start here)'!$A:$A,$B$1,'Scores (start here)'!$B:$B,$A31,'Scores (start here)'!$F:$F,"&gt;=0")&gt;0,SUMIFS('Scores (start here)'!$F:$F,'Scores (start here)'!$A:$A,$B$1,'Scores (start here)'!$B:$B,$A31),M31)</f>
        <v/>
      </c>
      <c r="L31" s="248"/>
      <c r="M31" s="77" t="str">
        <f aca="false">IF(OR(H31="",I31="",J31=""),"",COUNTIF(H31:J31,"YES")/3*$C$7)</f>
        <v/>
      </c>
    </row>
    <row r="32" customFormat="false" ht="14.25" hidden="false" customHeight="true" outlineLevel="0" collapsed="false">
      <c r="A32" s="247" t="s">
        <v>1017</v>
      </c>
      <c r="B32" s="248"/>
      <c r="C32" s="248"/>
      <c r="D32" s="248"/>
      <c r="E32" s="248"/>
      <c r="F32" s="248"/>
      <c r="G32" s="248"/>
      <c r="H32" s="249"/>
      <c r="I32" s="249"/>
      <c r="J32" s="249"/>
      <c r="K32" s="250" t="str">
        <f aca="false">IF(COUNTIFS('Scores (start here)'!$A:$A,$B$1,'Scores (start here)'!$B:$B,$A32,'Scores (start here)'!$F:$F,"&gt;=0")&gt;0,SUMIFS('Scores (start here)'!$F:$F,'Scores (start here)'!$A:$A,$B$1,'Scores (start here)'!$B:$B,$A32),M32)</f>
        <v/>
      </c>
      <c r="L32" s="248"/>
      <c r="M32" s="77" t="str">
        <f aca="false">IF(OR(H32="",I32="",J32=""),"",COUNTIF(H32:J32,"YES")/3*$C$7)</f>
        <v/>
      </c>
    </row>
    <row r="33" customFormat="false" ht="14.25" hidden="false" customHeight="true" outlineLevel="0" collapsed="false">
      <c r="A33" s="247" t="s">
        <v>30</v>
      </c>
      <c r="B33" s="248"/>
      <c r="C33" s="248"/>
      <c r="D33" s="248"/>
      <c r="E33" s="248"/>
      <c r="F33" s="248"/>
      <c r="G33" s="248"/>
      <c r="H33" s="249"/>
      <c r="I33" s="249"/>
      <c r="J33" s="249"/>
      <c r="K33" s="250" t="str">
        <f aca="false">IF(COUNTIFS('Scores (start here)'!$A:$A,$B$1,'Scores (start here)'!$B:$B,$A33,'Scores (start here)'!$F:$F,"&gt;=0")&gt;0,SUMIFS('Scores (start here)'!$F:$F,'Scores (start here)'!$A:$A,$B$1,'Scores (start here)'!$B:$B,$A33),M33)</f>
        <v/>
      </c>
      <c r="L33" s="248" t="s">
        <v>1590</v>
      </c>
      <c r="M33" s="77" t="str">
        <f aca="false">IF(OR(H33="",I33="",J33=""),"",COUNTIF(H33:J33,"YES")/3*$C$7)</f>
        <v/>
      </c>
    </row>
    <row r="34" customFormat="false" ht="14.25" hidden="false" customHeight="true" outlineLevel="0" collapsed="false">
      <c r="A34" s="247" t="s">
        <v>1018</v>
      </c>
      <c r="B34" s="248"/>
      <c r="C34" s="248"/>
      <c r="D34" s="248"/>
      <c r="E34" s="248"/>
      <c r="F34" s="248"/>
      <c r="G34" s="248"/>
      <c r="H34" s="249"/>
      <c r="I34" s="249"/>
      <c r="J34" s="249"/>
      <c r="K34" s="250" t="str">
        <f aca="false">IF(COUNTIFS('Scores (start here)'!$A:$A,$B$1,'Scores (start here)'!$B:$B,$A34,'Scores (start here)'!$F:$F,"&gt;=0")&gt;0,SUMIFS('Scores (start here)'!$F:$F,'Scores (start here)'!$A:$A,$B$1,'Scores (start here)'!$B:$B,$A34),M34)</f>
        <v/>
      </c>
      <c r="L34" s="248"/>
      <c r="M34" s="77" t="str">
        <f aca="false">IF(OR(H34="",I34="",J34=""),"",COUNTIF(H34:J34,"YES")/3*$C$7)</f>
        <v/>
      </c>
    </row>
    <row r="35" customFormat="false" ht="14.25" hidden="false" customHeight="true" outlineLevel="0" collapsed="false">
      <c r="A35" s="247" t="s">
        <v>1019</v>
      </c>
      <c r="B35" s="248"/>
      <c r="C35" s="248"/>
      <c r="D35" s="248"/>
      <c r="E35" s="248"/>
      <c r="F35" s="248"/>
      <c r="G35" s="248"/>
      <c r="H35" s="249"/>
      <c r="I35" s="249"/>
      <c r="J35" s="249"/>
      <c r="K35" s="250" t="str">
        <f aca="false">IF(COUNTIFS('Scores (start here)'!$A:$A,$B$1,'Scores (start here)'!$B:$B,$A35,'Scores (start here)'!$F:$F,"&gt;=0")&gt;0,SUMIFS('Scores (start here)'!$F:$F,'Scores (start here)'!$A:$A,$B$1,'Scores (start here)'!$B:$B,$A35),M35)</f>
        <v/>
      </c>
      <c r="L35" s="248"/>
      <c r="M35" s="77" t="str">
        <f aca="false">IF(OR(H35="",I35="",J35=""),"",COUNTIF(H35:J35,"YES")/3*$C$7)</f>
        <v/>
      </c>
    </row>
    <row r="36" customFormat="false" ht="14.25" hidden="false" customHeight="true" outlineLevel="0" collapsed="false">
      <c r="A36" s="247" t="s">
        <v>1020</v>
      </c>
      <c r="B36" s="248"/>
      <c r="C36" s="248"/>
      <c r="D36" s="248"/>
      <c r="E36" s="248"/>
      <c r="F36" s="248"/>
      <c r="G36" s="248"/>
      <c r="H36" s="249"/>
      <c r="I36" s="249"/>
      <c r="J36" s="249"/>
      <c r="K36" s="250" t="str">
        <f aca="false">IF(COUNTIFS('Scores (start here)'!$A:$A,$B$1,'Scores (start here)'!$B:$B,$A36,'Scores (start here)'!$F:$F,"&gt;=0")&gt;0,SUMIFS('Scores (start here)'!$F:$F,'Scores (start here)'!$A:$A,$B$1,'Scores (start here)'!$B:$B,$A36),M36)</f>
        <v/>
      </c>
      <c r="L36" s="248"/>
      <c r="M36" s="77" t="str">
        <f aca="false">IF(OR(H36="",I36="",J36=""),"",COUNTIF(H36:J36,"YES")/3*$C$7)</f>
        <v/>
      </c>
    </row>
    <row r="37" customFormat="false" ht="14.25" hidden="false" customHeight="true" outlineLevel="0" collapsed="false">
      <c r="A37" s="247" t="s">
        <v>1021</v>
      </c>
      <c r="B37" s="248"/>
      <c r="C37" s="248"/>
      <c r="D37" s="248"/>
      <c r="E37" s="248"/>
      <c r="F37" s="248"/>
      <c r="G37" s="248"/>
      <c r="H37" s="249"/>
      <c r="I37" s="249"/>
      <c r="J37" s="249"/>
      <c r="K37" s="250" t="str">
        <f aca="false">IF(COUNTIFS('Scores (start here)'!$A:$A,$B$1,'Scores (start here)'!$B:$B,$A37,'Scores (start here)'!$F:$F,"&gt;=0")&gt;0,SUMIFS('Scores (start here)'!$F:$F,'Scores (start here)'!$A:$A,$B$1,'Scores (start here)'!$B:$B,$A37),M37)</f>
        <v/>
      </c>
      <c r="L37" s="248"/>
      <c r="M37" s="77" t="str">
        <f aca="false">IF(OR(H37="",I37="",J37=""),"",COUNTIF(H37:J37,"YES")/3*$C$7)</f>
        <v/>
      </c>
    </row>
    <row r="38" customFormat="false" ht="14.25" hidden="false" customHeight="true" outlineLevel="0" collapsed="false">
      <c r="A38" s="247" t="s">
        <v>1022</v>
      </c>
      <c r="B38" s="248"/>
      <c r="C38" s="248"/>
      <c r="D38" s="248"/>
      <c r="E38" s="248"/>
      <c r="F38" s="248"/>
      <c r="G38" s="248"/>
      <c r="H38" s="249"/>
      <c r="I38" s="249"/>
      <c r="J38" s="249"/>
      <c r="K38" s="250" t="str">
        <f aca="false">IF(COUNTIFS('Scores (start here)'!$A:$A,$B$1,'Scores (start here)'!$B:$B,$A38,'Scores (start here)'!$F:$F,"&gt;=0")&gt;0,SUMIFS('Scores (start here)'!$F:$F,'Scores (start here)'!$A:$A,$B$1,'Scores (start here)'!$B:$B,$A38),M38)</f>
        <v/>
      </c>
      <c r="L38" s="248"/>
      <c r="M38" s="77" t="str">
        <f aca="false">IF(OR(H38="",I38="",J38=""),"",COUNTIF(H38:J38,"YES")/3*$C$7)</f>
        <v/>
      </c>
    </row>
    <row r="39" customFormat="false" ht="14.25" hidden="false" customHeight="true" outlineLevel="0" collapsed="false">
      <c r="A39" s="247" t="s">
        <v>1023</v>
      </c>
      <c r="B39" s="248"/>
      <c r="C39" s="248"/>
      <c r="D39" s="248"/>
      <c r="E39" s="248"/>
      <c r="F39" s="248"/>
      <c r="G39" s="248"/>
      <c r="H39" s="249"/>
      <c r="I39" s="249"/>
      <c r="J39" s="249"/>
      <c r="K39" s="250" t="str">
        <f aca="false">IF(COUNTIFS('Scores (start here)'!$A:$A,$B$1,'Scores (start here)'!$B:$B,$A39,'Scores (start here)'!$F:$F,"&gt;=0")&gt;0,SUMIFS('Scores (start here)'!$F:$F,'Scores (start here)'!$A:$A,$B$1,'Scores (start here)'!$B:$B,$A39),M39)</f>
        <v/>
      </c>
      <c r="L39" s="248"/>
      <c r="M39" s="77" t="str">
        <f aca="false">IF(OR(H39="",I39="",J39=""),"",COUNTIF(H39:J39,"YES")/3*$C$7)</f>
        <v/>
      </c>
    </row>
    <row r="40" customFormat="false" ht="14.25" hidden="false" customHeight="true" outlineLevel="0" collapsed="false">
      <c r="A40" s="247" t="s">
        <v>1024</v>
      </c>
      <c r="B40" s="248"/>
      <c r="C40" s="248"/>
      <c r="D40" s="248"/>
      <c r="E40" s="248"/>
      <c r="F40" s="248"/>
      <c r="G40" s="248"/>
      <c r="H40" s="249"/>
      <c r="I40" s="249"/>
      <c r="J40" s="249"/>
      <c r="K40" s="250" t="str">
        <f aca="false">IF(COUNTIFS('Scores (start here)'!$A:$A,$B$1,'Scores (start here)'!$B:$B,$A40,'Scores (start here)'!$F:$F,"&gt;=0")&gt;0,SUMIFS('Scores (start here)'!$F:$F,'Scores (start here)'!$A:$A,$B$1,'Scores (start here)'!$B:$B,$A40),M40)</f>
        <v/>
      </c>
      <c r="L40" s="248"/>
      <c r="M40" s="77" t="str">
        <f aca="false">IF(OR(H40="",I40="",J40=""),"",COUNTIF(H40:J40,"YES")/3*$C$7)</f>
        <v/>
      </c>
    </row>
    <row r="41" customFormat="false" ht="14.25" hidden="false" customHeight="true" outlineLevel="0" collapsed="false">
      <c r="A41" s="247" t="s">
        <v>1025</v>
      </c>
      <c r="B41" s="248"/>
      <c r="C41" s="248"/>
      <c r="D41" s="248"/>
      <c r="E41" s="248"/>
      <c r="F41" s="248"/>
      <c r="G41" s="248"/>
      <c r="H41" s="249"/>
      <c r="I41" s="249"/>
      <c r="J41" s="249"/>
      <c r="K41" s="250" t="str">
        <f aca="false">IF(COUNTIFS('Scores (start here)'!$A:$A,$B$1,'Scores (start here)'!$B:$B,$A41,'Scores (start here)'!$F:$F,"&gt;=0")&gt;0,SUMIFS('Scores (start here)'!$F:$F,'Scores (start here)'!$A:$A,$B$1,'Scores (start here)'!$B:$B,$A41),M41)</f>
        <v/>
      </c>
      <c r="L41" s="248"/>
      <c r="M41" s="77" t="str">
        <f aca="false">IF(OR(H41="",I41="",J41=""),"",COUNTIF(H41:J41,"YES")/3*$C$7)</f>
        <v/>
      </c>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K1" location="'Scores (start here)'!A1" display="← Back to Scores (start here)"/>
    <hyperlink ref="G14" r:id="rId1" display="https://bwssb.karnataka.gov.in/storage/pdf-files/documents/Vision%20Document%202050%20%20new.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D9" colorId="64" zoomScale="100" zoomScaleNormal="100" zoomScalePageLayoutView="100" workbookViewId="0">
      <selection pane="topLeft" activeCell="G16" activeCellId="0" sqref="G16"/>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0" min="8" style="77" width="22"/>
    <col collapsed="false" customWidth="true" hidden="false" outlineLevel="0" max="11" min="11" style="77" width="14"/>
    <col collapsed="false" customWidth="true" hidden="false" outlineLevel="0" max="12" min="12" style="77" width="45"/>
  </cols>
  <sheetData>
    <row r="1" customFormat="false" ht="14.25" hidden="false" customHeight="true" outlineLevel="0" collapsed="false">
      <c r="A1" s="238" t="s">
        <v>1288</v>
      </c>
      <c r="B1" s="238" t="s">
        <v>341</v>
      </c>
      <c r="C1" s="239" t="s">
        <v>1289</v>
      </c>
      <c r="K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Water supply and sewerage, sanitation, solid waste management  &gt;:&lt; Water supply and sewerage, sanitation, solid waste management </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plan have development priorities and measureable objectives?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General statements of intent, such as improving sanitation, achieving universal water supply or creating a clean city, without identifiable priorities/interventions and measurable objectives or targets, shall not qualify.</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1385</v>
      </c>
    </row>
    <row r="11" customFormat="false" ht="28.5" hidden="false" customHeight="true" outlineLevel="0" collapsed="false">
      <c r="H11" s="243" t="s">
        <v>1294</v>
      </c>
      <c r="I11" s="243" t="s">
        <v>1294</v>
      </c>
      <c r="J11" s="243" t="s">
        <v>1294</v>
      </c>
      <c r="K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"UPD23b1: Water Supply &amp; Sewerage Plan ("&amp;TEXT($C$7/3,"0.00")&amp;")"</f>
        <v>UPD23b1: Water Supply &amp; Sewerage Plan (1.11)</v>
      </c>
      <c r="I12" s="246" t="str">
        <f aca="false">"UPD23b2: Solid Waste Management Plan ("&amp;TEXT($C$7/3,"0.00")&amp;")"</f>
        <v>UPD23b2: Solid Waste Management Plan (1.11)</v>
      </c>
      <c r="J12" s="246" t="str">
        <f aca="false">"UPD23b3: City Sanitation Plan ("&amp;TEXT($C$7/3,"0.00")&amp;")"</f>
        <v>UPD23b3: City Sanitation Plan (1.11)</v>
      </c>
      <c r="K12" s="244" t="s">
        <v>1303</v>
      </c>
      <c r="L12" s="246" t="s">
        <v>1304</v>
      </c>
      <c r="M12" s="77" t="s">
        <v>1305</v>
      </c>
    </row>
    <row r="13" customFormat="false" ht="14.25" hidden="false" customHeight="true" outlineLevel="0" collapsed="false">
      <c r="A13" s="247" t="s">
        <v>999</v>
      </c>
      <c r="B13" s="248"/>
      <c r="C13" s="248"/>
      <c r="D13" s="248"/>
      <c r="E13" s="248"/>
      <c r="F13" s="248"/>
      <c r="G13" s="248"/>
      <c r="H13" s="249"/>
      <c r="I13" s="249"/>
      <c r="J13" s="249"/>
      <c r="K13" s="250" t="str">
        <f aca="false">IF(COUNTIFS('Scores (start here)'!$A:$A,$B$1,'Scores (start here)'!$B:$B,$A13,'Scores (start here)'!$F:$F,"&gt;=0")&gt;0,SUMIFS('Scores (start here)'!$F:$F,'Scores (start here)'!$A:$A,$B$1,'Scores (start here)'!$B:$B,$A13),M13)</f>
        <v/>
      </c>
      <c r="L13" s="248"/>
      <c r="M13" s="77" t="str">
        <f aca="false">IF(OR(H13="",I13="",J13=""),"",COUNTIF(H13:J13,"YES")/3*$C$7)</f>
        <v/>
      </c>
    </row>
    <row r="14" customFormat="false" ht="15" hidden="false" customHeight="true" outlineLevel="0" collapsed="false">
      <c r="A14" s="247" t="s">
        <v>19</v>
      </c>
      <c r="B14" s="248"/>
      <c r="C14" s="248"/>
      <c r="D14" s="248"/>
      <c r="E14" s="248"/>
      <c r="F14" s="248"/>
      <c r="G14" s="253" t="s">
        <v>1588</v>
      </c>
      <c r="H14" s="249" t="s">
        <v>1309</v>
      </c>
      <c r="I14" s="249" t="s">
        <v>1356</v>
      </c>
      <c r="J14" s="249" t="s">
        <v>1356</v>
      </c>
      <c r="K14" s="250" t="n">
        <f aca="false">IF(COUNTIFS('Scores (start here)'!$A:$A,$B$1,'Scores (start here)'!$B:$B,$A14,'Scores (start here)'!$F:$F,"&gt;=0")&gt;0,SUMIFS('Scores (start here)'!$F:$F,'Scores (start here)'!$A:$A,$B$1,'Scores (start here)'!$B:$B,$A14),M14)</f>
        <v>1.11</v>
      </c>
      <c r="L14" s="248" t="s">
        <v>1591</v>
      </c>
      <c r="M14" s="77" t="n">
        <f aca="false">IF(OR(H14="",I14="",J14=""),"",COUNTIF(H14:J14,"YES")/3*$C$7)</f>
        <v>1.11</v>
      </c>
    </row>
    <row r="15" customFormat="false" ht="14.25" hidden="false" customHeight="true" outlineLevel="0" collapsed="false">
      <c r="A15" s="247" t="s">
        <v>1000</v>
      </c>
      <c r="B15" s="248"/>
      <c r="C15" s="248"/>
      <c r="D15" s="248"/>
      <c r="E15" s="248"/>
      <c r="F15" s="248"/>
      <c r="G15" s="248"/>
      <c r="H15" s="249"/>
      <c r="I15" s="249"/>
      <c r="J15" s="249"/>
      <c r="K15" s="250" t="str">
        <f aca="false">IF(COUNTIFS('Scores (start here)'!$A:$A,$B$1,'Scores (start here)'!$B:$B,$A15,'Scores (start here)'!$F:$F,"&gt;=0")&gt;0,SUMIFS('Scores (start here)'!$F:$F,'Scores (start here)'!$A:$A,$B$1,'Scores (start here)'!$B:$B,$A15),M15)</f>
        <v/>
      </c>
      <c r="L15" s="248"/>
      <c r="M15" s="77" t="str">
        <f aca="false">IF(OR(H15="",I15="",J15=""),"",COUNTIF(H15:J15,"YES")/3*$C$7)</f>
        <v/>
      </c>
    </row>
    <row r="16" customFormat="false" ht="14.25" hidden="false" customHeight="true" outlineLevel="0" collapsed="false">
      <c r="A16" s="247" t="s">
        <v>1001</v>
      </c>
      <c r="B16" s="248"/>
      <c r="C16" s="248"/>
      <c r="D16" s="248"/>
      <c r="E16" s="248"/>
      <c r="F16" s="248"/>
      <c r="G16" s="248"/>
      <c r="H16" s="249"/>
      <c r="I16" s="249"/>
      <c r="J16" s="249"/>
      <c r="K16" s="250" t="str">
        <f aca="false">IF(COUNTIFS('Scores (start here)'!$A:$A,$B$1,'Scores (start here)'!$B:$B,$A16,'Scores (start here)'!$F:$F,"&gt;=0")&gt;0,SUMIFS('Scores (start here)'!$F:$F,'Scores (start here)'!$A:$A,$B$1,'Scores (start here)'!$B:$B,$A16),M16)</f>
        <v/>
      </c>
      <c r="L16" s="248"/>
      <c r="M16" s="77" t="str">
        <f aca="false">IF(OR(H16="",I16="",J16=""),"",COUNTIF(H16:J16,"YES")/3*$C$7)</f>
        <v/>
      </c>
    </row>
    <row r="17" customFormat="false" ht="14.25" hidden="false" customHeight="true" outlineLevel="0" collapsed="false">
      <c r="A17" s="247" t="s">
        <v>1002</v>
      </c>
      <c r="B17" s="248"/>
      <c r="C17" s="248"/>
      <c r="D17" s="248"/>
      <c r="E17" s="248"/>
      <c r="F17" s="248"/>
      <c r="G17" s="248"/>
      <c r="H17" s="249"/>
      <c r="I17" s="249"/>
      <c r="J17" s="249"/>
      <c r="K17" s="250" t="str">
        <f aca="false">IF(COUNTIFS('Scores (start here)'!$A:$A,$B$1,'Scores (start here)'!$B:$B,$A17,'Scores (start here)'!$F:$F,"&gt;=0")&gt;0,SUMIFS('Scores (start here)'!$F:$F,'Scores (start here)'!$A:$A,$B$1,'Scores (start here)'!$B:$B,$A17),M17)</f>
        <v/>
      </c>
      <c r="L17" s="248"/>
      <c r="M17" s="77" t="str">
        <f aca="false">IF(OR(H17="",I17="",J17=""),"",COUNTIF(H17:J17,"YES")/3*$C$7)</f>
        <v/>
      </c>
    </row>
    <row r="18" customFormat="false" ht="14.25" hidden="false" customHeight="true" outlineLevel="0" collapsed="false">
      <c r="A18" s="247" t="s">
        <v>1003</v>
      </c>
      <c r="B18" s="248"/>
      <c r="C18" s="248"/>
      <c r="D18" s="248"/>
      <c r="E18" s="248"/>
      <c r="F18" s="248"/>
      <c r="G18" s="248"/>
      <c r="H18" s="249"/>
      <c r="I18" s="249"/>
      <c r="J18" s="249"/>
      <c r="K18" s="250" t="str">
        <f aca="false">IF(COUNTIFS('Scores (start here)'!$A:$A,$B$1,'Scores (start here)'!$B:$B,$A18,'Scores (start here)'!$F:$F,"&gt;=0")&gt;0,SUMIFS('Scores (start here)'!$F:$F,'Scores (start here)'!$A:$A,$B$1,'Scores (start here)'!$B:$B,$A18),M18)</f>
        <v/>
      </c>
      <c r="L18" s="248"/>
      <c r="M18" s="77" t="str">
        <f aca="false">IF(OR(H18="",I18="",J18=""),"",COUNTIF(H18:J18,"YES")/3*$C$7)</f>
        <v/>
      </c>
    </row>
    <row r="19" customFormat="false" ht="14.25" hidden="false" customHeight="true" outlineLevel="0" collapsed="false">
      <c r="A19" s="247" t="s">
        <v>1004</v>
      </c>
      <c r="B19" s="248"/>
      <c r="C19" s="248"/>
      <c r="D19" s="248"/>
      <c r="E19" s="248"/>
      <c r="F19" s="248"/>
      <c r="G19" s="248"/>
      <c r="H19" s="249"/>
      <c r="I19" s="249"/>
      <c r="J19" s="249"/>
      <c r="K19" s="250" t="str">
        <f aca="false">IF(COUNTIFS('Scores (start here)'!$A:$A,$B$1,'Scores (start here)'!$B:$B,$A19,'Scores (start here)'!$F:$F,"&gt;=0")&gt;0,SUMIFS('Scores (start here)'!$F:$F,'Scores (start here)'!$A:$A,$B$1,'Scores (start here)'!$B:$B,$A19),M19)</f>
        <v/>
      </c>
      <c r="L19" s="248"/>
      <c r="M19" s="77" t="str">
        <f aca="false">IF(OR(H19="",I19="",J19=""),"",COUNTIF(H19:J19,"YES")/3*$C$7)</f>
        <v/>
      </c>
    </row>
    <row r="20" customFormat="false" ht="14.25" hidden="false" customHeight="true" outlineLevel="0" collapsed="false">
      <c r="A20" s="247" t="s">
        <v>1005</v>
      </c>
      <c r="B20" s="248"/>
      <c r="C20" s="248"/>
      <c r="D20" s="248"/>
      <c r="E20" s="248"/>
      <c r="F20" s="248"/>
      <c r="G20" s="248"/>
      <c r="H20" s="249"/>
      <c r="I20" s="249"/>
      <c r="J20" s="249"/>
      <c r="K20" s="250" t="str">
        <f aca="false">IF(COUNTIFS('Scores (start here)'!$A:$A,$B$1,'Scores (start here)'!$B:$B,$A20,'Scores (start here)'!$F:$F,"&gt;=0")&gt;0,SUMIFS('Scores (start here)'!$F:$F,'Scores (start here)'!$A:$A,$B$1,'Scores (start here)'!$B:$B,$A20),M20)</f>
        <v/>
      </c>
      <c r="L20" s="248"/>
      <c r="M20" s="77" t="str">
        <f aca="false">IF(OR(H20="",I20="",J20=""),"",COUNTIF(H20:J20,"YES")/3*$C$7)</f>
        <v/>
      </c>
    </row>
    <row r="21" customFormat="false" ht="14.25" hidden="false" customHeight="true" outlineLevel="0" collapsed="false">
      <c r="A21" s="247" t="s">
        <v>1006</v>
      </c>
      <c r="B21" s="248"/>
      <c r="C21" s="248"/>
      <c r="D21" s="248"/>
      <c r="E21" s="248"/>
      <c r="F21" s="248"/>
      <c r="G21" s="248"/>
      <c r="H21" s="249"/>
      <c r="I21" s="249"/>
      <c r="J21" s="249"/>
      <c r="K21" s="250" t="str">
        <f aca="false">IF(COUNTIFS('Scores (start here)'!$A:$A,$B$1,'Scores (start here)'!$B:$B,$A21,'Scores (start here)'!$F:$F,"&gt;=0")&gt;0,SUMIFS('Scores (start here)'!$F:$F,'Scores (start here)'!$A:$A,$B$1,'Scores (start here)'!$B:$B,$A21),M21)</f>
        <v/>
      </c>
      <c r="L21" s="248"/>
      <c r="M21" s="77" t="str">
        <f aca="false">IF(OR(H21="",I21="",J21=""),"",COUNTIF(H21:J21,"YES")/3*$C$7)</f>
        <v/>
      </c>
    </row>
    <row r="22" customFormat="false" ht="14.25" hidden="false" customHeight="true" outlineLevel="0" collapsed="false">
      <c r="A22" s="247" t="s">
        <v>1007</v>
      </c>
      <c r="B22" s="248"/>
      <c r="C22" s="248"/>
      <c r="D22" s="248"/>
      <c r="E22" s="248"/>
      <c r="F22" s="248"/>
      <c r="G22" s="248"/>
      <c r="H22" s="249"/>
      <c r="I22" s="249"/>
      <c r="J22" s="249"/>
      <c r="K22" s="250" t="str">
        <f aca="false">IF(COUNTIFS('Scores (start here)'!$A:$A,$B$1,'Scores (start here)'!$B:$B,$A22,'Scores (start here)'!$F:$F,"&gt;=0")&gt;0,SUMIFS('Scores (start here)'!$F:$F,'Scores (start here)'!$A:$A,$B$1,'Scores (start here)'!$B:$B,$A22),M22)</f>
        <v/>
      </c>
      <c r="L22" s="248"/>
      <c r="M22" s="77" t="str">
        <f aca="false">IF(OR(H22="",I22="",J22=""),"",COUNTIF(H22:J22,"YES")/3*$C$7)</f>
        <v/>
      </c>
    </row>
    <row r="23" customFormat="false" ht="14.25" hidden="false" customHeight="true" outlineLevel="0" collapsed="false">
      <c r="A23" s="247" t="s">
        <v>1008</v>
      </c>
      <c r="B23" s="248"/>
      <c r="C23" s="248"/>
      <c r="D23" s="248"/>
      <c r="E23" s="248"/>
      <c r="F23" s="248"/>
      <c r="G23" s="248"/>
      <c r="H23" s="249"/>
      <c r="I23" s="249"/>
      <c r="J23" s="249"/>
      <c r="K23" s="250" t="str">
        <f aca="false">IF(COUNTIFS('Scores (start here)'!$A:$A,$B$1,'Scores (start here)'!$B:$B,$A23,'Scores (start here)'!$F:$F,"&gt;=0")&gt;0,SUMIFS('Scores (start here)'!$F:$F,'Scores (start here)'!$A:$A,$B$1,'Scores (start here)'!$B:$B,$A23),M23)</f>
        <v/>
      </c>
      <c r="L23" s="248"/>
      <c r="M23" s="77" t="str">
        <f aca="false">IF(OR(H23="",I23="",J23=""),"",COUNTIF(H23:J23,"YES")/3*$C$7)</f>
        <v/>
      </c>
    </row>
    <row r="24" customFormat="false" ht="14.25" hidden="false" customHeight="true" outlineLevel="0" collapsed="false">
      <c r="A24" s="247" t="s">
        <v>1009</v>
      </c>
      <c r="B24" s="248"/>
      <c r="C24" s="248"/>
      <c r="D24" s="248"/>
      <c r="E24" s="248"/>
      <c r="F24" s="248"/>
      <c r="G24" s="248"/>
      <c r="H24" s="249"/>
      <c r="I24" s="249"/>
      <c r="J24" s="249"/>
      <c r="K24" s="250" t="str">
        <f aca="false">IF(COUNTIFS('Scores (start here)'!$A:$A,$B$1,'Scores (start here)'!$B:$B,$A24,'Scores (start here)'!$F:$F,"&gt;=0")&gt;0,SUMIFS('Scores (start here)'!$F:$F,'Scores (start here)'!$A:$A,$B$1,'Scores (start here)'!$B:$B,$A24),M24)</f>
        <v/>
      </c>
      <c r="L24" s="248"/>
      <c r="M24" s="77" t="str">
        <f aca="false">IF(OR(H24="",I24="",J24=""),"",COUNTIF(H24:J24,"YES")/3*$C$7)</f>
        <v/>
      </c>
    </row>
    <row r="25" customFormat="false" ht="14.25" hidden="false" customHeight="true" outlineLevel="0" collapsed="false">
      <c r="A25" s="247" t="s">
        <v>1010</v>
      </c>
      <c r="B25" s="248"/>
      <c r="C25" s="248"/>
      <c r="D25" s="248"/>
      <c r="E25" s="248"/>
      <c r="F25" s="248"/>
      <c r="G25" s="248"/>
      <c r="H25" s="249"/>
      <c r="I25" s="249"/>
      <c r="J25" s="249"/>
      <c r="K25" s="250" t="str">
        <f aca="false">IF(COUNTIFS('Scores (start here)'!$A:$A,$B$1,'Scores (start here)'!$B:$B,$A25,'Scores (start here)'!$F:$F,"&gt;=0")&gt;0,SUMIFS('Scores (start here)'!$F:$F,'Scores (start here)'!$A:$A,$B$1,'Scores (start here)'!$B:$B,$A25),M25)</f>
        <v/>
      </c>
      <c r="L25" s="248"/>
      <c r="M25" s="77" t="str">
        <f aca="false">IF(OR(H25="",I25="",J25=""),"",COUNTIF(H25:J25,"YES")/3*$C$7)</f>
        <v/>
      </c>
    </row>
    <row r="26" customFormat="false" ht="14.25" hidden="false" customHeight="true" outlineLevel="0" collapsed="false">
      <c r="A26" s="247" t="s">
        <v>1011</v>
      </c>
      <c r="B26" s="248"/>
      <c r="C26" s="248"/>
      <c r="D26" s="248"/>
      <c r="E26" s="248"/>
      <c r="F26" s="248"/>
      <c r="G26" s="248"/>
      <c r="H26" s="249"/>
      <c r="I26" s="249"/>
      <c r="J26" s="249"/>
      <c r="K26" s="250" t="str">
        <f aca="false">IF(COUNTIFS('Scores (start here)'!$A:$A,$B$1,'Scores (start here)'!$B:$B,$A26,'Scores (start here)'!$F:$F,"&gt;=0")&gt;0,SUMIFS('Scores (start here)'!$F:$F,'Scores (start here)'!$A:$A,$B$1,'Scores (start here)'!$B:$B,$A26),M26)</f>
        <v/>
      </c>
      <c r="L26" s="248"/>
      <c r="M26" s="77" t="str">
        <f aca="false">IF(OR(H26="",I26="",J26=""),"",COUNTIF(H26:J26,"YES")/3*$C$7)</f>
        <v/>
      </c>
    </row>
    <row r="27" customFormat="false" ht="14.25" hidden="false" customHeight="true" outlineLevel="0" collapsed="false">
      <c r="A27" s="247" t="s">
        <v>1012</v>
      </c>
      <c r="B27" s="248"/>
      <c r="C27" s="248"/>
      <c r="D27" s="248"/>
      <c r="E27" s="248"/>
      <c r="F27" s="248"/>
      <c r="G27" s="248"/>
      <c r="H27" s="249"/>
      <c r="I27" s="249"/>
      <c r="J27" s="249"/>
      <c r="K27" s="250" t="str">
        <f aca="false">IF(COUNTIFS('Scores (start here)'!$A:$A,$B$1,'Scores (start here)'!$B:$B,$A27,'Scores (start here)'!$F:$F,"&gt;=0")&gt;0,SUMIFS('Scores (start here)'!$F:$F,'Scores (start here)'!$A:$A,$B$1,'Scores (start here)'!$B:$B,$A27),M27)</f>
        <v/>
      </c>
      <c r="L27" s="248"/>
      <c r="M27" s="77" t="str">
        <f aca="false">IF(OR(H27="",I27="",J27=""),"",COUNTIF(H27:J27,"YES")/3*$C$7)</f>
        <v/>
      </c>
    </row>
    <row r="28" customFormat="false" ht="14.25" hidden="false" customHeight="true" outlineLevel="0" collapsed="false">
      <c r="A28" s="247" t="s">
        <v>1013</v>
      </c>
      <c r="B28" s="248"/>
      <c r="C28" s="248"/>
      <c r="D28" s="248"/>
      <c r="E28" s="248"/>
      <c r="F28" s="248"/>
      <c r="G28" s="248"/>
      <c r="H28" s="249"/>
      <c r="I28" s="249"/>
      <c r="J28" s="249"/>
      <c r="K28" s="250" t="str">
        <f aca="false">IF(COUNTIFS('Scores (start here)'!$A:$A,$B$1,'Scores (start here)'!$B:$B,$A28,'Scores (start here)'!$F:$F,"&gt;=0")&gt;0,SUMIFS('Scores (start here)'!$F:$F,'Scores (start here)'!$A:$A,$B$1,'Scores (start here)'!$B:$B,$A28),M28)</f>
        <v/>
      </c>
      <c r="L28" s="248"/>
      <c r="M28" s="77" t="str">
        <f aca="false">IF(OR(H28="",I28="",J28=""),"",COUNTIF(H28:J28,"YES")/3*$C$7)</f>
        <v/>
      </c>
    </row>
    <row r="29" customFormat="false" ht="14.25" hidden="false" customHeight="true" outlineLevel="0" collapsed="false">
      <c r="A29" s="247" t="s">
        <v>1014</v>
      </c>
      <c r="B29" s="248"/>
      <c r="C29" s="248"/>
      <c r="D29" s="248"/>
      <c r="E29" s="248"/>
      <c r="F29" s="248"/>
      <c r="G29" s="248"/>
      <c r="H29" s="249"/>
      <c r="I29" s="249"/>
      <c r="J29" s="249"/>
      <c r="K29" s="250" t="str">
        <f aca="false">IF(COUNTIFS('Scores (start here)'!$A:$A,$B$1,'Scores (start here)'!$B:$B,$A29,'Scores (start here)'!$F:$F,"&gt;=0")&gt;0,SUMIFS('Scores (start here)'!$F:$F,'Scores (start here)'!$A:$A,$B$1,'Scores (start here)'!$B:$B,$A29),M29)</f>
        <v/>
      </c>
      <c r="L29" s="248"/>
      <c r="M29" s="77" t="str">
        <f aca="false">IF(OR(H29="",I29="",J29=""),"",COUNTIF(H29:J29,"YES")/3*$C$7)</f>
        <v/>
      </c>
    </row>
    <row r="30" customFormat="false" ht="14.25" hidden="false" customHeight="true" outlineLevel="0" collapsed="false">
      <c r="A30" s="247" t="s">
        <v>1015</v>
      </c>
      <c r="B30" s="248"/>
      <c r="C30" s="248"/>
      <c r="D30" s="248"/>
      <c r="E30" s="248"/>
      <c r="F30" s="248"/>
      <c r="G30" s="248"/>
      <c r="H30" s="249"/>
      <c r="I30" s="249"/>
      <c r="J30" s="249"/>
      <c r="K30" s="250" t="str">
        <f aca="false">IF(COUNTIFS('Scores (start here)'!$A:$A,$B$1,'Scores (start here)'!$B:$B,$A30,'Scores (start here)'!$F:$F,"&gt;=0")&gt;0,SUMIFS('Scores (start here)'!$F:$F,'Scores (start here)'!$A:$A,$B$1,'Scores (start here)'!$B:$B,$A30),M30)</f>
        <v/>
      </c>
      <c r="L30" s="248"/>
      <c r="M30" s="77" t="str">
        <f aca="false">IF(OR(H30="",I30="",J30=""),"",COUNTIF(H30:J30,"YES")/3*$C$7)</f>
        <v/>
      </c>
    </row>
    <row r="31" customFormat="false" ht="14.25" hidden="false" customHeight="true" outlineLevel="0" collapsed="false">
      <c r="A31" s="247" t="s">
        <v>1016</v>
      </c>
      <c r="B31" s="248"/>
      <c r="C31" s="248"/>
      <c r="D31" s="248"/>
      <c r="E31" s="248"/>
      <c r="F31" s="248"/>
      <c r="G31" s="248"/>
      <c r="H31" s="249"/>
      <c r="I31" s="249"/>
      <c r="J31" s="249"/>
      <c r="K31" s="250" t="str">
        <f aca="false">IF(COUNTIFS('Scores (start here)'!$A:$A,$B$1,'Scores (start here)'!$B:$B,$A31,'Scores (start here)'!$F:$F,"&gt;=0")&gt;0,SUMIFS('Scores (start here)'!$F:$F,'Scores (start here)'!$A:$A,$B$1,'Scores (start here)'!$B:$B,$A31),M31)</f>
        <v/>
      </c>
      <c r="L31" s="248"/>
      <c r="M31" s="77" t="str">
        <f aca="false">IF(OR(H31="",I31="",J31=""),"",COUNTIF(H31:J31,"YES")/3*$C$7)</f>
        <v/>
      </c>
    </row>
    <row r="32" customFormat="false" ht="14.25" hidden="false" customHeight="true" outlineLevel="0" collapsed="false">
      <c r="A32" s="247" t="s">
        <v>1017</v>
      </c>
      <c r="B32" s="248"/>
      <c r="C32" s="248"/>
      <c r="D32" s="248"/>
      <c r="E32" s="248"/>
      <c r="F32" s="248"/>
      <c r="G32" s="248"/>
      <c r="H32" s="249"/>
      <c r="I32" s="249"/>
      <c r="J32" s="249"/>
      <c r="K32" s="250" t="str">
        <f aca="false">IF(COUNTIFS('Scores (start here)'!$A:$A,$B$1,'Scores (start here)'!$B:$B,$A32,'Scores (start here)'!$F:$F,"&gt;=0")&gt;0,SUMIFS('Scores (start here)'!$F:$F,'Scores (start here)'!$A:$A,$B$1,'Scores (start here)'!$B:$B,$A32),M32)</f>
        <v/>
      </c>
      <c r="L32" s="248"/>
      <c r="M32" s="77" t="str">
        <f aca="false">IF(OR(H32="",I32="",J32=""),"",COUNTIF(H32:J32,"YES")/3*$C$7)</f>
        <v/>
      </c>
    </row>
    <row r="33" customFormat="false" ht="281.25" hidden="false" customHeight="true" outlineLevel="0" collapsed="false">
      <c r="A33" s="247" t="s">
        <v>30</v>
      </c>
      <c r="B33" s="248" t="s">
        <v>124</v>
      </c>
      <c r="C33" s="248" t="s">
        <v>1592</v>
      </c>
      <c r="D33" s="248" t="s">
        <v>1593</v>
      </c>
      <c r="E33" s="248" t="s">
        <v>1594</v>
      </c>
      <c r="F33" s="248" t="s">
        <v>1595</v>
      </c>
      <c r="G33" s="248" t="s">
        <v>125</v>
      </c>
      <c r="H33" s="249"/>
      <c r="I33" s="249"/>
      <c r="J33" s="249"/>
      <c r="K33" s="250" t="str">
        <f aca="false">IF(COUNTIFS('Scores (start here)'!$A:$A,$B$1,'Scores (start here)'!$B:$B,$A33,'Scores (start here)'!$F:$F,"&gt;=0")&gt;0,SUMIFS('Scores (start here)'!$F:$F,'Scores (start here)'!$A:$A,$B$1,'Scores (start here)'!$B:$B,$A33),M33)</f>
        <v/>
      </c>
      <c r="L33" s="251" t="s">
        <v>1596</v>
      </c>
      <c r="M33" s="77" t="str">
        <f aca="false">IF(OR(H33="",I33="",J33=""),"",COUNTIF(H33:J33,"YES")/3*$C$7)</f>
        <v/>
      </c>
    </row>
    <row r="34" customFormat="false" ht="14.25" hidden="false" customHeight="true" outlineLevel="0" collapsed="false">
      <c r="A34" s="247" t="s">
        <v>1018</v>
      </c>
      <c r="B34" s="248"/>
      <c r="C34" s="248"/>
      <c r="D34" s="248"/>
      <c r="E34" s="248"/>
      <c r="F34" s="248"/>
      <c r="G34" s="248"/>
      <c r="H34" s="249"/>
      <c r="I34" s="249"/>
      <c r="J34" s="249"/>
      <c r="K34" s="250" t="str">
        <f aca="false">IF(COUNTIFS('Scores (start here)'!$A:$A,$B$1,'Scores (start here)'!$B:$B,$A34,'Scores (start here)'!$F:$F,"&gt;=0")&gt;0,SUMIFS('Scores (start here)'!$F:$F,'Scores (start here)'!$A:$A,$B$1,'Scores (start here)'!$B:$B,$A34),M34)</f>
        <v/>
      </c>
      <c r="L34" s="248"/>
      <c r="M34" s="77" t="str">
        <f aca="false">IF(OR(H34="",I34="",J34=""),"",COUNTIF(H34:J34,"YES")/3*$C$7)</f>
        <v/>
      </c>
    </row>
    <row r="35" customFormat="false" ht="14.25" hidden="false" customHeight="true" outlineLevel="0" collapsed="false">
      <c r="A35" s="247" t="s">
        <v>1019</v>
      </c>
      <c r="B35" s="248"/>
      <c r="C35" s="248"/>
      <c r="D35" s="248"/>
      <c r="E35" s="248"/>
      <c r="F35" s="248"/>
      <c r="G35" s="248"/>
      <c r="H35" s="249"/>
      <c r="I35" s="249"/>
      <c r="J35" s="249"/>
      <c r="K35" s="250" t="str">
        <f aca="false">IF(COUNTIFS('Scores (start here)'!$A:$A,$B$1,'Scores (start here)'!$B:$B,$A35,'Scores (start here)'!$F:$F,"&gt;=0")&gt;0,SUMIFS('Scores (start here)'!$F:$F,'Scores (start here)'!$A:$A,$B$1,'Scores (start here)'!$B:$B,$A35),M35)</f>
        <v/>
      </c>
      <c r="L35" s="248"/>
      <c r="M35" s="77" t="str">
        <f aca="false">IF(OR(H35="",I35="",J35=""),"",COUNTIF(H35:J35,"YES")/3*$C$7)</f>
        <v/>
      </c>
    </row>
    <row r="36" customFormat="false" ht="14.25" hidden="false" customHeight="true" outlineLevel="0" collapsed="false">
      <c r="A36" s="247" t="s">
        <v>1020</v>
      </c>
      <c r="B36" s="248"/>
      <c r="C36" s="248"/>
      <c r="D36" s="248"/>
      <c r="E36" s="248"/>
      <c r="F36" s="248"/>
      <c r="G36" s="248"/>
      <c r="H36" s="249"/>
      <c r="I36" s="249"/>
      <c r="J36" s="249"/>
      <c r="K36" s="250" t="str">
        <f aca="false">IF(COUNTIFS('Scores (start here)'!$A:$A,$B$1,'Scores (start here)'!$B:$B,$A36,'Scores (start here)'!$F:$F,"&gt;=0")&gt;0,SUMIFS('Scores (start here)'!$F:$F,'Scores (start here)'!$A:$A,$B$1,'Scores (start here)'!$B:$B,$A36),M36)</f>
        <v/>
      </c>
      <c r="L36" s="248"/>
      <c r="M36" s="77" t="str">
        <f aca="false">IF(OR(H36="",I36="",J36=""),"",COUNTIF(H36:J36,"YES")/3*$C$7)</f>
        <v/>
      </c>
    </row>
    <row r="37" customFormat="false" ht="14.25" hidden="false" customHeight="true" outlineLevel="0" collapsed="false">
      <c r="A37" s="247" t="s">
        <v>1021</v>
      </c>
      <c r="B37" s="248"/>
      <c r="C37" s="248"/>
      <c r="D37" s="248"/>
      <c r="E37" s="248"/>
      <c r="F37" s="248"/>
      <c r="G37" s="248"/>
      <c r="H37" s="249"/>
      <c r="I37" s="249"/>
      <c r="J37" s="249"/>
      <c r="K37" s="250" t="str">
        <f aca="false">IF(COUNTIFS('Scores (start here)'!$A:$A,$B$1,'Scores (start here)'!$B:$B,$A37,'Scores (start here)'!$F:$F,"&gt;=0")&gt;0,SUMIFS('Scores (start here)'!$F:$F,'Scores (start here)'!$A:$A,$B$1,'Scores (start here)'!$B:$B,$A37),M37)</f>
        <v/>
      </c>
      <c r="L37" s="248"/>
      <c r="M37" s="77" t="str">
        <f aca="false">IF(OR(H37="",I37="",J37=""),"",COUNTIF(H37:J37,"YES")/3*$C$7)</f>
        <v/>
      </c>
    </row>
    <row r="38" customFormat="false" ht="14.25" hidden="false" customHeight="true" outlineLevel="0" collapsed="false">
      <c r="A38" s="247" t="s">
        <v>1022</v>
      </c>
      <c r="B38" s="248"/>
      <c r="C38" s="248"/>
      <c r="D38" s="248"/>
      <c r="E38" s="248"/>
      <c r="F38" s="248"/>
      <c r="G38" s="248"/>
      <c r="H38" s="249"/>
      <c r="I38" s="249"/>
      <c r="J38" s="249"/>
      <c r="K38" s="250" t="str">
        <f aca="false">IF(COUNTIFS('Scores (start here)'!$A:$A,$B$1,'Scores (start here)'!$B:$B,$A38,'Scores (start here)'!$F:$F,"&gt;=0")&gt;0,SUMIFS('Scores (start here)'!$F:$F,'Scores (start here)'!$A:$A,$B$1,'Scores (start here)'!$B:$B,$A38),M38)</f>
        <v/>
      </c>
      <c r="L38" s="248"/>
      <c r="M38" s="77" t="str">
        <f aca="false">IF(OR(H38="",I38="",J38=""),"",COUNTIF(H38:J38,"YES")/3*$C$7)</f>
        <v/>
      </c>
    </row>
    <row r="39" customFormat="false" ht="14.25" hidden="false" customHeight="true" outlineLevel="0" collapsed="false">
      <c r="A39" s="247" t="s">
        <v>1023</v>
      </c>
      <c r="B39" s="248"/>
      <c r="C39" s="248"/>
      <c r="D39" s="248"/>
      <c r="E39" s="248"/>
      <c r="F39" s="248"/>
      <c r="G39" s="248"/>
      <c r="H39" s="249"/>
      <c r="I39" s="249"/>
      <c r="J39" s="249"/>
      <c r="K39" s="250" t="str">
        <f aca="false">IF(COUNTIFS('Scores (start here)'!$A:$A,$B$1,'Scores (start here)'!$B:$B,$A39,'Scores (start here)'!$F:$F,"&gt;=0")&gt;0,SUMIFS('Scores (start here)'!$F:$F,'Scores (start here)'!$A:$A,$B$1,'Scores (start here)'!$B:$B,$A39),M39)</f>
        <v/>
      </c>
      <c r="L39" s="248"/>
      <c r="M39" s="77" t="str">
        <f aca="false">IF(OR(H39="",I39="",J39=""),"",COUNTIF(H39:J39,"YES")/3*$C$7)</f>
        <v/>
      </c>
    </row>
    <row r="40" customFormat="false" ht="14.25" hidden="false" customHeight="true" outlineLevel="0" collapsed="false">
      <c r="A40" s="247" t="s">
        <v>1024</v>
      </c>
      <c r="B40" s="248"/>
      <c r="C40" s="248"/>
      <c r="D40" s="248"/>
      <c r="E40" s="248"/>
      <c r="F40" s="248"/>
      <c r="G40" s="248"/>
      <c r="H40" s="249"/>
      <c r="I40" s="249"/>
      <c r="J40" s="249"/>
      <c r="K40" s="250" t="str">
        <f aca="false">IF(COUNTIFS('Scores (start here)'!$A:$A,$B$1,'Scores (start here)'!$B:$B,$A40,'Scores (start here)'!$F:$F,"&gt;=0")&gt;0,SUMIFS('Scores (start here)'!$F:$F,'Scores (start here)'!$A:$A,$B$1,'Scores (start here)'!$B:$B,$A40),M40)</f>
        <v/>
      </c>
      <c r="L40" s="248"/>
      <c r="M40" s="77" t="str">
        <f aca="false">IF(OR(H40="",I40="",J40=""),"",COUNTIF(H40:J40,"YES")/3*$C$7)</f>
        <v/>
      </c>
    </row>
    <row r="41" customFormat="false" ht="14.25" hidden="false" customHeight="true" outlineLevel="0" collapsed="false">
      <c r="A41" s="247" t="s">
        <v>1025</v>
      </c>
      <c r="B41" s="248"/>
      <c r="C41" s="248"/>
      <c r="D41" s="248"/>
      <c r="E41" s="248"/>
      <c r="F41" s="248"/>
      <c r="G41" s="248"/>
      <c r="H41" s="249"/>
      <c r="I41" s="249"/>
      <c r="J41" s="249"/>
      <c r="K41" s="250" t="str">
        <f aca="false">IF(COUNTIFS('Scores (start here)'!$A:$A,$B$1,'Scores (start here)'!$B:$B,$A41,'Scores (start here)'!$F:$F,"&gt;=0")&gt;0,SUMIFS('Scores (start here)'!$F:$F,'Scores (start here)'!$A:$A,$B$1,'Scores (start here)'!$B:$B,$A41),M41)</f>
        <v/>
      </c>
      <c r="L41" s="248"/>
      <c r="M41" s="77" t="str">
        <f aca="false">IF(OR(H41="",I41="",J41=""),"",COUNTIF(H41:J41,"YES")/3*$C$7)</f>
        <v/>
      </c>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K1" location="'Scores (start here)'!A1" display="← Back to Scores (start here)"/>
    <hyperlink ref="G14" r:id="rId1" display="https://bwssb.karnataka.gov.in/storage/pdf-files/documents/Vision%20Document%202050%20%20new.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D9" colorId="64" zoomScale="100" zoomScaleNormal="100" zoomScalePageLayoutView="100" workbookViewId="0">
      <selection pane="topLeft" activeCell="G19" activeCellId="0" sqref="G19"/>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0" min="8" style="77" width="22"/>
    <col collapsed="false" customWidth="true" hidden="false" outlineLevel="0" max="11" min="11" style="77" width="14"/>
    <col collapsed="false" customWidth="true" hidden="false" outlineLevel="0" max="12" min="12" style="77" width="45"/>
  </cols>
  <sheetData>
    <row r="1" customFormat="false" ht="14.25" hidden="false" customHeight="true" outlineLevel="0" collapsed="false">
      <c r="A1" s="238" t="s">
        <v>1288</v>
      </c>
      <c r="B1" s="238" t="s">
        <v>348</v>
      </c>
      <c r="C1" s="239" t="s">
        <v>1289</v>
      </c>
      <c r="K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Water supply and sewerage, sanitation, solid waste management  &gt;:&lt; Water supply and sewerage, sanitation, solid waste management </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plan clearly articulate the role of the ULG?</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implementation.A general reference to the ULG as a stakeholder or participating institution, without identifiable responsibilities, shall not qualify.</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1385</v>
      </c>
    </row>
    <row r="11" customFormat="false" ht="28.5" hidden="false" customHeight="true" outlineLevel="0" collapsed="false">
      <c r="H11" s="243" t="s">
        <v>1294</v>
      </c>
      <c r="I11" s="243" t="s">
        <v>1294</v>
      </c>
      <c r="J11" s="243" t="s">
        <v>1294</v>
      </c>
      <c r="K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"UPD23c1: Water Supply &amp; Sewerage Plan ("&amp;TEXT($C$7/3,"0.00")&amp;")"</f>
        <v>UPD23c1: Water Supply &amp; Sewerage Plan (1.11)</v>
      </c>
      <c r="I12" s="246" t="str">
        <f aca="false">"UPD23c2: Solid Waste Management Plan ("&amp;TEXT($C$7/3,"0.00")&amp;")"</f>
        <v>UPD23c2: Solid Waste Management Plan (1.11)</v>
      </c>
      <c r="J12" s="246" t="str">
        <f aca="false">"UPD23c3: City Sanitation Plan ("&amp;TEXT($C$7/3,"0.00")&amp;")"</f>
        <v>UPD23c3: City Sanitation Plan (1.11)</v>
      </c>
      <c r="K12" s="244" t="s">
        <v>1303</v>
      </c>
      <c r="L12" s="246" t="s">
        <v>1304</v>
      </c>
      <c r="M12" s="77" t="s">
        <v>1305</v>
      </c>
    </row>
    <row r="13" customFormat="false" ht="14.25" hidden="false" customHeight="true" outlineLevel="0" collapsed="false">
      <c r="A13" s="247" t="s">
        <v>999</v>
      </c>
      <c r="B13" s="248"/>
      <c r="C13" s="248"/>
      <c r="D13" s="248"/>
      <c r="E13" s="248"/>
      <c r="F13" s="248"/>
      <c r="G13" s="248"/>
      <c r="H13" s="249"/>
      <c r="I13" s="249"/>
      <c r="J13" s="249"/>
      <c r="K13" s="250" t="str">
        <f aca="false">IF(COUNTIFS('Scores (start here)'!$A:$A,$B$1,'Scores (start here)'!$B:$B,$A13,'Scores (start here)'!$F:$F,"&gt;=0")&gt;0,SUMIFS('Scores (start here)'!$F:$F,'Scores (start here)'!$A:$A,$B$1,'Scores (start here)'!$B:$B,$A13),M13)</f>
        <v/>
      </c>
      <c r="L13" s="248"/>
      <c r="M13" s="77" t="str">
        <f aca="false">IF(OR(H13="",I13="",J13=""),"",COUNTIF(H13:J13,"YES")/3*$C$7)</f>
        <v/>
      </c>
    </row>
    <row r="14" customFormat="false" ht="15" hidden="false" customHeight="true" outlineLevel="0" collapsed="false">
      <c r="A14" s="247" t="s">
        <v>19</v>
      </c>
      <c r="B14" s="248"/>
      <c r="C14" s="248"/>
      <c r="D14" s="248"/>
      <c r="E14" s="248"/>
      <c r="F14" s="248"/>
      <c r="G14" s="253" t="s">
        <v>1588</v>
      </c>
      <c r="H14" s="249" t="s">
        <v>1356</v>
      </c>
      <c r="I14" s="249" t="s">
        <v>1356</v>
      </c>
      <c r="J14" s="249" t="s">
        <v>1356</v>
      </c>
      <c r="K14" s="250" t="n">
        <f aca="false">IF(COUNTIFS('Scores (start here)'!$A:$A,$B$1,'Scores (start here)'!$B:$B,$A14,'Scores (start here)'!$F:$F,"&gt;=0")&gt;0,SUMIFS('Scores (start here)'!$F:$F,'Scores (start here)'!$A:$A,$B$1,'Scores (start here)'!$B:$B,$A14),M14)</f>
        <v>0</v>
      </c>
      <c r="L14" s="248" t="s">
        <v>1597</v>
      </c>
      <c r="M14" s="77" t="n">
        <f aca="false">IF(OR(H14="",I14="",J14=""),"",COUNTIF(H14:J14,"YES")/3*$C$7)</f>
        <v>0</v>
      </c>
    </row>
    <row r="15" customFormat="false" ht="14.25" hidden="false" customHeight="true" outlineLevel="0" collapsed="false">
      <c r="A15" s="247" t="s">
        <v>1000</v>
      </c>
      <c r="B15" s="248"/>
      <c r="C15" s="248"/>
      <c r="D15" s="248"/>
      <c r="E15" s="248"/>
      <c r="F15" s="248"/>
      <c r="G15" s="248"/>
      <c r="H15" s="249"/>
      <c r="I15" s="249"/>
      <c r="J15" s="249"/>
      <c r="K15" s="250" t="str">
        <f aca="false">IF(COUNTIFS('Scores (start here)'!$A:$A,$B$1,'Scores (start here)'!$B:$B,$A15,'Scores (start here)'!$F:$F,"&gt;=0")&gt;0,SUMIFS('Scores (start here)'!$F:$F,'Scores (start here)'!$A:$A,$B$1,'Scores (start here)'!$B:$B,$A15),M15)</f>
        <v/>
      </c>
      <c r="L15" s="248"/>
      <c r="M15" s="77" t="str">
        <f aca="false">IF(OR(H15="",I15="",J15=""),"",COUNTIF(H15:J15,"YES")/3*$C$7)</f>
        <v/>
      </c>
    </row>
    <row r="16" customFormat="false" ht="14.25" hidden="false" customHeight="true" outlineLevel="0" collapsed="false">
      <c r="A16" s="247" t="s">
        <v>1001</v>
      </c>
      <c r="B16" s="248"/>
      <c r="C16" s="248"/>
      <c r="D16" s="248"/>
      <c r="E16" s="248"/>
      <c r="F16" s="248"/>
      <c r="G16" s="248"/>
      <c r="H16" s="249"/>
      <c r="I16" s="249"/>
      <c r="J16" s="249"/>
      <c r="K16" s="250" t="str">
        <f aca="false">IF(COUNTIFS('Scores (start here)'!$A:$A,$B$1,'Scores (start here)'!$B:$B,$A16,'Scores (start here)'!$F:$F,"&gt;=0")&gt;0,SUMIFS('Scores (start here)'!$F:$F,'Scores (start here)'!$A:$A,$B$1,'Scores (start here)'!$B:$B,$A16),M16)</f>
        <v/>
      </c>
      <c r="L16" s="248"/>
      <c r="M16" s="77" t="str">
        <f aca="false">IF(OR(H16="",I16="",J16=""),"",COUNTIF(H16:J16,"YES")/3*$C$7)</f>
        <v/>
      </c>
    </row>
    <row r="17" customFormat="false" ht="14.25" hidden="false" customHeight="true" outlineLevel="0" collapsed="false">
      <c r="A17" s="247" t="s">
        <v>1002</v>
      </c>
      <c r="B17" s="248"/>
      <c r="C17" s="248"/>
      <c r="D17" s="248"/>
      <c r="E17" s="248"/>
      <c r="F17" s="248"/>
      <c r="G17" s="248"/>
      <c r="H17" s="249"/>
      <c r="I17" s="249"/>
      <c r="J17" s="249"/>
      <c r="K17" s="250" t="str">
        <f aca="false">IF(COUNTIFS('Scores (start here)'!$A:$A,$B$1,'Scores (start here)'!$B:$B,$A17,'Scores (start here)'!$F:$F,"&gt;=0")&gt;0,SUMIFS('Scores (start here)'!$F:$F,'Scores (start here)'!$A:$A,$B$1,'Scores (start here)'!$B:$B,$A17),M17)</f>
        <v/>
      </c>
      <c r="L17" s="248"/>
      <c r="M17" s="77" t="str">
        <f aca="false">IF(OR(H17="",I17="",J17=""),"",COUNTIF(H17:J17,"YES")/3*$C$7)</f>
        <v/>
      </c>
    </row>
    <row r="18" customFormat="false" ht="14.25" hidden="false" customHeight="true" outlineLevel="0" collapsed="false">
      <c r="A18" s="247" t="s">
        <v>1003</v>
      </c>
      <c r="B18" s="248"/>
      <c r="C18" s="248"/>
      <c r="D18" s="248"/>
      <c r="E18" s="248"/>
      <c r="F18" s="248"/>
      <c r="G18" s="248"/>
      <c r="H18" s="249"/>
      <c r="I18" s="249"/>
      <c r="J18" s="249"/>
      <c r="K18" s="250" t="str">
        <f aca="false">IF(COUNTIFS('Scores (start here)'!$A:$A,$B$1,'Scores (start here)'!$B:$B,$A18,'Scores (start here)'!$F:$F,"&gt;=0")&gt;0,SUMIFS('Scores (start here)'!$F:$F,'Scores (start here)'!$A:$A,$B$1,'Scores (start here)'!$B:$B,$A18),M18)</f>
        <v/>
      </c>
      <c r="L18" s="248"/>
      <c r="M18" s="77" t="str">
        <f aca="false">IF(OR(H18="",I18="",J18=""),"",COUNTIF(H18:J18,"YES")/3*$C$7)</f>
        <v/>
      </c>
    </row>
    <row r="19" customFormat="false" ht="14.25" hidden="false" customHeight="true" outlineLevel="0" collapsed="false">
      <c r="A19" s="247" t="s">
        <v>1004</v>
      </c>
      <c r="B19" s="248"/>
      <c r="C19" s="248"/>
      <c r="D19" s="248"/>
      <c r="E19" s="248"/>
      <c r="F19" s="248"/>
      <c r="G19" s="248"/>
      <c r="H19" s="249"/>
      <c r="I19" s="249"/>
      <c r="J19" s="249"/>
      <c r="K19" s="250" t="str">
        <f aca="false">IF(COUNTIFS('Scores (start here)'!$A:$A,$B$1,'Scores (start here)'!$B:$B,$A19,'Scores (start here)'!$F:$F,"&gt;=0")&gt;0,SUMIFS('Scores (start here)'!$F:$F,'Scores (start here)'!$A:$A,$B$1,'Scores (start here)'!$B:$B,$A19),M19)</f>
        <v/>
      </c>
      <c r="L19" s="248"/>
      <c r="M19" s="77" t="str">
        <f aca="false">IF(OR(H19="",I19="",J19=""),"",COUNTIF(H19:J19,"YES")/3*$C$7)</f>
        <v/>
      </c>
    </row>
    <row r="20" customFormat="false" ht="14.25" hidden="false" customHeight="true" outlineLevel="0" collapsed="false">
      <c r="A20" s="247" t="s">
        <v>1005</v>
      </c>
      <c r="B20" s="248"/>
      <c r="C20" s="248"/>
      <c r="D20" s="248"/>
      <c r="E20" s="248"/>
      <c r="F20" s="248"/>
      <c r="G20" s="248"/>
      <c r="H20" s="249"/>
      <c r="I20" s="249"/>
      <c r="J20" s="249"/>
      <c r="K20" s="250" t="str">
        <f aca="false">IF(COUNTIFS('Scores (start here)'!$A:$A,$B$1,'Scores (start here)'!$B:$B,$A20,'Scores (start here)'!$F:$F,"&gt;=0")&gt;0,SUMIFS('Scores (start here)'!$F:$F,'Scores (start here)'!$A:$A,$B$1,'Scores (start here)'!$B:$B,$A20),M20)</f>
        <v/>
      </c>
      <c r="L20" s="248"/>
      <c r="M20" s="77" t="str">
        <f aca="false">IF(OR(H20="",I20="",J20=""),"",COUNTIF(H20:J20,"YES")/3*$C$7)</f>
        <v/>
      </c>
    </row>
    <row r="21" customFormat="false" ht="14.25" hidden="false" customHeight="true" outlineLevel="0" collapsed="false">
      <c r="A21" s="247" t="s">
        <v>1006</v>
      </c>
      <c r="B21" s="248"/>
      <c r="C21" s="248"/>
      <c r="D21" s="248"/>
      <c r="E21" s="248"/>
      <c r="F21" s="248"/>
      <c r="G21" s="248"/>
      <c r="H21" s="249"/>
      <c r="I21" s="249"/>
      <c r="J21" s="249"/>
      <c r="K21" s="250" t="str">
        <f aca="false">IF(COUNTIFS('Scores (start here)'!$A:$A,$B$1,'Scores (start here)'!$B:$B,$A21,'Scores (start here)'!$F:$F,"&gt;=0")&gt;0,SUMIFS('Scores (start here)'!$F:$F,'Scores (start here)'!$A:$A,$B$1,'Scores (start here)'!$B:$B,$A21),M21)</f>
        <v/>
      </c>
      <c r="L21" s="248"/>
      <c r="M21" s="77" t="str">
        <f aca="false">IF(OR(H21="",I21="",J21=""),"",COUNTIF(H21:J21,"YES")/3*$C$7)</f>
        <v/>
      </c>
    </row>
    <row r="22" customFormat="false" ht="14.25" hidden="false" customHeight="true" outlineLevel="0" collapsed="false">
      <c r="A22" s="247" t="s">
        <v>1007</v>
      </c>
      <c r="B22" s="248"/>
      <c r="C22" s="248"/>
      <c r="D22" s="248"/>
      <c r="E22" s="248"/>
      <c r="F22" s="248"/>
      <c r="G22" s="248"/>
      <c r="H22" s="249"/>
      <c r="I22" s="249"/>
      <c r="J22" s="249"/>
      <c r="K22" s="250" t="str">
        <f aca="false">IF(COUNTIFS('Scores (start here)'!$A:$A,$B$1,'Scores (start here)'!$B:$B,$A22,'Scores (start here)'!$F:$F,"&gt;=0")&gt;0,SUMIFS('Scores (start here)'!$F:$F,'Scores (start here)'!$A:$A,$B$1,'Scores (start here)'!$B:$B,$A22),M22)</f>
        <v/>
      </c>
      <c r="L22" s="248"/>
      <c r="M22" s="77" t="str">
        <f aca="false">IF(OR(H22="",I22="",J22=""),"",COUNTIF(H22:J22,"YES")/3*$C$7)</f>
        <v/>
      </c>
    </row>
    <row r="23" customFormat="false" ht="14.25" hidden="false" customHeight="true" outlineLevel="0" collapsed="false">
      <c r="A23" s="247" t="s">
        <v>1008</v>
      </c>
      <c r="B23" s="248"/>
      <c r="C23" s="248"/>
      <c r="D23" s="248"/>
      <c r="E23" s="248"/>
      <c r="F23" s="248"/>
      <c r="G23" s="248"/>
      <c r="H23" s="249"/>
      <c r="I23" s="249"/>
      <c r="J23" s="249"/>
      <c r="K23" s="250" t="str">
        <f aca="false">IF(COUNTIFS('Scores (start here)'!$A:$A,$B$1,'Scores (start here)'!$B:$B,$A23,'Scores (start here)'!$F:$F,"&gt;=0")&gt;0,SUMIFS('Scores (start here)'!$F:$F,'Scores (start here)'!$A:$A,$B$1,'Scores (start here)'!$B:$B,$A23),M23)</f>
        <v/>
      </c>
      <c r="L23" s="248"/>
      <c r="M23" s="77" t="str">
        <f aca="false">IF(OR(H23="",I23="",J23=""),"",COUNTIF(H23:J23,"YES")/3*$C$7)</f>
        <v/>
      </c>
    </row>
    <row r="24" customFormat="false" ht="14.25" hidden="false" customHeight="true" outlineLevel="0" collapsed="false">
      <c r="A24" s="247" t="s">
        <v>1009</v>
      </c>
      <c r="B24" s="248"/>
      <c r="C24" s="248"/>
      <c r="D24" s="248"/>
      <c r="E24" s="248"/>
      <c r="F24" s="248"/>
      <c r="G24" s="248"/>
      <c r="H24" s="249"/>
      <c r="I24" s="249"/>
      <c r="J24" s="249"/>
      <c r="K24" s="250" t="str">
        <f aca="false">IF(COUNTIFS('Scores (start here)'!$A:$A,$B$1,'Scores (start here)'!$B:$B,$A24,'Scores (start here)'!$F:$F,"&gt;=0")&gt;0,SUMIFS('Scores (start here)'!$F:$F,'Scores (start here)'!$A:$A,$B$1,'Scores (start here)'!$B:$B,$A24),M24)</f>
        <v/>
      </c>
      <c r="L24" s="248"/>
      <c r="M24" s="77" t="str">
        <f aca="false">IF(OR(H24="",I24="",J24=""),"",COUNTIF(H24:J24,"YES")/3*$C$7)</f>
        <v/>
      </c>
    </row>
    <row r="25" customFormat="false" ht="14.25" hidden="false" customHeight="true" outlineLevel="0" collapsed="false">
      <c r="A25" s="247" t="s">
        <v>1010</v>
      </c>
      <c r="B25" s="248"/>
      <c r="C25" s="248"/>
      <c r="D25" s="248"/>
      <c r="E25" s="248"/>
      <c r="F25" s="248"/>
      <c r="G25" s="248"/>
      <c r="H25" s="249"/>
      <c r="I25" s="249"/>
      <c r="J25" s="249"/>
      <c r="K25" s="250" t="str">
        <f aca="false">IF(COUNTIFS('Scores (start here)'!$A:$A,$B$1,'Scores (start here)'!$B:$B,$A25,'Scores (start here)'!$F:$F,"&gt;=0")&gt;0,SUMIFS('Scores (start here)'!$F:$F,'Scores (start here)'!$A:$A,$B$1,'Scores (start here)'!$B:$B,$A25),M25)</f>
        <v/>
      </c>
      <c r="L25" s="248"/>
      <c r="M25" s="77" t="str">
        <f aca="false">IF(OR(H25="",I25="",J25=""),"",COUNTIF(H25:J25,"YES")/3*$C$7)</f>
        <v/>
      </c>
    </row>
    <row r="26" customFormat="false" ht="14.25" hidden="false" customHeight="true" outlineLevel="0" collapsed="false">
      <c r="A26" s="247" t="s">
        <v>1011</v>
      </c>
      <c r="B26" s="248"/>
      <c r="C26" s="248"/>
      <c r="D26" s="248"/>
      <c r="E26" s="248"/>
      <c r="F26" s="248"/>
      <c r="G26" s="248"/>
      <c r="H26" s="249"/>
      <c r="I26" s="249"/>
      <c r="J26" s="249"/>
      <c r="K26" s="250" t="str">
        <f aca="false">IF(COUNTIFS('Scores (start here)'!$A:$A,$B$1,'Scores (start here)'!$B:$B,$A26,'Scores (start here)'!$F:$F,"&gt;=0")&gt;0,SUMIFS('Scores (start here)'!$F:$F,'Scores (start here)'!$A:$A,$B$1,'Scores (start here)'!$B:$B,$A26),M26)</f>
        <v/>
      </c>
      <c r="L26" s="248"/>
      <c r="M26" s="77" t="str">
        <f aca="false">IF(OR(H26="",I26="",J26=""),"",COUNTIF(H26:J26,"YES")/3*$C$7)</f>
        <v/>
      </c>
    </row>
    <row r="27" customFormat="false" ht="14.25" hidden="false" customHeight="true" outlineLevel="0" collapsed="false">
      <c r="A27" s="247" t="s">
        <v>1012</v>
      </c>
      <c r="B27" s="248"/>
      <c r="C27" s="248"/>
      <c r="D27" s="248"/>
      <c r="E27" s="248"/>
      <c r="F27" s="248"/>
      <c r="G27" s="248"/>
      <c r="H27" s="249"/>
      <c r="I27" s="249"/>
      <c r="J27" s="249"/>
      <c r="K27" s="250" t="str">
        <f aca="false">IF(COUNTIFS('Scores (start here)'!$A:$A,$B$1,'Scores (start here)'!$B:$B,$A27,'Scores (start here)'!$F:$F,"&gt;=0")&gt;0,SUMIFS('Scores (start here)'!$F:$F,'Scores (start here)'!$A:$A,$B$1,'Scores (start here)'!$B:$B,$A27),M27)</f>
        <v/>
      </c>
      <c r="L27" s="248"/>
      <c r="M27" s="77" t="str">
        <f aca="false">IF(OR(H27="",I27="",J27=""),"",COUNTIF(H27:J27,"YES")/3*$C$7)</f>
        <v/>
      </c>
    </row>
    <row r="28" customFormat="false" ht="14.25" hidden="false" customHeight="true" outlineLevel="0" collapsed="false">
      <c r="A28" s="247" t="s">
        <v>1013</v>
      </c>
      <c r="B28" s="248"/>
      <c r="C28" s="248"/>
      <c r="D28" s="248"/>
      <c r="E28" s="248"/>
      <c r="F28" s="248"/>
      <c r="G28" s="248"/>
      <c r="H28" s="249"/>
      <c r="I28" s="249"/>
      <c r="J28" s="249"/>
      <c r="K28" s="250" t="str">
        <f aca="false">IF(COUNTIFS('Scores (start here)'!$A:$A,$B$1,'Scores (start here)'!$B:$B,$A28,'Scores (start here)'!$F:$F,"&gt;=0")&gt;0,SUMIFS('Scores (start here)'!$F:$F,'Scores (start here)'!$A:$A,$B$1,'Scores (start here)'!$B:$B,$A28),M28)</f>
        <v/>
      </c>
      <c r="L28" s="248"/>
      <c r="M28" s="77" t="str">
        <f aca="false">IF(OR(H28="",I28="",J28=""),"",COUNTIF(H28:J28,"YES")/3*$C$7)</f>
        <v/>
      </c>
    </row>
    <row r="29" customFormat="false" ht="14.25" hidden="false" customHeight="true" outlineLevel="0" collapsed="false">
      <c r="A29" s="247" t="s">
        <v>1014</v>
      </c>
      <c r="B29" s="248"/>
      <c r="C29" s="248"/>
      <c r="D29" s="248"/>
      <c r="E29" s="248"/>
      <c r="F29" s="248"/>
      <c r="G29" s="248"/>
      <c r="H29" s="249"/>
      <c r="I29" s="249"/>
      <c r="J29" s="249"/>
      <c r="K29" s="250" t="str">
        <f aca="false">IF(COUNTIFS('Scores (start here)'!$A:$A,$B$1,'Scores (start here)'!$B:$B,$A29,'Scores (start here)'!$F:$F,"&gt;=0")&gt;0,SUMIFS('Scores (start here)'!$F:$F,'Scores (start here)'!$A:$A,$B$1,'Scores (start here)'!$B:$B,$A29),M29)</f>
        <v/>
      </c>
      <c r="L29" s="248"/>
      <c r="M29" s="77" t="str">
        <f aca="false">IF(OR(H29="",I29="",J29=""),"",COUNTIF(H29:J29,"YES")/3*$C$7)</f>
        <v/>
      </c>
    </row>
    <row r="30" customFormat="false" ht="14.25" hidden="false" customHeight="true" outlineLevel="0" collapsed="false">
      <c r="A30" s="247" t="s">
        <v>1015</v>
      </c>
      <c r="B30" s="248"/>
      <c r="C30" s="248"/>
      <c r="D30" s="248"/>
      <c r="E30" s="248"/>
      <c r="F30" s="248"/>
      <c r="G30" s="248"/>
      <c r="H30" s="249"/>
      <c r="I30" s="249"/>
      <c r="J30" s="249"/>
      <c r="K30" s="250" t="str">
        <f aca="false">IF(COUNTIFS('Scores (start here)'!$A:$A,$B$1,'Scores (start here)'!$B:$B,$A30,'Scores (start here)'!$F:$F,"&gt;=0")&gt;0,SUMIFS('Scores (start here)'!$F:$F,'Scores (start here)'!$A:$A,$B$1,'Scores (start here)'!$B:$B,$A30),M30)</f>
        <v/>
      </c>
      <c r="L30" s="248"/>
      <c r="M30" s="77" t="str">
        <f aca="false">IF(OR(H30="",I30="",J30=""),"",COUNTIF(H30:J30,"YES")/3*$C$7)</f>
        <v/>
      </c>
    </row>
    <row r="31" customFormat="false" ht="14.25" hidden="false" customHeight="true" outlineLevel="0" collapsed="false">
      <c r="A31" s="247" t="s">
        <v>1016</v>
      </c>
      <c r="B31" s="248"/>
      <c r="C31" s="248"/>
      <c r="D31" s="248"/>
      <c r="E31" s="248"/>
      <c r="F31" s="248"/>
      <c r="G31" s="248"/>
      <c r="H31" s="249"/>
      <c r="I31" s="249"/>
      <c r="J31" s="249"/>
      <c r="K31" s="250" t="str">
        <f aca="false">IF(COUNTIFS('Scores (start here)'!$A:$A,$B$1,'Scores (start here)'!$B:$B,$A31,'Scores (start here)'!$F:$F,"&gt;=0")&gt;0,SUMIFS('Scores (start here)'!$F:$F,'Scores (start here)'!$A:$A,$B$1,'Scores (start here)'!$B:$B,$A31),M31)</f>
        <v/>
      </c>
      <c r="L31" s="248"/>
      <c r="M31" s="77" t="str">
        <f aca="false">IF(OR(H31="",I31="",J31=""),"",COUNTIF(H31:J31,"YES")/3*$C$7)</f>
        <v/>
      </c>
    </row>
    <row r="32" customFormat="false" ht="14.25" hidden="false" customHeight="true" outlineLevel="0" collapsed="false">
      <c r="A32" s="247" t="s">
        <v>1017</v>
      </c>
      <c r="B32" s="248"/>
      <c r="C32" s="248"/>
      <c r="D32" s="248"/>
      <c r="E32" s="248"/>
      <c r="F32" s="248"/>
      <c r="G32" s="248"/>
      <c r="H32" s="249"/>
      <c r="I32" s="249"/>
      <c r="J32" s="249"/>
      <c r="K32" s="250" t="str">
        <f aca="false">IF(COUNTIFS('Scores (start here)'!$A:$A,$B$1,'Scores (start here)'!$B:$B,$A32,'Scores (start here)'!$F:$F,"&gt;=0")&gt;0,SUMIFS('Scores (start here)'!$F:$F,'Scores (start here)'!$A:$A,$B$1,'Scores (start here)'!$B:$B,$A32),M32)</f>
        <v/>
      </c>
      <c r="L32" s="248"/>
      <c r="M32" s="77" t="str">
        <f aca="false">IF(OR(H32="",I32="",J32=""),"",COUNTIF(H32:J32,"YES")/3*$C$7)</f>
        <v/>
      </c>
    </row>
    <row r="33" customFormat="false" ht="14.25" hidden="false" customHeight="true" outlineLevel="0" collapsed="false">
      <c r="A33" s="247" t="s">
        <v>30</v>
      </c>
      <c r="B33" s="248" t="s">
        <v>124</v>
      </c>
      <c r="C33" s="248" t="s">
        <v>1598</v>
      </c>
      <c r="D33" s="248" t="s">
        <v>1599</v>
      </c>
      <c r="E33" s="248"/>
      <c r="F33" s="248" t="s">
        <v>1600</v>
      </c>
      <c r="G33" s="248" t="s">
        <v>125</v>
      </c>
      <c r="H33" s="249"/>
      <c r="I33" s="249"/>
      <c r="J33" s="249"/>
      <c r="K33" s="250" t="str">
        <f aca="false">IF(COUNTIFS('Scores (start here)'!$A:$A,$B$1,'Scores (start here)'!$B:$B,$A33,'Scores (start here)'!$F:$F,"&gt;=0")&gt;0,SUMIFS('Scores (start here)'!$F:$F,'Scores (start here)'!$A:$A,$B$1,'Scores (start here)'!$B:$B,$A33),M33)</f>
        <v/>
      </c>
      <c r="L33" s="248" t="s">
        <v>1601</v>
      </c>
      <c r="M33" s="77" t="str">
        <f aca="false">IF(OR(H33="",I33="",J33=""),"",COUNTIF(H33:J33,"YES")/3*$C$7)</f>
        <v/>
      </c>
    </row>
    <row r="34" customFormat="false" ht="14.25" hidden="false" customHeight="true" outlineLevel="0" collapsed="false">
      <c r="A34" s="247" t="s">
        <v>1018</v>
      </c>
      <c r="B34" s="248"/>
      <c r="C34" s="248"/>
      <c r="D34" s="248"/>
      <c r="E34" s="248"/>
      <c r="F34" s="248"/>
      <c r="G34" s="248"/>
      <c r="H34" s="249"/>
      <c r="I34" s="249"/>
      <c r="J34" s="249"/>
      <c r="K34" s="250" t="str">
        <f aca="false">IF(COUNTIFS('Scores (start here)'!$A:$A,$B$1,'Scores (start here)'!$B:$B,$A34,'Scores (start here)'!$F:$F,"&gt;=0")&gt;0,SUMIFS('Scores (start here)'!$F:$F,'Scores (start here)'!$A:$A,$B$1,'Scores (start here)'!$B:$B,$A34),M34)</f>
        <v/>
      </c>
      <c r="L34" s="248"/>
      <c r="M34" s="77" t="str">
        <f aca="false">IF(OR(H34="",I34="",J34=""),"",COUNTIF(H34:J34,"YES")/3*$C$7)</f>
        <v/>
      </c>
    </row>
    <row r="35" customFormat="false" ht="14.25" hidden="false" customHeight="true" outlineLevel="0" collapsed="false">
      <c r="A35" s="247" t="s">
        <v>1019</v>
      </c>
      <c r="B35" s="248"/>
      <c r="C35" s="248"/>
      <c r="D35" s="248"/>
      <c r="E35" s="248"/>
      <c r="F35" s="248"/>
      <c r="G35" s="248"/>
      <c r="H35" s="249"/>
      <c r="I35" s="249"/>
      <c r="J35" s="249"/>
      <c r="K35" s="250" t="str">
        <f aca="false">IF(COUNTIFS('Scores (start here)'!$A:$A,$B$1,'Scores (start here)'!$B:$B,$A35,'Scores (start here)'!$F:$F,"&gt;=0")&gt;0,SUMIFS('Scores (start here)'!$F:$F,'Scores (start here)'!$A:$A,$B$1,'Scores (start here)'!$B:$B,$A35),M35)</f>
        <v/>
      </c>
      <c r="L35" s="248"/>
      <c r="M35" s="77" t="str">
        <f aca="false">IF(OR(H35="",I35="",J35=""),"",COUNTIF(H35:J35,"YES")/3*$C$7)</f>
        <v/>
      </c>
    </row>
    <row r="36" customFormat="false" ht="14.25" hidden="false" customHeight="true" outlineLevel="0" collapsed="false">
      <c r="A36" s="247" t="s">
        <v>1020</v>
      </c>
      <c r="B36" s="248"/>
      <c r="C36" s="248"/>
      <c r="D36" s="248"/>
      <c r="E36" s="248"/>
      <c r="F36" s="248"/>
      <c r="G36" s="248"/>
      <c r="H36" s="249"/>
      <c r="I36" s="249"/>
      <c r="J36" s="249"/>
      <c r="K36" s="250" t="str">
        <f aca="false">IF(COUNTIFS('Scores (start here)'!$A:$A,$B$1,'Scores (start here)'!$B:$B,$A36,'Scores (start here)'!$F:$F,"&gt;=0")&gt;0,SUMIFS('Scores (start here)'!$F:$F,'Scores (start here)'!$A:$A,$B$1,'Scores (start here)'!$B:$B,$A36),M36)</f>
        <v/>
      </c>
      <c r="L36" s="248"/>
      <c r="M36" s="77" t="str">
        <f aca="false">IF(OR(H36="",I36="",J36=""),"",COUNTIF(H36:J36,"YES")/3*$C$7)</f>
        <v/>
      </c>
    </row>
    <row r="37" customFormat="false" ht="14.25" hidden="false" customHeight="true" outlineLevel="0" collapsed="false">
      <c r="A37" s="247" t="s">
        <v>1021</v>
      </c>
      <c r="B37" s="248"/>
      <c r="C37" s="248"/>
      <c r="D37" s="248"/>
      <c r="E37" s="248"/>
      <c r="F37" s="248"/>
      <c r="G37" s="248"/>
      <c r="H37" s="249"/>
      <c r="I37" s="249"/>
      <c r="J37" s="249"/>
      <c r="K37" s="250" t="str">
        <f aca="false">IF(COUNTIFS('Scores (start here)'!$A:$A,$B$1,'Scores (start here)'!$B:$B,$A37,'Scores (start here)'!$F:$F,"&gt;=0")&gt;0,SUMIFS('Scores (start here)'!$F:$F,'Scores (start here)'!$A:$A,$B$1,'Scores (start here)'!$B:$B,$A37),M37)</f>
        <v/>
      </c>
      <c r="L37" s="248"/>
      <c r="M37" s="77" t="str">
        <f aca="false">IF(OR(H37="",I37="",J37=""),"",COUNTIF(H37:J37,"YES")/3*$C$7)</f>
        <v/>
      </c>
    </row>
    <row r="38" customFormat="false" ht="14.25" hidden="false" customHeight="true" outlineLevel="0" collapsed="false">
      <c r="A38" s="247" t="s">
        <v>1022</v>
      </c>
      <c r="B38" s="248"/>
      <c r="C38" s="248"/>
      <c r="D38" s="248"/>
      <c r="E38" s="248"/>
      <c r="F38" s="248"/>
      <c r="G38" s="248"/>
      <c r="H38" s="249"/>
      <c r="I38" s="249"/>
      <c r="J38" s="249"/>
      <c r="K38" s="250" t="str">
        <f aca="false">IF(COUNTIFS('Scores (start here)'!$A:$A,$B$1,'Scores (start here)'!$B:$B,$A38,'Scores (start here)'!$F:$F,"&gt;=0")&gt;0,SUMIFS('Scores (start here)'!$F:$F,'Scores (start here)'!$A:$A,$B$1,'Scores (start here)'!$B:$B,$A38),M38)</f>
        <v/>
      </c>
      <c r="L38" s="248"/>
      <c r="M38" s="77" t="str">
        <f aca="false">IF(OR(H38="",I38="",J38=""),"",COUNTIF(H38:J38,"YES")/3*$C$7)</f>
        <v/>
      </c>
    </row>
    <row r="39" customFormat="false" ht="14.25" hidden="false" customHeight="true" outlineLevel="0" collapsed="false">
      <c r="A39" s="247" t="s">
        <v>1023</v>
      </c>
      <c r="B39" s="248"/>
      <c r="C39" s="248"/>
      <c r="D39" s="248"/>
      <c r="E39" s="248"/>
      <c r="F39" s="248"/>
      <c r="G39" s="248"/>
      <c r="H39" s="249"/>
      <c r="I39" s="249"/>
      <c r="J39" s="249"/>
      <c r="K39" s="250" t="str">
        <f aca="false">IF(COUNTIFS('Scores (start here)'!$A:$A,$B$1,'Scores (start here)'!$B:$B,$A39,'Scores (start here)'!$F:$F,"&gt;=0")&gt;0,SUMIFS('Scores (start here)'!$F:$F,'Scores (start here)'!$A:$A,$B$1,'Scores (start here)'!$B:$B,$A39),M39)</f>
        <v/>
      </c>
      <c r="L39" s="248"/>
      <c r="M39" s="77" t="str">
        <f aca="false">IF(OR(H39="",I39="",J39=""),"",COUNTIF(H39:J39,"YES")/3*$C$7)</f>
        <v/>
      </c>
    </row>
    <row r="40" customFormat="false" ht="14.25" hidden="false" customHeight="true" outlineLevel="0" collapsed="false">
      <c r="A40" s="247" t="s">
        <v>1024</v>
      </c>
      <c r="B40" s="248"/>
      <c r="C40" s="248"/>
      <c r="D40" s="248"/>
      <c r="E40" s="248"/>
      <c r="F40" s="248"/>
      <c r="G40" s="248"/>
      <c r="H40" s="249"/>
      <c r="I40" s="249"/>
      <c r="J40" s="249"/>
      <c r="K40" s="250" t="str">
        <f aca="false">IF(COUNTIFS('Scores (start here)'!$A:$A,$B$1,'Scores (start here)'!$B:$B,$A40,'Scores (start here)'!$F:$F,"&gt;=0")&gt;0,SUMIFS('Scores (start here)'!$F:$F,'Scores (start here)'!$A:$A,$B$1,'Scores (start here)'!$B:$B,$A40),M40)</f>
        <v/>
      </c>
      <c r="L40" s="248"/>
      <c r="M40" s="77" t="str">
        <f aca="false">IF(OR(H40="",I40="",J40=""),"",COUNTIF(H40:J40,"YES")/3*$C$7)</f>
        <v/>
      </c>
    </row>
    <row r="41" customFormat="false" ht="14.25" hidden="false" customHeight="true" outlineLevel="0" collapsed="false">
      <c r="A41" s="247" t="s">
        <v>1025</v>
      </c>
      <c r="B41" s="248"/>
      <c r="C41" s="248"/>
      <c r="D41" s="248"/>
      <c r="E41" s="248"/>
      <c r="F41" s="248"/>
      <c r="G41" s="248"/>
      <c r="H41" s="249"/>
      <c r="I41" s="249"/>
      <c r="J41" s="249"/>
      <c r="K41" s="250" t="str">
        <f aca="false">IF(COUNTIFS('Scores (start here)'!$A:$A,$B$1,'Scores (start here)'!$B:$B,$A41,'Scores (start here)'!$F:$F,"&gt;=0")&gt;0,SUMIFS('Scores (start here)'!$F:$F,'Scores (start here)'!$A:$A,$B$1,'Scores (start here)'!$B:$B,$A41),M41)</f>
        <v/>
      </c>
      <c r="L41" s="248"/>
      <c r="M41" s="77" t="str">
        <f aca="false">IF(OR(H41="",I41="",J41=""),"",COUNTIF(H41:J41,"YES")/3*$C$7)</f>
        <v/>
      </c>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K1" location="'Scores (start here)'!A1" display="← Back to Scores (start here)"/>
    <hyperlink ref="G14" r:id="rId1" display="https://bwssb.karnataka.gov.in/storage/pdf-files/documents/Vision%20Document%202050%20%20new.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352</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city have a notified and active Sustainability/Resilience Strategy?</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municipal/city plan/DP) to be scored.  A Disaster Management Plan may also be considered as evidence.  If the plan/ strategy does exist  score 3.33, or score 0 otherwise.                                                                                                                                Note: A draft document. Independent consultant's report/academic /NGO reports will not be considered.</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Independent consultant's report/academic reports will not be considered.</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t="s">
        <v>355</v>
      </c>
      <c r="C14" s="248" t="s">
        <v>1602</v>
      </c>
      <c r="D14" s="248" t="s">
        <v>1603</v>
      </c>
      <c r="E14" s="248"/>
      <c r="F14" s="248" t="s">
        <v>633</v>
      </c>
      <c r="G14" s="251" t="s">
        <v>356</v>
      </c>
      <c r="H14" s="249" t="s">
        <v>1309</v>
      </c>
      <c r="I14" s="250" t="n">
        <f aca="false">IF(COUNTIFS('Scores (start here)'!$A:$A,$B$1,'Scores (start here)'!$B:$B,$A14,'Scores (start here)'!$F:$F,"&gt;=0")&gt;0,SUMIFS('Scores (start here)'!$F:$F,'Scores (start here)'!$A:$A,$B$1,'Scores (start here)'!$B:$B,$A14),K14)</f>
        <v>3.33</v>
      </c>
      <c r="J14" s="254" t="s">
        <v>1604</v>
      </c>
      <c r="K14" s="252" t="n">
        <f aca="false">IF(H14="YES",$C$7,IF(H14="NO",0,""))</f>
        <v>3.33</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t="s">
        <v>360</v>
      </c>
      <c r="C33" s="248" t="s">
        <v>1605</v>
      </c>
      <c r="D33" s="248" t="s">
        <v>1606</v>
      </c>
      <c r="E33" s="248" t="s">
        <v>1607</v>
      </c>
      <c r="F33" s="248" t="s">
        <v>1608</v>
      </c>
      <c r="G33" s="248" t="s">
        <v>361</v>
      </c>
      <c r="H33" s="249" t="s">
        <v>1309</v>
      </c>
      <c r="I33" s="250" t="n">
        <f aca="false">IF(COUNTIFS('Scores (start here)'!$A:$A,$B$1,'Scores (start here)'!$B:$B,$A33,'Scores (start here)'!$F:$F,"&gt;=0")&gt;0,SUMIFS('Scores (start here)'!$F:$F,'Scores (start here)'!$A:$A,$B$1,'Scores (start here)'!$B:$B,$A33),K33)</f>
        <v>3.33</v>
      </c>
      <c r="J33" s="251" t="s">
        <v>1609</v>
      </c>
      <c r="K33" s="252" t="n">
        <f aca="false">IF(H33="YES",$C$7,IF(H33="NO",0,""))</f>
        <v>3.33</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1" activeCellId="0" sqref="G11"/>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364</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plan have development priorities and measurable objectives?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outcomes.A general statement of intent, such as becoming climate-resilient, sustainable or reducing emissions, without identifiable priorities and measurable objectives or targets, shall not qualify.Score 3.33 if the plan identifies atleast two or more clear priorities and includes measurable objectives or targets against those priorities;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t="s">
        <v>355</v>
      </c>
      <c r="C14" s="248" t="s">
        <v>1610</v>
      </c>
      <c r="D14" s="248" t="s">
        <v>1611</v>
      </c>
      <c r="E14" s="248" t="s">
        <v>1612</v>
      </c>
      <c r="F14" s="248" t="s">
        <v>698</v>
      </c>
      <c r="G14" s="251" t="s">
        <v>356</v>
      </c>
      <c r="H14" s="249" t="s">
        <v>1309</v>
      </c>
      <c r="I14" s="250" t="n">
        <f aca="false">IF(COUNTIFS('Scores (start here)'!$A:$A,$B$1,'Scores (start here)'!$B:$B,$A14,'Scores (start here)'!$F:$F,"&gt;=0")&gt;0,SUMIFS('Scores (start here)'!$F:$F,'Scores (start here)'!$A:$A,$B$1,'Scores (start here)'!$B:$B,$A14),K14)</f>
        <v>3.33</v>
      </c>
      <c r="J14" s="251" t="s">
        <v>1613</v>
      </c>
      <c r="K14" s="252" t="n">
        <f aca="false">IF(H14="YES",$C$7,IF(H14="NO",0,""))</f>
        <v>3.33</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t="s">
        <v>360</v>
      </c>
      <c r="C33" s="248" t="s">
        <v>1614</v>
      </c>
      <c r="D33" s="248" t="s">
        <v>1615</v>
      </c>
      <c r="E33" s="248" t="s">
        <v>1616</v>
      </c>
      <c r="F33" s="248" t="s">
        <v>806</v>
      </c>
      <c r="G33" s="248" t="s">
        <v>361</v>
      </c>
      <c r="H33" s="249" t="s">
        <v>1309</v>
      </c>
      <c r="I33" s="250" t="n">
        <f aca="false">IF(COUNTIFS('Scores (start here)'!$A:$A,$B$1,'Scores (start here)'!$B:$B,$A33,'Scores (start here)'!$F:$F,"&gt;=0")&gt;0,SUMIFS('Scores (start here)'!$F:$F,'Scores (start here)'!$A:$A,$B$1,'Scores (start here)'!$B:$B,$A33),K33)</f>
        <v>3.33</v>
      </c>
      <c r="J33" s="251" t="s">
        <v>1617</v>
      </c>
      <c r="K33" s="252" t="n">
        <f aca="false">IF(H33="YES",$C$7,IF(H33="NO",0,""))</f>
        <v>3.33</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372</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plan clearly articulate the role of the ULG?</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Score 3.33 where the plan clearly articulates the role/responsibilities of the ULG in its preparation/implementation;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t="s">
        <v>230</v>
      </c>
      <c r="C14" s="248" t="s">
        <v>1618</v>
      </c>
      <c r="D14" s="248" t="s">
        <v>1619</v>
      </c>
      <c r="E14" s="248" t="s">
        <v>1620</v>
      </c>
      <c r="F14" s="248" t="s">
        <v>1621</v>
      </c>
      <c r="G14" s="251" t="s">
        <v>231</v>
      </c>
      <c r="H14" s="249" t="s">
        <v>1309</v>
      </c>
      <c r="I14" s="250" t="n">
        <f aca="false">IF(COUNTIFS('Scores (start here)'!$A:$A,$B$1,'Scores (start here)'!$B:$B,$A14,'Scores (start here)'!$F:$F,"&gt;=0")&gt;0,SUMIFS('Scores (start here)'!$F:$F,'Scores (start here)'!$A:$A,$B$1,'Scores (start here)'!$B:$B,$A14),K14)</f>
        <v>3.33</v>
      </c>
      <c r="J14" s="251" t="s">
        <v>1622</v>
      </c>
      <c r="K14" s="252" t="n">
        <f aca="false">IF(H14="YES",$C$7,IF(H14="NO",0,""))</f>
        <v>3.33</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7" hidden="false" customHeight="true" outlineLevel="0" collapsed="false">
      <c r="A33" s="247" t="s">
        <v>30</v>
      </c>
      <c r="B33" s="248" t="s">
        <v>360</v>
      </c>
      <c r="C33" s="248" t="s">
        <v>1623</v>
      </c>
      <c r="D33" s="248" t="s">
        <v>1624</v>
      </c>
      <c r="E33" s="248" t="s">
        <v>1625</v>
      </c>
      <c r="F33" s="248" t="s">
        <v>806</v>
      </c>
      <c r="G33" s="248" t="s">
        <v>361</v>
      </c>
      <c r="H33" s="249" t="s">
        <v>1309</v>
      </c>
      <c r="I33" s="250" t="n">
        <f aca="false">IF(COUNTIFS('Scores (start here)'!$A:$A,$B$1,'Scores (start here)'!$B:$B,$A33,'Scores (start here)'!$F:$F,"&gt;=0")&gt;0,SUMIFS('Scores (start here)'!$F:$F,'Scores (start here)'!$A:$A,$B$1,'Scores (start here)'!$B:$B,$A33),K33)</f>
        <v>3.33</v>
      </c>
      <c r="J33" s="251" t="s">
        <v>1626</v>
      </c>
      <c r="K33" s="252" t="n">
        <f aca="false">IF(H33="YES",$C$7,IF(H33="NO",0,""))</f>
        <v>3.33</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H18" activeCellId="0" sqref="H18"/>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380</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city have a notified and active Comprehensive Mobility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considered.Check whether the city has a Comprehensive Mobility Plan (CMP) that has been formally adopted or approved by the competent authority, such as the UMTA, the Urban Development Department, Transport Department or the ULG/Council through a resolution. Sources may include the municipal/city plan, the ULB website, parastatal websites, and the UMTA or State Transport Department website.A draft CMP, a consultant's report, or an unadopted study, without evidence of formal adoption or approval, shall not qualify.Score 3.33 if the city has a CMP formally adopted or approved by the competent authority;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c r="C14" s="248"/>
      <c r="D14" s="248"/>
      <c r="E14" s="248"/>
      <c r="F14" s="248"/>
      <c r="G14" s="253" t="s">
        <v>1627</v>
      </c>
      <c r="H14" s="249" t="s">
        <v>1309</v>
      </c>
      <c r="I14" s="250" t="n">
        <f aca="false">IF(COUNTIFS('Scores (start here)'!$A:$A,$B$1,'Scores (start here)'!$B:$B,$A14,'Scores (start here)'!$F:$F,"&gt;=0")&gt;0,SUMIFS('Scores (start here)'!$F:$F,'Scores (start here)'!$A:$A,$B$1,'Scores (start here)'!$B:$B,$A14),K14)</f>
        <v>3.33</v>
      </c>
      <c r="J14" s="248" t="s">
        <v>1628</v>
      </c>
      <c r="K14" s="252" t="n">
        <f aca="false">IF(H14="YES",$C$7,IF(H14="NO",0,""))</f>
        <v>3.33</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t="s">
        <v>124</v>
      </c>
      <c r="C33" s="248" t="s">
        <v>1629</v>
      </c>
      <c r="D33" s="248" t="s">
        <v>1630</v>
      </c>
      <c r="E33" s="248" t="s">
        <v>1631</v>
      </c>
      <c r="F33" s="248" t="s">
        <v>1346</v>
      </c>
      <c r="G33" s="248" t="s">
        <v>125</v>
      </c>
      <c r="H33" s="249"/>
      <c r="I33" s="250" t="str">
        <f aca="false">IF(COUNTIFS('Scores (start here)'!$A:$A,$B$1,'Scores (start here)'!$B:$B,$A33,'Scores (start here)'!$F:$F,"&gt;=0")&gt;0,SUMIFS('Scores (start here)'!$F:$F,'Scores (start here)'!$A:$A,$B$1,'Scores (start here)'!$B:$B,$A33),K33)</f>
        <v/>
      </c>
      <c r="J33" s="251" t="s">
        <v>1632</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 ref="G14" r:id="rId1" display="https://dult.karnataka.gov.in/assets/front/pdf/Comprehensive_Mobility_Plan.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H18" activeCellId="0" sqref="H18"/>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386</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plan have development priorities and measurable objectives?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CMP identifies clear priorities and specifies measurable objectives or targets against those priorities, including quantitative or qualitative indicators, as appropriate. Examples may include a target mode share for sustainable modes (public transport, walking and cycling); targets for road safety or transport-related emissions; or actionable projects with measurable timelines, budget estimates and a phasing plan.A general statement of intent, such as improving mobility, promoting public transport or reducing congestion, without identifiable priorities and measurable objectives or targets, shall not qualify.Score 3.33 if the CMP identifies atleast two or more clear priorities and includes measurable objectives or targets against those priorities;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t="s">
        <v>230</v>
      </c>
      <c r="C14" s="248" t="s">
        <v>1633</v>
      </c>
      <c r="D14" s="248" t="s">
        <v>1634</v>
      </c>
      <c r="E14" s="248"/>
      <c r="F14" s="248" t="s">
        <v>1635</v>
      </c>
      <c r="G14" s="253" t="s">
        <v>231</v>
      </c>
      <c r="H14" s="249" t="s">
        <v>1309</v>
      </c>
      <c r="I14" s="250" t="n">
        <f aca="false">IF(COUNTIFS('Scores (start here)'!$A:$A,$B$1,'Scores (start here)'!$B:$B,$A14,'Scores (start here)'!$F:$F,"&gt;=0")&gt;0,SUMIFS('Scores (start here)'!$F:$F,'Scores (start here)'!$A:$A,$B$1,'Scores (start here)'!$B:$B,$A14),K14)</f>
        <v>3.33</v>
      </c>
      <c r="J14" s="251" t="s">
        <v>1636</v>
      </c>
      <c r="K14" s="252" t="n">
        <f aca="false">IF(H14="YES",$C$7,IF(H14="NO",0,""))</f>
        <v>3.33</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c r="C33" s="248"/>
      <c r="D33" s="248"/>
      <c r="E33" s="248"/>
      <c r="F33" s="248"/>
      <c r="G33" s="248"/>
      <c r="H33" s="249"/>
      <c r="I33" s="250" t="str">
        <f aca="false">IF(COUNTIFS('Scores (start here)'!$A:$A,$B$1,'Scores (start here)'!$B:$B,$A33,'Scores (start here)'!$F:$F,"&gt;=0")&gt;0,SUMIFS('Scores (start here)'!$F:$F,'Scores (start here)'!$A:$A,$B$1,'Scores (start here)'!$B:$B,$A33),K33)</f>
        <v/>
      </c>
      <c r="J33" s="248" t="s">
        <v>1637</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 ref="G14" r:id="rId1" display="https://apps.bbmpgov.in/bcap/PDF/BCAP_FullReport_091224.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C9" colorId="64" zoomScale="100" zoomScaleNormal="100" zoomScalePageLayoutView="100" workbookViewId="0">
      <selection pane="topLeft" activeCell="G17" activeCellId="0" sqref="G17"/>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392</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plan clearly articulate the role of the ULG?</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CMP clearly articulates the roles and responsibilities of the Urban Local Government (ULG) in its preparation and/or implementation. Examples may include the ULG's participation in preparing the plan, such as membership of the steering or technical committee or a council resolution endorsing it; the assignment of specific projects, programmes or actions to the ULG; responsibilities for funding, execution, operation or maintenance of identified interventions; or the ULG's role in monitoring and reviewing the plan's progress.A passing mention of the ULG as a stakeholder, or a general reference to coordination among agencies, without specifying the ULG's role or responsibilities, shall not qualify.Score 3.3 if the CMP clearly articulates the roles and responsibilities of the ULG in its preparation and/or implementation;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c r="C14" s="248"/>
      <c r="D14" s="248"/>
      <c r="E14" s="248"/>
      <c r="F14" s="248"/>
      <c r="G14" s="253" t="s">
        <v>1627</v>
      </c>
      <c r="H14" s="249" t="s">
        <v>1309</v>
      </c>
      <c r="I14" s="250" t="n">
        <f aca="false">IF(COUNTIFS('Scores (start here)'!$A:$A,$B$1,'Scores (start here)'!$B:$B,$A14,'Scores (start here)'!$F:$F,"&gt;=0")&gt;0,SUMIFS('Scores (start here)'!$F:$F,'Scores (start here)'!$A:$A,$B$1,'Scores (start here)'!$B:$B,$A14),K14)</f>
        <v>3.33</v>
      </c>
      <c r="J14" s="248" t="s">
        <v>1638</v>
      </c>
      <c r="K14" s="252" t="n">
        <f aca="false">IF(H14="YES",$C$7,IF(H14="NO",0,""))</f>
        <v>3.33</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c r="C33" s="248"/>
      <c r="D33" s="248"/>
      <c r="E33" s="248"/>
      <c r="F33" s="248"/>
      <c r="G33" s="248"/>
      <c r="H33" s="249"/>
      <c r="I33" s="250" t="str">
        <f aca="false">IF(COUNTIFS('Scores (start here)'!$A:$A,$B$1,'Scores (start here)'!$B:$B,$A33,'Scores (start here)'!$F:$F,"&gt;=0")&gt;0,SUMIFS('Scores (start here)'!$F:$F,'Scores (start here)'!$A:$A,$B$1,'Scores (start here)'!$B:$B,$A33),K33)</f>
        <v/>
      </c>
      <c r="J33" s="248" t="s">
        <v>1639</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 ref="G14" r:id="rId1" display="https://dult.karnataka.gov.in/assets/front/pdf/Comprehensive_Mobility_Plan.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10" colorId="64" zoomScale="100" zoomScaleNormal="100" zoomScalePageLayoutView="100" workbookViewId="0">
      <selection pane="topLeft" activeCell="J14" activeCellId="0" sqref="J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396</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city have a notified and active Economic Vision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 ULG website, relevant parastatal website, or city/district website for the existence of an Economic Vision, Economic Development Plan or equivalent city-level economic strategy. The document must:Be a final document; draft documents shall not be considered.Be formally adopted/approved by the competent authority, evidenced through a Municipal Corporation/Council resolution, Government Order, formal approval by the competent authority, or integration into the statutory municipal/city plan/Development Plan.Be currently active/applicable. Where the document specifies a validity or implementation period, the city must be within that period at the time of assessment. An expired or superseded plan shall not be considered.Independent consultant reports, academic studies/reports, background studies or other documents that have not been formally adopted/approved by the competent authority shall not be considered.Score 3.3 if the city has a final, formally adopted/approved and currently active/applicable Economic Vision, Economic Development Plan or equivalent city-level economic strategy that meets all the above conditions;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5" hidden="false" customHeight="true" outlineLevel="0" collapsed="false">
      <c r="A14" s="247" t="s">
        <v>19</v>
      </c>
      <c r="B14" s="248"/>
      <c r="C14" s="248"/>
      <c r="D14" s="248"/>
      <c r="E14" s="248"/>
      <c r="F14" s="248"/>
      <c r="G14" s="253" t="s">
        <v>1640</v>
      </c>
      <c r="H14" s="249" t="s">
        <v>1356</v>
      </c>
      <c r="I14" s="250" t="n">
        <f aca="false">IF(COUNTIFS('Scores (start here)'!$A:$A,$B$1,'Scores (start here)'!$B:$B,$A14,'Scores (start here)'!$F:$F,"&gt;=0")&gt;0,SUMIFS('Scores (start here)'!$F:$F,'Scores (start here)'!$A:$A,$B$1,'Scores (start here)'!$B:$B,$A14),K14)</f>
        <v>0</v>
      </c>
      <c r="J14" s="248" t="s">
        <v>1641</v>
      </c>
      <c r="K14" s="77" t="n">
        <f aca="false">IF(H14="YES",$C$7,IF(H14="NO",0,""))</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t="s">
        <v>400</v>
      </c>
      <c r="C33" s="248" t="s">
        <v>1642</v>
      </c>
      <c r="D33" s="248" t="s">
        <v>1643</v>
      </c>
      <c r="E33" s="248"/>
      <c r="F33" s="248" t="s">
        <v>631</v>
      </c>
      <c r="G33" s="248" t="s">
        <v>401</v>
      </c>
      <c r="H33" s="249"/>
      <c r="I33" s="250" t="str">
        <f aca="false">IF(COUNTIFS('Scores (start here)'!$A:$A,$B$1,'Scores (start here)'!$B:$B,$A33,'Scores (start here)'!$F:$F,"&gt;=0")&gt;0,SUMIFS('Scores (start here)'!$F:$F,'Scores (start here)'!$A:$A,$B$1,'Scores (start here)'!$B:$B,$A33),K33)</f>
        <v/>
      </c>
      <c r="J33" s="251" t="s">
        <v>1644</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 ref="G14" r:id="rId1" display="https://www.thehindu.com/news/cities/bangalore/proposed-economic-masterplan-for-bengaluru-metropolitan-region-targets-75-public-transport/article71420718.e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J14" activeCellId="0" sqref="J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404</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plan have development priorities and measurable objectives?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plan identifies clear economic development priorities and specifies measurable objectives or targets against those priorities, including quantitative or qualitative indicators, as appropriate. Examples may include targets relating to employment/job creation, workforce participation, development of identified economic sectors or clusters, land/infrastructure provision for economic activities, enterprise development, or investment to be mobilised. A general statement of intent, such as making the city an economic hub, promoting economic growth or generating employment, without identifiable priorities and measurable objectives or targets, shall not qualify. Score 3.3 if the plan identifies  atleast two or more clear economic development priorities and includes measurable objectives or targets against those priorities;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c r="C14" s="248"/>
      <c r="D14" s="248"/>
      <c r="E14" s="248"/>
      <c r="F14" s="248"/>
      <c r="G14" s="248"/>
      <c r="H14" s="249" t="s">
        <v>1356</v>
      </c>
      <c r="I14" s="250" t="n">
        <f aca="false">IF(COUNTIFS('Scores (start here)'!$A:$A,$B$1,'Scores (start here)'!$B:$B,$A14,'Scores (start here)'!$F:$F,"&gt;=0")&gt;0,SUMIFS('Scores (start here)'!$F:$F,'Scores (start here)'!$A:$A,$B$1,'Scores (start here)'!$B:$B,$A14),K14)</f>
        <v>0</v>
      </c>
      <c r="J14" s="248" t="s">
        <v>1645</v>
      </c>
      <c r="K14" s="77" t="n">
        <f aca="false">IF(H14="YES",$C$7,IF(H14="NO",0,""))</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t="s">
        <v>400</v>
      </c>
      <c r="C33" s="248" t="s">
        <v>1646</v>
      </c>
      <c r="D33" s="248" t="s">
        <v>1647</v>
      </c>
      <c r="E33" s="248"/>
      <c r="F33" s="248" t="s">
        <v>1146</v>
      </c>
      <c r="G33" s="248" t="s">
        <v>401</v>
      </c>
      <c r="H33" s="249" t="s">
        <v>1309</v>
      </c>
      <c r="I33" s="250" t="n">
        <f aca="false">IF(COUNTIFS('Scores (start here)'!$A:$A,$B$1,'Scores (start here)'!$B:$B,$A33,'Scores (start here)'!$F:$F,"&gt;=0")&gt;0,SUMIFS('Scores (start here)'!$F:$F,'Scores (start here)'!$A:$A,$B$1,'Scores (start here)'!$B:$B,$A33),K33)</f>
        <v>3.33</v>
      </c>
      <c r="J33" s="251" t="s">
        <v>1648</v>
      </c>
      <c r="K33" s="252" t="n">
        <f aca="false">IF(H33="YES",$C$7,IF(H33="NO",0,""))</f>
        <v>3.33</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J11" activeCellId="0" sqref="J11"/>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410</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plan clearly articulate the role of the ULG?</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41" t="n">
        <f aca="false">VLOOKUP($B$1,'UPD Questions_290926 '!$E$1:$N$300,MATCH($A$7,'UPD Questions_290926 '!$E$1:$N$1,0),0)</f>
        <v>3.33</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plan clearly assigns the ULG a defined role and/or specific responsibilities in implementation of the economic vision/strategy. This may include responsibility for facilitating economic development initiatives, providing enabling infrastructure, supporting livelihoods or enterprises, financing, implementing identified projects, monitoring progress against economic targets, or coordinating with relevant government departments, parastatals, and other agencies. A general reference to the ULG as a stakeholder, partner or participating institution, without identifiable responsibilities, shall not qualify. Score 3.3 where the plan clearly assigns the ULG defined roles and/or specific responsibilities in implementation;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c r="C14" s="248"/>
      <c r="D14" s="248"/>
      <c r="E14" s="248"/>
      <c r="F14" s="248"/>
      <c r="G14" s="248"/>
      <c r="H14" s="249" t="s">
        <v>1356</v>
      </c>
      <c r="I14" s="250" t="n">
        <f aca="false">IF(COUNTIFS('Scores (start here)'!$A:$A,$B$1,'Scores (start here)'!$B:$B,$A14,'Scores (start here)'!$F:$F,"&gt;=0")&gt;0,SUMIFS('Scores (start here)'!$F:$F,'Scores (start here)'!$A:$A,$B$1,'Scores (start here)'!$B:$B,$A14),K14)</f>
        <v>0</v>
      </c>
      <c r="J14" s="248" t="s">
        <v>1649</v>
      </c>
      <c r="K14" s="77" t="n">
        <f aca="false">IF(H14="YES",$C$7,IF(H14="NO",0,""))</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336.75" hidden="false" customHeight="true" outlineLevel="0" collapsed="false">
      <c r="A33" s="247" t="s">
        <v>30</v>
      </c>
      <c r="B33" s="248" t="s">
        <v>400</v>
      </c>
      <c r="C33" s="248" t="s">
        <v>1650</v>
      </c>
      <c r="D33" s="248" t="s">
        <v>1651</v>
      </c>
      <c r="E33" s="248" t="s">
        <v>1652</v>
      </c>
      <c r="F33" s="248" t="s">
        <v>1653</v>
      </c>
      <c r="G33" s="248" t="s">
        <v>401</v>
      </c>
      <c r="H33" s="249" t="s">
        <v>1356</v>
      </c>
      <c r="I33" s="250" t="n">
        <f aca="false">IF(COUNTIFS('Scores (start here)'!$A:$A,$B$1,'Scores (start here)'!$B:$B,$A33,'Scores (start here)'!$F:$F,"&gt;=0")&gt;0,SUMIFS('Scores (start here)'!$F:$F,'Scores (start here)'!$A:$A,$B$1,'Scores (start here)'!$B:$B,$A33),K33)</f>
        <v>0</v>
      </c>
      <c r="J33" s="251" t="s">
        <v>1654</v>
      </c>
      <c r="K33" s="77" t="n">
        <f aca="false">IF(H33="YES",$C$7,IF(H33="NO",0,""))</f>
        <v>0</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S4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1" min="8" style="77" width="22"/>
    <col collapsed="false" customWidth="true" hidden="false" outlineLevel="0" max="12" min="12" style="77" width="14"/>
    <col collapsed="false" customWidth="true" hidden="false" outlineLevel="0" max="13" min="13" style="77" width="45"/>
    <col collapsed="false" customWidth="true" hidden="false" outlineLevel="0" max="18" min="14" style="77" width="30"/>
  </cols>
  <sheetData>
    <row r="1" customFormat="false" ht="14.25" hidden="false" customHeight="true" outlineLevel="0" collapsed="false">
      <c r="A1" s="238" t="s">
        <v>1288</v>
      </c>
      <c r="B1" s="238" t="s">
        <v>416</v>
      </c>
      <c r="C1" s="239" t="s">
        <v>1289</v>
      </c>
      <c r="L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Specialised institutional capacity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adequate and representative professional town-planning capacity? &gt;:&lt; Does the city have adequate professional town-planning capacity?</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number of filled positions (against the sanctioned posts) of town/urban planners in the ULG and, where applicable, the Development/Planning Authority responsible for planning the city. Town planners per lakh population = (Filled qualified town planners in the ULG + filled qualified town planners attributable to the city in the Development/Planning Authority) ÷ Census 2011 population × 1,00,000 Cities assessed will receive a Score of 5. All other cities will be scored proportionately against this benchmark.Score = (Town planners per lakh population in the city ÷ Highest town planners per lakh population among cities assessed) × 5For example, if the highest-performing city has 2 planners/lakh, a city with 1.5 planners/lakh scores 3.75, and one with 1 planner/lakh scores 2.5.</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Scorer comment - Record in the score sheet, separately for the ULG and Development/Planning Authority: total sanctioned town-planner positions; total filled positions; vacancies and vacancy rate; women and men among filled positions; and town planners per lakh population.</v>
      </c>
      <c r="H10" s="242" t="s">
        <v>1655</v>
      </c>
    </row>
    <row r="11" customFormat="false" ht="28.5" hidden="false" customHeight="true" outlineLevel="0" collapsed="false">
      <c r="H11" s="243" t="s">
        <v>1656</v>
      </c>
      <c r="I11" s="243" t="s">
        <v>1656</v>
      </c>
      <c r="J11" s="243" t="s">
        <v>1657</v>
      </c>
      <c r="K11" s="243" t="s">
        <v>1296</v>
      </c>
      <c r="L11" s="244" t="s">
        <v>1295</v>
      </c>
      <c r="S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1658</v>
      </c>
      <c r="I12" s="246" t="s">
        <v>1659</v>
      </c>
      <c r="J12" s="246" t="s">
        <v>1660</v>
      </c>
      <c r="K12" s="255" t="s">
        <v>1661</v>
      </c>
      <c r="L12" s="244" t="s">
        <v>1303</v>
      </c>
      <c r="M12" s="246" t="s">
        <v>1304</v>
      </c>
      <c r="N12" s="246" t="s">
        <v>1662</v>
      </c>
      <c r="O12" s="246" t="s">
        <v>1663</v>
      </c>
      <c r="P12" s="246" t="s">
        <v>1664</v>
      </c>
      <c r="Q12" s="246" t="s">
        <v>1665</v>
      </c>
      <c r="R12" s="246" t="s">
        <v>1666</v>
      </c>
      <c r="S12" s="77" t="s">
        <v>1305</v>
      </c>
    </row>
    <row r="13" customFormat="false" ht="14.25" hidden="false" customHeight="true" outlineLevel="0" collapsed="false">
      <c r="A13" s="247" t="s">
        <v>999</v>
      </c>
      <c r="B13" s="248"/>
      <c r="C13" s="248"/>
      <c r="D13" s="248"/>
      <c r="E13" s="248"/>
      <c r="F13" s="248"/>
      <c r="G13" s="248"/>
      <c r="H13" s="249"/>
      <c r="I13" s="249"/>
      <c r="J13" s="249"/>
      <c r="K13" s="256" t="str">
        <f aca="false">IF(OR(H13="",I13="",J13=""),"",(H13+I13)/J13*100000)</f>
        <v/>
      </c>
      <c r="L13" s="250" t="str">
        <f aca="false">IF(COUNTIFS('Scores (start here)'!$A:$A,$B$1,'Scores (start here)'!$B:$B,$A13,'Scores (start here)'!$F:$F,"&gt;=0")&gt;0,SUMIFS('Scores (start here)'!$F:$F,'Scores (start here)'!$A:$A,$B$1,'Scores (start here)'!$B:$B,$A13),S13)</f>
        <v/>
      </c>
      <c r="M13" s="248"/>
      <c r="N13" s="248"/>
      <c r="O13" s="248"/>
      <c r="P13" s="248"/>
      <c r="Q13" s="248"/>
      <c r="R13" s="248"/>
      <c r="S13" s="77" t="str">
        <f aca="false">IF(K13="","",IF(MAX($K$13:$K$41)=0,0,K13/MAX($K$13:$K$41)*$C$7))</f>
        <v/>
      </c>
    </row>
    <row r="14" customFormat="false" ht="14.25" hidden="false" customHeight="true" outlineLevel="0" collapsed="false">
      <c r="A14" s="247" t="s">
        <v>19</v>
      </c>
      <c r="B14" s="248"/>
      <c r="C14" s="248"/>
      <c r="D14" s="248"/>
      <c r="E14" s="248"/>
      <c r="F14" s="248"/>
      <c r="G14" s="248"/>
      <c r="H14" s="249"/>
      <c r="I14" s="249"/>
      <c r="J14" s="249"/>
      <c r="K14" s="256" t="str">
        <f aca="false">IF(OR(H14="",I14="",J14=""),"",(H14+I14)/J14*100000)</f>
        <v/>
      </c>
      <c r="L14" s="250" t="str">
        <f aca="false">IF(COUNTIFS('Scores (start here)'!$A:$A,$B$1,'Scores (start here)'!$B:$B,$A14,'Scores (start here)'!$F:$F,"&gt;=0")&gt;0,SUMIFS('Scores (start here)'!$F:$F,'Scores (start here)'!$A:$A,$B$1,'Scores (start here)'!$B:$B,$A14),S14)</f>
        <v/>
      </c>
      <c r="M14" s="248" t="s">
        <v>1667</v>
      </c>
      <c r="N14" s="248"/>
      <c r="O14" s="248"/>
      <c r="P14" s="248"/>
      <c r="Q14" s="248"/>
      <c r="R14" s="248"/>
      <c r="S14" s="77" t="str">
        <f aca="false">IF(K14="","",IF(MAX($K$13:$K$41)=0,0,K14/MAX($K$13:$K$41)*$C$7))</f>
        <v/>
      </c>
    </row>
    <row r="15" customFormat="false" ht="14.25" hidden="false" customHeight="true" outlineLevel="0" collapsed="false">
      <c r="A15" s="247" t="s">
        <v>1000</v>
      </c>
      <c r="B15" s="248"/>
      <c r="C15" s="248"/>
      <c r="D15" s="248"/>
      <c r="E15" s="248"/>
      <c r="F15" s="248"/>
      <c r="G15" s="248"/>
      <c r="H15" s="249"/>
      <c r="I15" s="249"/>
      <c r="J15" s="249"/>
      <c r="K15" s="256" t="str">
        <f aca="false">IF(OR(H15="",I15="",J15=""),"",(H15+I15)/J15*100000)</f>
        <v/>
      </c>
      <c r="L15" s="250" t="str">
        <f aca="false">IF(COUNTIFS('Scores (start here)'!$A:$A,$B$1,'Scores (start here)'!$B:$B,$A15,'Scores (start here)'!$F:$F,"&gt;=0")&gt;0,SUMIFS('Scores (start here)'!$F:$F,'Scores (start here)'!$A:$A,$B$1,'Scores (start here)'!$B:$B,$A15),S15)</f>
        <v/>
      </c>
      <c r="M15" s="248"/>
      <c r="N15" s="248"/>
      <c r="O15" s="248"/>
      <c r="P15" s="248"/>
      <c r="Q15" s="248"/>
      <c r="R15" s="248"/>
      <c r="S15" s="77" t="str">
        <f aca="false">IF(K15="","",IF(MAX($K$13:$K$41)=0,0,K15/MAX($K$13:$K$41)*$C$7))</f>
        <v/>
      </c>
    </row>
    <row r="16" customFormat="false" ht="14.25" hidden="false" customHeight="true" outlineLevel="0" collapsed="false">
      <c r="A16" s="247" t="s">
        <v>1001</v>
      </c>
      <c r="B16" s="248"/>
      <c r="C16" s="248"/>
      <c r="D16" s="248"/>
      <c r="E16" s="248"/>
      <c r="F16" s="248"/>
      <c r="G16" s="248"/>
      <c r="H16" s="249"/>
      <c r="I16" s="249"/>
      <c r="J16" s="249"/>
      <c r="K16" s="256" t="str">
        <f aca="false">IF(OR(H16="",I16="",J16=""),"",(H16+I16)/J16*100000)</f>
        <v/>
      </c>
      <c r="L16" s="250" t="str">
        <f aca="false">IF(COUNTIFS('Scores (start here)'!$A:$A,$B$1,'Scores (start here)'!$B:$B,$A16,'Scores (start here)'!$F:$F,"&gt;=0")&gt;0,SUMIFS('Scores (start here)'!$F:$F,'Scores (start here)'!$A:$A,$B$1,'Scores (start here)'!$B:$B,$A16),S16)</f>
        <v/>
      </c>
      <c r="M16" s="248"/>
      <c r="N16" s="248"/>
      <c r="O16" s="248"/>
      <c r="P16" s="248"/>
      <c r="Q16" s="248"/>
      <c r="R16" s="248"/>
      <c r="S16" s="77" t="str">
        <f aca="false">IF(K16="","",IF(MAX($K$13:$K$41)=0,0,K16/MAX($K$13:$K$41)*$C$7))</f>
        <v/>
      </c>
    </row>
    <row r="17" customFormat="false" ht="14.25" hidden="false" customHeight="true" outlineLevel="0" collapsed="false">
      <c r="A17" s="247" t="s">
        <v>1002</v>
      </c>
      <c r="B17" s="248"/>
      <c r="C17" s="248"/>
      <c r="D17" s="248"/>
      <c r="E17" s="248"/>
      <c r="F17" s="248"/>
      <c r="G17" s="248"/>
      <c r="H17" s="249"/>
      <c r="I17" s="249"/>
      <c r="J17" s="249"/>
      <c r="K17" s="256" t="str">
        <f aca="false">IF(OR(H17="",I17="",J17=""),"",(H17+I17)/J17*100000)</f>
        <v/>
      </c>
      <c r="L17" s="250" t="str">
        <f aca="false">IF(COUNTIFS('Scores (start here)'!$A:$A,$B$1,'Scores (start here)'!$B:$B,$A17,'Scores (start here)'!$F:$F,"&gt;=0")&gt;0,SUMIFS('Scores (start here)'!$F:$F,'Scores (start here)'!$A:$A,$B$1,'Scores (start here)'!$B:$B,$A17),S17)</f>
        <v/>
      </c>
      <c r="M17" s="248"/>
      <c r="N17" s="248"/>
      <c r="O17" s="248"/>
      <c r="P17" s="248"/>
      <c r="Q17" s="248"/>
      <c r="R17" s="248"/>
      <c r="S17" s="77" t="str">
        <f aca="false">IF(K17="","",IF(MAX($K$13:$K$41)=0,0,K17/MAX($K$13:$K$41)*$C$7))</f>
        <v/>
      </c>
    </row>
    <row r="18" customFormat="false" ht="14.25" hidden="false" customHeight="true" outlineLevel="0" collapsed="false">
      <c r="A18" s="247" t="s">
        <v>1003</v>
      </c>
      <c r="B18" s="248"/>
      <c r="C18" s="248"/>
      <c r="D18" s="248"/>
      <c r="E18" s="248"/>
      <c r="F18" s="248"/>
      <c r="G18" s="248"/>
      <c r="H18" s="249"/>
      <c r="I18" s="249"/>
      <c r="J18" s="249"/>
      <c r="K18" s="256" t="str">
        <f aca="false">IF(OR(H18="",I18="",J18=""),"",(H18+I18)/J18*100000)</f>
        <v/>
      </c>
      <c r="L18" s="250" t="str">
        <f aca="false">IF(COUNTIFS('Scores (start here)'!$A:$A,$B$1,'Scores (start here)'!$B:$B,$A18,'Scores (start here)'!$F:$F,"&gt;=0")&gt;0,SUMIFS('Scores (start here)'!$F:$F,'Scores (start here)'!$A:$A,$B$1,'Scores (start here)'!$B:$B,$A18),S18)</f>
        <v/>
      </c>
      <c r="M18" s="248"/>
      <c r="N18" s="248"/>
      <c r="O18" s="248"/>
      <c r="P18" s="248"/>
      <c r="Q18" s="248"/>
      <c r="R18" s="248"/>
      <c r="S18" s="77" t="str">
        <f aca="false">IF(K18="","",IF(MAX($K$13:$K$41)=0,0,K18/MAX($K$13:$K$41)*$C$7))</f>
        <v/>
      </c>
    </row>
    <row r="19" customFormat="false" ht="14.25" hidden="false" customHeight="true" outlineLevel="0" collapsed="false">
      <c r="A19" s="247" t="s">
        <v>1004</v>
      </c>
      <c r="B19" s="248"/>
      <c r="C19" s="248"/>
      <c r="D19" s="248"/>
      <c r="E19" s="248"/>
      <c r="F19" s="248"/>
      <c r="G19" s="248"/>
      <c r="H19" s="249"/>
      <c r="I19" s="249"/>
      <c r="J19" s="249"/>
      <c r="K19" s="256" t="str">
        <f aca="false">IF(OR(H19="",I19="",J19=""),"",(H19+I19)/J19*100000)</f>
        <v/>
      </c>
      <c r="L19" s="250" t="str">
        <f aca="false">IF(COUNTIFS('Scores (start here)'!$A:$A,$B$1,'Scores (start here)'!$B:$B,$A19,'Scores (start here)'!$F:$F,"&gt;=0")&gt;0,SUMIFS('Scores (start here)'!$F:$F,'Scores (start here)'!$A:$A,$B$1,'Scores (start here)'!$B:$B,$A19),S19)</f>
        <v/>
      </c>
      <c r="M19" s="248"/>
      <c r="N19" s="248"/>
      <c r="O19" s="248"/>
      <c r="P19" s="248"/>
      <c r="Q19" s="248"/>
      <c r="R19" s="248"/>
      <c r="S19" s="77" t="str">
        <f aca="false">IF(K19="","",IF(MAX($K$13:$K$41)=0,0,K19/MAX($K$13:$K$41)*$C$7))</f>
        <v/>
      </c>
    </row>
    <row r="20" customFormat="false" ht="14.25" hidden="false" customHeight="true" outlineLevel="0" collapsed="false">
      <c r="A20" s="247" t="s">
        <v>1005</v>
      </c>
      <c r="B20" s="248"/>
      <c r="C20" s="248"/>
      <c r="D20" s="248"/>
      <c r="E20" s="248"/>
      <c r="F20" s="248"/>
      <c r="G20" s="248"/>
      <c r="H20" s="249"/>
      <c r="I20" s="249"/>
      <c r="J20" s="249"/>
      <c r="K20" s="256" t="str">
        <f aca="false">IF(OR(H20="",I20="",J20=""),"",(H20+I20)/J20*100000)</f>
        <v/>
      </c>
      <c r="L20" s="250" t="str">
        <f aca="false">IF(COUNTIFS('Scores (start here)'!$A:$A,$B$1,'Scores (start here)'!$B:$B,$A20,'Scores (start here)'!$F:$F,"&gt;=0")&gt;0,SUMIFS('Scores (start here)'!$F:$F,'Scores (start here)'!$A:$A,$B$1,'Scores (start here)'!$B:$B,$A20),S20)</f>
        <v/>
      </c>
      <c r="M20" s="248"/>
      <c r="N20" s="248"/>
      <c r="O20" s="248"/>
      <c r="P20" s="248"/>
      <c r="Q20" s="248"/>
      <c r="R20" s="248"/>
      <c r="S20" s="77" t="str">
        <f aca="false">IF(K20="","",IF(MAX($K$13:$K$41)=0,0,K20/MAX($K$13:$K$41)*$C$7))</f>
        <v/>
      </c>
    </row>
    <row r="21" customFormat="false" ht="14.25" hidden="false" customHeight="true" outlineLevel="0" collapsed="false">
      <c r="A21" s="247" t="s">
        <v>1006</v>
      </c>
      <c r="B21" s="248"/>
      <c r="C21" s="248"/>
      <c r="D21" s="248"/>
      <c r="E21" s="248"/>
      <c r="F21" s="248"/>
      <c r="G21" s="248"/>
      <c r="H21" s="249"/>
      <c r="I21" s="249"/>
      <c r="J21" s="249"/>
      <c r="K21" s="256" t="str">
        <f aca="false">IF(OR(H21="",I21="",J21=""),"",(H21+I21)/J21*100000)</f>
        <v/>
      </c>
      <c r="L21" s="250" t="str">
        <f aca="false">IF(COUNTIFS('Scores (start here)'!$A:$A,$B$1,'Scores (start here)'!$B:$B,$A21,'Scores (start here)'!$F:$F,"&gt;=0")&gt;0,SUMIFS('Scores (start here)'!$F:$F,'Scores (start here)'!$A:$A,$B$1,'Scores (start here)'!$B:$B,$A21),S21)</f>
        <v/>
      </c>
      <c r="M21" s="248"/>
      <c r="N21" s="248"/>
      <c r="O21" s="248"/>
      <c r="P21" s="248"/>
      <c r="Q21" s="248"/>
      <c r="R21" s="248"/>
      <c r="S21" s="77" t="str">
        <f aca="false">IF(K21="","",IF(MAX($K$13:$K$41)=0,0,K21/MAX($K$13:$K$41)*$C$7))</f>
        <v/>
      </c>
    </row>
    <row r="22" customFormat="false" ht="14.25" hidden="false" customHeight="true" outlineLevel="0" collapsed="false">
      <c r="A22" s="247" t="s">
        <v>1007</v>
      </c>
      <c r="B22" s="248"/>
      <c r="C22" s="248"/>
      <c r="D22" s="248"/>
      <c r="E22" s="248"/>
      <c r="F22" s="248"/>
      <c r="G22" s="248"/>
      <c r="H22" s="249"/>
      <c r="I22" s="249"/>
      <c r="J22" s="249"/>
      <c r="K22" s="256" t="str">
        <f aca="false">IF(OR(H22="",I22="",J22=""),"",(H22+I22)/J22*100000)</f>
        <v/>
      </c>
      <c r="L22" s="250" t="str">
        <f aca="false">IF(COUNTIFS('Scores (start here)'!$A:$A,$B$1,'Scores (start here)'!$B:$B,$A22,'Scores (start here)'!$F:$F,"&gt;=0")&gt;0,SUMIFS('Scores (start here)'!$F:$F,'Scores (start here)'!$A:$A,$B$1,'Scores (start here)'!$B:$B,$A22),S22)</f>
        <v/>
      </c>
      <c r="M22" s="248"/>
      <c r="N22" s="248"/>
      <c r="O22" s="248"/>
      <c r="P22" s="248"/>
      <c r="Q22" s="248"/>
      <c r="R22" s="248"/>
      <c r="S22" s="77" t="str">
        <f aca="false">IF(K22="","",IF(MAX($K$13:$K$41)=0,0,K22/MAX($K$13:$K$41)*$C$7))</f>
        <v/>
      </c>
    </row>
    <row r="23" customFormat="false" ht="14.25" hidden="false" customHeight="true" outlineLevel="0" collapsed="false">
      <c r="A23" s="247" t="s">
        <v>1008</v>
      </c>
      <c r="B23" s="248"/>
      <c r="C23" s="248"/>
      <c r="D23" s="248"/>
      <c r="E23" s="248"/>
      <c r="F23" s="248"/>
      <c r="G23" s="248"/>
      <c r="H23" s="249"/>
      <c r="I23" s="249"/>
      <c r="J23" s="249"/>
      <c r="K23" s="256" t="str">
        <f aca="false">IF(OR(H23="",I23="",J23=""),"",(H23+I23)/J23*100000)</f>
        <v/>
      </c>
      <c r="L23" s="250" t="str">
        <f aca="false">IF(COUNTIFS('Scores (start here)'!$A:$A,$B$1,'Scores (start here)'!$B:$B,$A23,'Scores (start here)'!$F:$F,"&gt;=0")&gt;0,SUMIFS('Scores (start here)'!$F:$F,'Scores (start here)'!$A:$A,$B$1,'Scores (start here)'!$B:$B,$A23),S23)</f>
        <v/>
      </c>
      <c r="M23" s="248"/>
      <c r="N23" s="248"/>
      <c r="O23" s="248"/>
      <c r="P23" s="248"/>
      <c r="Q23" s="248"/>
      <c r="R23" s="248"/>
      <c r="S23" s="77" t="str">
        <f aca="false">IF(K23="","",IF(MAX($K$13:$K$41)=0,0,K23/MAX($K$13:$K$41)*$C$7))</f>
        <v/>
      </c>
    </row>
    <row r="24" customFormat="false" ht="14.25" hidden="false" customHeight="true" outlineLevel="0" collapsed="false">
      <c r="A24" s="247" t="s">
        <v>1009</v>
      </c>
      <c r="B24" s="248"/>
      <c r="C24" s="248"/>
      <c r="D24" s="248"/>
      <c r="E24" s="248"/>
      <c r="F24" s="248"/>
      <c r="G24" s="248"/>
      <c r="H24" s="249"/>
      <c r="I24" s="249"/>
      <c r="J24" s="249"/>
      <c r="K24" s="256" t="str">
        <f aca="false">IF(OR(H24="",I24="",J24=""),"",(H24+I24)/J24*100000)</f>
        <v/>
      </c>
      <c r="L24" s="250" t="str">
        <f aca="false">IF(COUNTIFS('Scores (start here)'!$A:$A,$B$1,'Scores (start here)'!$B:$B,$A24,'Scores (start here)'!$F:$F,"&gt;=0")&gt;0,SUMIFS('Scores (start here)'!$F:$F,'Scores (start here)'!$A:$A,$B$1,'Scores (start here)'!$B:$B,$A24),S24)</f>
        <v/>
      </c>
      <c r="M24" s="248"/>
      <c r="N24" s="248"/>
      <c r="O24" s="248"/>
      <c r="P24" s="248"/>
      <c r="Q24" s="248"/>
      <c r="R24" s="248"/>
      <c r="S24" s="77" t="str">
        <f aca="false">IF(K24="","",IF(MAX($K$13:$K$41)=0,0,K24/MAX($K$13:$K$41)*$C$7))</f>
        <v/>
      </c>
    </row>
    <row r="25" customFormat="false" ht="14.25" hidden="false" customHeight="true" outlineLevel="0" collapsed="false">
      <c r="A25" s="247" t="s">
        <v>1010</v>
      </c>
      <c r="B25" s="248"/>
      <c r="C25" s="248"/>
      <c r="D25" s="248"/>
      <c r="E25" s="248"/>
      <c r="F25" s="248"/>
      <c r="G25" s="248"/>
      <c r="H25" s="249"/>
      <c r="I25" s="249"/>
      <c r="J25" s="249"/>
      <c r="K25" s="256" t="str">
        <f aca="false">IF(OR(H25="",I25="",J25=""),"",(H25+I25)/J25*100000)</f>
        <v/>
      </c>
      <c r="L25" s="250" t="str">
        <f aca="false">IF(COUNTIFS('Scores (start here)'!$A:$A,$B$1,'Scores (start here)'!$B:$B,$A25,'Scores (start here)'!$F:$F,"&gt;=0")&gt;0,SUMIFS('Scores (start here)'!$F:$F,'Scores (start here)'!$A:$A,$B$1,'Scores (start here)'!$B:$B,$A25),S25)</f>
        <v/>
      </c>
      <c r="M25" s="248"/>
      <c r="N25" s="248"/>
      <c r="O25" s="248"/>
      <c r="P25" s="248"/>
      <c r="Q25" s="248"/>
      <c r="R25" s="248"/>
      <c r="S25" s="77" t="str">
        <f aca="false">IF(K25="","",IF(MAX($K$13:$K$41)=0,0,K25/MAX($K$13:$K$41)*$C$7))</f>
        <v/>
      </c>
    </row>
    <row r="26" customFormat="false" ht="14.25" hidden="false" customHeight="true" outlineLevel="0" collapsed="false">
      <c r="A26" s="247" t="s">
        <v>1011</v>
      </c>
      <c r="B26" s="248"/>
      <c r="C26" s="248"/>
      <c r="D26" s="248"/>
      <c r="E26" s="248"/>
      <c r="F26" s="248"/>
      <c r="G26" s="248"/>
      <c r="H26" s="249"/>
      <c r="I26" s="249"/>
      <c r="J26" s="249"/>
      <c r="K26" s="256" t="str">
        <f aca="false">IF(OR(H26="",I26="",J26=""),"",(H26+I26)/J26*100000)</f>
        <v/>
      </c>
      <c r="L26" s="250" t="str">
        <f aca="false">IF(COUNTIFS('Scores (start here)'!$A:$A,$B$1,'Scores (start here)'!$B:$B,$A26,'Scores (start here)'!$F:$F,"&gt;=0")&gt;0,SUMIFS('Scores (start here)'!$F:$F,'Scores (start here)'!$A:$A,$B$1,'Scores (start here)'!$B:$B,$A26),S26)</f>
        <v/>
      </c>
      <c r="M26" s="248"/>
      <c r="N26" s="248"/>
      <c r="O26" s="248"/>
      <c r="P26" s="248"/>
      <c r="Q26" s="248"/>
      <c r="R26" s="248"/>
      <c r="S26" s="77" t="str">
        <f aca="false">IF(K26="","",IF(MAX($K$13:$K$41)=0,0,K26/MAX($K$13:$K$41)*$C$7))</f>
        <v/>
      </c>
    </row>
    <row r="27" customFormat="false" ht="14.25" hidden="false" customHeight="true" outlineLevel="0" collapsed="false">
      <c r="A27" s="247" t="s">
        <v>1012</v>
      </c>
      <c r="B27" s="248"/>
      <c r="C27" s="248"/>
      <c r="D27" s="248"/>
      <c r="E27" s="248"/>
      <c r="F27" s="248"/>
      <c r="G27" s="248"/>
      <c r="H27" s="249"/>
      <c r="I27" s="249"/>
      <c r="J27" s="249"/>
      <c r="K27" s="256" t="str">
        <f aca="false">IF(OR(H27="",I27="",J27=""),"",(H27+I27)/J27*100000)</f>
        <v/>
      </c>
      <c r="L27" s="250" t="str">
        <f aca="false">IF(COUNTIFS('Scores (start here)'!$A:$A,$B$1,'Scores (start here)'!$B:$B,$A27,'Scores (start here)'!$F:$F,"&gt;=0")&gt;0,SUMIFS('Scores (start here)'!$F:$F,'Scores (start here)'!$A:$A,$B$1,'Scores (start here)'!$B:$B,$A27),S27)</f>
        <v/>
      </c>
      <c r="M27" s="248"/>
      <c r="N27" s="248"/>
      <c r="O27" s="248"/>
      <c r="P27" s="248"/>
      <c r="Q27" s="248"/>
      <c r="R27" s="248"/>
      <c r="S27" s="77" t="str">
        <f aca="false">IF(K27="","",IF(MAX($K$13:$K$41)=0,0,K27/MAX($K$13:$K$41)*$C$7))</f>
        <v/>
      </c>
    </row>
    <row r="28" customFormat="false" ht="14.25" hidden="false" customHeight="true" outlineLevel="0" collapsed="false">
      <c r="A28" s="247" t="s">
        <v>1013</v>
      </c>
      <c r="B28" s="248"/>
      <c r="C28" s="248"/>
      <c r="D28" s="248"/>
      <c r="E28" s="248"/>
      <c r="F28" s="248"/>
      <c r="G28" s="248"/>
      <c r="H28" s="249"/>
      <c r="I28" s="249"/>
      <c r="J28" s="249"/>
      <c r="K28" s="256" t="str">
        <f aca="false">IF(OR(H28="",I28="",J28=""),"",(H28+I28)/J28*100000)</f>
        <v/>
      </c>
      <c r="L28" s="250" t="str">
        <f aca="false">IF(COUNTIFS('Scores (start here)'!$A:$A,$B$1,'Scores (start here)'!$B:$B,$A28,'Scores (start here)'!$F:$F,"&gt;=0")&gt;0,SUMIFS('Scores (start here)'!$F:$F,'Scores (start here)'!$A:$A,$B$1,'Scores (start here)'!$B:$B,$A28),S28)</f>
        <v/>
      </c>
      <c r="M28" s="248"/>
      <c r="N28" s="248"/>
      <c r="O28" s="248"/>
      <c r="P28" s="248"/>
      <c r="Q28" s="248"/>
      <c r="R28" s="248"/>
      <c r="S28" s="77" t="str">
        <f aca="false">IF(K28="","",IF(MAX($K$13:$K$41)=0,0,K28/MAX($K$13:$K$41)*$C$7))</f>
        <v/>
      </c>
    </row>
    <row r="29" customFormat="false" ht="14.25" hidden="false" customHeight="true" outlineLevel="0" collapsed="false">
      <c r="A29" s="247" t="s">
        <v>1014</v>
      </c>
      <c r="B29" s="248"/>
      <c r="C29" s="248"/>
      <c r="D29" s="248"/>
      <c r="E29" s="248"/>
      <c r="F29" s="248"/>
      <c r="G29" s="248"/>
      <c r="H29" s="249"/>
      <c r="I29" s="249"/>
      <c r="J29" s="249"/>
      <c r="K29" s="256" t="str">
        <f aca="false">IF(OR(H29="",I29="",J29=""),"",(H29+I29)/J29*100000)</f>
        <v/>
      </c>
      <c r="L29" s="250" t="str">
        <f aca="false">IF(COUNTIFS('Scores (start here)'!$A:$A,$B$1,'Scores (start here)'!$B:$B,$A29,'Scores (start here)'!$F:$F,"&gt;=0")&gt;0,SUMIFS('Scores (start here)'!$F:$F,'Scores (start here)'!$A:$A,$B$1,'Scores (start here)'!$B:$B,$A29),S29)</f>
        <v/>
      </c>
      <c r="M29" s="248"/>
      <c r="N29" s="248"/>
      <c r="O29" s="248"/>
      <c r="P29" s="248"/>
      <c r="Q29" s="248"/>
      <c r="R29" s="248"/>
      <c r="S29" s="77" t="str">
        <f aca="false">IF(K29="","",IF(MAX($K$13:$K$41)=0,0,K29/MAX($K$13:$K$41)*$C$7))</f>
        <v/>
      </c>
    </row>
    <row r="30" customFormat="false" ht="14.25" hidden="false" customHeight="true" outlineLevel="0" collapsed="false">
      <c r="A30" s="247" t="s">
        <v>1015</v>
      </c>
      <c r="B30" s="248"/>
      <c r="C30" s="248"/>
      <c r="D30" s="248"/>
      <c r="E30" s="248"/>
      <c r="F30" s="248"/>
      <c r="G30" s="248"/>
      <c r="H30" s="249"/>
      <c r="I30" s="249"/>
      <c r="J30" s="249"/>
      <c r="K30" s="256" t="str">
        <f aca="false">IF(OR(H30="",I30="",J30=""),"",(H30+I30)/J30*100000)</f>
        <v/>
      </c>
      <c r="L30" s="250" t="str">
        <f aca="false">IF(COUNTIFS('Scores (start here)'!$A:$A,$B$1,'Scores (start here)'!$B:$B,$A30,'Scores (start here)'!$F:$F,"&gt;=0")&gt;0,SUMIFS('Scores (start here)'!$F:$F,'Scores (start here)'!$A:$A,$B$1,'Scores (start here)'!$B:$B,$A30),S30)</f>
        <v/>
      </c>
      <c r="M30" s="248"/>
      <c r="N30" s="248"/>
      <c r="O30" s="248"/>
      <c r="P30" s="248"/>
      <c r="Q30" s="248"/>
      <c r="R30" s="248"/>
      <c r="S30" s="77" t="str">
        <f aca="false">IF(K30="","",IF(MAX($K$13:$K$41)=0,0,K30/MAX($K$13:$K$41)*$C$7))</f>
        <v/>
      </c>
    </row>
    <row r="31" customFormat="false" ht="14.25" hidden="false" customHeight="true" outlineLevel="0" collapsed="false">
      <c r="A31" s="247" t="s">
        <v>1016</v>
      </c>
      <c r="B31" s="248"/>
      <c r="C31" s="248"/>
      <c r="D31" s="248"/>
      <c r="E31" s="248"/>
      <c r="F31" s="248"/>
      <c r="G31" s="248"/>
      <c r="H31" s="249"/>
      <c r="I31" s="249"/>
      <c r="J31" s="249"/>
      <c r="K31" s="256" t="str">
        <f aca="false">IF(OR(H31="",I31="",J31=""),"",(H31+I31)/J31*100000)</f>
        <v/>
      </c>
      <c r="L31" s="250" t="str">
        <f aca="false">IF(COUNTIFS('Scores (start here)'!$A:$A,$B$1,'Scores (start here)'!$B:$B,$A31,'Scores (start here)'!$F:$F,"&gt;=0")&gt;0,SUMIFS('Scores (start here)'!$F:$F,'Scores (start here)'!$A:$A,$B$1,'Scores (start here)'!$B:$B,$A31),S31)</f>
        <v/>
      </c>
      <c r="M31" s="248"/>
      <c r="N31" s="248"/>
      <c r="O31" s="248"/>
      <c r="P31" s="248"/>
      <c r="Q31" s="248"/>
      <c r="R31" s="248"/>
      <c r="S31" s="77" t="str">
        <f aca="false">IF(K31="","",IF(MAX($K$13:$K$41)=0,0,K31/MAX($K$13:$K$41)*$C$7))</f>
        <v/>
      </c>
    </row>
    <row r="32" customFormat="false" ht="14.25" hidden="false" customHeight="true" outlineLevel="0" collapsed="false">
      <c r="A32" s="247" t="s">
        <v>1017</v>
      </c>
      <c r="B32" s="248"/>
      <c r="C32" s="248"/>
      <c r="D32" s="248"/>
      <c r="E32" s="248"/>
      <c r="F32" s="248"/>
      <c r="G32" s="248"/>
      <c r="H32" s="249"/>
      <c r="I32" s="249"/>
      <c r="J32" s="249"/>
      <c r="K32" s="256" t="str">
        <f aca="false">IF(OR(H32="",I32="",J32=""),"",(H32+I32)/J32*100000)</f>
        <v/>
      </c>
      <c r="L32" s="250" t="str">
        <f aca="false">IF(COUNTIFS('Scores (start here)'!$A:$A,$B$1,'Scores (start here)'!$B:$B,$A32,'Scores (start here)'!$F:$F,"&gt;=0")&gt;0,SUMIFS('Scores (start here)'!$F:$F,'Scores (start here)'!$A:$A,$B$1,'Scores (start here)'!$B:$B,$A32),S32)</f>
        <v/>
      </c>
      <c r="M32" s="248"/>
      <c r="N32" s="248"/>
      <c r="O32" s="248"/>
      <c r="P32" s="248"/>
      <c r="Q32" s="248"/>
      <c r="R32" s="248"/>
      <c r="S32" s="77" t="str">
        <f aca="false">IF(K32="","",IF(MAX($K$13:$K$41)=0,0,K32/MAX($K$13:$K$41)*$C$7))</f>
        <v/>
      </c>
    </row>
    <row r="33" customFormat="false" ht="236.25" hidden="false" customHeight="true" outlineLevel="0" collapsed="false">
      <c r="A33" s="247" t="s">
        <v>30</v>
      </c>
      <c r="B33" s="248" t="s">
        <v>124</v>
      </c>
      <c r="C33" s="248" t="s">
        <v>1668</v>
      </c>
      <c r="D33" s="248" t="s">
        <v>1669</v>
      </c>
      <c r="E33" s="248" t="s">
        <v>1670</v>
      </c>
      <c r="F33" s="248" t="s">
        <v>1671</v>
      </c>
      <c r="G33" s="248" t="s">
        <v>125</v>
      </c>
      <c r="H33" s="249"/>
      <c r="I33" s="249"/>
      <c r="J33" s="249" t="n">
        <v>4467797</v>
      </c>
      <c r="K33" s="256" t="str">
        <f aca="false">IF(OR(H33="",I33="",J33=""),"",(H33+I33)/J33*100000)</f>
        <v/>
      </c>
      <c r="L33" s="250" t="str">
        <f aca="false">IF(COUNTIFS('Scores (start here)'!$A:$A,$B$1,'Scores (start here)'!$B:$B,$A33,'Scores (start here)'!$F:$F,"&gt;=0")&gt;0,SUMIFS('Scores (start here)'!$F:$F,'Scores (start here)'!$A:$A,$B$1,'Scores (start here)'!$B:$B,$A33),S33)</f>
        <v/>
      </c>
      <c r="M33" s="251" t="s">
        <v>1672</v>
      </c>
      <c r="N33" s="248"/>
      <c r="O33" s="248"/>
      <c r="P33" s="248"/>
      <c r="Q33" s="248"/>
      <c r="R33" s="248"/>
      <c r="S33" s="77" t="str">
        <f aca="false">IF(K33="","",IF(MAX($K$13:$K$41)=0,0,K33/MAX($K$13:$K$41)*$C$7))</f>
        <v/>
      </c>
    </row>
    <row r="34" customFormat="false" ht="14.25" hidden="false" customHeight="true" outlineLevel="0" collapsed="false">
      <c r="A34" s="247" t="s">
        <v>1018</v>
      </c>
      <c r="B34" s="248"/>
      <c r="C34" s="248"/>
      <c r="D34" s="248"/>
      <c r="E34" s="248"/>
      <c r="F34" s="248"/>
      <c r="G34" s="248"/>
      <c r="H34" s="249"/>
      <c r="I34" s="249"/>
      <c r="J34" s="249"/>
      <c r="K34" s="256" t="str">
        <f aca="false">IF(OR(H34="",I34="",J34=""),"",(H34+I34)/J34*100000)</f>
        <v/>
      </c>
      <c r="L34" s="250" t="str">
        <f aca="false">IF(COUNTIFS('Scores (start here)'!$A:$A,$B$1,'Scores (start here)'!$B:$B,$A34,'Scores (start here)'!$F:$F,"&gt;=0")&gt;0,SUMIFS('Scores (start here)'!$F:$F,'Scores (start here)'!$A:$A,$B$1,'Scores (start here)'!$B:$B,$A34),S34)</f>
        <v/>
      </c>
      <c r="M34" s="248"/>
      <c r="N34" s="248"/>
      <c r="O34" s="248"/>
      <c r="P34" s="248"/>
      <c r="Q34" s="248"/>
      <c r="R34" s="248"/>
      <c r="S34" s="77" t="str">
        <f aca="false">IF(K34="","",IF(MAX($K$13:$K$41)=0,0,K34/MAX($K$13:$K$41)*$C$7))</f>
        <v/>
      </c>
    </row>
    <row r="35" customFormat="false" ht="14.25" hidden="false" customHeight="true" outlineLevel="0" collapsed="false">
      <c r="A35" s="247" t="s">
        <v>1019</v>
      </c>
      <c r="B35" s="248"/>
      <c r="C35" s="248"/>
      <c r="D35" s="248"/>
      <c r="E35" s="248"/>
      <c r="F35" s="248"/>
      <c r="G35" s="248"/>
      <c r="H35" s="249"/>
      <c r="I35" s="249"/>
      <c r="J35" s="249"/>
      <c r="K35" s="256" t="str">
        <f aca="false">IF(OR(H35="",I35="",J35=""),"",(H35+I35)/J35*100000)</f>
        <v/>
      </c>
      <c r="L35" s="250" t="str">
        <f aca="false">IF(COUNTIFS('Scores (start here)'!$A:$A,$B$1,'Scores (start here)'!$B:$B,$A35,'Scores (start here)'!$F:$F,"&gt;=0")&gt;0,SUMIFS('Scores (start here)'!$F:$F,'Scores (start here)'!$A:$A,$B$1,'Scores (start here)'!$B:$B,$A35),S35)</f>
        <v/>
      </c>
      <c r="M35" s="248"/>
      <c r="N35" s="248"/>
      <c r="O35" s="248"/>
      <c r="P35" s="248"/>
      <c r="Q35" s="248"/>
      <c r="R35" s="248"/>
      <c r="S35" s="77" t="str">
        <f aca="false">IF(K35="","",IF(MAX($K$13:$K$41)=0,0,K35/MAX($K$13:$K$41)*$C$7))</f>
        <v/>
      </c>
    </row>
    <row r="36" customFormat="false" ht="14.25" hidden="false" customHeight="true" outlineLevel="0" collapsed="false">
      <c r="A36" s="247" t="s">
        <v>1020</v>
      </c>
      <c r="B36" s="248"/>
      <c r="C36" s="248"/>
      <c r="D36" s="248"/>
      <c r="E36" s="248"/>
      <c r="F36" s="248"/>
      <c r="G36" s="248"/>
      <c r="H36" s="249"/>
      <c r="I36" s="249"/>
      <c r="J36" s="249"/>
      <c r="K36" s="256" t="str">
        <f aca="false">IF(OR(H36="",I36="",J36=""),"",(H36+I36)/J36*100000)</f>
        <v/>
      </c>
      <c r="L36" s="250" t="str">
        <f aca="false">IF(COUNTIFS('Scores (start here)'!$A:$A,$B$1,'Scores (start here)'!$B:$B,$A36,'Scores (start here)'!$F:$F,"&gt;=0")&gt;0,SUMIFS('Scores (start here)'!$F:$F,'Scores (start here)'!$A:$A,$B$1,'Scores (start here)'!$B:$B,$A36),S36)</f>
        <v/>
      </c>
      <c r="M36" s="248"/>
      <c r="N36" s="248"/>
      <c r="O36" s="248"/>
      <c r="P36" s="248"/>
      <c r="Q36" s="248"/>
      <c r="R36" s="248"/>
      <c r="S36" s="77" t="str">
        <f aca="false">IF(K36="","",IF(MAX($K$13:$K$41)=0,0,K36/MAX($K$13:$K$41)*$C$7))</f>
        <v/>
      </c>
    </row>
    <row r="37" customFormat="false" ht="14.25" hidden="false" customHeight="true" outlineLevel="0" collapsed="false">
      <c r="A37" s="247" t="s">
        <v>1021</v>
      </c>
      <c r="B37" s="248"/>
      <c r="C37" s="248"/>
      <c r="D37" s="248"/>
      <c r="E37" s="248"/>
      <c r="F37" s="248"/>
      <c r="G37" s="248"/>
      <c r="H37" s="249"/>
      <c r="I37" s="249"/>
      <c r="J37" s="249"/>
      <c r="K37" s="256" t="str">
        <f aca="false">IF(OR(H37="",I37="",J37=""),"",(H37+I37)/J37*100000)</f>
        <v/>
      </c>
      <c r="L37" s="250" t="str">
        <f aca="false">IF(COUNTIFS('Scores (start here)'!$A:$A,$B$1,'Scores (start here)'!$B:$B,$A37,'Scores (start here)'!$F:$F,"&gt;=0")&gt;0,SUMIFS('Scores (start here)'!$F:$F,'Scores (start here)'!$A:$A,$B$1,'Scores (start here)'!$B:$B,$A37),S37)</f>
        <v/>
      </c>
      <c r="M37" s="248"/>
      <c r="N37" s="248"/>
      <c r="O37" s="248"/>
      <c r="P37" s="248"/>
      <c r="Q37" s="248"/>
      <c r="R37" s="248"/>
      <c r="S37" s="77" t="str">
        <f aca="false">IF(K37="","",IF(MAX($K$13:$K$41)=0,0,K37/MAX($K$13:$K$41)*$C$7))</f>
        <v/>
      </c>
    </row>
    <row r="38" customFormat="false" ht="14.25" hidden="false" customHeight="true" outlineLevel="0" collapsed="false">
      <c r="A38" s="247" t="s">
        <v>1022</v>
      </c>
      <c r="B38" s="248"/>
      <c r="C38" s="248"/>
      <c r="D38" s="248"/>
      <c r="E38" s="248"/>
      <c r="F38" s="248"/>
      <c r="G38" s="248"/>
      <c r="H38" s="249"/>
      <c r="I38" s="249"/>
      <c r="J38" s="249"/>
      <c r="K38" s="256" t="str">
        <f aca="false">IF(OR(H38="",I38="",J38=""),"",(H38+I38)/J38*100000)</f>
        <v/>
      </c>
      <c r="L38" s="250" t="str">
        <f aca="false">IF(COUNTIFS('Scores (start here)'!$A:$A,$B$1,'Scores (start here)'!$B:$B,$A38,'Scores (start here)'!$F:$F,"&gt;=0")&gt;0,SUMIFS('Scores (start here)'!$F:$F,'Scores (start here)'!$A:$A,$B$1,'Scores (start here)'!$B:$B,$A38),S38)</f>
        <v/>
      </c>
      <c r="M38" s="248"/>
      <c r="N38" s="248"/>
      <c r="O38" s="248"/>
      <c r="P38" s="248"/>
      <c r="Q38" s="248"/>
      <c r="R38" s="248"/>
      <c r="S38" s="77" t="str">
        <f aca="false">IF(K38="","",IF(MAX($K$13:$K$41)=0,0,K38/MAX($K$13:$K$41)*$C$7))</f>
        <v/>
      </c>
    </row>
    <row r="39" customFormat="false" ht="14.25" hidden="false" customHeight="true" outlineLevel="0" collapsed="false">
      <c r="A39" s="247" t="s">
        <v>1023</v>
      </c>
      <c r="B39" s="248"/>
      <c r="C39" s="248"/>
      <c r="D39" s="248"/>
      <c r="E39" s="248"/>
      <c r="F39" s="248"/>
      <c r="G39" s="248"/>
      <c r="H39" s="249"/>
      <c r="I39" s="249"/>
      <c r="J39" s="249"/>
      <c r="K39" s="256" t="str">
        <f aca="false">IF(OR(H39="",I39="",J39=""),"",(H39+I39)/J39*100000)</f>
        <v/>
      </c>
      <c r="L39" s="250" t="str">
        <f aca="false">IF(COUNTIFS('Scores (start here)'!$A:$A,$B$1,'Scores (start here)'!$B:$B,$A39,'Scores (start here)'!$F:$F,"&gt;=0")&gt;0,SUMIFS('Scores (start here)'!$F:$F,'Scores (start here)'!$A:$A,$B$1,'Scores (start here)'!$B:$B,$A39),S39)</f>
        <v/>
      </c>
      <c r="M39" s="248"/>
      <c r="N39" s="248"/>
      <c r="O39" s="248"/>
      <c r="P39" s="248"/>
      <c r="Q39" s="248"/>
      <c r="R39" s="248"/>
      <c r="S39" s="77" t="str">
        <f aca="false">IF(K39="","",IF(MAX($K$13:$K$41)=0,0,K39/MAX($K$13:$K$41)*$C$7))</f>
        <v/>
      </c>
    </row>
    <row r="40" customFormat="false" ht="14.25" hidden="false" customHeight="true" outlineLevel="0" collapsed="false">
      <c r="A40" s="247" t="s">
        <v>1024</v>
      </c>
      <c r="B40" s="248"/>
      <c r="C40" s="248"/>
      <c r="D40" s="248"/>
      <c r="E40" s="248"/>
      <c r="F40" s="248"/>
      <c r="G40" s="248"/>
      <c r="H40" s="249"/>
      <c r="I40" s="249"/>
      <c r="J40" s="249"/>
      <c r="K40" s="256" t="str">
        <f aca="false">IF(OR(H40="",I40="",J40=""),"",(H40+I40)/J40*100000)</f>
        <v/>
      </c>
      <c r="L40" s="250" t="str">
        <f aca="false">IF(COUNTIFS('Scores (start here)'!$A:$A,$B$1,'Scores (start here)'!$B:$B,$A40,'Scores (start here)'!$F:$F,"&gt;=0")&gt;0,SUMIFS('Scores (start here)'!$F:$F,'Scores (start here)'!$A:$A,$B$1,'Scores (start here)'!$B:$B,$A40),S40)</f>
        <v/>
      </c>
      <c r="M40" s="248"/>
      <c r="N40" s="248"/>
      <c r="O40" s="248"/>
      <c r="P40" s="248"/>
      <c r="Q40" s="248"/>
      <c r="R40" s="248"/>
      <c r="S40" s="77" t="str">
        <f aca="false">IF(K40="","",IF(MAX($K$13:$K$41)=0,0,K40/MAX($K$13:$K$41)*$C$7))</f>
        <v/>
      </c>
    </row>
    <row r="41" customFormat="false" ht="14.25" hidden="false" customHeight="true" outlineLevel="0" collapsed="false">
      <c r="A41" s="247" t="s">
        <v>1025</v>
      </c>
      <c r="B41" s="248"/>
      <c r="C41" s="248"/>
      <c r="D41" s="248"/>
      <c r="E41" s="248"/>
      <c r="F41" s="248"/>
      <c r="G41" s="248"/>
      <c r="H41" s="249"/>
      <c r="I41" s="249"/>
      <c r="J41" s="249"/>
      <c r="K41" s="256" t="str">
        <f aca="false">IF(OR(H41="",I41="",J41=""),"",(H41+I41)/J41*100000)</f>
        <v/>
      </c>
      <c r="L41" s="250" t="str">
        <f aca="false">IF(COUNTIFS('Scores (start here)'!$A:$A,$B$1,'Scores (start here)'!$B:$B,$A41,'Scores (start here)'!$F:$F,"&gt;=0")&gt;0,SUMIFS('Scores (start here)'!$F:$F,'Scores (start here)'!$A:$A,$B$1,'Scores (start here)'!$B:$B,$A41),S41)</f>
        <v/>
      </c>
      <c r="M41" s="248"/>
      <c r="N41" s="248"/>
      <c r="O41" s="248"/>
      <c r="P41" s="248"/>
      <c r="Q41" s="248"/>
      <c r="R41" s="248"/>
      <c r="S41" s="77" t="str">
        <f aca="false">IF(K41="","",IF(MAX($K$13:$K$41)=0,0,K41/MAX($K$13:$K$41)*$C$7))</f>
        <v/>
      </c>
    </row>
  </sheetData>
  <dataValidations count="2">
    <dataValidation allowBlank="true" error="Please enter a valid value (see note above the column)." errorStyle="stop" errorTitle="Invalid entry" operator="greaterThanOrEqual" showDropDown="false" showErrorMessage="true" showInputMessage="false" sqref="H13:I41" type="whole">
      <formula1>0</formula1>
      <formula2>0</formula2>
    </dataValidation>
    <dataValidation allowBlank="true" error="Please enter a valid value (see note above the column)." errorStyle="stop" errorTitle="Invalid entry" operator="greaterThanOrEqual" showDropDown="false" showErrorMessage="true" showInputMessage="false" sqref="J13:J41" type="whole">
      <formula1>1</formula1>
      <formula2>0</formula2>
    </dataValidation>
  </dataValidations>
  <hyperlinks>
    <hyperlink ref="L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 collapsed="false" customWidth="true" hidden="false" outlineLevel="0" max="11" min="11" style="77" width="30"/>
  </cols>
  <sheetData>
    <row r="1" customFormat="false" ht="14.25" hidden="false" customHeight="true" outlineLevel="0" collapsed="false">
      <c r="A1" s="238" t="s">
        <v>1288</v>
      </c>
      <c r="B1" s="238" t="s">
        <v>423</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Specialised institutional capacity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adequate and representative professional town-planning capacity? &gt;:&lt; What proportion of the city's professional town-planning workforce is women?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Compute women town planners as a proportion of the total filled qualified town-planner positions across the ULG and, where applicable, the Development/Planning Authority staff attributable to the city, using the latest available staffing data.% women town planners = (Number of women town planners ÷ Total filled qualified town-planner positions) × 100Scoring bands:Score 5 — women constitute ≥33% of the professional town-planning workforceScore 2.5 — women constitute 15–32%Score 0 — women constitute &lt;15%</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Record, wherever available, the proportion of women among senior/decision-making town-planning positions.</v>
      </c>
      <c r="H10" s="242" t="s">
        <v>1673</v>
      </c>
    </row>
    <row r="11" customFormat="false" ht="28.5" hidden="false" customHeight="true" outlineLevel="0" collapsed="false">
      <c r="H11" s="243" t="s">
        <v>1674</v>
      </c>
      <c r="I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1675</v>
      </c>
      <c r="I12" s="244" t="s">
        <v>1303</v>
      </c>
      <c r="J12" s="246" t="s">
        <v>1304</v>
      </c>
      <c r="K12" s="246" t="s">
        <v>1676</v>
      </c>
      <c r="L12" s="77" t="s">
        <v>1305</v>
      </c>
    </row>
    <row r="13" customFormat="false" ht="14.25" hidden="false" customHeight="true" outlineLevel="0" collapsed="false">
      <c r="A13" s="247" t="s">
        <v>999</v>
      </c>
      <c r="B13" s="248"/>
      <c r="C13" s="248"/>
      <c r="D13" s="248"/>
      <c r="E13" s="248"/>
      <c r="F13" s="248"/>
      <c r="G13" s="248"/>
      <c r="H13" s="257"/>
      <c r="I13" s="250" t="str">
        <f aca="false">IF(COUNTIFS('Scores (start here)'!$A:$A,$B$1,'Scores (start here)'!$B:$B,$A13,'Scores (start here)'!$F:$F,"&gt;=0")&gt;0,SUMIFS('Scores (start here)'!$F:$F,'Scores (start here)'!$A:$A,$B$1,'Scores (start here)'!$B:$B,$A13),L13)</f>
        <v/>
      </c>
      <c r="J13" s="248"/>
      <c r="K13" s="248"/>
      <c r="L13" s="77" t="str">
        <f aca="false">IF(H13="","",IF(H13&gt;=0.33,$C$7,IF(H13&gt;=0.15,$C$7/2,0)))</f>
        <v/>
      </c>
    </row>
    <row r="14" customFormat="false" ht="14.25" hidden="false" customHeight="true" outlineLevel="0" collapsed="false">
      <c r="A14" s="247" t="s">
        <v>19</v>
      </c>
      <c r="B14" s="248"/>
      <c r="C14" s="248"/>
      <c r="D14" s="248"/>
      <c r="E14" s="248"/>
      <c r="F14" s="248"/>
      <c r="G14" s="248"/>
      <c r="H14" s="257"/>
      <c r="I14" s="250" t="str">
        <f aca="false">IF(COUNTIFS('Scores (start here)'!$A:$A,$B$1,'Scores (start here)'!$B:$B,$A14,'Scores (start here)'!$F:$F,"&gt;=0")&gt;0,SUMIFS('Scores (start here)'!$F:$F,'Scores (start here)'!$A:$A,$B$1,'Scores (start here)'!$B:$B,$A14),L14)</f>
        <v/>
      </c>
      <c r="J14" s="248" t="s">
        <v>1677</v>
      </c>
      <c r="K14" s="248"/>
      <c r="L14" s="77" t="str">
        <f aca="false">IF(H14="","",IF(H14&gt;=0.33,$C$7,IF(H14&gt;=0.15,$C$7/2,0)))</f>
        <v/>
      </c>
    </row>
    <row r="15" customFormat="false" ht="14.25" hidden="false" customHeight="true" outlineLevel="0" collapsed="false">
      <c r="A15" s="247" t="s">
        <v>1000</v>
      </c>
      <c r="B15" s="248"/>
      <c r="C15" s="248"/>
      <c r="D15" s="248"/>
      <c r="E15" s="248"/>
      <c r="F15" s="248"/>
      <c r="G15" s="248"/>
      <c r="H15" s="257"/>
      <c r="I15" s="250" t="str">
        <f aca="false">IF(COUNTIFS('Scores (start here)'!$A:$A,$B$1,'Scores (start here)'!$B:$B,$A15,'Scores (start here)'!$F:$F,"&gt;=0")&gt;0,SUMIFS('Scores (start here)'!$F:$F,'Scores (start here)'!$A:$A,$B$1,'Scores (start here)'!$B:$B,$A15),L15)</f>
        <v/>
      </c>
      <c r="J15" s="248"/>
      <c r="K15" s="248"/>
      <c r="L15" s="77" t="str">
        <f aca="false">IF(H15="","",IF(H15&gt;=0.33,$C$7,IF(H15&gt;=0.15,$C$7/2,0)))</f>
        <v/>
      </c>
    </row>
    <row r="16" customFormat="false" ht="14.25" hidden="false" customHeight="true" outlineLevel="0" collapsed="false">
      <c r="A16" s="247" t="s">
        <v>1001</v>
      </c>
      <c r="B16" s="248"/>
      <c r="C16" s="248"/>
      <c r="D16" s="248"/>
      <c r="E16" s="248"/>
      <c r="F16" s="248"/>
      <c r="G16" s="248"/>
      <c r="H16" s="257"/>
      <c r="I16" s="250" t="str">
        <f aca="false">IF(COUNTIFS('Scores (start here)'!$A:$A,$B$1,'Scores (start here)'!$B:$B,$A16,'Scores (start here)'!$F:$F,"&gt;=0")&gt;0,SUMIFS('Scores (start here)'!$F:$F,'Scores (start here)'!$A:$A,$B$1,'Scores (start here)'!$B:$B,$A16),L16)</f>
        <v/>
      </c>
      <c r="J16" s="248"/>
      <c r="K16" s="248"/>
      <c r="L16" s="77" t="str">
        <f aca="false">IF(H16="","",IF(H16&gt;=0.33,$C$7,IF(H16&gt;=0.15,$C$7/2,0)))</f>
        <v/>
      </c>
    </row>
    <row r="17" customFormat="false" ht="14.25" hidden="false" customHeight="true" outlineLevel="0" collapsed="false">
      <c r="A17" s="247" t="s">
        <v>1002</v>
      </c>
      <c r="B17" s="248"/>
      <c r="C17" s="248"/>
      <c r="D17" s="248"/>
      <c r="E17" s="248"/>
      <c r="F17" s="248"/>
      <c r="G17" s="248"/>
      <c r="H17" s="257"/>
      <c r="I17" s="250" t="str">
        <f aca="false">IF(COUNTIFS('Scores (start here)'!$A:$A,$B$1,'Scores (start here)'!$B:$B,$A17,'Scores (start here)'!$F:$F,"&gt;=0")&gt;0,SUMIFS('Scores (start here)'!$F:$F,'Scores (start here)'!$A:$A,$B$1,'Scores (start here)'!$B:$B,$A17),L17)</f>
        <v/>
      </c>
      <c r="J17" s="248"/>
      <c r="K17" s="248"/>
      <c r="L17" s="77" t="str">
        <f aca="false">IF(H17="","",IF(H17&gt;=0.33,$C$7,IF(H17&gt;=0.15,$C$7/2,0)))</f>
        <v/>
      </c>
    </row>
    <row r="18" customFormat="false" ht="14.25" hidden="false" customHeight="true" outlineLevel="0" collapsed="false">
      <c r="A18" s="247" t="s">
        <v>1003</v>
      </c>
      <c r="B18" s="248"/>
      <c r="C18" s="248"/>
      <c r="D18" s="248"/>
      <c r="E18" s="248"/>
      <c r="F18" s="248"/>
      <c r="G18" s="248"/>
      <c r="H18" s="257"/>
      <c r="I18" s="250" t="str">
        <f aca="false">IF(COUNTIFS('Scores (start here)'!$A:$A,$B$1,'Scores (start here)'!$B:$B,$A18,'Scores (start here)'!$F:$F,"&gt;=0")&gt;0,SUMIFS('Scores (start here)'!$F:$F,'Scores (start here)'!$A:$A,$B$1,'Scores (start here)'!$B:$B,$A18),L18)</f>
        <v/>
      </c>
      <c r="J18" s="248"/>
      <c r="K18" s="248"/>
      <c r="L18" s="77" t="str">
        <f aca="false">IF(H18="","",IF(H18&gt;=0.33,$C$7,IF(H18&gt;=0.15,$C$7/2,0)))</f>
        <v/>
      </c>
    </row>
    <row r="19" customFormat="false" ht="14.25" hidden="false" customHeight="true" outlineLevel="0" collapsed="false">
      <c r="A19" s="247" t="s">
        <v>1004</v>
      </c>
      <c r="B19" s="248"/>
      <c r="C19" s="248"/>
      <c r="D19" s="248"/>
      <c r="E19" s="248"/>
      <c r="F19" s="248"/>
      <c r="G19" s="248"/>
      <c r="H19" s="257"/>
      <c r="I19" s="250" t="str">
        <f aca="false">IF(COUNTIFS('Scores (start here)'!$A:$A,$B$1,'Scores (start here)'!$B:$B,$A19,'Scores (start here)'!$F:$F,"&gt;=0")&gt;0,SUMIFS('Scores (start here)'!$F:$F,'Scores (start here)'!$A:$A,$B$1,'Scores (start here)'!$B:$B,$A19),L19)</f>
        <v/>
      </c>
      <c r="J19" s="248"/>
      <c r="K19" s="248"/>
      <c r="L19" s="77" t="str">
        <f aca="false">IF(H19="","",IF(H19&gt;=0.33,$C$7,IF(H19&gt;=0.15,$C$7/2,0)))</f>
        <v/>
      </c>
    </row>
    <row r="20" customFormat="false" ht="14.25" hidden="false" customHeight="true" outlineLevel="0" collapsed="false">
      <c r="A20" s="247" t="s">
        <v>1005</v>
      </c>
      <c r="B20" s="248"/>
      <c r="C20" s="248"/>
      <c r="D20" s="248"/>
      <c r="E20" s="248"/>
      <c r="F20" s="248"/>
      <c r="G20" s="248"/>
      <c r="H20" s="257"/>
      <c r="I20" s="250" t="str">
        <f aca="false">IF(COUNTIFS('Scores (start here)'!$A:$A,$B$1,'Scores (start here)'!$B:$B,$A20,'Scores (start here)'!$F:$F,"&gt;=0")&gt;0,SUMIFS('Scores (start here)'!$F:$F,'Scores (start here)'!$A:$A,$B$1,'Scores (start here)'!$B:$B,$A20),L20)</f>
        <v/>
      </c>
      <c r="J20" s="248"/>
      <c r="K20" s="248"/>
      <c r="L20" s="77" t="str">
        <f aca="false">IF(H20="","",IF(H20&gt;=0.33,$C$7,IF(H20&gt;=0.15,$C$7/2,0)))</f>
        <v/>
      </c>
    </row>
    <row r="21" customFormat="false" ht="14.25" hidden="false" customHeight="true" outlineLevel="0" collapsed="false">
      <c r="A21" s="247" t="s">
        <v>1006</v>
      </c>
      <c r="B21" s="248"/>
      <c r="C21" s="248"/>
      <c r="D21" s="248"/>
      <c r="E21" s="248"/>
      <c r="F21" s="248"/>
      <c r="G21" s="248"/>
      <c r="H21" s="257"/>
      <c r="I21" s="250" t="str">
        <f aca="false">IF(COUNTIFS('Scores (start here)'!$A:$A,$B$1,'Scores (start here)'!$B:$B,$A21,'Scores (start here)'!$F:$F,"&gt;=0")&gt;0,SUMIFS('Scores (start here)'!$F:$F,'Scores (start here)'!$A:$A,$B$1,'Scores (start here)'!$B:$B,$A21),L21)</f>
        <v/>
      </c>
      <c r="J21" s="248"/>
      <c r="K21" s="248"/>
      <c r="L21" s="77" t="str">
        <f aca="false">IF(H21="","",IF(H21&gt;=0.33,$C$7,IF(H21&gt;=0.15,$C$7/2,0)))</f>
        <v/>
      </c>
    </row>
    <row r="22" customFormat="false" ht="14.25" hidden="false" customHeight="true" outlineLevel="0" collapsed="false">
      <c r="A22" s="247" t="s">
        <v>1007</v>
      </c>
      <c r="B22" s="248"/>
      <c r="C22" s="248"/>
      <c r="D22" s="248"/>
      <c r="E22" s="248"/>
      <c r="F22" s="248"/>
      <c r="G22" s="248"/>
      <c r="H22" s="257"/>
      <c r="I22" s="250" t="str">
        <f aca="false">IF(COUNTIFS('Scores (start here)'!$A:$A,$B$1,'Scores (start here)'!$B:$B,$A22,'Scores (start here)'!$F:$F,"&gt;=0")&gt;0,SUMIFS('Scores (start here)'!$F:$F,'Scores (start here)'!$A:$A,$B$1,'Scores (start here)'!$B:$B,$A22),L22)</f>
        <v/>
      </c>
      <c r="J22" s="248"/>
      <c r="K22" s="248"/>
      <c r="L22" s="77" t="str">
        <f aca="false">IF(H22="","",IF(H22&gt;=0.33,$C$7,IF(H22&gt;=0.15,$C$7/2,0)))</f>
        <v/>
      </c>
    </row>
    <row r="23" customFormat="false" ht="14.25" hidden="false" customHeight="true" outlineLevel="0" collapsed="false">
      <c r="A23" s="247" t="s">
        <v>1008</v>
      </c>
      <c r="B23" s="248"/>
      <c r="C23" s="248"/>
      <c r="D23" s="248"/>
      <c r="E23" s="248"/>
      <c r="F23" s="248"/>
      <c r="G23" s="248"/>
      <c r="H23" s="257"/>
      <c r="I23" s="250" t="str">
        <f aca="false">IF(COUNTIFS('Scores (start here)'!$A:$A,$B$1,'Scores (start here)'!$B:$B,$A23,'Scores (start here)'!$F:$F,"&gt;=0")&gt;0,SUMIFS('Scores (start here)'!$F:$F,'Scores (start here)'!$A:$A,$B$1,'Scores (start here)'!$B:$B,$A23),L23)</f>
        <v/>
      </c>
      <c r="J23" s="248"/>
      <c r="K23" s="248"/>
      <c r="L23" s="77" t="str">
        <f aca="false">IF(H23="","",IF(H23&gt;=0.33,$C$7,IF(H23&gt;=0.15,$C$7/2,0)))</f>
        <v/>
      </c>
    </row>
    <row r="24" customFormat="false" ht="14.25" hidden="false" customHeight="true" outlineLevel="0" collapsed="false">
      <c r="A24" s="247" t="s">
        <v>1009</v>
      </c>
      <c r="B24" s="248"/>
      <c r="C24" s="248"/>
      <c r="D24" s="248"/>
      <c r="E24" s="248"/>
      <c r="F24" s="248"/>
      <c r="G24" s="248"/>
      <c r="H24" s="257"/>
      <c r="I24" s="250" t="str">
        <f aca="false">IF(COUNTIFS('Scores (start here)'!$A:$A,$B$1,'Scores (start here)'!$B:$B,$A24,'Scores (start here)'!$F:$F,"&gt;=0")&gt;0,SUMIFS('Scores (start here)'!$F:$F,'Scores (start here)'!$A:$A,$B$1,'Scores (start here)'!$B:$B,$A24),L24)</f>
        <v/>
      </c>
      <c r="J24" s="248"/>
      <c r="K24" s="248"/>
      <c r="L24" s="77" t="str">
        <f aca="false">IF(H24="","",IF(H24&gt;=0.33,$C$7,IF(H24&gt;=0.15,$C$7/2,0)))</f>
        <v/>
      </c>
    </row>
    <row r="25" customFormat="false" ht="14.25" hidden="false" customHeight="true" outlineLevel="0" collapsed="false">
      <c r="A25" s="247" t="s">
        <v>1010</v>
      </c>
      <c r="B25" s="248"/>
      <c r="C25" s="248"/>
      <c r="D25" s="248"/>
      <c r="E25" s="248"/>
      <c r="F25" s="248"/>
      <c r="G25" s="248"/>
      <c r="H25" s="257"/>
      <c r="I25" s="250" t="str">
        <f aca="false">IF(COUNTIFS('Scores (start here)'!$A:$A,$B$1,'Scores (start here)'!$B:$B,$A25,'Scores (start here)'!$F:$F,"&gt;=0")&gt;0,SUMIFS('Scores (start here)'!$F:$F,'Scores (start here)'!$A:$A,$B$1,'Scores (start here)'!$B:$B,$A25),L25)</f>
        <v/>
      </c>
      <c r="J25" s="248"/>
      <c r="K25" s="248"/>
      <c r="L25" s="77" t="str">
        <f aca="false">IF(H25="","",IF(H25&gt;=0.33,$C$7,IF(H25&gt;=0.15,$C$7/2,0)))</f>
        <v/>
      </c>
    </row>
    <row r="26" customFormat="false" ht="14.25" hidden="false" customHeight="true" outlineLevel="0" collapsed="false">
      <c r="A26" s="247" t="s">
        <v>1011</v>
      </c>
      <c r="B26" s="248"/>
      <c r="C26" s="248"/>
      <c r="D26" s="248"/>
      <c r="E26" s="248"/>
      <c r="F26" s="248"/>
      <c r="G26" s="248"/>
      <c r="H26" s="257"/>
      <c r="I26" s="250" t="str">
        <f aca="false">IF(COUNTIFS('Scores (start here)'!$A:$A,$B$1,'Scores (start here)'!$B:$B,$A26,'Scores (start here)'!$F:$F,"&gt;=0")&gt;0,SUMIFS('Scores (start here)'!$F:$F,'Scores (start here)'!$A:$A,$B$1,'Scores (start here)'!$B:$B,$A26),L26)</f>
        <v/>
      </c>
      <c r="J26" s="248"/>
      <c r="K26" s="248"/>
      <c r="L26" s="77" t="str">
        <f aca="false">IF(H26="","",IF(H26&gt;=0.33,$C$7,IF(H26&gt;=0.15,$C$7/2,0)))</f>
        <v/>
      </c>
    </row>
    <row r="27" customFormat="false" ht="14.25" hidden="false" customHeight="true" outlineLevel="0" collapsed="false">
      <c r="A27" s="247" t="s">
        <v>1012</v>
      </c>
      <c r="B27" s="248"/>
      <c r="C27" s="248"/>
      <c r="D27" s="248"/>
      <c r="E27" s="248"/>
      <c r="F27" s="248"/>
      <c r="G27" s="248"/>
      <c r="H27" s="257"/>
      <c r="I27" s="250" t="str">
        <f aca="false">IF(COUNTIFS('Scores (start here)'!$A:$A,$B$1,'Scores (start here)'!$B:$B,$A27,'Scores (start here)'!$F:$F,"&gt;=0")&gt;0,SUMIFS('Scores (start here)'!$F:$F,'Scores (start here)'!$A:$A,$B$1,'Scores (start here)'!$B:$B,$A27),L27)</f>
        <v/>
      </c>
      <c r="J27" s="248"/>
      <c r="K27" s="248"/>
      <c r="L27" s="77" t="str">
        <f aca="false">IF(H27="","",IF(H27&gt;=0.33,$C$7,IF(H27&gt;=0.15,$C$7/2,0)))</f>
        <v/>
      </c>
    </row>
    <row r="28" customFormat="false" ht="14.25" hidden="false" customHeight="true" outlineLevel="0" collapsed="false">
      <c r="A28" s="247" t="s">
        <v>1013</v>
      </c>
      <c r="B28" s="248"/>
      <c r="C28" s="248"/>
      <c r="D28" s="248"/>
      <c r="E28" s="248"/>
      <c r="F28" s="248"/>
      <c r="G28" s="248"/>
      <c r="H28" s="257"/>
      <c r="I28" s="250" t="str">
        <f aca="false">IF(COUNTIFS('Scores (start here)'!$A:$A,$B$1,'Scores (start here)'!$B:$B,$A28,'Scores (start here)'!$F:$F,"&gt;=0")&gt;0,SUMIFS('Scores (start here)'!$F:$F,'Scores (start here)'!$A:$A,$B$1,'Scores (start here)'!$B:$B,$A28),L28)</f>
        <v/>
      </c>
      <c r="J28" s="248"/>
      <c r="K28" s="248"/>
      <c r="L28" s="77" t="str">
        <f aca="false">IF(H28="","",IF(H28&gt;=0.33,$C$7,IF(H28&gt;=0.15,$C$7/2,0)))</f>
        <v/>
      </c>
    </row>
    <row r="29" customFormat="false" ht="14.25" hidden="false" customHeight="true" outlineLevel="0" collapsed="false">
      <c r="A29" s="247" t="s">
        <v>1014</v>
      </c>
      <c r="B29" s="248"/>
      <c r="C29" s="248"/>
      <c r="D29" s="248"/>
      <c r="E29" s="248"/>
      <c r="F29" s="248"/>
      <c r="G29" s="248"/>
      <c r="H29" s="257"/>
      <c r="I29" s="250" t="str">
        <f aca="false">IF(COUNTIFS('Scores (start here)'!$A:$A,$B$1,'Scores (start here)'!$B:$B,$A29,'Scores (start here)'!$F:$F,"&gt;=0")&gt;0,SUMIFS('Scores (start here)'!$F:$F,'Scores (start here)'!$A:$A,$B$1,'Scores (start here)'!$B:$B,$A29),L29)</f>
        <v/>
      </c>
      <c r="J29" s="248"/>
      <c r="K29" s="248"/>
      <c r="L29" s="77" t="str">
        <f aca="false">IF(H29="","",IF(H29&gt;=0.33,$C$7,IF(H29&gt;=0.15,$C$7/2,0)))</f>
        <v/>
      </c>
    </row>
    <row r="30" customFormat="false" ht="14.25" hidden="false" customHeight="true" outlineLevel="0" collapsed="false">
      <c r="A30" s="247" t="s">
        <v>1015</v>
      </c>
      <c r="B30" s="248"/>
      <c r="C30" s="248"/>
      <c r="D30" s="248"/>
      <c r="E30" s="248"/>
      <c r="F30" s="248"/>
      <c r="G30" s="248"/>
      <c r="H30" s="257"/>
      <c r="I30" s="250" t="str">
        <f aca="false">IF(COUNTIFS('Scores (start here)'!$A:$A,$B$1,'Scores (start here)'!$B:$B,$A30,'Scores (start here)'!$F:$F,"&gt;=0")&gt;0,SUMIFS('Scores (start here)'!$F:$F,'Scores (start here)'!$A:$A,$B$1,'Scores (start here)'!$B:$B,$A30),L30)</f>
        <v/>
      </c>
      <c r="J30" s="248"/>
      <c r="K30" s="248"/>
      <c r="L30" s="77" t="str">
        <f aca="false">IF(H30="","",IF(H30&gt;=0.33,$C$7,IF(H30&gt;=0.15,$C$7/2,0)))</f>
        <v/>
      </c>
    </row>
    <row r="31" customFormat="false" ht="14.25" hidden="false" customHeight="true" outlineLevel="0" collapsed="false">
      <c r="A31" s="247" t="s">
        <v>1016</v>
      </c>
      <c r="B31" s="248"/>
      <c r="C31" s="248"/>
      <c r="D31" s="248"/>
      <c r="E31" s="248"/>
      <c r="F31" s="248"/>
      <c r="G31" s="248"/>
      <c r="H31" s="257"/>
      <c r="I31" s="250" t="str">
        <f aca="false">IF(COUNTIFS('Scores (start here)'!$A:$A,$B$1,'Scores (start here)'!$B:$B,$A31,'Scores (start here)'!$F:$F,"&gt;=0")&gt;0,SUMIFS('Scores (start here)'!$F:$F,'Scores (start here)'!$A:$A,$B$1,'Scores (start here)'!$B:$B,$A31),L31)</f>
        <v/>
      </c>
      <c r="J31" s="248"/>
      <c r="K31" s="248"/>
      <c r="L31" s="77" t="str">
        <f aca="false">IF(H31="","",IF(H31&gt;=0.33,$C$7,IF(H31&gt;=0.15,$C$7/2,0)))</f>
        <v/>
      </c>
    </row>
    <row r="32" customFormat="false" ht="14.25" hidden="false" customHeight="true" outlineLevel="0" collapsed="false">
      <c r="A32" s="247" t="s">
        <v>1017</v>
      </c>
      <c r="B32" s="248"/>
      <c r="C32" s="248"/>
      <c r="D32" s="248"/>
      <c r="E32" s="248"/>
      <c r="F32" s="248"/>
      <c r="G32" s="248"/>
      <c r="H32" s="257"/>
      <c r="I32" s="250" t="str">
        <f aca="false">IF(COUNTIFS('Scores (start here)'!$A:$A,$B$1,'Scores (start here)'!$B:$B,$A32,'Scores (start here)'!$F:$F,"&gt;=0")&gt;0,SUMIFS('Scores (start here)'!$F:$F,'Scores (start here)'!$A:$A,$B$1,'Scores (start here)'!$B:$B,$A32),L32)</f>
        <v/>
      </c>
      <c r="J32" s="248"/>
      <c r="K32" s="248"/>
      <c r="L32" s="77" t="str">
        <f aca="false">IF(H32="","",IF(H32&gt;=0.33,$C$7,IF(H32&gt;=0.15,$C$7/2,0)))</f>
        <v/>
      </c>
    </row>
    <row r="33" customFormat="false" ht="34.5" hidden="false" customHeight="true" outlineLevel="0" collapsed="false">
      <c r="A33" s="247" t="s">
        <v>30</v>
      </c>
      <c r="B33" s="248" t="s">
        <v>360</v>
      </c>
      <c r="C33" s="248" t="s">
        <v>1678</v>
      </c>
      <c r="D33" s="248" t="s">
        <v>1679</v>
      </c>
      <c r="E33" s="248"/>
      <c r="F33" s="248" t="s">
        <v>1680</v>
      </c>
      <c r="G33" s="248" t="s">
        <v>361</v>
      </c>
      <c r="H33" s="257"/>
      <c r="I33" s="250" t="str">
        <f aca="false">IF(COUNTIFS('Scores (start here)'!$A:$A,$B$1,'Scores (start here)'!$B:$B,$A33,'Scores (start here)'!$F:$F,"&gt;=0")&gt;0,SUMIFS('Scores (start here)'!$F:$F,'Scores (start here)'!$A:$A,$B$1,'Scores (start here)'!$B:$B,$A33),L33)</f>
        <v/>
      </c>
      <c r="J33" s="251" t="s">
        <v>1681</v>
      </c>
      <c r="K33" s="248"/>
      <c r="L33" s="77" t="str">
        <f aca="false">IF(H33="","",IF(H33&gt;=0.33,$C$7,IF(H33&gt;=0.15,$C$7/2,0)))</f>
        <v/>
      </c>
    </row>
    <row r="34" customFormat="false" ht="14.25" hidden="false" customHeight="true" outlineLevel="0" collapsed="false">
      <c r="A34" s="247" t="s">
        <v>1018</v>
      </c>
      <c r="B34" s="248"/>
      <c r="C34" s="248"/>
      <c r="D34" s="248"/>
      <c r="E34" s="248"/>
      <c r="F34" s="248"/>
      <c r="G34" s="248"/>
      <c r="H34" s="257"/>
      <c r="I34" s="250" t="str">
        <f aca="false">IF(COUNTIFS('Scores (start here)'!$A:$A,$B$1,'Scores (start here)'!$B:$B,$A34,'Scores (start here)'!$F:$F,"&gt;=0")&gt;0,SUMIFS('Scores (start here)'!$F:$F,'Scores (start here)'!$A:$A,$B$1,'Scores (start here)'!$B:$B,$A34),L34)</f>
        <v/>
      </c>
      <c r="J34" s="248"/>
      <c r="K34" s="248"/>
      <c r="L34" s="77" t="str">
        <f aca="false">IF(H34="","",IF(H34&gt;=0.33,$C$7,IF(H34&gt;=0.15,$C$7/2,0)))</f>
        <v/>
      </c>
    </row>
    <row r="35" customFormat="false" ht="14.25" hidden="false" customHeight="true" outlineLevel="0" collapsed="false">
      <c r="A35" s="247" t="s">
        <v>1019</v>
      </c>
      <c r="B35" s="248"/>
      <c r="C35" s="248"/>
      <c r="D35" s="248"/>
      <c r="E35" s="248"/>
      <c r="F35" s="248"/>
      <c r="G35" s="248"/>
      <c r="H35" s="257"/>
      <c r="I35" s="250" t="str">
        <f aca="false">IF(COUNTIFS('Scores (start here)'!$A:$A,$B$1,'Scores (start here)'!$B:$B,$A35,'Scores (start here)'!$F:$F,"&gt;=0")&gt;0,SUMIFS('Scores (start here)'!$F:$F,'Scores (start here)'!$A:$A,$B$1,'Scores (start here)'!$B:$B,$A35),L35)</f>
        <v/>
      </c>
      <c r="J35" s="248"/>
      <c r="K35" s="248"/>
      <c r="L35" s="77" t="str">
        <f aca="false">IF(H35="","",IF(H35&gt;=0.33,$C$7,IF(H35&gt;=0.15,$C$7/2,0)))</f>
        <v/>
      </c>
    </row>
    <row r="36" customFormat="false" ht="14.25" hidden="false" customHeight="true" outlineLevel="0" collapsed="false">
      <c r="A36" s="247" t="s">
        <v>1020</v>
      </c>
      <c r="B36" s="248"/>
      <c r="C36" s="248"/>
      <c r="D36" s="248"/>
      <c r="E36" s="248"/>
      <c r="F36" s="248"/>
      <c r="G36" s="248"/>
      <c r="H36" s="257"/>
      <c r="I36" s="250" t="str">
        <f aca="false">IF(COUNTIFS('Scores (start here)'!$A:$A,$B$1,'Scores (start here)'!$B:$B,$A36,'Scores (start here)'!$F:$F,"&gt;=0")&gt;0,SUMIFS('Scores (start here)'!$F:$F,'Scores (start here)'!$A:$A,$B$1,'Scores (start here)'!$B:$B,$A36),L36)</f>
        <v/>
      </c>
      <c r="J36" s="248"/>
      <c r="K36" s="248"/>
      <c r="L36" s="77" t="str">
        <f aca="false">IF(H36="","",IF(H36&gt;=0.33,$C$7,IF(H36&gt;=0.15,$C$7/2,0)))</f>
        <v/>
      </c>
    </row>
    <row r="37" customFormat="false" ht="14.25" hidden="false" customHeight="true" outlineLevel="0" collapsed="false">
      <c r="A37" s="247" t="s">
        <v>1021</v>
      </c>
      <c r="B37" s="248"/>
      <c r="C37" s="248"/>
      <c r="D37" s="248"/>
      <c r="E37" s="248"/>
      <c r="F37" s="248"/>
      <c r="G37" s="248"/>
      <c r="H37" s="257"/>
      <c r="I37" s="250" t="str">
        <f aca="false">IF(COUNTIFS('Scores (start here)'!$A:$A,$B$1,'Scores (start here)'!$B:$B,$A37,'Scores (start here)'!$F:$F,"&gt;=0")&gt;0,SUMIFS('Scores (start here)'!$F:$F,'Scores (start here)'!$A:$A,$B$1,'Scores (start here)'!$B:$B,$A37),L37)</f>
        <v/>
      </c>
      <c r="J37" s="248"/>
      <c r="K37" s="248"/>
      <c r="L37" s="77" t="str">
        <f aca="false">IF(H37="","",IF(H37&gt;=0.33,$C$7,IF(H37&gt;=0.15,$C$7/2,0)))</f>
        <v/>
      </c>
    </row>
    <row r="38" customFormat="false" ht="14.25" hidden="false" customHeight="true" outlineLevel="0" collapsed="false">
      <c r="A38" s="247" t="s">
        <v>1022</v>
      </c>
      <c r="B38" s="248"/>
      <c r="C38" s="248"/>
      <c r="D38" s="248"/>
      <c r="E38" s="248"/>
      <c r="F38" s="248"/>
      <c r="G38" s="248"/>
      <c r="H38" s="257"/>
      <c r="I38" s="250" t="str">
        <f aca="false">IF(COUNTIFS('Scores (start here)'!$A:$A,$B$1,'Scores (start here)'!$B:$B,$A38,'Scores (start here)'!$F:$F,"&gt;=0")&gt;0,SUMIFS('Scores (start here)'!$F:$F,'Scores (start here)'!$A:$A,$B$1,'Scores (start here)'!$B:$B,$A38),L38)</f>
        <v/>
      </c>
      <c r="J38" s="248"/>
      <c r="K38" s="248"/>
      <c r="L38" s="77" t="str">
        <f aca="false">IF(H38="","",IF(H38&gt;=0.33,$C$7,IF(H38&gt;=0.15,$C$7/2,0)))</f>
        <v/>
      </c>
    </row>
    <row r="39" customFormat="false" ht="14.25" hidden="false" customHeight="true" outlineLevel="0" collapsed="false">
      <c r="A39" s="247" t="s">
        <v>1023</v>
      </c>
      <c r="B39" s="248"/>
      <c r="C39" s="248"/>
      <c r="D39" s="248"/>
      <c r="E39" s="248"/>
      <c r="F39" s="248"/>
      <c r="G39" s="248"/>
      <c r="H39" s="257"/>
      <c r="I39" s="250" t="str">
        <f aca="false">IF(COUNTIFS('Scores (start here)'!$A:$A,$B$1,'Scores (start here)'!$B:$B,$A39,'Scores (start here)'!$F:$F,"&gt;=0")&gt;0,SUMIFS('Scores (start here)'!$F:$F,'Scores (start here)'!$A:$A,$B$1,'Scores (start here)'!$B:$B,$A39),L39)</f>
        <v/>
      </c>
      <c r="J39" s="248"/>
      <c r="K39" s="248"/>
      <c r="L39" s="77" t="str">
        <f aca="false">IF(H39="","",IF(H39&gt;=0.33,$C$7,IF(H39&gt;=0.15,$C$7/2,0)))</f>
        <v/>
      </c>
    </row>
    <row r="40" customFormat="false" ht="14.25" hidden="false" customHeight="true" outlineLevel="0" collapsed="false">
      <c r="A40" s="247" t="s">
        <v>1024</v>
      </c>
      <c r="B40" s="248"/>
      <c r="C40" s="248"/>
      <c r="D40" s="248"/>
      <c r="E40" s="248"/>
      <c r="F40" s="248"/>
      <c r="G40" s="248"/>
      <c r="H40" s="257"/>
      <c r="I40" s="250" t="str">
        <f aca="false">IF(COUNTIFS('Scores (start here)'!$A:$A,$B$1,'Scores (start here)'!$B:$B,$A40,'Scores (start here)'!$F:$F,"&gt;=0")&gt;0,SUMIFS('Scores (start here)'!$F:$F,'Scores (start here)'!$A:$A,$B$1,'Scores (start here)'!$B:$B,$A40),L40)</f>
        <v/>
      </c>
      <c r="J40" s="248"/>
      <c r="K40" s="248"/>
      <c r="L40" s="77" t="str">
        <f aca="false">IF(H40="","",IF(H40&gt;=0.33,$C$7,IF(H40&gt;=0.15,$C$7/2,0)))</f>
        <v/>
      </c>
    </row>
    <row r="41" customFormat="false" ht="14.25" hidden="false" customHeight="true" outlineLevel="0" collapsed="false">
      <c r="A41" s="247" t="s">
        <v>1025</v>
      </c>
      <c r="B41" s="248"/>
      <c r="C41" s="248"/>
      <c r="D41" s="248"/>
      <c r="E41" s="248"/>
      <c r="F41" s="248"/>
      <c r="G41" s="248"/>
      <c r="H41" s="257"/>
      <c r="I41" s="250" t="str">
        <f aca="false">IF(COUNTIFS('Scores (start here)'!$A:$A,$B$1,'Scores (start here)'!$B:$B,$A41,'Scores (start here)'!$F:$F,"&gt;=0")&gt;0,SUMIFS('Scores (start here)'!$F:$F,'Scores (start here)'!$A:$A,$B$1,'Scores (start here)'!$B:$B,$A41),L41)</f>
        <v/>
      </c>
      <c r="J41" s="248"/>
      <c r="K41" s="248"/>
      <c r="L41" s="77" t="str">
        <f aca="false">IF(H41="","",IF(H41&gt;=0.33,$C$7,IF(H41&gt;=0.15,$C$7/2,0)))</f>
        <v/>
      </c>
    </row>
  </sheetData>
  <dataValidations count="1">
    <dataValidation allowBlank="true" error="Please enter a valid value (see note above the column)." errorStyle="stop" errorTitle="Invalid entry" operator="between" showDropDown="false" showErrorMessage="true" showInputMessage="false" sqref="H13:H41" type="decimal">
      <formula1>0</formula1>
      <formula2>1</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427</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Urban design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an Urban Design Cell?</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41" t="n">
        <f aca="false">VLOOKUP($B$1,'UPD Questions_290926 '!$E$1:$N$300,MATCH($A$7,'UPD Questions_290926 '!$E$1:$N$1,0),0)</f>
        <v>2.5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2.5 if there is evidence that an Urban Design Cell/Unit/Vertical exists, including a qualifying shared State/district-level resource for towns below five lakh; score 0 otherwise.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431</v>
      </c>
      <c r="C14" s="248" t="s">
        <v>1682</v>
      </c>
      <c r="D14" s="248" t="s">
        <v>1683</v>
      </c>
      <c r="E14" s="248"/>
      <c r="F14" s="248"/>
      <c r="G14" s="248" t="s">
        <v>432</v>
      </c>
      <c r="H14" s="249"/>
      <c r="I14" s="250" t="str">
        <f aca="false">IF(COUNTIFS('Scores (start here)'!$A:$A,$B$1,'Scores (start here)'!$B:$B,$A14,'Scores (start here)'!$F:$F,"&gt;=0")&gt;0,SUMIFS('Scores (start here)'!$F:$F,'Scores (start here)'!$A:$A,$B$1,'Scores (start here)'!$B:$B,$A14),K14)</f>
        <v/>
      </c>
      <c r="J14" s="251" t="s">
        <v>1684</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68.75" hidden="false" customHeight="true" outlineLevel="0" collapsed="false">
      <c r="A33" s="247" t="s">
        <v>30</v>
      </c>
      <c r="B33" s="248" t="s">
        <v>436</v>
      </c>
      <c r="C33" s="248" t="s">
        <v>1685</v>
      </c>
      <c r="D33" s="248" t="s">
        <v>1686</v>
      </c>
      <c r="E33" s="248" t="s">
        <v>1687</v>
      </c>
      <c r="F33" s="248" t="s">
        <v>622</v>
      </c>
      <c r="G33" s="248" t="s">
        <v>437</v>
      </c>
      <c r="H33" s="249"/>
      <c r="I33" s="250" t="str">
        <f aca="false">IF(COUNTIFS('Scores (start here)'!$A:$A,$B$1,'Scores (start here)'!$B:$B,$A33,'Scores (start here)'!$F:$F,"&gt;=0")&gt;0,SUMIFS('Scores (start here)'!$F:$F,'Scores (start here)'!$A:$A,$B$1,'Scores (start here)'!$B:$B,$A33),K33)</f>
        <v/>
      </c>
      <c r="J33" s="251" t="s">
        <v>1688</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440</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Climate</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 Climate Action/Sustainability/Disaster Management Cell?</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41" t="n">
        <f aca="false">VLOOKUP($B$1,'UPD Questions_290926 '!$E$1:$N$300,MATCH($A$7,'UPD Questions_290926 '!$E$1:$N$1,0),0)</f>
        <v>2.5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2.5 if there is evidence that such a cell/unit/vertical exists and is functional for the city, including a qualifying shared state/district-level resource for towns below five lakh;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49</v>
      </c>
      <c r="C14" s="248" t="s">
        <v>1348</v>
      </c>
      <c r="D14" s="248" t="s">
        <v>1689</v>
      </c>
      <c r="E14" s="248" t="s">
        <v>1690</v>
      </c>
      <c r="F14" s="248" t="s">
        <v>757</v>
      </c>
      <c r="G14" s="248" t="s">
        <v>50</v>
      </c>
      <c r="H14" s="249"/>
      <c r="I14" s="250" t="str">
        <f aca="false">IF(COUNTIFS('Scores (start here)'!$A:$A,$B$1,'Scores (start here)'!$B:$B,$A14,'Scores (start here)'!$F:$F,"&gt;=0")&gt;0,SUMIFS('Scores (start here)'!$F:$F,'Scores (start here)'!$A:$A,$B$1,'Scores (start here)'!$B:$B,$A14),K14)</f>
        <v/>
      </c>
      <c r="J14" s="251" t="s">
        <v>1691</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23.25" hidden="false" customHeight="true" outlineLevel="0" collapsed="false">
      <c r="A33" s="247" t="s">
        <v>30</v>
      </c>
      <c r="B33" s="248" t="s">
        <v>436</v>
      </c>
      <c r="C33" s="248" t="s">
        <v>1692</v>
      </c>
      <c r="D33" s="248" t="s">
        <v>1693</v>
      </c>
      <c r="E33" s="248" t="s">
        <v>1694</v>
      </c>
      <c r="F33" s="248" t="s">
        <v>622</v>
      </c>
      <c r="G33" s="248" t="s">
        <v>437</v>
      </c>
      <c r="H33" s="249" t="s">
        <v>1309</v>
      </c>
      <c r="I33" s="250" t="n">
        <f aca="false">IF(COUNTIFS('Scores (start here)'!$A:$A,$B$1,'Scores (start here)'!$B:$B,$A33,'Scores (start here)'!$F:$F,"&gt;=0")&gt;0,SUMIFS('Scores (start here)'!$F:$F,'Scores (start here)'!$A:$A,$B$1,'Scores (start here)'!$B:$B,$A33),K33)</f>
        <v>2.5</v>
      </c>
      <c r="J33" s="251" t="s">
        <v>1695</v>
      </c>
      <c r="K33" s="252" t="n">
        <f aca="false">IF(H33="YES",$C$7,IF(H33="NO",0,""))</f>
        <v>2.5</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447</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Economic development</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an Economic Develepment Cell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41" t="n">
        <f aca="false">VLOOKUP($B$1,'UPD Questions_290926 '!$E$1:$N$300,MATCH($A$7,'UPD Questions_290926 '!$E$1:$N$1,0),0)</f>
        <v>2.5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an economic development cell/unit/vertical exists and is functional for the city; score 0 otherwise. Applicability: this indicator is applicable only to million-plus cities (population of 10 lakh or more). For all other cities, score NA.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1696</v>
      </c>
    </row>
    <row r="11" customFormat="false" ht="28.5" hidden="false" customHeight="true" outlineLevel="0" collapsed="false">
      <c r="H11" s="243" t="s">
        <v>1401</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IF(H13="NA","NA",IF(H13="YES",$C$7,IF(H13="NO",0,"")))</f>
        <v/>
      </c>
    </row>
    <row r="14" customFormat="false" ht="14.25" hidden="false" customHeight="true" outlineLevel="0" collapsed="false">
      <c r="A14" s="247" t="s">
        <v>19</v>
      </c>
      <c r="B14" s="248"/>
      <c r="C14" s="248"/>
      <c r="D14" s="248"/>
      <c r="E14" s="248"/>
      <c r="F14" s="248"/>
      <c r="G14" s="248"/>
      <c r="H14" s="249"/>
      <c r="I14" s="250" t="str">
        <f aca="false">IF(COUNTIFS('Scores (start here)'!$A:$A,$B$1,'Scores (start here)'!$B:$B,$A14,'Scores (start here)'!$F:$F,"&gt;=0")&gt;0,SUMIFS('Scores (start here)'!$F:$F,'Scores (start here)'!$A:$A,$B$1,'Scores (start here)'!$B:$B,$A14),K14)</f>
        <v/>
      </c>
      <c r="J14" s="248" t="s">
        <v>1697</v>
      </c>
      <c r="K14" s="77" t="str">
        <f aca="false">IF(H14="NA","NA",IF(H14="YES",$C$7,IF(H14="NO",0,"")))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IF(H15="NA","NA",IF(H15="YES",$C$7,IF(H15="NO",0,"")))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IF(H16="NA","NA",IF(H16="YES",$C$7,IF(H16="NO",0,"")))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IF(H17="NA","NA",IF(H17="YES",$C$7,IF(H17="NO",0,"")))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IF(H18="NA","NA",IF(H18="YES",$C$7,IF(H18="NO",0,"")))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IF(H19="NA","NA",IF(H19="YES",$C$7,IF(H19="NO",0,"")))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IF(H20="NA","NA",IF(H20="YES",$C$7,IF(H20="NO",0,"")))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IF(H21="NA","NA",IF(H21="YES",$C$7,IF(H21="NO",0,"")))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IF(H22="NA","NA",IF(H22="YES",$C$7,IF(H22="NO",0,"")))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IF(H23="NA","NA",IF(H23="YES",$C$7,IF(H23="NO",0,"")))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IF(H24="NA","NA",IF(H24="YES",$C$7,IF(H24="NO",0,"")))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IF(H25="NA","NA",IF(H25="YES",$C$7,IF(H25="NO",0,"")))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IF(H26="NA","NA",IF(H26="YES",$C$7,IF(H26="NO",0,"")))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IF(H27="NA","NA",IF(H27="YES",$C$7,IF(H27="NO",0,"")))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IF(H28="NA","NA",IF(H28="YES",$C$7,IF(H28="NO",0,"")))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IF(H29="NA","NA",IF(H29="YES",$C$7,IF(H29="NO",0,"")))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IF(H30="NA","NA",IF(H30="YES",$C$7,IF(H30="NO",0,"")))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IF(H31="NA","NA",IF(H31="YES",$C$7,IF(H31="NO",0,"")))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IF(H32="NA","NA",IF(H32="YES",$C$7,IF(H32="NO",0,"")))</f>
        <v/>
      </c>
    </row>
    <row r="33" customFormat="false" ht="14.25" hidden="false" customHeight="true" outlineLevel="0" collapsed="false">
      <c r="A33" s="247" t="s">
        <v>30</v>
      </c>
      <c r="B33" s="248" t="s">
        <v>436</v>
      </c>
      <c r="C33" s="248"/>
      <c r="D33" s="248" t="s">
        <v>1692</v>
      </c>
      <c r="E33" s="248" t="s">
        <v>1698</v>
      </c>
      <c r="F33" s="248" t="s">
        <v>622</v>
      </c>
      <c r="G33" s="248" t="s">
        <v>437</v>
      </c>
      <c r="H33" s="249"/>
      <c r="I33" s="250" t="str">
        <f aca="false">IF(COUNTIFS('Scores (start here)'!$A:$A,$B$1,'Scores (start here)'!$B:$B,$A33,'Scores (start here)'!$F:$F,"&gt;=0")&gt;0,SUMIFS('Scores (start here)'!$F:$F,'Scores (start here)'!$A:$A,$B$1,'Scores (start here)'!$B:$B,$A33),K33)</f>
        <v/>
      </c>
      <c r="J33" s="251" t="s">
        <v>1699</v>
      </c>
      <c r="K33" s="77" t="str">
        <f aca="false">IF(H33="NA","NA",IF(H33="YES",$C$7,IF(H33="NO",0,"")))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IF(H34="NA","NA",IF(H34="YES",$C$7,IF(H34="NO",0,"")))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IF(H35="NA","NA",IF(H35="YES",$C$7,IF(H35="NO",0,"")))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IF(H36="NA","NA",IF(H36="YES",$C$7,IF(H36="NO",0,"")))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IF(H37="NA","NA",IF(H37="YES",$C$7,IF(H37="NO",0,"")))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IF(H38="NA","NA",IF(H38="YES",$C$7,IF(H38="NO",0,"")))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IF(H39="NA","NA",IF(H39="YES",$C$7,IF(H39="NO",0,"")))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IF(H40="NA","NA",IF(H40="YES",$C$7,IF(H40="NO",0,"")))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IF(H41="NA","NA",IF(H41="YES",$C$7,IF(H41="NO",0,"")))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451</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Women's welfare or development</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 dedicated Women's Welfare/Development Cell?</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41" t="n">
        <f aca="false">VLOOKUP($B$1,'UPD Questions_290926 '!$E$1:$N$300,MATCH($A$7,'UPD Questions_290926 '!$E$1:$N$1,0),0)</f>
        <v>2.5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 dedicated women’s welfare/development cell/unit/vertical exists and is functional for the city; score 0 otherwise. Applicability: This indicator is applicable only to million-plus cities. For all non-million-plus cities, score NA.</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1696</v>
      </c>
    </row>
    <row r="11" customFormat="false" ht="28.5" hidden="false" customHeight="true" outlineLevel="0" collapsed="false">
      <c r="H11" s="243" t="s">
        <v>1401</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IF(H13="NA","NA",IF(H13="YES",$C$7,IF(H13="NO",0,"")))</f>
        <v/>
      </c>
    </row>
    <row r="14" customFormat="false" ht="14.25" hidden="false" customHeight="true" outlineLevel="0" collapsed="false">
      <c r="A14" s="247" t="s">
        <v>19</v>
      </c>
      <c r="B14" s="248"/>
      <c r="C14" s="248"/>
      <c r="D14" s="248"/>
      <c r="E14" s="248"/>
      <c r="F14" s="248"/>
      <c r="G14" s="248"/>
      <c r="H14" s="249"/>
      <c r="I14" s="250" t="str">
        <f aca="false">IF(COUNTIFS('Scores (start here)'!$A:$A,$B$1,'Scores (start here)'!$B:$B,$A14,'Scores (start here)'!$F:$F,"&gt;=0")&gt;0,SUMIFS('Scores (start here)'!$F:$F,'Scores (start here)'!$A:$A,$B$1,'Scores (start here)'!$B:$B,$A14),K14)</f>
        <v/>
      </c>
      <c r="J14" s="248" t="s">
        <v>1700</v>
      </c>
      <c r="K14" s="77" t="str">
        <f aca="false">IF(H14="NA","NA",IF(H14="YES",$C$7,IF(H14="NO",0,"")))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IF(H15="NA","NA",IF(H15="YES",$C$7,IF(H15="NO",0,"")))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IF(H16="NA","NA",IF(H16="YES",$C$7,IF(H16="NO",0,"")))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IF(H17="NA","NA",IF(H17="YES",$C$7,IF(H17="NO",0,"")))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IF(H18="NA","NA",IF(H18="YES",$C$7,IF(H18="NO",0,"")))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IF(H19="NA","NA",IF(H19="YES",$C$7,IF(H19="NO",0,"")))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IF(H20="NA","NA",IF(H20="YES",$C$7,IF(H20="NO",0,"")))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IF(H21="NA","NA",IF(H21="YES",$C$7,IF(H21="NO",0,"")))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IF(H22="NA","NA",IF(H22="YES",$C$7,IF(H22="NO",0,"")))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IF(H23="NA","NA",IF(H23="YES",$C$7,IF(H23="NO",0,"")))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IF(H24="NA","NA",IF(H24="YES",$C$7,IF(H24="NO",0,"")))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IF(H25="NA","NA",IF(H25="YES",$C$7,IF(H25="NO",0,"")))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IF(H26="NA","NA",IF(H26="YES",$C$7,IF(H26="NO",0,"")))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IF(H27="NA","NA",IF(H27="YES",$C$7,IF(H27="NO",0,"")))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IF(H28="NA","NA",IF(H28="YES",$C$7,IF(H28="NO",0,"")))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IF(H29="NA","NA",IF(H29="YES",$C$7,IF(H29="NO",0,"")))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IF(H30="NA","NA",IF(H30="YES",$C$7,IF(H30="NO",0,"")))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IF(H31="NA","NA",IF(H31="YES",$C$7,IF(H31="NO",0,"")))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IF(H32="NA","NA",IF(H32="YES",$C$7,IF(H32="NO",0,"")))</f>
        <v/>
      </c>
    </row>
    <row r="33" customFormat="false" ht="247.5" hidden="false" customHeight="true" outlineLevel="0" collapsed="false">
      <c r="A33" s="247" t="s">
        <v>30</v>
      </c>
      <c r="B33" s="248" t="s">
        <v>436</v>
      </c>
      <c r="C33" s="248" t="s">
        <v>1692</v>
      </c>
      <c r="D33" s="248" t="s">
        <v>1701</v>
      </c>
      <c r="E33" s="248" t="s">
        <v>1702</v>
      </c>
      <c r="F33" s="248" t="s">
        <v>622</v>
      </c>
      <c r="G33" s="248" t="s">
        <v>437</v>
      </c>
      <c r="H33" s="249"/>
      <c r="I33" s="250" t="str">
        <f aca="false">IF(COUNTIFS('Scores (start here)'!$A:$A,$B$1,'Scores (start here)'!$B:$B,$A33,'Scores (start here)'!$F:$F,"&gt;=0")&gt;0,SUMIFS('Scores (start here)'!$F:$F,'Scores (start here)'!$A:$A,$B$1,'Scores (start here)'!$B:$B,$A33),K33)</f>
        <v/>
      </c>
      <c r="J33" s="251" t="s">
        <v>1703</v>
      </c>
      <c r="K33" s="77" t="str">
        <f aca="false">IF(H33="NA","NA",IF(H33="YES",$C$7,IF(H33="NO",0,"")))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IF(H34="NA","NA",IF(H34="YES",$C$7,IF(H34="NO",0,"")))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IF(H35="NA","NA",IF(H35="YES",$C$7,IF(H35="NO",0,"")))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IF(H36="NA","NA",IF(H36="YES",$C$7,IF(H36="NO",0,"")))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IF(H37="NA","NA",IF(H37="YES",$C$7,IF(H37="NO",0,"")))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IF(H38="NA","NA",IF(H38="YES",$C$7,IF(H38="NO",0,"")))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IF(H39="NA","NA",IF(H39="YES",$C$7,IF(H39="NO",0,"")))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IF(H40="NA","NA",IF(H40="YES",$C$7,IF(H40="NO",0,"")))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IF(H41="NA","NA",IF(H41="YES",$C$7,IF(H41="NO",0,"")))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O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2" min="8" style="77" width="22"/>
    <col collapsed="false" customWidth="true" hidden="false" outlineLevel="0" max="13" min="13" style="77" width="14"/>
    <col collapsed="false" customWidth="true" hidden="false" outlineLevel="0" max="14" min="14" style="77" width="45"/>
  </cols>
  <sheetData>
    <row r="1" customFormat="false" ht="14.25" hidden="false" customHeight="true" outlineLevel="0" collapsed="false">
      <c r="A1" s="238" t="s">
        <v>1288</v>
      </c>
      <c r="B1" s="238" t="s">
        <v>457</v>
      </c>
      <c r="C1" s="239" t="s">
        <v>1289</v>
      </c>
      <c r="M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Urban design standards and universal accessibility &gt;:&lt; Urban design standards and universal accessibility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prescribed urban design standards to guide the execution of urban projects, including standards for universal accessibility? &gt;:&lt; Does the law mandate comprehensive urban design standards and universal accessibility?</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applicable T&amp;CP Act or Municipal Act provides for urban design standards/guidelines for the planning, design or execution of urban development across the following four categories:1. Roads and streetscapes – including different categories/hierarchies of urban roads.2. Footpaths/pedestrian infrastructure.3. Underground public utilities – including water supply, sewerage, storm-water drainage, electricity, telecommunications/internet and gas.4. Buit form based codes - build to line, minimum frontage, floor heights, building material etc.5. Universal accessibility For each of the five categories, check whether the applicable law mandates or enables urban design standards/guidelines for the planning, design or execution of urban development.For each category, score as follows:Score 1: Where the law uses mandatory language (e.g., “shall”) requiring the preparation, prescription, adoption or application of urban design standards/guidelines.Score 0.5: Where the law uses enabling/discretionary language (e.g., “may”) permitting the preparation, prescription, adoption or application of such standards/guidelines.Score 0: Where there is no such provision.Maximum score: 5 points (5 categories × 1 point). A general power to regulate development, without a specific provision for relevant design standards/guidelines, shall not qualify.</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1704</v>
      </c>
    </row>
    <row r="11" customFormat="false" ht="28.5" hidden="false" customHeight="true" outlineLevel="0" collapsed="false">
      <c r="H11" s="243" t="s">
        <v>1705</v>
      </c>
      <c r="I11" s="243" t="s">
        <v>1705</v>
      </c>
      <c r="J11" s="243" t="s">
        <v>1705</v>
      </c>
      <c r="K11" s="243" t="s">
        <v>1705</v>
      </c>
      <c r="L11" s="243" t="s">
        <v>1705</v>
      </c>
      <c r="M11" s="244" t="s">
        <v>1295</v>
      </c>
      <c r="O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"Roads &amp; streetscapes ("&amp;TEXT($C$7/5,"0.00")&amp;")"</f>
        <v>Roads &amp; streetscapes (1.00)</v>
      </c>
      <c r="I12" s="246" t="str">
        <f aca="false">"Footpaths / pedestrian infrastructure ("&amp;TEXT($C$7/5,"0.00")&amp;")"</f>
        <v>Footpaths / pedestrian infrastructure (1.00)</v>
      </c>
      <c r="J12" s="246" t="str">
        <f aca="false">"Underground public utilities ("&amp;TEXT($C$7/5,"0.00")&amp;")"</f>
        <v>Underground public utilities (1.00)</v>
      </c>
      <c r="K12" s="246" t="str">
        <f aca="false">"Built-form based codes ("&amp;TEXT($C$7/5,"0.00")&amp;")"</f>
        <v>Built-form based codes (1.00)</v>
      </c>
      <c r="L12" s="246" t="str">
        <f aca="false">"Universal accessibility ("&amp;TEXT($C$7/5,"0.00")&amp;")"</f>
        <v>Universal accessibility (1.00)</v>
      </c>
      <c r="M12" s="244" t="s">
        <v>1303</v>
      </c>
      <c r="N12" s="246" t="s">
        <v>1304</v>
      </c>
      <c r="O12" s="77" t="s">
        <v>1305</v>
      </c>
    </row>
    <row r="13" customFormat="false" ht="14.25" hidden="false" customHeight="true" outlineLevel="0" collapsed="false">
      <c r="A13" s="247" t="s">
        <v>999</v>
      </c>
      <c r="B13" s="248"/>
      <c r="C13" s="248"/>
      <c r="D13" s="248"/>
      <c r="E13" s="248"/>
      <c r="F13" s="248"/>
      <c r="G13" s="248"/>
      <c r="H13" s="249"/>
      <c r="I13" s="249"/>
      <c r="J13" s="249"/>
      <c r="K13" s="249"/>
      <c r="L13" s="249"/>
      <c r="M13" s="250" t="str">
        <f aca="false">IF(COUNTIFS('Scores (start here)'!$A:$A,$B$1,'Scores (start here)'!$B:$B,$A13,'Scores (start here)'!$F:$F,"&gt;=0")&gt;0,SUMIFS('Scores (start here)'!$F:$F,'Scores (start here)'!$A:$A,$B$1,'Scores (start here)'!$B:$B,$A13),O13)</f>
        <v/>
      </c>
      <c r="N13" s="248"/>
      <c r="O13" s="77" t="str">
        <f aca="false">IF(OR(H13="",I13="",J13="",K13="",L13=""),"",(COUNTIF(H13:L13,"SHALL")+0.5*COUNTIF(H13:L13,"MAY"))/5*$C$7)</f>
        <v/>
      </c>
    </row>
    <row r="14" customFormat="false" ht="14.25" hidden="false" customHeight="true" outlineLevel="0" collapsed="false">
      <c r="A14" s="247" t="s">
        <v>19</v>
      </c>
      <c r="B14" s="248" t="s">
        <v>49</v>
      </c>
      <c r="C14" s="248" t="s">
        <v>1706</v>
      </c>
      <c r="D14" s="248" t="s">
        <v>1707</v>
      </c>
      <c r="E14" s="248" t="s">
        <v>1708</v>
      </c>
      <c r="F14" s="248" t="s">
        <v>1709</v>
      </c>
      <c r="G14" s="248" t="s">
        <v>50</v>
      </c>
      <c r="H14" s="249" t="s">
        <v>1710</v>
      </c>
      <c r="I14" s="249"/>
      <c r="J14" s="249" t="s">
        <v>1711</v>
      </c>
      <c r="K14" s="249" t="s">
        <v>1710</v>
      </c>
      <c r="L14" s="249" t="s">
        <v>1710</v>
      </c>
      <c r="M14" s="250" t="str">
        <f aca="false">IF(COUNTIFS('Scores (start here)'!$A:$A,$B$1,'Scores (start here)'!$B:$B,$A14,'Scores (start here)'!$F:$F,"&gt;=0")&gt;0,SUMIFS('Scores (start here)'!$F:$F,'Scores (start here)'!$A:$A,$B$1,'Scores (start here)'!$B:$B,$A14),O14)</f>
        <v/>
      </c>
      <c r="N14" s="251" t="s">
        <v>1712</v>
      </c>
      <c r="O14" s="77" t="str">
        <f aca="false">IF(OR(H14="",I14="",J14="",K14="",L14=""),"",(COUNTIF(H14:L14,"SHALL")+0.5*COUNTIF(H14:L14,"MAY"))/5*$C$7)</f>
        <v/>
      </c>
    </row>
    <row r="15" customFormat="false" ht="14.25" hidden="false" customHeight="true" outlineLevel="0" collapsed="false">
      <c r="A15" s="247" t="s">
        <v>1000</v>
      </c>
      <c r="B15" s="248"/>
      <c r="C15" s="248"/>
      <c r="D15" s="248"/>
      <c r="E15" s="248"/>
      <c r="F15" s="248"/>
      <c r="G15" s="248"/>
      <c r="H15" s="249"/>
      <c r="I15" s="249"/>
      <c r="J15" s="249"/>
      <c r="K15" s="249"/>
      <c r="L15" s="249"/>
      <c r="M15" s="250" t="str">
        <f aca="false">IF(COUNTIFS('Scores (start here)'!$A:$A,$B$1,'Scores (start here)'!$B:$B,$A15,'Scores (start here)'!$F:$F,"&gt;=0")&gt;0,SUMIFS('Scores (start here)'!$F:$F,'Scores (start here)'!$A:$A,$B$1,'Scores (start here)'!$B:$B,$A15),O15)</f>
        <v/>
      </c>
      <c r="N15" s="248"/>
      <c r="O15" s="77" t="str">
        <f aca="false">IF(OR(H15="",I15="",J15="",K15="",L15=""),"",(COUNTIF(H15:L15,"SHALL")+0.5*COUNTIF(H15:L15,"MAY"))/5*$C$7)</f>
        <v/>
      </c>
    </row>
    <row r="16" customFormat="false" ht="14.25" hidden="false" customHeight="true" outlineLevel="0" collapsed="false">
      <c r="A16" s="247" t="s">
        <v>1001</v>
      </c>
      <c r="B16" s="248"/>
      <c r="C16" s="248"/>
      <c r="D16" s="248"/>
      <c r="E16" s="248"/>
      <c r="F16" s="248"/>
      <c r="G16" s="248"/>
      <c r="H16" s="249"/>
      <c r="I16" s="249"/>
      <c r="J16" s="249"/>
      <c r="K16" s="249"/>
      <c r="L16" s="249"/>
      <c r="M16" s="250" t="str">
        <f aca="false">IF(COUNTIFS('Scores (start here)'!$A:$A,$B$1,'Scores (start here)'!$B:$B,$A16,'Scores (start here)'!$F:$F,"&gt;=0")&gt;0,SUMIFS('Scores (start here)'!$F:$F,'Scores (start here)'!$A:$A,$B$1,'Scores (start here)'!$B:$B,$A16),O16)</f>
        <v/>
      </c>
      <c r="N16" s="248"/>
      <c r="O16" s="77" t="str">
        <f aca="false">IF(OR(H16="",I16="",J16="",K16="",L16=""),"",(COUNTIF(H16:L16,"SHALL")+0.5*COUNTIF(H16:L16,"MAY"))/5*$C$7)</f>
        <v/>
      </c>
    </row>
    <row r="17" customFormat="false" ht="14.25" hidden="false" customHeight="true" outlineLevel="0" collapsed="false">
      <c r="A17" s="247" t="s">
        <v>1002</v>
      </c>
      <c r="B17" s="248"/>
      <c r="C17" s="248"/>
      <c r="D17" s="248"/>
      <c r="E17" s="248"/>
      <c r="F17" s="248"/>
      <c r="G17" s="248"/>
      <c r="H17" s="249"/>
      <c r="I17" s="249"/>
      <c r="J17" s="249"/>
      <c r="K17" s="249"/>
      <c r="L17" s="249"/>
      <c r="M17" s="250" t="str">
        <f aca="false">IF(COUNTIFS('Scores (start here)'!$A:$A,$B$1,'Scores (start here)'!$B:$B,$A17,'Scores (start here)'!$F:$F,"&gt;=0")&gt;0,SUMIFS('Scores (start here)'!$F:$F,'Scores (start here)'!$A:$A,$B$1,'Scores (start here)'!$B:$B,$A17),O17)</f>
        <v/>
      </c>
      <c r="N17" s="248"/>
      <c r="O17" s="77" t="str">
        <f aca="false">IF(OR(H17="",I17="",J17="",K17="",L17=""),"",(COUNTIF(H17:L17,"SHALL")+0.5*COUNTIF(H17:L17,"MAY"))/5*$C$7)</f>
        <v/>
      </c>
    </row>
    <row r="18" customFormat="false" ht="14.25" hidden="false" customHeight="true" outlineLevel="0" collapsed="false">
      <c r="A18" s="247" t="s">
        <v>1003</v>
      </c>
      <c r="B18" s="248"/>
      <c r="C18" s="248"/>
      <c r="D18" s="248"/>
      <c r="E18" s="248"/>
      <c r="F18" s="248"/>
      <c r="G18" s="248"/>
      <c r="H18" s="249"/>
      <c r="I18" s="249"/>
      <c r="J18" s="249"/>
      <c r="K18" s="249"/>
      <c r="L18" s="249"/>
      <c r="M18" s="250" t="str">
        <f aca="false">IF(COUNTIFS('Scores (start here)'!$A:$A,$B$1,'Scores (start here)'!$B:$B,$A18,'Scores (start here)'!$F:$F,"&gt;=0")&gt;0,SUMIFS('Scores (start here)'!$F:$F,'Scores (start here)'!$A:$A,$B$1,'Scores (start here)'!$B:$B,$A18),O18)</f>
        <v/>
      </c>
      <c r="N18" s="248"/>
      <c r="O18" s="77" t="str">
        <f aca="false">IF(OR(H18="",I18="",J18="",K18="",L18=""),"",(COUNTIF(H18:L18,"SHALL")+0.5*COUNTIF(H18:L18,"MAY"))/5*$C$7)</f>
        <v/>
      </c>
    </row>
    <row r="19" customFormat="false" ht="14.25" hidden="false" customHeight="true" outlineLevel="0" collapsed="false">
      <c r="A19" s="247" t="s">
        <v>1004</v>
      </c>
      <c r="B19" s="248"/>
      <c r="C19" s="248"/>
      <c r="D19" s="248"/>
      <c r="E19" s="248"/>
      <c r="F19" s="248"/>
      <c r="G19" s="248"/>
      <c r="H19" s="249"/>
      <c r="I19" s="249"/>
      <c r="J19" s="249"/>
      <c r="K19" s="249"/>
      <c r="L19" s="249"/>
      <c r="M19" s="250" t="str">
        <f aca="false">IF(COUNTIFS('Scores (start here)'!$A:$A,$B$1,'Scores (start here)'!$B:$B,$A19,'Scores (start here)'!$F:$F,"&gt;=0")&gt;0,SUMIFS('Scores (start here)'!$F:$F,'Scores (start here)'!$A:$A,$B$1,'Scores (start here)'!$B:$B,$A19),O19)</f>
        <v/>
      </c>
      <c r="N19" s="248"/>
      <c r="O19" s="77" t="str">
        <f aca="false">IF(OR(H19="",I19="",J19="",K19="",L19=""),"",(COUNTIF(H19:L19,"SHALL")+0.5*COUNTIF(H19:L19,"MAY"))/5*$C$7)</f>
        <v/>
      </c>
    </row>
    <row r="20" customFormat="false" ht="14.25" hidden="false" customHeight="true" outlineLevel="0" collapsed="false">
      <c r="A20" s="247" t="s">
        <v>1005</v>
      </c>
      <c r="B20" s="248"/>
      <c r="C20" s="248"/>
      <c r="D20" s="248"/>
      <c r="E20" s="248"/>
      <c r="F20" s="248"/>
      <c r="G20" s="248"/>
      <c r="H20" s="249"/>
      <c r="I20" s="249"/>
      <c r="J20" s="249"/>
      <c r="K20" s="249"/>
      <c r="L20" s="249"/>
      <c r="M20" s="250" t="str">
        <f aca="false">IF(COUNTIFS('Scores (start here)'!$A:$A,$B$1,'Scores (start here)'!$B:$B,$A20,'Scores (start here)'!$F:$F,"&gt;=0")&gt;0,SUMIFS('Scores (start here)'!$F:$F,'Scores (start here)'!$A:$A,$B$1,'Scores (start here)'!$B:$B,$A20),O20)</f>
        <v/>
      </c>
      <c r="N20" s="248"/>
      <c r="O20" s="77" t="str">
        <f aca="false">IF(OR(H20="",I20="",J20="",K20="",L20=""),"",(COUNTIF(H20:L20,"SHALL")+0.5*COUNTIF(H20:L20,"MAY"))/5*$C$7)</f>
        <v/>
      </c>
    </row>
    <row r="21" customFormat="false" ht="14.25" hidden="false" customHeight="true" outlineLevel="0" collapsed="false">
      <c r="A21" s="247" t="s">
        <v>1006</v>
      </c>
      <c r="B21" s="248"/>
      <c r="C21" s="248"/>
      <c r="D21" s="248"/>
      <c r="E21" s="248"/>
      <c r="F21" s="248"/>
      <c r="G21" s="248"/>
      <c r="H21" s="249"/>
      <c r="I21" s="249"/>
      <c r="J21" s="249"/>
      <c r="K21" s="249"/>
      <c r="L21" s="249"/>
      <c r="M21" s="250" t="str">
        <f aca="false">IF(COUNTIFS('Scores (start here)'!$A:$A,$B$1,'Scores (start here)'!$B:$B,$A21,'Scores (start here)'!$F:$F,"&gt;=0")&gt;0,SUMIFS('Scores (start here)'!$F:$F,'Scores (start here)'!$A:$A,$B$1,'Scores (start here)'!$B:$B,$A21),O21)</f>
        <v/>
      </c>
      <c r="N21" s="248"/>
      <c r="O21" s="77" t="str">
        <f aca="false">IF(OR(H21="",I21="",J21="",K21="",L21=""),"",(COUNTIF(H21:L21,"SHALL")+0.5*COUNTIF(H21:L21,"MAY"))/5*$C$7)</f>
        <v/>
      </c>
    </row>
    <row r="22" customFormat="false" ht="14.25" hidden="false" customHeight="true" outlineLevel="0" collapsed="false">
      <c r="A22" s="247" t="s">
        <v>1007</v>
      </c>
      <c r="B22" s="248"/>
      <c r="C22" s="248"/>
      <c r="D22" s="248"/>
      <c r="E22" s="248"/>
      <c r="F22" s="248"/>
      <c r="G22" s="248"/>
      <c r="H22" s="249"/>
      <c r="I22" s="249"/>
      <c r="J22" s="249"/>
      <c r="K22" s="249"/>
      <c r="L22" s="249"/>
      <c r="M22" s="250" t="str">
        <f aca="false">IF(COUNTIFS('Scores (start here)'!$A:$A,$B$1,'Scores (start here)'!$B:$B,$A22,'Scores (start here)'!$F:$F,"&gt;=0")&gt;0,SUMIFS('Scores (start here)'!$F:$F,'Scores (start here)'!$A:$A,$B$1,'Scores (start here)'!$B:$B,$A22),O22)</f>
        <v/>
      </c>
      <c r="N22" s="248"/>
      <c r="O22" s="77" t="str">
        <f aca="false">IF(OR(H22="",I22="",J22="",K22="",L22=""),"",(COUNTIF(H22:L22,"SHALL")+0.5*COUNTIF(H22:L22,"MAY"))/5*$C$7)</f>
        <v/>
      </c>
    </row>
    <row r="23" customFormat="false" ht="14.25" hidden="false" customHeight="true" outlineLevel="0" collapsed="false">
      <c r="A23" s="247" t="s">
        <v>1008</v>
      </c>
      <c r="B23" s="248"/>
      <c r="C23" s="248"/>
      <c r="D23" s="248"/>
      <c r="E23" s="248"/>
      <c r="F23" s="248"/>
      <c r="G23" s="248"/>
      <c r="H23" s="249"/>
      <c r="I23" s="249"/>
      <c r="J23" s="249"/>
      <c r="K23" s="249"/>
      <c r="L23" s="249"/>
      <c r="M23" s="250" t="str">
        <f aca="false">IF(COUNTIFS('Scores (start here)'!$A:$A,$B$1,'Scores (start here)'!$B:$B,$A23,'Scores (start here)'!$F:$F,"&gt;=0")&gt;0,SUMIFS('Scores (start here)'!$F:$F,'Scores (start here)'!$A:$A,$B$1,'Scores (start here)'!$B:$B,$A23),O23)</f>
        <v/>
      </c>
      <c r="N23" s="248"/>
      <c r="O23" s="77" t="str">
        <f aca="false">IF(OR(H23="",I23="",J23="",K23="",L23=""),"",(COUNTIF(H23:L23,"SHALL")+0.5*COUNTIF(H23:L23,"MAY"))/5*$C$7)</f>
        <v/>
      </c>
    </row>
    <row r="24" customFormat="false" ht="14.25" hidden="false" customHeight="true" outlineLevel="0" collapsed="false">
      <c r="A24" s="247" t="s">
        <v>1009</v>
      </c>
      <c r="B24" s="248"/>
      <c r="C24" s="248"/>
      <c r="D24" s="248"/>
      <c r="E24" s="248"/>
      <c r="F24" s="248"/>
      <c r="G24" s="248"/>
      <c r="H24" s="249"/>
      <c r="I24" s="249"/>
      <c r="J24" s="249"/>
      <c r="K24" s="249"/>
      <c r="L24" s="249"/>
      <c r="M24" s="250" t="str">
        <f aca="false">IF(COUNTIFS('Scores (start here)'!$A:$A,$B$1,'Scores (start here)'!$B:$B,$A24,'Scores (start here)'!$F:$F,"&gt;=0")&gt;0,SUMIFS('Scores (start here)'!$F:$F,'Scores (start here)'!$A:$A,$B$1,'Scores (start here)'!$B:$B,$A24),O24)</f>
        <v/>
      </c>
      <c r="N24" s="248"/>
      <c r="O24" s="77" t="str">
        <f aca="false">IF(OR(H24="",I24="",J24="",K24="",L24=""),"",(COUNTIF(H24:L24,"SHALL")+0.5*COUNTIF(H24:L24,"MAY"))/5*$C$7)</f>
        <v/>
      </c>
    </row>
    <row r="25" customFormat="false" ht="14.25" hidden="false" customHeight="true" outlineLevel="0" collapsed="false">
      <c r="A25" s="247" t="s">
        <v>1010</v>
      </c>
      <c r="B25" s="248"/>
      <c r="C25" s="248"/>
      <c r="D25" s="248"/>
      <c r="E25" s="248"/>
      <c r="F25" s="248"/>
      <c r="G25" s="248"/>
      <c r="H25" s="249"/>
      <c r="I25" s="249"/>
      <c r="J25" s="249"/>
      <c r="K25" s="249"/>
      <c r="L25" s="249"/>
      <c r="M25" s="250" t="str">
        <f aca="false">IF(COUNTIFS('Scores (start here)'!$A:$A,$B$1,'Scores (start here)'!$B:$B,$A25,'Scores (start here)'!$F:$F,"&gt;=0")&gt;0,SUMIFS('Scores (start here)'!$F:$F,'Scores (start here)'!$A:$A,$B$1,'Scores (start here)'!$B:$B,$A25),O25)</f>
        <v/>
      </c>
      <c r="N25" s="248"/>
      <c r="O25" s="77" t="str">
        <f aca="false">IF(OR(H25="",I25="",J25="",K25="",L25=""),"",(COUNTIF(H25:L25,"SHALL")+0.5*COUNTIF(H25:L25,"MAY"))/5*$C$7)</f>
        <v/>
      </c>
    </row>
    <row r="26" customFormat="false" ht="14.25" hidden="false" customHeight="true" outlineLevel="0" collapsed="false">
      <c r="A26" s="247" t="s">
        <v>1011</v>
      </c>
      <c r="B26" s="248"/>
      <c r="C26" s="248"/>
      <c r="D26" s="248"/>
      <c r="E26" s="248"/>
      <c r="F26" s="248"/>
      <c r="G26" s="248"/>
      <c r="H26" s="249"/>
      <c r="I26" s="249"/>
      <c r="J26" s="249"/>
      <c r="K26" s="249"/>
      <c r="L26" s="249"/>
      <c r="M26" s="250" t="str">
        <f aca="false">IF(COUNTIFS('Scores (start here)'!$A:$A,$B$1,'Scores (start here)'!$B:$B,$A26,'Scores (start here)'!$F:$F,"&gt;=0")&gt;0,SUMIFS('Scores (start here)'!$F:$F,'Scores (start here)'!$A:$A,$B$1,'Scores (start here)'!$B:$B,$A26),O26)</f>
        <v/>
      </c>
      <c r="N26" s="248"/>
      <c r="O26" s="77" t="str">
        <f aca="false">IF(OR(H26="",I26="",J26="",K26="",L26=""),"",(COUNTIF(H26:L26,"SHALL")+0.5*COUNTIF(H26:L26,"MAY"))/5*$C$7)</f>
        <v/>
      </c>
    </row>
    <row r="27" customFormat="false" ht="14.25" hidden="false" customHeight="true" outlineLevel="0" collapsed="false">
      <c r="A27" s="247" t="s">
        <v>1012</v>
      </c>
      <c r="B27" s="248"/>
      <c r="C27" s="248"/>
      <c r="D27" s="248"/>
      <c r="E27" s="248"/>
      <c r="F27" s="248"/>
      <c r="G27" s="248"/>
      <c r="H27" s="249"/>
      <c r="I27" s="249"/>
      <c r="J27" s="249"/>
      <c r="K27" s="249"/>
      <c r="L27" s="249"/>
      <c r="M27" s="250" t="str">
        <f aca="false">IF(COUNTIFS('Scores (start here)'!$A:$A,$B$1,'Scores (start here)'!$B:$B,$A27,'Scores (start here)'!$F:$F,"&gt;=0")&gt;0,SUMIFS('Scores (start here)'!$F:$F,'Scores (start here)'!$A:$A,$B$1,'Scores (start here)'!$B:$B,$A27),O27)</f>
        <v/>
      </c>
      <c r="N27" s="248"/>
      <c r="O27" s="77" t="str">
        <f aca="false">IF(OR(H27="",I27="",J27="",K27="",L27=""),"",(COUNTIF(H27:L27,"SHALL")+0.5*COUNTIF(H27:L27,"MAY"))/5*$C$7)</f>
        <v/>
      </c>
    </row>
    <row r="28" customFormat="false" ht="14.25" hidden="false" customHeight="true" outlineLevel="0" collapsed="false">
      <c r="A28" s="247" t="s">
        <v>1013</v>
      </c>
      <c r="B28" s="248"/>
      <c r="C28" s="248"/>
      <c r="D28" s="248"/>
      <c r="E28" s="248"/>
      <c r="F28" s="248"/>
      <c r="G28" s="248"/>
      <c r="H28" s="249"/>
      <c r="I28" s="249"/>
      <c r="J28" s="249"/>
      <c r="K28" s="249"/>
      <c r="L28" s="249"/>
      <c r="M28" s="250" t="str">
        <f aca="false">IF(COUNTIFS('Scores (start here)'!$A:$A,$B$1,'Scores (start here)'!$B:$B,$A28,'Scores (start here)'!$F:$F,"&gt;=0")&gt;0,SUMIFS('Scores (start here)'!$F:$F,'Scores (start here)'!$A:$A,$B$1,'Scores (start here)'!$B:$B,$A28),O28)</f>
        <v/>
      </c>
      <c r="N28" s="248"/>
      <c r="O28" s="77" t="str">
        <f aca="false">IF(OR(H28="",I28="",J28="",K28="",L28=""),"",(COUNTIF(H28:L28,"SHALL")+0.5*COUNTIF(H28:L28,"MAY"))/5*$C$7)</f>
        <v/>
      </c>
    </row>
    <row r="29" customFormat="false" ht="14.25" hidden="false" customHeight="true" outlineLevel="0" collapsed="false">
      <c r="A29" s="247" t="s">
        <v>1014</v>
      </c>
      <c r="B29" s="248"/>
      <c r="C29" s="248"/>
      <c r="D29" s="248"/>
      <c r="E29" s="248"/>
      <c r="F29" s="248"/>
      <c r="G29" s="248"/>
      <c r="H29" s="249"/>
      <c r="I29" s="249"/>
      <c r="J29" s="249"/>
      <c r="K29" s="249"/>
      <c r="L29" s="249"/>
      <c r="M29" s="250" t="str">
        <f aca="false">IF(COUNTIFS('Scores (start here)'!$A:$A,$B$1,'Scores (start here)'!$B:$B,$A29,'Scores (start here)'!$F:$F,"&gt;=0")&gt;0,SUMIFS('Scores (start here)'!$F:$F,'Scores (start here)'!$A:$A,$B$1,'Scores (start here)'!$B:$B,$A29),O29)</f>
        <v/>
      </c>
      <c r="N29" s="248"/>
      <c r="O29" s="77" t="str">
        <f aca="false">IF(OR(H29="",I29="",J29="",K29="",L29=""),"",(COUNTIF(H29:L29,"SHALL")+0.5*COUNTIF(H29:L29,"MAY"))/5*$C$7)</f>
        <v/>
      </c>
    </row>
    <row r="30" customFormat="false" ht="14.25" hidden="false" customHeight="true" outlineLevel="0" collapsed="false">
      <c r="A30" s="247" t="s">
        <v>1015</v>
      </c>
      <c r="B30" s="248"/>
      <c r="C30" s="248"/>
      <c r="D30" s="248"/>
      <c r="E30" s="248"/>
      <c r="F30" s="248"/>
      <c r="G30" s="248"/>
      <c r="H30" s="249"/>
      <c r="I30" s="249"/>
      <c r="J30" s="249"/>
      <c r="K30" s="249"/>
      <c r="L30" s="249"/>
      <c r="M30" s="250" t="str">
        <f aca="false">IF(COUNTIFS('Scores (start here)'!$A:$A,$B$1,'Scores (start here)'!$B:$B,$A30,'Scores (start here)'!$F:$F,"&gt;=0")&gt;0,SUMIFS('Scores (start here)'!$F:$F,'Scores (start here)'!$A:$A,$B$1,'Scores (start here)'!$B:$B,$A30),O30)</f>
        <v/>
      </c>
      <c r="N30" s="248"/>
      <c r="O30" s="77" t="str">
        <f aca="false">IF(OR(H30="",I30="",J30="",K30="",L30=""),"",(COUNTIF(H30:L30,"SHALL")+0.5*COUNTIF(H30:L30,"MAY"))/5*$C$7)</f>
        <v/>
      </c>
    </row>
    <row r="31" customFormat="false" ht="14.25" hidden="false" customHeight="true" outlineLevel="0" collapsed="false">
      <c r="A31" s="247" t="s">
        <v>1016</v>
      </c>
      <c r="B31" s="248"/>
      <c r="C31" s="248"/>
      <c r="D31" s="248"/>
      <c r="E31" s="248"/>
      <c r="F31" s="248"/>
      <c r="G31" s="248"/>
      <c r="H31" s="249"/>
      <c r="I31" s="249"/>
      <c r="J31" s="249"/>
      <c r="K31" s="249"/>
      <c r="L31" s="249"/>
      <c r="M31" s="250" t="str">
        <f aca="false">IF(COUNTIFS('Scores (start here)'!$A:$A,$B$1,'Scores (start here)'!$B:$B,$A31,'Scores (start here)'!$F:$F,"&gt;=0")&gt;0,SUMIFS('Scores (start here)'!$F:$F,'Scores (start here)'!$A:$A,$B$1,'Scores (start here)'!$B:$B,$A31),O31)</f>
        <v/>
      </c>
      <c r="N31" s="248"/>
      <c r="O31" s="77" t="str">
        <f aca="false">IF(OR(H31="",I31="",J31="",K31="",L31=""),"",(COUNTIF(H31:L31,"SHALL")+0.5*COUNTIF(H31:L31,"MAY"))/5*$C$7)</f>
        <v/>
      </c>
    </row>
    <row r="32" customFormat="false" ht="14.25" hidden="false" customHeight="true" outlineLevel="0" collapsed="false">
      <c r="A32" s="247" t="s">
        <v>1017</v>
      </c>
      <c r="B32" s="248"/>
      <c r="C32" s="248"/>
      <c r="D32" s="248"/>
      <c r="E32" s="248"/>
      <c r="F32" s="248"/>
      <c r="G32" s="248"/>
      <c r="H32" s="249"/>
      <c r="I32" s="249"/>
      <c r="J32" s="249"/>
      <c r="K32" s="249"/>
      <c r="L32" s="249"/>
      <c r="M32" s="250" t="str">
        <f aca="false">IF(COUNTIFS('Scores (start here)'!$A:$A,$B$1,'Scores (start here)'!$B:$B,$A32,'Scores (start here)'!$F:$F,"&gt;=0")&gt;0,SUMIFS('Scores (start here)'!$F:$F,'Scores (start here)'!$A:$A,$B$1,'Scores (start here)'!$B:$B,$A32),O32)</f>
        <v/>
      </c>
      <c r="N32" s="248"/>
      <c r="O32" s="77" t="str">
        <f aca="false">IF(OR(H32="",I32="",J32="",K32="",L32=""),"",(COUNTIF(H32:L32,"SHALL")+0.5*COUNTIF(H32:L32,"MAY"))/5*$C$7)</f>
        <v/>
      </c>
    </row>
    <row r="33" customFormat="false" ht="14.25" hidden="false" customHeight="true" outlineLevel="0" collapsed="false">
      <c r="A33" s="247" t="s">
        <v>30</v>
      </c>
      <c r="B33" s="248" t="s">
        <v>464</v>
      </c>
      <c r="C33" s="248" t="s">
        <v>1713</v>
      </c>
      <c r="D33" s="248" t="s">
        <v>1714</v>
      </c>
      <c r="E33" s="248" t="s">
        <v>1715</v>
      </c>
      <c r="F33" s="248" t="s">
        <v>688</v>
      </c>
      <c r="G33" s="248" t="s">
        <v>465</v>
      </c>
      <c r="H33" s="249" t="s">
        <v>1710</v>
      </c>
      <c r="I33" s="249"/>
      <c r="J33" s="249"/>
      <c r="K33" s="249" t="s">
        <v>1711</v>
      </c>
      <c r="L33" s="249" t="s">
        <v>1710</v>
      </c>
      <c r="M33" s="250" t="str">
        <f aca="false">IF(COUNTIFS('Scores (start here)'!$A:$A,$B$1,'Scores (start here)'!$B:$B,$A33,'Scores (start here)'!$F:$F,"&gt;=0")&gt;0,SUMIFS('Scores (start here)'!$F:$F,'Scores (start here)'!$A:$A,$B$1,'Scores (start here)'!$B:$B,$A33),O33)</f>
        <v/>
      </c>
      <c r="N33" s="251" t="s">
        <v>1716</v>
      </c>
      <c r="O33" s="77" t="str">
        <f aca="false">IF(OR(H33="",I33="",J33="",K33="",L33=""),"",(COUNTIF(H33:L33,"SHALL")+0.5*COUNTIF(H33:L33,"MAY"))/5*$C$7)</f>
        <v/>
      </c>
    </row>
    <row r="34" customFormat="false" ht="14.25" hidden="false" customHeight="true" outlineLevel="0" collapsed="false">
      <c r="A34" s="247" t="s">
        <v>1018</v>
      </c>
      <c r="B34" s="248"/>
      <c r="C34" s="248"/>
      <c r="D34" s="248"/>
      <c r="E34" s="248"/>
      <c r="F34" s="248"/>
      <c r="G34" s="248"/>
      <c r="H34" s="249"/>
      <c r="I34" s="249"/>
      <c r="J34" s="249"/>
      <c r="K34" s="249"/>
      <c r="L34" s="249"/>
      <c r="M34" s="250" t="str">
        <f aca="false">IF(COUNTIFS('Scores (start here)'!$A:$A,$B$1,'Scores (start here)'!$B:$B,$A34,'Scores (start here)'!$F:$F,"&gt;=0")&gt;0,SUMIFS('Scores (start here)'!$F:$F,'Scores (start here)'!$A:$A,$B$1,'Scores (start here)'!$B:$B,$A34),O34)</f>
        <v/>
      </c>
      <c r="N34" s="248"/>
      <c r="O34" s="77" t="str">
        <f aca="false">IF(OR(H34="",I34="",J34="",K34="",L34=""),"",(COUNTIF(H34:L34,"SHALL")+0.5*COUNTIF(H34:L34,"MAY"))/5*$C$7)</f>
        <v/>
      </c>
    </row>
    <row r="35" customFormat="false" ht="14.25" hidden="false" customHeight="true" outlineLevel="0" collapsed="false">
      <c r="A35" s="247" t="s">
        <v>1019</v>
      </c>
      <c r="B35" s="248"/>
      <c r="C35" s="248"/>
      <c r="D35" s="248"/>
      <c r="E35" s="248"/>
      <c r="F35" s="248"/>
      <c r="G35" s="248"/>
      <c r="H35" s="249"/>
      <c r="I35" s="249"/>
      <c r="J35" s="249"/>
      <c r="K35" s="249"/>
      <c r="L35" s="249"/>
      <c r="M35" s="250" t="str">
        <f aca="false">IF(COUNTIFS('Scores (start here)'!$A:$A,$B$1,'Scores (start here)'!$B:$B,$A35,'Scores (start here)'!$F:$F,"&gt;=0")&gt;0,SUMIFS('Scores (start here)'!$F:$F,'Scores (start here)'!$A:$A,$B$1,'Scores (start here)'!$B:$B,$A35),O35)</f>
        <v/>
      </c>
      <c r="N35" s="248"/>
      <c r="O35" s="77" t="str">
        <f aca="false">IF(OR(H35="",I35="",J35="",K35="",L35=""),"",(COUNTIF(H35:L35,"SHALL")+0.5*COUNTIF(H35:L35,"MAY"))/5*$C$7)</f>
        <v/>
      </c>
    </row>
    <row r="36" customFormat="false" ht="14.25" hidden="false" customHeight="true" outlineLevel="0" collapsed="false">
      <c r="A36" s="247" t="s">
        <v>1020</v>
      </c>
      <c r="B36" s="248"/>
      <c r="C36" s="248"/>
      <c r="D36" s="248"/>
      <c r="E36" s="248"/>
      <c r="F36" s="248"/>
      <c r="G36" s="248"/>
      <c r="H36" s="249"/>
      <c r="I36" s="249"/>
      <c r="J36" s="249"/>
      <c r="K36" s="249"/>
      <c r="L36" s="249"/>
      <c r="M36" s="250" t="str">
        <f aca="false">IF(COUNTIFS('Scores (start here)'!$A:$A,$B$1,'Scores (start here)'!$B:$B,$A36,'Scores (start here)'!$F:$F,"&gt;=0")&gt;0,SUMIFS('Scores (start here)'!$F:$F,'Scores (start here)'!$A:$A,$B$1,'Scores (start here)'!$B:$B,$A36),O36)</f>
        <v/>
      </c>
      <c r="N36" s="248"/>
      <c r="O36" s="77" t="str">
        <f aca="false">IF(OR(H36="",I36="",J36="",K36="",L36=""),"",(COUNTIF(H36:L36,"SHALL")+0.5*COUNTIF(H36:L36,"MAY"))/5*$C$7)</f>
        <v/>
      </c>
    </row>
    <row r="37" customFormat="false" ht="14.25" hidden="false" customHeight="true" outlineLevel="0" collapsed="false">
      <c r="A37" s="247" t="s">
        <v>1021</v>
      </c>
      <c r="B37" s="248"/>
      <c r="C37" s="248"/>
      <c r="D37" s="248"/>
      <c r="E37" s="248"/>
      <c r="F37" s="248"/>
      <c r="G37" s="248"/>
      <c r="H37" s="249"/>
      <c r="I37" s="249"/>
      <c r="J37" s="249"/>
      <c r="K37" s="249"/>
      <c r="L37" s="249"/>
      <c r="M37" s="250" t="str">
        <f aca="false">IF(COUNTIFS('Scores (start here)'!$A:$A,$B$1,'Scores (start here)'!$B:$B,$A37,'Scores (start here)'!$F:$F,"&gt;=0")&gt;0,SUMIFS('Scores (start here)'!$F:$F,'Scores (start here)'!$A:$A,$B$1,'Scores (start here)'!$B:$B,$A37),O37)</f>
        <v/>
      </c>
      <c r="N37" s="248"/>
      <c r="O37" s="77" t="str">
        <f aca="false">IF(OR(H37="",I37="",J37="",K37="",L37=""),"",(COUNTIF(H37:L37,"SHALL")+0.5*COUNTIF(H37:L37,"MAY"))/5*$C$7)</f>
        <v/>
      </c>
    </row>
    <row r="38" customFormat="false" ht="14.25" hidden="false" customHeight="true" outlineLevel="0" collapsed="false">
      <c r="A38" s="247" t="s">
        <v>1022</v>
      </c>
      <c r="B38" s="248"/>
      <c r="C38" s="248"/>
      <c r="D38" s="248"/>
      <c r="E38" s="248"/>
      <c r="F38" s="248"/>
      <c r="G38" s="248"/>
      <c r="H38" s="249"/>
      <c r="I38" s="249"/>
      <c r="J38" s="249"/>
      <c r="K38" s="249"/>
      <c r="L38" s="249"/>
      <c r="M38" s="250" t="str">
        <f aca="false">IF(COUNTIFS('Scores (start here)'!$A:$A,$B$1,'Scores (start here)'!$B:$B,$A38,'Scores (start here)'!$F:$F,"&gt;=0")&gt;0,SUMIFS('Scores (start here)'!$F:$F,'Scores (start here)'!$A:$A,$B$1,'Scores (start here)'!$B:$B,$A38),O38)</f>
        <v/>
      </c>
      <c r="N38" s="248"/>
      <c r="O38" s="77" t="str">
        <f aca="false">IF(OR(H38="",I38="",J38="",K38="",L38=""),"",(COUNTIF(H38:L38,"SHALL")+0.5*COUNTIF(H38:L38,"MAY"))/5*$C$7)</f>
        <v/>
      </c>
    </row>
    <row r="39" customFormat="false" ht="14.25" hidden="false" customHeight="true" outlineLevel="0" collapsed="false">
      <c r="A39" s="247" t="s">
        <v>1023</v>
      </c>
      <c r="B39" s="248"/>
      <c r="C39" s="248"/>
      <c r="D39" s="248"/>
      <c r="E39" s="248"/>
      <c r="F39" s="248"/>
      <c r="G39" s="248"/>
      <c r="H39" s="249"/>
      <c r="I39" s="249"/>
      <c r="J39" s="249"/>
      <c r="K39" s="249"/>
      <c r="L39" s="249"/>
      <c r="M39" s="250" t="str">
        <f aca="false">IF(COUNTIFS('Scores (start here)'!$A:$A,$B$1,'Scores (start here)'!$B:$B,$A39,'Scores (start here)'!$F:$F,"&gt;=0")&gt;0,SUMIFS('Scores (start here)'!$F:$F,'Scores (start here)'!$A:$A,$B$1,'Scores (start here)'!$B:$B,$A39),O39)</f>
        <v/>
      </c>
      <c r="N39" s="248"/>
      <c r="O39" s="77" t="str">
        <f aca="false">IF(OR(H39="",I39="",J39="",K39="",L39=""),"",(COUNTIF(H39:L39,"SHALL")+0.5*COUNTIF(H39:L39,"MAY"))/5*$C$7)</f>
        <v/>
      </c>
    </row>
    <row r="40" customFormat="false" ht="14.25" hidden="false" customHeight="true" outlineLevel="0" collapsed="false">
      <c r="A40" s="247" t="s">
        <v>1024</v>
      </c>
      <c r="B40" s="248"/>
      <c r="C40" s="248"/>
      <c r="D40" s="248"/>
      <c r="E40" s="248"/>
      <c r="F40" s="248"/>
      <c r="G40" s="248"/>
      <c r="H40" s="249"/>
      <c r="I40" s="249"/>
      <c r="J40" s="249"/>
      <c r="K40" s="249"/>
      <c r="L40" s="249"/>
      <c r="M40" s="250" t="str">
        <f aca="false">IF(COUNTIFS('Scores (start here)'!$A:$A,$B$1,'Scores (start here)'!$B:$B,$A40,'Scores (start here)'!$F:$F,"&gt;=0")&gt;0,SUMIFS('Scores (start here)'!$F:$F,'Scores (start here)'!$A:$A,$B$1,'Scores (start here)'!$B:$B,$A40),O40)</f>
        <v/>
      </c>
      <c r="N40" s="248"/>
      <c r="O40" s="77" t="str">
        <f aca="false">IF(OR(H40="",I40="",J40="",K40="",L40=""),"",(COUNTIF(H40:L40,"SHALL")+0.5*COUNTIF(H40:L40,"MAY"))/5*$C$7)</f>
        <v/>
      </c>
    </row>
    <row r="41" customFormat="false" ht="14.25" hidden="false" customHeight="true" outlineLevel="0" collapsed="false">
      <c r="A41" s="247" t="s">
        <v>1025</v>
      </c>
      <c r="B41" s="248"/>
      <c r="C41" s="248"/>
      <c r="D41" s="248"/>
      <c r="E41" s="248"/>
      <c r="F41" s="248"/>
      <c r="G41" s="248"/>
      <c r="H41" s="249"/>
      <c r="I41" s="249"/>
      <c r="J41" s="249"/>
      <c r="K41" s="249"/>
      <c r="L41" s="249"/>
      <c r="M41" s="250" t="str">
        <f aca="false">IF(COUNTIFS('Scores (start here)'!$A:$A,$B$1,'Scores (start here)'!$B:$B,$A41,'Scores (start here)'!$F:$F,"&gt;=0")&gt;0,SUMIFS('Scores (start here)'!$F:$F,'Scores (start here)'!$A:$A,$B$1,'Scores (start here)'!$B:$B,$A41),O41)</f>
        <v/>
      </c>
      <c r="N41" s="248"/>
      <c r="O41" s="77" t="str">
        <f aca="false">IF(OR(H41="",I41="",J41="",K41="",L41=""),"",(COUNTIF(H41:L41,"SHALL")+0.5*COUNTIF(H41:L41,"MAY"))/5*$C$7)</f>
        <v/>
      </c>
    </row>
  </sheetData>
  <dataValidations count="1">
    <dataValidation allowBlank="true" error="Please enter a valid value (see note above the column)." errorStyle="stop" errorTitle="Invalid entry" operator="between" showDropDown="false" showErrorMessage="true" showInputMessage="false" sqref="H13:L41" type="list">
      <formula1>"SHALL,MAY,NONE"</formula1>
      <formula2>0</formula2>
    </dataValidation>
  </dataValidations>
  <hyperlinks>
    <hyperlink ref="M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O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2" min="8" style="77" width="22"/>
    <col collapsed="false" customWidth="true" hidden="false" outlineLevel="0" max="13" min="13" style="77" width="14"/>
    <col collapsed="false" customWidth="true" hidden="false" outlineLevel="0" max="14" min="14" style="77" width="45"/>
  </cols>
  <sheetData>
    <row r="1" customFormat="false" ht="14.25" hidden="false" customHeight="true" outlineLevel="0" collapsed="false">
      <c r="A1" s="238" t="s">
        <v>1288</v>
      </c>
      <c r="B1" s="238" t="s">
        <v>469</v>
      </c>
      <c r="C1" s="239" t="s">
        <v>1289</v>
      </c>
      <c r="M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Urban design standards and universal accessibility &gt;:&lt; Urban design standards and universal accessibility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prescribed urban design standards to guide the execution of urban projects, including standards for universal accessibility? &gt;:&lt; Does the city have urban design standards to guide the execution of urban projects?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city has adopted/notified urban design standards or guidelines for the planning, design or execution of urban development across the following five categories:1. Roads and streetscapes – including different categories/hierarchies of urban roads.2. Footpaths/pedestrian infrastructure.3. Underground public utilities – including water supply, sewerage, storm-water drainage, electricity, telecommunications/internet and gas.4. Buit form based codes - build to line, minimum frontage, floor heights, building material etc.5. Universal accessibilityCheck the ULG website, Development Authority website, Urban Development Department website, Department of Urban Land Transport / Unified Metropolitan Transport Authority or equivalent specialised agency website for evidence of such standards/guidelines. For categories (a)–(c), the standards may be contained in a standalone urban/street design guideline or other formally adopted/notified city-level document. Evidence on an official website that the city has formally adopted an identified set of standards/guidelines may also be considered. For residential and commercial buildings (categories (d) and (e)), standards contained in the applicable DCRs/building bye-laws or equivalent regulations may also be considered. These may include urban design requirements relating to building frontage/interface with the street, signage, façade treatment, building materials, or other design controls applicable to residential or commercial development. For each category, there must be evidence that the standards/guidelines are applicable to or adopted for the city. Mere reference to national/model guidelines or standards, without evidence of their adoption or application by the city, shall not qualify. Scoring: Award 1 point for each category for which applicable urban design standards/guidelines have been adopted/notified (5 categories × 1 = 5); score 0 for a category where no such standards/guidelines</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1385</v>
      </c>
    </row>
    <row r="11" customFormat="false" ht="28.5" hidden="false" customHeight="true" outlineLevel="0" collapsed="false">
      <c r="H11" s="243" t="s">
        <v>1294</v>
      </c>
      <c r="I11" s="243" t="s">
        <v>1294</v>
      </c>
      <c r="J11" s="243" t="s">
        <v>1294</v>
      </c>
      <c r="K11" s="243" t="s">
        <v>1294</v>
      </c>
      <c r="L11" s="243" t="s">
        <v>1294</v>
      </c>
      <c r="M11" s="244" t="s">
        <v>1295</v>
      </c>
      <c r="O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"Roads &amp; streetscapes ("&amp;TEXT($C$7/5,"0.00")&amp;")"</f>
        <v>Roads &amp; streetscapes (1.00)</v>
      </c>
      <c r="I12" s="246" t="str">
        <f aca="false">"Footpaths / pedestrian infrastructure ("&amp;TEXT($C$7/5,"0.00")&amp;")"</f>
        <v>Footpaths / pedestrian infrastructure (1.00)</v>
      </c>
      <c r="J12" s="246" t="str">
        <f aca="false">"Underground public utilities ("&amp;TEXT($C$7/5,"0.00")&amp;")"</f>
        <v>Underground public utilities (1.00)</v>
      </c>
      <c r="K12" s="246" t="str">
        <f aca="false">"Built-form based codes ("&amp;TEXT($C$7/5,"0.00")&amp;")"</f>
        <v>Built-form based codes (1.00)</v>
      </c>
      <c r="L12" s="246" t="str">
        <f aca="false">"Universal accessibility ("&amp;TEXT($C$7/5,"0.00")&amp;")"</f>
        <v>Universal accessibility (1.00)</v>
      </c>
      <c r="M12" s="244" t="s">
        <v>1303</v>
      </c>
      <c r="N12" s="246" t="s">
        <v>1304</v>
      </c>
      <c r="O12" s="77" t="s">
        <v>1305</v>
      </c>
    </row>
    <row r="13" customFormat="false" ht="14.25" hidden="false" customHeight="true" outlineLevel="0" collapsed="false">
      <c r="A13" s="247" t="s">
        <v>999</v>
      </c>
      <c r="B13" s="248"/>
      <c r="C13" s="248"/>
      <c r="D13" s="248"/>
      <c r="E13" s="248"/>
      <c r="F13" s="248"/>
      <c r="G13" s="248"/>
      <c r="H13" s="249"/>
      <c r="I13" s="249"/>
      <c r="J13" s="249"/>
      <c r="K13" s="249"/>
      <c r="L13" s="249"/>
      <c r="M13" s="250" t="str">
        <f aca="false">IF(COUNTIFS('Scores (start here)'!$A:$A,$B$1,'Scores (start here)'!$B:$B,$A13,'Scores (start here)'!$F:$F,"&gt;=0")&gt;0,SUMIFS('Scores (start here)'!$F:$F,'Scores (start here)'!$A:$A,$B$1,'Scores (start here)'!$B:$B,$A13),O13)</f>
        <v/>
      </c>
      <c r="N13" s="248"/>
      <c r="O13" s="77" t="str">
        <f aca="false">IF(OR(H13="",I13="",J13="",K13="",L13=""),"",COUNTIF(H13:L13,"YES")/5*$C$7)</f>
        <v/>
      </c>
    </row>
    <row r="14" customFormat="false" ht="14.25" hidden="false" customHeight="true" outlineLevel="0" collapsed="false">
      <c r="A14" s="247" t="s">
        <v>19</v>
      </c>
      <c r="B14" s="248"/>
      <c r="C14" s="248"/>
      <c r="D14" s="248"/>
      <c r="E14" s="248"/>
      <c r="F14" s="248"/>
      <c r="G14" s="248"/>
      <c r="H14" s="249"/>
      <c r="I14" s="249"/>
      <c r="J14" s="249"/>
      <c r="K14" s="249"/>
      <c r="L14" s="249"/>
      <c r="M14" s="250" t="str">
        <f aca="false">IF(COUNTIFS('Scores (start here)'!$A:$A,$B$1,'Scores (start here)'!$B:$B,$A14,'Scores (start here)'!$F:$F,"&gt;=0")&gt;0,SUMIFS('Scores (start here)'!$F:$F,'Scores (start here)'!$A:$A,$B$1,'Scores (start here)'!$B:$B,$A14),O14)</f>
        <v/>
      </c>
      <c r="N14" s="248" t="s">
        <v>1717</v>
      </c>
      <c r="O14" s="77" t="str">
        <f aca="false">IF(OR(H14="",I14="",J14="",K14="",L14=""),"",COUNTIF(H14:L14,"YES")/5*$C$7)</f>
        <v/>
      </c>
    </row>
    <row r="15" customFormat="false" ht="14.25" hidden="false" customHeight="true" outlineLevel="0" collapsed="false">
      <c r="A15" s="247" t="s">
        <v>1000</v>
      </c>
      <c r="B15" s="248"/>
      <c r="C15" s="248"/>
      <c r="D15" s="248"/>
      <c r="E15" s="248"/>
      <c r="F15" s="248"/>
      <c r="G15" s="248"/>
      <c r="H15" s="249"/>
      <c r="I15" s="249"/>
      <c r="J15" s="249"/>
      <c r="K15" s="249"/>
      <c r="L15" s="249"/>
      <c r="M15" s="250" t="str">
        <f aca="false">IF(COUNTIFS('Scores (start here)'!$A:$A,$B$1,'Scores (start here)'!$B:$B,$A15,'Scores (start here)'!$F:$F,"&gt;=0")&gt;0,SUMIFS('Scores (start here)'!$F:$F,'Scores (start here)'!$A:$A,$B$1,'Scores (start here)'!$B:$B,$A15),O15)</f>
        <v/>
      </c>
      <c r="N15" s="248"/>
      <c r="O15" s="77" t="str">
        <f aca="false">IF(OR(H15="",I15="",J15="",K15="",L15=""),"",COUNTIF(H15:L15,"YES")/5*$C$7)</f>
        <v/>
      </c>
    </row>
    <row r="16" customFormat="false" ht="14.25" hidden="false" customHeight="true" outlineLevel="0" collapsed="false">
      <c r="A16" s="247" t="s">
        <v>1001</v>
      </c>
      <c r="B16" s="248"/>
      <c r="C16" s="248"/>
      <c r="D16" s="248"/>
      <c r="E16" s="248"/>
      <c r="F16" s="248"/>
      <c r="G16" s="248"/>
      <c r="H16" s="249"/>
      <c r="I16" s="249"/>
      <c r="J16" s="249"/>
      <c r="K16" s="249"/>
      <c r="L16" s="249"/>
      <c r="M16" s="250" t="str">
        <f aca="false">IF(COUNTIFS('Scores (start here)'!$A:$A,$B$1,'Scores (start here)'!$B:$B,$A16,'Scores (start here)'!$F:$F,"&gt;=0")&gt;0,SUMIFS('Scores (start here)'!$F:$F,'Scores (start here)'!$A:$A,$B$1,'Scores (start here)'!$B:$B,$A16),O16)</f>
        <v/>
      </c>
      <c r="N16" s="248"/>
      <c r="O16" s="77" t="str">
        <f aca="false">IF(OR(H16="",I16="",J16="",K16="",L16=""),"",COUNTIF(H16:L16,"YES")/5*$C$7)</f>
        <v/>
      </c>
    </row>
    <row r="17" customFormat="false" ht="14.25" hidden="false" customHeight="true" outlineLevel="0" collapsed="false">
      <c r="A17" s="247" t="s">
        <v>1002</v>
      </c>
      <c r="B17" s="248"/>
      <c r="C17" s="248"/>
      <c r="D17" s="248"/>
      <c r="E17" s="248"/>
      <c r="F17" s="248"/>
      <c r="G17" s="248"/>
      <c r="H17" s="249"/>
      <c r="I17" s="249"/>
      <c r="J17" s="249"/>
      <c r="K17" s="249"/>
      <c r="L17" s="249"/>
      <c r="M17" s="250" t="str">
        <f aca="false">IF(COUNTIFS('Scores (start here)'!$A:$A,$B$1,'Scores (start here)'!$B:$B,$A17,'Scores (start here)'!$F:$F,"&gt;=0")&gt;0,SUMIFS('Scores (start here)'!$F:$F,'Scores (start here)'!$A:$A,$B$1,'Scores (start here)'!$B:$B,$A17),O17)</f>
        <v/>
      </c>
      <c r="N17" s="248"/>
      <c r="O17" s="77" t="str">
        <f aca="false">IF(OR(H17="",I17="",J17="",K17="",L17=""),"",COUNTIF(H17:L17,"YES")/5*$C$7)</f>
        <v/>
      </c>
    </row>
    <row r="18" customFormat="false" ht="14.25" hidden="false" customHeight="true" outlineLevel="0" collapsed="false">
      <c r="A18" s="247" t="s">
        <v>1003</v>
      </c>
      <c r="B18" s="248"/>
      <c r="C18" s="248"/>
      <c r="D18" s="248"/>
      <c r="E18" s="248"/>
      <c r="F18" s="248"/>
      <c r="G18" s="248"/>
      <c r="H18" s="249"/>
      <c r="I18" s="249"/>
      <c r="J18" s="249"/>
      <c r="K18" s="249"/>
      <c r="L18" s="249"/>
      <c r="M18" s="250" t="str">
        <f aca="false">IF(COUNTIFS('Scores (start here)'!$A:$A,$B$1,'Scores (start here)'!$B:$B,$A18,'Scores (start here)'!$F:$F,"&gt;=0")&gt;0,SUMIFS('Scores (start here)'!$F:$F,'Scores (start here)'!$A:$A,$B$1,'Scores (start here)'!$B:$B,$A18),O18)</f>
        <v/>
      </c>
      <c r="N18" s="248"/>
      <c r="O18" s="77" t="str">
        <f aca="false">IF(OR(H18="",I18="",J18="",K18="",L18=""),"",COUNTIF(H18:L18,"YES")/5*$C$7)</f>
        <v/>
      </c>
    </row>
    <row r="19" customFormat="false" ht="14.25" hidden="false" customHeight="true" outlineLevel="0" collapsed="false">
      <c r="A19" s="247" t="s">
        <v>1004</v>
      </c>
      <c r="B19" s="248"/>
      <c r="C19" s="248"/>
      <c r="D19" s="248"/>
      <c r="E19" s="248"/>
      <c r="F19" s="248"/>
      <c r="G19" s="248"/>
      <c r="H19" s="249"/>
      <c r="I19" s="249"/>
      <c r="J19" s="249"/>
      <c r="K19" s="249"/>
      <c r="L19" s="249"/>
      <c r="M19" s="250" t="str">
        <f aca="false">IF(COUNTIFS('Scores (start here)'!$A:$A,$B$1,'Scores (start here)'!$B:$B,$A19,'Scores (start here)'!$F:$F,"&gt;=0")&gt;0,SUMIFS('Scores (start here)'!$F:$F,'Scores (start here)'!$A:$A,$B$1,'Scores (start here)'!$B:$B,$A19),O19)</f>
        <v/>
      </c>
      <c r="N19" s="248"/>
      <c r="O19" s="77" t="str">
        <f aca="false">IF(OR(H19="",I19="",J19="",K19="",L19=""),"",COUNTIF(H19:L19,"YES")/5*$C$7)</f>
        <v/>
      </c>
    </row>
    <row r="20" customFormat="false" ht="14.25" hidden="false" customHeight="true" outlineLevel="0" collapsed="false">
      <c r="A20" s="247" t="s">
        <v>1005</v>
      </c>
      <c r="B20" s="248"/>
      <c r="C20" s="248"/>
      <c r="D20" s="248"/>
      <c r="E20" s="248"/>
      <c r="F20" s="248"/>
      <c r="G20" s="248"/>
      <c r="H20" s="249"/>
      <c r="I20" s="249"/>
      <c r="J20" s="249"/>
      <c r="K20" s="249"/>
      <c r="L20" s="249"/>
      <c r="M20" s="250" t="str">
        <f aca="false">IF(COUNTIFS('Scores (start here)'!$A:$A,$B$1,'Scores (start here)'!$B:$B,$A20,'Scores (start here)'!$F:$F,"&gt;=0")&gt;0,SUMIFS('Scores (start here)'!$F:$F,'Scores (start here)'!$A:$A,$B$1,'Scores (start here)'!$B:$B,$A20),O20)</f>
        <v/>
      </c>
      <c r="N20" s="248"/>
      <c r="O20" s="77" t="str">
        <f aca="false">IF(OR(H20="",I20="",J20="",K20="",L20=""),"",COUNTIF(H20:L20,"YES")/5*$C$7)</f>
        <v/>
      </c>
    </row>
    <row r="21" customFormat="false" ht="14.25" hidden="false" customHeight="true" outlineLevel="0" collapsed="false">
      <c r="A21" s="247" t="s">
        <v>1006</v>
      </c>
      <c r="B21" s="248"/>
      <c r="C21" s="248"/>
      <c r="D21" s="248"/>
      <c r="E21" s="248"/>
      <c r="F21" s="248"/>
      <c r="G21" s="248"/>
      <c r="H21" s="249"/>
      <c r="I21" s="249"/>
      <c r="J21" s="249"/>
      <c r="K21" s="249"/>
      <c r="L21" s="249"/>
      <c r="M21" s="250" t="str">
        <f aca="false">IF(COUNTIFS('Scores (start here)'!$A:$A,$B$1,'Scores (start here)'!$B:$B,$A21,'Scores (start here)'!$F:$F,"&gt;=0")&gt;0,SUMIFS('Scores (start here)'!$F:$F,'Scores (start here)'!$A:$A,$B$1,'Scores (start here)'!$B:$B,$A21),O21)</f>
        <v/>
      </c>
      <c r="N21" s="248"/>
      <c r="O21" s="77" t="str">
        <f aca="false">IF(OR(H21="",I21="",J21="",K21="",L21=""),"",COUNTIF(H21:L21,"YES")/5*$C$7)</f>
        <v/>
      </c>
    </row>
    <row r="22" customFormat="false" ht="14.25" hidden="false" customHeight="true" outlineLevel="0" collapsed="false">
      <c r="A22" s="247" t="s">
        <v>1007</v>
      </c>
      <c r="B22" s="248"/>
      <c r="C22" s="248"/>
      <c r="D22" s="248"/>
      <c r="E22" s="248"/>
      <c r="F22" s="248"/>
      <c r="G22" s="248"/>
      <c r="H22" s="249"/>
      <c r="I22" s="249"/>
      <c r="J22" s="249"/>
      <c r="K22" s="249"/>
      <c r="L22" s="249"/>
      <c r="M22" s="250" t="str">
        <f aca="false">IF(COUNTIFS('Scores (start here)'!$A:$A,$B$1,'Scores (start here)'!$B:$B,$A22,'Scores (start here)'!$F:$F,"&gt;=0")&gt;0,SUMIFS('Scores (start here)'!$F:$F,'Scores (start here)'!$A:$A,$B$1,'Scores (start here)'!$B:$B,$A22),O22)</f>
        <v/>
      </c>
      <c r="N22" s="248"/>
      <c r="O22" s="77" t="str">
        <f aca="false">IF(OR(H22="",I22="",J22="",K22="",L22=""),"",COUNTIF(H22:L22,"YES")/5*$C$7)</f>
        <v/>
      </c>
    </row>
    <row r="23" customFormat="false" ht="14.25" hidden="false" customHeight="true" outlineLevel="0" collapsed="false">
      <c r="A23" s="247" t="s">
        <v>1008</v>
      </c>
      <c r="B23" s="248"/>
      <c r="C23" s="248"/>
      <c r="D23" s="248"/>
      <c r="E23" s="248"/>
      <c r="F23" s="248"/>
      <c r="G23" s="248"/>
      <c r="H23" s="249"/>
      <c r="I23" s="249"/>
      <c r="J23" s="249"/>
      <c r="K23" s="249"/>
      <c r="L23" s="249"/>
      <c r="M23" s="250" t="str">
        <f aca="false">IF(COUNTIFS('Scores (start here)'!$A:$A,$B$1,'Scores (start here)'!$B:$B,$A23,'Scores (start here)'!$F:$F,"&gt;=0")&gt;0,SUMIFS('Scores (start here)'!$F:$F,'Scores (start here)'!$A:$A,$B$1,'Scores (start here)'!$B:$B,$A23),O23)</f>
        <v/>
      </c>
      <c r="N23" s="248"/>
      <c r="O23" s="77" t="str">
        <f aca="false">IF(OR(H23="",I23="",J23="",K23="",L23=""),"",COUNTIF(H23:L23,"YES")/5*$C$7)</f>
        <v/>
      </c>
    </row>
    <row r="24" customFormat="false" ht="14.25" hidden="false" customHeight="true" outlineLevel="0" collapsed="false">
      <c r="A24" s="247" t="s">
        <v>1009</v>
      </c>
      <c r="B24" s="248"/>
      <c r="C24" s="248"/>
      <c r="D24" s="248"/>
      <c r="E24" s="248"/>
      <c r="F24" s="248"/>
      <c r="G24" s="248"/>
      <c r="H24" s="249"/>
      <c r="I24" s="249"/>
      <c r="J24" s="249"/>
      <c r="K24" s="249"/>
      <c r="L24" s="249"/>
      <c r="M24" s="250" t="str">
        <f aca="false">IF(COUNTIFS('Scores (start here)'!$A:$A,$B$1,'Scores (start here)'!$B:$B,$A24,'Scores (start here)'!$F:$F,"&gt;=0")&gt;0,SUMIFS('Scores (start here)'!$F:$F,'Scores (start here)'!$A:$A,$B$1,'Scores (start here)'!$B:$B,$A24),O24)</f>
        <v/>
      </c>
      <c r="N24" s="248"/>
      <c r="O24" s="77" t="str">
        <f aca="false">IF(OR(H24="",I24="",J24="",K24="",L24=""),"",COUNTIF(H24:L24,"YES")/5*$C$7)</f>
        <v/>
      </c>
    </row>
    <row r="25" customFormat="false" ht="14.25" hidden="false" customHeight="true" outlineLevel="0" collapsed="false">
      <c r="A25" s="247" t="s">
        <v>1010</v>
      </c>
      <c r="B25" s="248"/>
      <c r="C25" s="248"/>
      <c r="D25" s="248"/>
      <c r="E25" s="248"/>
      <c r="F25" s="248"/>
      <c r="G25" s="248"/>
      <c r="H25" s="249"/>
      <c r="I25" s="249"/>
      <c r="J25" s="249"/>
      <c r="K25" s="249"/>
      <c r="L25" s="249"/>
      <c r="M25" s="250" t="str">
        <f aca="false">IF(COUNTIFS('Scores (start here)'!$A:$A,$B$1,'Scores (start here)'!$B:$B,$A25,'Scores (start here)'!$F:$F,"&gt;=0")&gt;0,SUMIFS('Scores (start here)'!$F:$F,'Scores (start here)'!$A:$A,$B$1,'Scores (start here)'!$B:$B,$A25),O25)</f>
        <v/>
      </c>
      <c r="N25" s="248"/>
      <c r="O25" s="77" t="str">
        <f aca="false">IF(OR(H25="",I25="",J25="",K25="",L25=""),"",COUNTIF(H25:L25,"YES")/5*$C$7)</f>
        <v/>
      </c>
    </row>
    <row r="26" customFormat="false" ht="14.25" hidden="false" customHeight="true" outlineLevel="0" collapsed="false">
      <c r="A26" s="247" t="s">
        <v>1011</v>
      </c>
      <c r="B26" s="248"/>
      <c r="C26" s="248"/>
      <c r="D26" s="248"/>
      <c r="E26" s="248"/>
      <c r="F26" s="248"/>
      <c r="G26" s="248"/>
      <c r="H26" s="249"/>
      <c r="I26" s="249"/>
      <c r="J26" s="249"/>
      <c r="K26" s="249"/>
      <c r="L26" s="249"/>
      <c r="M26" s="250" t="str">
        <f aca="false">IF(COUNTIFS('Scores (start here)'!$A:$A,$B$1,'Scores (start here)'!$B:$B,$A26,'Scores (start here)'!$F:$F,"&gt;=0")&gt;0,SUMIFS('Scores (start here)'!$F:$F,'Scores (start here)'!$A:$A,$B$1,'Scores (start here)'!$B:$B,$A26),O26)</f>
        <v/>
      </c>
      <c r="N26" s="248"/>
      <c r="O26" s="77" t="str">
        <f aca="false">IF(OR(H26="",I26="",J26="",K26="",L26=""),"",COUNTIF(H26:L26,"YES")/5*$C$7)</f>
        <v/>
      </c>
    </row>
    <row r="27" customFormat="false" ht="14.25" hidden="false" customHeight="true" outlineLevel="0" collapsed="false">
      <c r="A27" s="247" t="s">
        <v>1012</v>
      </c>
      <c r="B27" s="248"/>
      <c r="C27" s="248"/>
      <c r="D27" s="248"/>
      <c r="E27" s="248"/>
      <c r="F27" s="248"/>
      <c r="G27" s="248"/>
      <c r="H27" s="249"/>
      <c r="I27" s="249"/>
      <c r="J27" s="249"/>
      <c r="K27" s="249"/>
      <c r="L27" s="249"/>
      <c r="M27" s="250" t="str">
        <f aca="false">IF(COUNTIFS('Scores (start here)'!$A:$A,$B$1,'Scores (start here)'!$B:$B,$A27,'Scores (start here)'!$F:$F,"&gt;=0")&gt;0,SUMIFS('Scores (start here)'!$F:$F,'Scores (start here)'!$A:$A,$B$1,'Scores (start here)'!$B:$B,$A27),O27)</f>
        <v/>
      </c>
      <c r="N27" s="248"/>
      <c r="O27" s="77" t="str">
        <f aca="false">IF(OR(H27="",I27="",J27="",K27="",L27=""),"",COUNTIF(H27:L27,"YES")/5*$C$7)</f>
        <v/>
      </c>
    </row>
    <row r="28" customFormat="false" ht="14.25" hidden="false" customHeight="true" outlineLevel="0" collapsed="false">
      <c r="A28" s="247" t="s">
        <v>1013</v>
      </c>
      <c r="B28" s="248"/>
      <c r="C28" s="248"/>
      <c r="D28" s="248"/>
      <c r="E28" s="248"/>
      <c r="F28" s="248"/>
      <c r="G28" s="248"/>
      <c r="H28" s="249"/>
      <c r="I28" s="249"/>
      <c r="J28" s="249"/>
      <c r="K28" s="249"/>
      <c r="L28" s="249"/>
      <c r="M28" s="250" t="str">
        <f aca="false">IF(COUNTIFS('Scores (start here)'!$A:$A,$B$1,'Scores (start here)'!$B:$B,$A28,'Scores (start here)'!$F:$F,"&gt;=0")&gt;0,SUMIFS('Scores (start here)'!$F:$F,'Scores (start here)'!$A:$A,$B$1,'Scores (start here)'!$B:$B,$A28),O28)</f>
        <v/>
      </c>
      <c r="N28" s="248"/>
      <c r="O28" s="77" t="str">
        <f aca="false">IF(OR(H28="",I28="",J28="",K28="",L28=""),"",COUNTIF(H28:L28,"YES")/5*$C$7)</f>
        <v/>
      </c>
    </row>
    <row r="29" customFormat="false" ht="14.25" hidden="false" customHeight="true" outlineLevel="0" collapsed="false">
      <c r="A29" s="247" t="s">
        <v>1014</v>
      </c>
      <c r="B29" s="248"/>
      <c r="C29" s="248"/>
      <c r="D29" s="248"/>
      <c r="E29" s="248"/>
      <c r="F29" s="248"/>
      <c r="G29" s="248"/>
      <c r="H29" s="249"/>
      <c r="I29" s="249"/>
      <c r="J29" s="249"/>
      <c r="K29" s="249"/>
      <c r="L29" s="249"/>
      <c r="M29" s="250" t="str">
        <f aca="false">IF(COUNTIFS('Scores (start here)'!$A:$A,$B$1,'Scores (start here)'!$B:$B,$A29,'Scores (start here)'!$F:$F,"&gt;=0")&gt;0,SUMIFS('Scores (start here)'!$F:$F,'Scores (start here)'!$A:$A,$B$1,'Scores (start here)'!$B:$B,$A29),O29)</f>
        <v/>
      </c>
      <c r="N29" s="248"/>
      <c r="O29" s="77" t="str">
        <f aca="false">IF(OR(H29="",I29="",J29="",K29="",L29=""),"",COUNTIF(H29:L29,"YES")/5*$C$7)</f>
        <v/>
      </c>
    </row>
    <row r="30" customFormat="false" ht="14.25" hidden="false" customHeight="true" outlineLevel="0" collapsed="false">
      <c r="A30" s="247" t="s">
        <v>1015</v>
      </c>
      <c r="B30" s="248"/>
      <c r="C30" s="248"/>
      <c r="D30" s="248"/>
      <c r="E30" s="248"/>
      <c r="F30" s="248"/>
      <c r="G30" s="248"/>
      <c r="H30" s="249"/>
      <c r="I30" s="249"/>
      <c r="J30" s="249"/>
      <c r="K30" s="249"/>
      <c r="L30" s="249"/>
      <c r="M30" s="250" t="str">
        <f aca="false">IF(COUNTIFS('Scores (start here)'!$A:$A,$B$1,'Scores (start here)'!$B:$B,$A30,'Scores (start here)'!$F:$F,"&gt;=0")&gt;0,SUMIFS('Scores (start here)'!$F:$F,'Scores (start here)'!$A:$A,$B$1,'Scores (start here)'!$B:$B,$A30),O30)</f>
        <v/>
      </c>
      <c r="N30" s="248"/>
      <c r="O30" s="77" t="str">
        <f aca="false">IF(OR(H30="",I30="",J30="",K30="",L30=""),"",COUNTIF(H30:L30,"YES")/5*$C$7)</f>
        <v/>
      </c>
    </row>
    <row r="31" customFormat="false" ht="14.25" hidden="false" customHeight="true" outlineLevel="0" collapsed="false">
      <c r="A31" s="247" t="s">
        <v>1016</v>
      </c>
      <c r="B31" s="248"/>
      <c r="C31" s="248"/>
      <c r="D31" s="248"/>
      <c r="E31" s="248"/>
      <c r="F31" s="248"/>
      <c r="G31" s="248"/>
      <c r="H31" s="249"/>
      <c r="I31" s="249"/>
      <c r="J31" s="249"/>
      <c r="K31" s="249"/>
      <c r="L31" s="249"/>
      <c r="M31" s="250" t="str">
        <f aca="false">IF(COUNTIFS('Scores (start here)'!$A:$A,$B$1,'Scores (start here)'!$B:$B,$A31,'Scores (start here)'!$F:$F,"&gt;=0")&gt;0,SUMIFS('Scores (start here)'!$F:$F,'Scores (start here)'!$A:$A,$B$1,'Scores (start here)'!$B:$B,$A31),O31)</f>
        <v/>
      </c>
      <c r="N31" s="248"/>
      <c r="O31" s="77" t="str">
        <f aca="false">IF(OR(H31="",I31="",J31="",K31="",L31=""),"",COUNTIF(H31:L31,"YES")/5*$C$7)</f>
        <v/>
      </c>
    </row>
    <row r="32" customFormat="false" ht="14.25" hidden="false" customHeight="true" outlineLevel="0" collapsed="false">
      <c r="A32" s="247" t="s">
        <v>1017</v>
      </c>
      <c r="B32" s="248"/>
      <c r="C32" s="248"/>
      <c r="D32" s="248"/>
      <c r="E32" s="248"/>
      <c r="F32" s="248"/>
      <c r="G32" s="248"/>
      <c r="H32" s="249"/>
      <c r="I32" s="249"/>
      <c r="J32" s="249"/>
      <c r="K32" s="249"/>
      <c r="L32" s="249"/>
      <c r="M32" s="250" t="str">
        <f aca="false">IF(COUNTIFS('Scores (start here)'!$A:$A,$B$1,'Scores (start here)'!$B:$B,$A32,'Scores (start here)'!$F:$F,"&gt;=0")&gt;0,SUMIFS('Scores (start here)'!$F:$F,'Scores (start here)'!$A:$A,$B$1,'Scores (start here)'!$B:$B,$A32),O32)</f>
        <v/>
      </c>
      <c r="N32" s="248"/>
      <c r="O32" s="77" t="str">
        <f aca="false">IF(OR(H32="",I32="",J32="",K32="",L32=""),"",COUNTIF(H32:L32,"YES")/5*$C$7)</f>
        <v/>
      </c>
    </row>
    <row r="33" customFormat="false" ht="14.25" hidden="false" customHeight="true" outlineLevel="0" collapsed="false">
      <c r="A33" s="247" t="s">
        <v>30</v>
      </c>
      <c r="B33" s="248" t="s">
        <v>473</v>
      </c>
      <c r="C33" s="248" t="s">
        <v>1718</v>
      </c>
      <c r="D33" s="248" t="s">
        <v>1719</v>
      </c>
      <c r="E33" s="248" t="s">
        <v>1720</v>
      </c>
      <c r="F33" s="248" t="s">
        <v>1721</v>
      </c>
      <c r="G33" s="248" t="s">
        <v>474</v>
      </c>
      <c r="H33" s="249"/>
      <c r="I33" s="249"/>
      <c r="J33" s="249"/>
      <c r="K33" s="249" t="s">
        <v>1309</v>
      </c>
      <c r="L33" s="249" t="s">
        <v>1309</v>
      </c>
      <c r="M33" s="250" t="str">
        <f aca="false">IF(COUNTIFS('Scores (start here)'!$A:$A,$B$1,'Scores (start here)'!$B:$B,$A33,'Scores (start here)'!$F:$F,"&gt;=0")&gt;0,SUMIFS('Scores (start here)'!$F:$F,'Scores (start here)'!$A:$A,$B$1,'Scores (start here)'!$B:$B,$A33),O33)</f>
        <v/>
      </c>
      <c r="N33" s="251" t="s">
        <v>1722</v>
      </c>
      <c r="O33" s="77" t="str">
        <f aca="false">IF(OR(H33="",I33="",J33="",K33="",L33=""),"",COUNTIF(H33:L33,"YES")/5*$C$7)</f>
        <v/>
      </c>
    </row>
    <row r="34" customFormat="false" ht="14.25" hidden="false" customHeight="true" outlineLevel="0" collapsed="false">
      <c r="A34" s="247" t="s">
        <v>1018</v>
      </c>
      <c r="B34" s="248"/>
      <c r="C34" s="248"/>
      <c r="D34" s="248"/>
      <c r="E34" s="248"/>
      <c r="F34" s="248"/>
      <c r="G34" s="248"/>
      <c r="H34" s="249"/>
      <c r="I34" s="249"/>
      <c r="J34" s="249"/>
      <c r="K34" s="249"/>
      <c r="L34" s="249"/>
      <c r="M34" s="250" t="str">
        <f aca="false">IF(COUNTIFS('Scores (start here)'!$A:$A,$B$1,'Scores (start here)'!$B:$B,$A34,'Scores (start here)'!$F:$F,"&gt;=0")&gt;0,SUMIFS('Scores (start here)'!$F:$F,'Scores (start here)'!$A:$A,$B$1,'Scores (start here)'!$B:$B,$A34),O34)</f>
        <v/>
      </c>
      <c r="N34" s="248"/>
      <c r="O34" s="77" t="str">
        <f aca="false">IF(OR(H34="",I34="",J34="",K34="",L34=""),"",COUNTIF(H34:L34,"YES")/5*$C$7)</f>
        <v/>
      </c>
    </row>
    <row r="35" customFormat="false" ht="14.25" hidden="false" customHeight="true" outlineLevel="0" collapsed="false">
      <c r="A35" s="247" t="s">
        <v>1019</v>
      </c>
      <c r="B35" s="248"/>
      <c r="C35" s="248"/>
      <c r="D35" s="248"/>
      <c r="E35" s="248"/>
      <c r="F35" s="248"/>
      <c r="G35" s="248"/>
      <c r="H35" s="249"/>
      <c r="I35" s="249"/>
      <c r="J35" s="249"/>
      <c r="K35" s="249"/>
      <c r="L35" s="249"/>
      <c r="M35" s="250" t="str">
        <f aca="false">IF(COUNTIFS('Scores (start here)'!$A:$A,$B$1,'Scores (start here)'!$B:$B,$A35,'Scores (start here)'!$F:$F,"&gt;=0")&gt;0,SUMIFS('Scores (start here)'!$F:$F,'Scores (start here)'!$A:$A,$B$1,'Scores (start here)'!$B:$B,$A35),O35)</f>
        <v/>
      </c>
      <c r="N35" s="248"/>
      <c r="O35" s="77" t="str">
        <f aca="false">IF(OR(H35="",I35="",J35="",K35="",L35=""),"",COUNTIF(H35:L35,"YES")/5*$C$7)</f>
        <v/>
      </c>
    </row>
    <row r="36" customFormat="false" ht="14.25" hidden="false" customHeight="true" outlineLevel="0" collapsed="false">
      <c r="A36" s="247" t="s">
        <v>1020</v>
      </c>
      <c r="B36" s="248"/>
      <c r="C36" s="248"/>
      <c r="D36" s="248"/>
      <c r="E36" s="248"/>
      <c r="F36" s="248"/>
      <c r="G36" s="248"/>
      <c r="H36" s="249"/>
      <c r="I36" s="249"/>
      <c r="J36" s="249"/>
      <c r="K36" s="249"/>
      <c r="L36" s="249"/>
      <c r="M36" s="250" t="str">
        <f aca="false">IF(COUNTIFS('Scores (start here)'!$A:$A,$B$1,'Scores (start here)'!$B:$B,$A36,'Scores (start here)'!$F:$F,"&gt;=0")&gt;0,SUMIFS('Scores (start here)'!$F:$F,'Scores (start here)'!$A:$A,$B$1,'Scores (start here)'!$B:$B,$A36),O36)</f>
        <v/>
      </c>
      <c r="N36" s="248"/>
      <c r="O36" s="77" t="str">
        <f aca="false">IF(OR(H36="",I36="",J36="",K36="",L36=""),"",COUNTIF(H36:L36,"YES")/5*$C$7)</f>
        <v/>
      </c>
    </row>
    <row r="37" customFormat="false" ht="14.25" hidden="false" customHeight="true" outlineLevel="0" collapsed="false">
      <c r="A37" s="247" t="s">
        <v>1021</v>
      </c>
      <c r="B37" s="248"/>
      <c r="C37" s="248"/>
      <c r="D37" s="248"/>
      <c r="E37" s="248"/>
      <c r="F37" s="248"/>
      <c r="G37" s="248"/>
      <c r="H37" s="249"/>
      <c r="I37" s="249"/>
      <c r="J37" s="249"/>
      <c r="K37" s="249"/>
      <c r="L37" s="249"/>
      <c r="M37" s="250" t="str">
        <f aca="false">IF(COUNTIFS('Scores (start here)'!$A:$A,$B$1,'Scores (start here)'!$B:$B,$A37,'Scores (start here)'!$F:$F,"&gt;=0")&gt;0,SUMIFS('Scores (start here)'!$F:$F,'Scores (start here)'!$A:$A,$B$1,'Scores (start here)'!$B:$B,$A37),O37)</f>
        <v/>
      </c>
      <c r="N37" s="248"/>
      <c r="O37" s="77" t="str">
        <f aca="false">IF(OR(H37="",I37="",J37="",K37="",L37=""),"",COUNTIF(H37:L37,"YES")/5*$C$7)</f>
        <v/>
      </c>
    </row>
    <row r="38" customFormat="false" ht="14.25" hidden="false" customHeight="true" outlineLevel="0" collapsed="false">
      <c r="A38" s="247" t="s">
        <v>1022</v>
      </c>
      <c r="B38" s="248"/>
      <c r="C38" s="248"/>
      <c r="D38" s="248"/>
      <c r="E38" s="248"/>
      <c r="F38" s="248"/>
      <c r="G38" s="248"/>
      <c r="H38" s="249"/>
      <c r="I38" s="249"/>
      <c r="J38" s="249"/>
      <c r="K38" s="249"/>
      <c r="L38" s="249"/>
      <c r="M38" s="250" t="str">
        <f aca="false">IF(COUNTIFS('Scores (start here)'!$A:$A,$B$1,'Scores (start here)'!$B:$B,$A38,'Scores (start here)'!$F:$F,"&gt;=0")&gt;0,SUMIFS('Scores (start here)'!$F:$F,'Scores (start here)'!$A:$A,$B$1,'Scores (start here)'!$B:$B,$A38),O38)</f>
        <v/>
      </c>
      <c r="N38" s="248"/>
      <c r="O38" s="77" t="str">
        <f aca="false">IF(OR(H38="",I38="",J38="",K38="",L38=""),"",COUNTIF(H38:L38,"YES")/5*$C$7)</f>
        <v/>
      </c>
    </row>
    <row r="39" customFormat="false" ht="14.25" hidden="false" customHeight="true" outlineLevel="0" collapsed="false">
      <c r="A39" s="247" t="s">
        <v>1023</v>
      </c>
      <c r="B39" s="248"/>
      <c r="C39" s="248"/>
      <c r="D39" s="248"/>
      <c r="E39" s="248"/>
      <c r="F39" s="248"/>
      <c r="G39" s="248"/>
      <c r="H39" s="249"/>
      <c r="I39" s="249"/>
      <c r="J39" s="249"/>
      <c r="K39" s="249"/>
      <c r="L39" s="249"/>
      <c r="M39" s="250" t="str">
        <f aca="false">IF(COUNTIFS('Scores (start here)'!$A:$A,$B$1,'Scores (start here)'!$B:$B,$A39,'Scores (start here)'!$F:$F,"&gt;=0")&gt;0,SUMIFS('Scores (start here)'!$F:$F,'Scores (start here)'!$A:$A,$B$1,'Scores (start here)'!$B:$B,$A39),O39)</f>
        <v/>
      </c>
      <c r="N39" s="248"/>
      <c r="O39" s="77" t="str">
        <f aca="false">IF(OR(H39="",I39="",J39="",K39="",L39=""),"",COUNTIF(H39:L39,"YES")/5*$C$7)</f>
        <v/>
      </c>
    </row>
    <row r="40" customFormat="false" ht="14.25" hidden="false" customHeight="true" outlineLevel="0" collapsed="false">
      <c r="A40" s="247" t="s">
        <v>1024</v>
      </c>
      <c r="B40" s="248"/>
      <c r="C40" s="248"/>
      <c r="D40" s="248"/>
      <c r="E40" s="248"/>
      <c r="F40" s="248"/>
      <c r="G40" s="248"/>
      <c r="H40" s="249"/>
      <c r="I40" s="249"/>
      <c r="J40" s="249"/>
      <c r="K40" s="249"/>
      <c r="L40" s="249"/>
      <c r="M40" s="250" t="str">
        <f aca="false">IF(COUNTIFS('Scores (start here)'!$A:$A,$B$1,'Scores (start here)'!$B:$B,$A40,'Scores (start here)'!$F:$F,"&gt;=0")&gt;0,SUMIFS('Scores (start here)'!$F:$F,'Scores (start here)'!$A:$A,$B$1,'Scores (start here)'!$B:$B,$A40),O40)</f>
        <v/>
      </c>
      <c r="N40" s="248"/>
      <c r="O40" s="77" t="str">
        <f aca="false">IF(OR(H40="",I40="",J40="",K40="",L40=""),"",COUNTIF(H40:L40,"YES")/5*$C$7)</f>
        <v/>
      </c>
    </row>
    <row r="41" customFormat="false" ht="14.25" hidden="false" customHeight="true" outlineLevel="0" collapsed="false">
      <c r="A41" s="247" t="s">
        <v>1025</v>
      </c>
      <c r="B41" s="248"/>
      <c r="C41" s="248"/>
      <c r="D41" s="248"/>
      <c r="E41" s="248"/>
      <c r="F41" s="248"/>
      <c r="G41" s="248"/>
      <c r="H41" s="249"/>
      <c r="I41" s="249"/>
      <c r="J41" s="249"/>
      <c r="K41" s="249"/>
      <c r="L41" s="249"/>
      <c r="M41" s="250" t="str">
        <f aca="false">IF(COUNTIFS('Scores (start here)'!$A:$A,$B$1,'Scores (start here)'!$B:$B,$A41,'Scores (start here)'!$F:$F,"&gt;=0")&gt;0,SUMIFS('Scores (start here)'!$F:$F,'Scores (start here)'!$A:$A,$B$1,'Scores (start here)'!$B:$B,$A41),O41)</f>
        <v/>
      </c>
      <c r="N41" s="248"/>
      <c r="O41" s="77" t="str">
        <f aca="false">IF(OR(H41="",I41="",J41="",K41="",L41=""),"",COUNTIF(H41:L41,"YES")/5*$C$7)</f>
        <v/>
      </c>
    </row>
  </sheetData>
  <dataValidations count="1">
    <dataValidation allowBlank="true" error="Please enter a valid value (see note above the column)." errorStyle="stop" errorTitle="Invalid entry" operator="between" showDropDown="false" showErrorMessage="true" showInputMessage="false" sqref="H13:L41" type="list">
      <formula1>"YES,NO"</formula1>
      <formula2>0</formula2>
    </dataValidation>
  </dataValidations>
  <hyperlinks>
    <hyperlink ref="M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478</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Parking policy &gt;:&lt; Parking policy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parking policy?  &gt;:&lt; Is there a clear mandate in the law for a parking policy?</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applicable T&amp;CP Act or Municipal Act mandates the ULG to prepare and/or adopt a standalone parking policy or parking management policy.A general provision prescribing parking standards for individual buildings/developments, or empowering the ULG to regulate parking, shall not qualify. The law must specifically provide for the preparation/adoption of a city-level parking policy.Distinguish between mandatory and enabling provisions:Score 5 where the law uses mandatory language (e.g., “shall”) requiring the ULG/city to prepare or adopt a standalone Parking Policy/Parking Management Policy.Score 2.5 where the law uses enabling/discretionary language (e.g., “may”) permitting the ULG/city to prepare or adopt such a policy.Score 0 where there is no such statutory provision.</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1723</v>
      </c>
    </row>
    <row r="11" customFormat="false" ht="28.5" hidden="false" customHeight="true" outlineLevel="0" collapsed="false">
      <c r="H11" s="243" t="s">
        <v>1705</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1724</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IF(H13="","",IF(H13="SHALL",$C$7,IF(H13="MAY",$C$7/2,0)))</f>
        <v/>
      </c>
    </row>
    <row r="14" customFormat="false" ht="14.25" hidden="false" customHeight="true" outlineLevel="0" collapsed="false">
      <c r="A14" s="247" t="s">
        <v>19</v>
      </c>
      <c r="B14" s="248" t="s">
        <v>200</v>
      </c>
      <c r="C14" s="248" t="s">
        <v>1461</v>
      </c>
      <c r="D14" s="248" t="s">
        <v>1725</v>
      </c>
      <c r="E14" s="248" t="s">
        <v>1726</v>
      </c>
      <c r="F14" s="248" t="s">
        <v>757</v>
      </c>
      <c r="G14" s="248" t="s">
        <v>201</v>
      </c>
      <c r="H14" s="249"/>
      <c r="I14" s="250" t="str">
        <f aca="false">IF(COUNTIFS('Scores (start here)'!$A:$A,$B$1,'Scores (start here)'!$B:$B,$A14,'Scores (start here)'!$F:$F,"&gt;=0")&gt;0,SUMIFS('Scores (start here)'!$F:$F,'Scores (start here)'!$A:$A,$B$1,'Scores (start here)'!$B:$B,$A14),K14)</f>
        <v/>
      </c>
      <c r="J14" s="251" t="s">
        <v>1727</v>
      </c>
      <c r="K14" s="77" t="str">
        <f aca="false">IF(H14="","",IF(H14="SHALL",$C$7,IF(H14="MAY",$C$7/2,0)))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IF(H15="","",IF(H15="SHALL",$C$7,IF(H15="MAY",$C$7/2,0)))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IF(H16="","",IF(H16="SHALL",$C$7,IF(H16="MAY",$C$7/2,0)))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IF(H17="","",IF(H17="SHALL",$C$7,IF(H17="MAY",$C$7/2,0)))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IF(H18="","",IF(H18="SHALL",$C$7,IF(H18="MAY",$C$7/2,0)))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IF(H19="","",IF(H19="SHALL",$C$7,IF(H19="MAY",$C$7/2,0)))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IF(H20="","",IF(H20="SHALL",$C$7,IF(H20="MAY",$C$7/2,0)))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IF(H21="","",IF(H21="SHALL",$C$7,IF(H21="MAY",$C$7/2,0)))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IF(H22="","",IF(H22="SHALL",$C$7,IF(H22="MAY",$C$7/2,0)))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IF(H23="","",IF(H23="SHALL",$C$7,IF(H23="MAY",$C$7/2,0)))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IF(H24="","",IF(H24="SHALL",$C$7,IF(H24="MAY",$C$7/2,0)))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IF(H25="","",IF(H25="SHALL",$C$7,IF(H25="MAY",$C$7/2,0)))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IF(H26="","",IF(H26="SHALL",$C$7,IF(H26="MAY",$C$7/2,0)))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IF(H27="","",IF(H27="SHALL",$C$7,IF(H27="MAY",$C$7/2,0)))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IF(H28="","",IF(H28="SHALL",$C$7,IF(H28="MAY",$C$7/2,0)))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IF(H29="","",IF(H29="SHALL",$C$7,IF(H29="MAY",$C$7/2,0)))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IF(H30="","",IF(H30="SHALL",$C$7,IF(H30="MAY",$C$7/2,0)))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IF(H31="","",IF(H31="SHALL",$C$7,IF(H31="MAY",$C$7/2,0)))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IF(H32="","",IF(H32="SHALL",$C$7,IF(H32="MAY",$C$7/2,0)))</f>
        <v/>
      </c>
    </row>
    <row r="33" customFormat="false" ht="14.25" hidden="false" customHeight="true" outlineLevel="0" collapsed="false">
      <c r="A33" s="247" t="s">
        <v>30</v>
      </c>
      <c r="B33" s="248" t="s">
        <v>485</v>
      </c>
      <c r="C33" s="248" t="s">
        <v>1728</v>
      </c>
      <c r="D33" s="248" t="s">
        <v>1729</v>
      </c>
      <c r="E33" s="248" t="s">
        <v>1730</v>
      </c>
      <c r="F33" s="248" t="s">
        <v>1731</v>
      </c>
      <c r="G33" s="248" t="s">
        <v>486</v>
      </c>
      <c r="H33" s="249"/>
      <c r="I33" s="250" t="str">
        <f aca="false">IF(COUNTIFS('Scores (start here)'!$A:$A,$B$1,'Scores (start here)'!$B:$B,$A33,'Scores (start here)'!$F:$F,"&gt;=0")&gt;0,SUMIFS('Scores (start here)'!$F:$F,'Scores (start here)'!$A:$A,$B$1,'Scores (start here)'!$B:$B,$A33),K33)</f>
        <v/>
      </c>
      <c r="J33" s="251" t="s">
        <v>1732</v>
      </c>
      <c r="K33" s="77" t="str">
        <f aca="false">IF(H33="","",IF(H33="SHALL",$C$7,IF(H33="MAY",$C$7/2,0)))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IF(H34="","",IF(H34="SHALL",$C$7,IF(H34="MAY",$C$7/2,0)))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IF(H35="","",IF(H35="SHALL",$C$7,IF(H35="MAY",$C$7/2,0)))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IF(H36="","",IF(H36="SHALL",$C$7,IF(H36="MAY",$C$7/2,0)))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IF(H37="","",IF(H37="SHALL",$C$7,IF(H37="MAY",$C$7/2,0)))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IF(H38="","",IF(H38="SHALL",$C$7,IF(H38="MAY",$C$7/2,0)))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IF(H39="","",IF(H39="SHALL",$C$7,IF(H39="MAY",$C$7/2,0)))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IF(H40="","",IF(H40="SHALL",$C$7,IF(H40="MAY",$C$7/2,0)))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IF(H41="","",IF(H41="SHALL",$C$7,IF(H41="MAY",$C$7/2,0)))</f>
        <v/>
      </c>
    </row>
  </sheetData>
  <dataValidations count="1">
    <dataValidation allowBlank="true" error="Please enter a valid value (see note above the column)." errorStyle="stop" errorTitle="Invalid entry" operator="between" showDropDown="false" showErrorMessage="true" showInputMessage="false" sqref="H13:H41" type="list">
      <formula1>"SHALL,MAY,NONE"</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489</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Parking policy &gt;:&lt; Parking policy</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parking policy?  &gt;:&lt; Has the parking policy been implemented?</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policy.Score 5 if a city-level parking policy exists or its formal adoption can be established through reliable evidence.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Score this question independently of the legal mandate. A city may score 5 on this question even where there is no legal mandate for a parking policy.</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492</v>
      </c>
      <c r="C14" s="248" t="s">
        <v>1733</v>
      </c>
      <c r="D14" s="248" t="s">
        <v>1734</v>
      </c>
      <c r="E14" s="248" t="s">
        <v>1735</v>
      </c>
      <c r="F14" s="248"/>
      <c r="G14" s="248" t="s">
        <v>493</v>
      </c>
      <c r="H14" s="249" t="s">
        <v>1309</v>
      </c>
      <c r="I14" s="250" t="n">
        <f aca="false">IF(COUNTIFS('Scores (start here)'!$A:$A,$B$1,'Scores (start here)'!$B:$B,$A14,'Scores (start here)'!$F:$F,"&gt;=0")&gt;0,SUMIFS('Scores (start here)'!$F:$F,'Scores (start here)'!$A:$A,$B$1,'Scores (start here)'!$B:$B,$A14),K14)</f>
        <v>5</v>
      </c>
      <c r="J14" s="251" t="s">
        <v>1736</v>
      </c>
      <c r="K14" s="252" t="n">
        <f aca="false">IF(H14="YES",$C$7,IF(H14="NO",0,""))</f>
        <v>5</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23.25" hidden="false" customHeight="true" outlineLevel="0" collapsed="false">
      <c r="A33" s="247" t="s">
        <v>30</v>
      </c>
      <c r="B33" s="248" t="s">
        <v>497</v>
      </c>
      <c r="C33" s="248" t="s">
        <v>1737</v>
      </c>
      <c r="D33" s="248" t="s">
        <v>1738</v>
      </c>
      <c r="E33" s="248" t="s">
        <v>1739</v>
      </c>
      <c r="F33" s="248" t="s">
        <v>622</v>
      </c>
      <c r="G33" s="248" t="s">
        <v>498</v>
      </c>
      <c r="H33" s="249" t="s">
        <v>1309</v>
      </c>
      <c r="I33" s="250" t="n">
        <f aca="false">IF(COUNTIFS('Scores (start here)'!$A:$A,$B$1,'Scores (start here)'!$B:$B,$A33,'Scores (start here)'!$F:$F,"&gt;=0")&gt;0,SUMIFS('Scores (start here)'!$F:$F,'Scores (start here)'!$A:$A,$B$1,'Scores (start here)'!$B:$B,$A33),K33)</f>
        <v>5</v>
      </c>
      <c r="J33" s="251" t="s">
        <v>1740</v>
      </c>
      <c r="K33" s="252" t="n">
        <f aca="false">IF(H33="YES",$C$7,IF(H33="NO",0,""))</f>
        <v>5</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 collapsed="false" customWidth="true" hidden="false" outlineLevel="0" max="11" min="11" style="77" width="30"/>
  </cols>
  <sheetData>
    <row r="1" customFormat="false" ht="14.25" hidden="false" customHeight="true" outlineLevel="0" collapsed="false">
      <c r="A1" s="238" t="s">
        <v>1288</v>
      </c>
      <c r="B1" s="238" t="s">
        <v>501</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Applicability and currency of DCRs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city-specific Development Control Regulation (DCR)?</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applicable DCR to determine whether a city-specific DCR applies. Evidence can be present on the websites of the ULG/Development Authority/T&amp;CP/UDD Department. Score 10 — A city-specific DCR is applicable to the city.Score 0 — The city relies on a generic/state-wide DCR and does not have a city-specific DCR.NA — City has a population below one million. Note to scorer: For cities with a population below one million, mark this question as NA. However, record in the scorer comments the DCR applicable to the city and its status, including whether the city is governed by a city-specific DCR or a generic/state-wide DCR.</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1741</v>
      </c>
    </row>
    <row r="11" customFormat="false" ht="28.5" hidden="false" customHeight="true" outlineLevel="0" collapsed="false">
      <c r="H11" s="243" t="s">
        <v>1401</v>
      </c>
      <c r="I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246" t="s">
        <v>1742</v>
      </c>
      <c r="L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here)'!$B:$B,$A13),L13)</f>
        <v/>
      </c>
      <c r="J13" s="248"/>
      <c r="K13" s="248"/>
      <c r="L13" s="77" t="str">
        <f aca="false">IF(H13="NA","NA",IF(H13="YES",$C$7,IF(H13="NO",0,"")))</f>
        <v/>
      </c>
    </row>
    <row r="14" customFormat="false" ht="14.25" hidden="false" customHeight="true" outlineLevel="0" collapsed="false">
      <c r="A14" s="247" t="s">
        <v>19</v>
      </c>
      <c r="B14" s="248" t="s">
        <v>230</v>
      </c>
      <c r="C14" s="248" t="s">
        <v>1743</v>
      </c>
      <c r="D14" s="248" t="s">
        <v>1744</v>
      </c>
      <c r="E14" s="248" t="s">
        <v>1745</v>
      </c>
      <c r="F14" s="248" t="s">
        <v>1746</v>
      </c>
      <c r="G14" s="248" t="s">
        <v>231</v>
      </c>
      <c r="H14" s="249" t="s">
        <v>1309</v>
      </c>
      <c r="I14" s="250" t="n">
        <f aca="false">IF(COUNTIFS('Scores (start here)'!$A:$A,$B$1,'Scores (start here)'!$B:$B,$A14,'Scores (start here)'!$F:$F,"&gt;=0")&gt;0,SUMIFS('Scores (start here)'!$F:$F,'Scores (start here)'!$A:$A,$B$1,'Scores (start here)'!$B:$B,$A14),L14)</f>
        <v>10</v>
      </c>
      <c r="J14" s="251" t="s">
        <v>1747</v>
      </c>
      <c r="K14" s="248"/>
      <c r="L14" s="252" t="n">
        <f aca="false">IF(H14="NA","NA",IF(H14="YES",$C$7,IF(H14="NO",0,"")))</f>
        <v>10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here)'!$B:$B,$A15),L15)</f>
        <v/>
      </c>
      <c r="J15" s="248"/>
      <c r="K15" s="248"/>
      <c r="L15" s="77" t="str">
        <f aca="false">IF(H15="NA","NA",IF(H15="YES",$C$7,IF(H15="NO",0,"")))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here)'!$B:$B,$A16),L16)</f>
        <v/>
      </c>
      <c r="J16" s="248"/>
      <c r="K16" s="248"/>
      <c r="L16" s="77" t="str">
        <f aca="false">IF(H16="NA","NA",IF(H16="YES",$C$7,IF(H16="NO",0,"")))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here)'!$B:$B,$A17),L17)</f>
        <v/>
      </c>
      <c r="J17" s="248"/>
      <c r="K17" s="248"/>
      <c r="L17" s="77" t="str">
        <f aca="false">IF(H17="NA","NA",IF(H17="YES",$C$7,IF(H17="NO",0,"")))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here)'!$B:$B,$A18),L18)</f>
        <v/>
      </c>
      <c r="J18" s="248"/>
      <c r="K18" s="248"/>
      <c r="L18" s="77" t="str">
        <f aca="false">IF(H18="NA","NA",IF(H18="YES",$C$7,IF(H18="NO",0,"")))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here)'!$B:$B,$A19),L19)</f>
        <v/>
      </c>
      <c r="J19" s="248"/>
      <c r="K19" s="248"/>
      <c r="L19" s="77" t="str">
        <f aca="false">IF(H19="NA","NA",IF(H19="YES",$C$7,IF(H19="NO",0,"")))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here)'!$B:$B,$A20),L20)</f>
        <v/>
      </c>
      <c r="J20" s="248"/>
      <c r="K20" s="248"/>
      <c r="L20" s="77" t="str">
        <f aca="false">IF(H20="NA","NA",IF(H20="YES",$C$7,IF(H20="NO",0,"")))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here)'!$B:$B,$A21),L21)</f>
        <v/>
      </c>
      <c r="J21" s="248"/>
      <c r="K21" s="248"/>
      <c r="L21" s="77" t="str">
        <f aca="false">IF(H21="NA","NA",IF(H21="YES",$C$7,IF(H21="NO",0,"")))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here)'!$B:$B,$A22),L22)</f>
        <v/>
      </c>
      <c r="J22" s="248"/>
      <c r="K22" s="248"/>
      <c r="L22" s="77" t="str">
        <f aca="false">IF(H22="NA","NA",IF(H22="YES",$C$7,IF(H22="NO",0,"")))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here)'!$B:$B,$A23),L23)</f>
        <v/>
      </c>
      <c r="J23" s="248"/>
      <c r="K23" s="248"/>
      <c r="L23" s="77" t="str">
        <f aca="false">IF(H23="NA","NA",IF(H23="YES",$C$7,IF(H23="NO",0,"")))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here)'!$B:$B,$A24),L24)</f>
        <v/>
      </c>
      <c r="J24" s="248"/>
      <c r="K24" s="248"/>
      <c r="L24" s="77" t="str">
        <f aca="false">IF(H24="NA","NA",IF(H24="YES",$C$7,IF(H24="NO",0,"")))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here)'!$B:$B,$A25),L25)</f>
        <v/>
      </c>
      <c r="J25" s="248"/>
      <c r="K25" s="248"/>
      <c r="L25" s="77" t="str">
        <f aca="false">IF(H25="NA","NA",IF(H25="YES",$C$7,IF(H25="NO",0,"")))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here)'!$B:$B,$A26),L26)</f>
        <v/>
      </c>
      <c r="J26" s="248"/>
      <c r="K26" s="248"/>
      <c r="L26" s="77" t="str">
        <f aca="false">IF(H26="NA","NA",IF(H26="YES",$C$7,IF(H26="NO",0,"")))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here)'!$B:$B,$A27),L27)</f>
        <v/>
      </c>
      <c r="J27" s="248"/>
      <c r="K27" s="248"/>
      <c r="L27" s="77" t="str">
        <f aca="false">IF(H27="NA","NA",IF(H27="YES",$C$7,IF(H27="NO",0,"")))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here)'!$B:$B,$A28),L28)</f>
        <v/>
      </c>
      <c r="J28" s="248"/>
      <c r="K28" s="248"/>
      <c r="L28" s="77" t="str">
        <f aca="false">IF(H28="NA","NA",IF(H28="YES",$C$7,IF(H28="NO",0,"")))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here)'!$B:$B,$A29),L29)</f>
        <v/>
      </c>
      <c r="J29" s="248"/>
      <c r="K29" s="248"/>
      <c r="L29" s="77" t="str">
        <f aca="false">IF(H29="NA","NA",IF(H29="YES",$C$7,IF(H29="NO",0,"")))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here)'!$B:$B,$A30),L30)</f>
        <v/>
      </c>
      <c r="J30" s="248"/>
      <c r="K30" s="248"/>
      <c r="L30" s="77" t="str">
        <f aca="false">IF(H30="NA","NA",IF(H30="YES",$C$7,IF(H30="NO",0,"")))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here)'!$B:$B,$A31),L31)</f>
        <v/>
      </c>
      <c r="J31" s="248"/>
      <c r="K31" s="248"/>
      <c r="L31" s="77" t="str">
        <f aca="false">IF(H31="NA","NA",IF(H31="YES",$C$7,IF(H31="NO",0,"")))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here)'!$B:$B,$A32),L32)</f>
        <v/>
      </c>
      <c r="J32" s="248"/>
      <c r="K32" s="248"/>
      <c r="L32" s="77" t="str">
        <f aca="false">IF(H32="NA","NA",IF(H32="YES",$C$7,IF(H32="NO",0,"")))</f>
        <v/>
      </c>
    </row>
    <row r="33" customFormat="false" ht="168.75" hidden="false" customHeight="true" outlineLevel="0" collapsed="false">
      <c r="A33" s="247" t="s">
        <v>30</v>
      </c>
      <c r="B33" s="248" t="s">
        <v>41</v>
      </c>
      <c r="C33" s="248" t="s">
        <v>1748</v>
      </c>
      <c r="D33" s="248" t="s">
        <v>1749</v>
      </c>
      <c r="E33" s="248" t="s">
        <v>1750</v>
      </c>
      <c r="F33" s="248" t="s">
        <v>757</v>
      </c>
      <c r="G33" s="248" t="s">
        <v>42</v>
      </c>
      <c r="H33" s="249"/>
      <c r="I33" s="250" t="str">
        <f aca="false">IF(COUNTIFS('Scores (start here)'!$A:$A,$B$1,'Scores (start here)'!$B:$B,$A33,'Scores (start here)'!$F:$F,"&gt;=0")&gt;0,SUMIFS('Scores (start here)'!$F:$F,'Scores (start here)'!$A:$A,$B$1,'Scores (start here)'!$B:$B,$A33),L33)</f>
        <v/>
      </c>
      <c r="J33" s="251" t="s">
        <v>1751</v>
      </c>
      <c r="K33" s="248"/>
      <c r="L33" s="77" t="str">
        <f aca="false">IF(H33="NA","NA",IF(H33="YES",$C$7,IF(H33="NO",0,"")))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here)'!$B:$B,$A34),L34)</f>
        <v/>
      </c>
      <c r="J34" s="248"/>
      <c r="K34" s="248"/>
      <c r="L34" s="77" t="str">
        <f aca="false">IF(H34="NA","NA",IF(H34="YES",$C$7,IF(H34="NO",0,"")))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here)'!$B:$B,$A35),L35)</f>
        <v/>
      </c>
      <c r="J35" s="248"/>
      <c r="K35" s="248"/>
      <c r="L35" s="77" t="str">
        <f aca="false">IF(H35="NA","NA",IF(H35="YES",$C$7,IF(H35="NO",0,"")))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here)'!$B:$B,$A36),L36)</f>
        <v/>
      </c>
      <c r="J36" s="248"/>
      <c r="K36" s="248"/>
      <c r="L36" s="77" t="str">
        <f aca="false">IF(H36="NA","NA",IF(H36="YES",$C$7,IF(H36="NO",0,"")))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here)'!$B:$B,$A37),L37)</f>
        <v/>
      </c>
      <c r="J37" s="248"/>
      <c r="K37" s="248"/>
      <c r="L37" s="77" t="str">
        <f aca="false">IF(H37="NA","NA",IF(H37="YES",$C$7,IF(H37="NO",0,"")))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here)'!$B:$B,$A38),L38)</f>
        <v/>
      </c>
      <c r="J38" s="248"/>
      <c r="K38" s="248"/>
      <c r="L38" s="77" t="str">
        <f aca="false">IF(H38="NA","NA",IF(H38="YES",$C$7,IF(H38="NO",0,"")))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here)'!$B:$B,$A39),L39)</f>
        <v/>
      </c>
      <c r="J39" s="248"/>
      <c r="K39" s="248"/>
      <c r="L39" s="77" t="str">
        <f aca="false">IF(H39="NA","NA",IF(H39="YES",$C$7,IF(H39="NO",0,"")))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here)'!$B:$B,$A40),L40)</f>
        <v/>
      </c>
      <c r="J40" s="248"/>
      <c r="K40" s="248"/>
      <c r="L40" s="77" t="str">
        <f aca="false">IF(H40="NA","NA",IF(H40="YES",$C$7,IF(H40="NO",0,"")))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here)'!$B:$B,$A41),L41)</f>
        <v/>
      </c>
      <c r="J41" s="248"/>
      <c r="K41" s="248"/>
      <c r="L41" s="77" t="str">
        <f aca="false">IF(H41="NA","NA",IF(H41="YES",$C$7,IF(H41="NO",0,"")))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509</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enable different types and scales of economic activity?</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41" t="n">
        <f aca="false">VLOOKUP($B$1,'UPD Questions_290926 '!$E$1:$N$300,MATCH($A$7,'UPD Questions_290926 '!$E$1:$N$1,0),0)</f>
        <v>2</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Review whether the DCR enables economic activities of different types and scales through the regulation of land use, mixed use, permissible activities, development intensity and development standards. Look particularly for provisions that enable MSMEs/small enterprises, home-based economic activities, commercial activity, mixed-use development, markets/street vending, industrial or productive uses, and specialised economic districts, including through relaxed or differentiated requirements relating to plot size, FAR/FSI, setbacks, parking, access or other development standards. Score 2: Specific provisions enable or incentivise two or more types/scales of economic activity, beyond merely designating land for commercial/industrial use.Score 1: Two or more Economic activities are provided for through conventional land-use zoning/permissible-use provisions, but no specific enabling or incentivising development provision is found.Score 0: No relevant provision addressing economic activity is found.(For example: Just mentioning zoning an area as commercial will get a score of 1, whereas enabling mixed use, home enterprises, MSMEs, flexible use categories, reduced parking/plot requirements, or other provisions specifically facilitating economic activity) Keywords for scorer: mixed use; mixed-use; commercial; commerce; shop; retail; market; vendor; street vending; hawker; home occupation; home-based; cottage industry; household industry; MSME; small enterprise; micro enterprise; industrial; productive use; work-live; special economic; business district; FAR; FSI; parking relaxation; permissible use.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1752</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1753</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IF(H13="","",MIN(--H13,$C$7))</f>
        <v/>
      </c>
    </row>
    <row r="14" customFormat="false" ht="15" hidden="false" customHeight="true" outlineLevel="0" collapsed="false">
      <c r="A14" s="247" t="s">
        <v>19</v>
      </c>
      <c r="B14" s="248"/>
      <c r="C14" s="248"/>
      <c r="D14" s="248"/>
      <c r="E14" s="248"/>
      <c r="F14" s="248"/>
      <c r="G14" s="253" t="s">
        <v>1530</v>
      </c>
      <c r="H14" s="249" t="n">
        <v>0</v>
      </c>
      <c r="I14" s="250" t="n">
        <f aca="false">IF(COUNTIFS('Scores (start here)'!$A:$A,$B$1,'Scores (start here)'!$B:$B,$A14,'Scores (start here)'!$F:$F,"&gt;=0")&gt;0,SUMIFS('Scores (start here)'!$F:$F,'Scores (start here)'!$A:$A,$B$1,'Scores (start here)'!$B:$B,$A14),K14)</f>
        <v>0</v>
      </c>
      <c r="J14" s="248" t="s">
        <v>1754</v>
      </c>
      <c r="K14" s="77" t="n">
        <f aca="false">IF(H14="","",MIN(--H14,$C$7))</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IF(H15="","",MIN(--H15,$C$7))</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IF(H16="","",MIN(--H16,$C$7))</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IF(H17="","",MIN(--H17,$C$7))</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IF(H18="","",MIN(--H18,$C$7))</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IF(H19="","",MIN(--H19,$C$7))</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IF(H20="","",MIN(--H20,$C$7))</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IF(H21="","",MIN(--H21,$C$7))</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IF(H22="","",MIN(--H22,$C$7))</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IF(H23="","",MIN(--H23,$C$7))</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IF(H24="","",MIN(--H24,$C$7))</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IF(H25="","",MIN(--H25,$C$7))</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IF(H26="","",MIN(--H26,$C$7))</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IF(H27="","",MIN(--H27,$C$7))</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IF(H28="","",MIN(--H28,$C$7))</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IF(H29="","",MIN(--H29,$C$7))</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IF(H30="","",MIN(--H30,$C$7))</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IF(H31="","",MIN(--H31,$C$7))</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IF(H32="","",MIN(--H32,$C$7))</f>
        <v/>
      </c>
    </row>
    <row r="33" customFormat="false" ht="147" hidden="false" customHeight="true" outlineLevel="0" collapsed="false">
      <c r="A33" s="247" t="s">
        <v>30</v>
      </c>
      <c r="B33" s="248" t="s">
        <v>473</v>
      </c>
      <c r="C33" s="248" t="s">
        <v>1755</v>
      </c>
      <c r="D33" s="248" t="s">
        <v>1756</v>
      </c>
      <c r="E33" s="248" t="s">
        <v>1757</v>
      </c>
      <c r="F33" s="248" t="s">
        <v>1758</v>
      </c>
      <c r="G33" s="248" t="s">
        <v>474</v>
      </c>
      <c r="H33" s="249" t="n">
        <v>2</v>
      </c>
      <c r="I33" s="250" t="n">
        <f aca="false">IF(COUNTIFS('Scores (start here)'!$A:$A,$B$1,'Scores (start here)'!$B:$B,$A33,'Scores (start here)'!$F:$F,"&gt;=0")&gt;0,SUMIFS('Scores (start here)'!$F:$F,'Scores (start here)'!$A:$A,$B$1,'Scores (start here)'!$B:$B,$A33),K33)</f>
        <v>2</v>
      </c>
      <c r="J33" s="251" t="s">
        <v>1759</v>
      </c>
      <c r="K33" s="77" t="n">
        <f aca="false">IF(H33="","",MIN(--H33,$C$7))</f>
        <v>2</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IF(H34="","",MIN(--H34,$C$7))</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IF(H35="","",MIN(--H35,$C$7))</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IF(H36="","",MIN(--H36,$C$7))</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IF(H37="","",MIN(--H37,$C$7))</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IF(H38="","",MIN(--H38,$C$7))</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IF(H39="","",MIN(--H39,$C$7))</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IF(H40="","",MIN(--H40,$C$7))</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IF(H41="","",MIN(--H41,$C$7))</f>
        <v/>
      </c>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I1" location="'Scores (start here)'!A1" display="← Back to Scores (start here)"/>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 collapsed="false" customWidth="true" hidden="false" outlineLevel="0" max="11" min="11" style="77" width="30"/>
  </cols>
  <sheetData>
    <row r="1" customFormat="false" ht="14.25" hidden="false" customHeight="true" outlineLevel="0" collapsed="false">
      <c r="A1" s="238" t="s">
        <v>1288</v>
      </c>
      <c r="B1" s="238" t="s">
        <v>516</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improve access, safety, affordability and development outcomes for women and the urban poor?</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41" t="n">
        <f aca="false">VLOOKUP($B$1,'UPD Questions_290926 '!$E$1:$N$300,MATCH($A$7,'UPD Questions_290926 '!$E$1:$N$1,0),0)</f>
        <v>2</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Check whether development regulation contains specific controls, standards, relaxations or incentives addressing the needs of women and the urban poor. For the urban poor, check for provisions enabling or incentivising EWS/LIG or affordable housing, inclusionary housing, slum redevelopment/upgradation, in-situ redevelopment, incremental housing or other affordable housing options through measures such as additional FAR/FSI, density incentives, reduced plot-size/setback/parking requirements, reservation of dwelling units or built-up area, cross-subsidy, TDR or other regulatory flexibility. For women, check for development/design provisions specifically addressing women's safety, accessibility and use of buildings and public spaces, such as gender-responsive design standards, requirements relating to safe access, lighting/visibility, sanitation/facilities for women, childcare facilities, or other provisions explicitly addressing women's needs. Score 2: Atleast two or more specific development controls, standards, relaxations or incentives addressing both women and the urban poor are provided.Score 1: Specific development controls, standards, relaxations or incentives addressing either women or the urban poor, but not both, are mentioned in atleast two or more provisions. Score 0: No specific development provision addressing either women or the urban poor is found. Note: General provisions applicable to all developments or users should not be counted unless they specifically address the needs of women or the urban poor. Similarly, merely referring to EWS/LIG housing or women's safety without prescribing a corresponding development control, standard, requirement, relaxation or incentive should not qualify.For example: Additional FAR/FSI or relaxed development standards for EWS/affordable housing would qualify as a provision for the urban poor. Specific design requirements addressing women's safety or access would qualify as a provision for women. Keywords for scorer:Urban poor: EWS; LIG; economically weaker section; low income; affordable housing; inclusionary housing; inclusive housing; social housing; slum; slum rehabilitation; slum redevelopment; in-situ; incremental housing; small dwelling; small plot; density bonus; FAR; FSI; TDR; cross subsidy; development standards; relaxation.Women: women; woman; female; gender; gender responsive; gender sensitive; women safety; safety; safe access; lighting; visibility; toilet for women; female toilet; sanitary facility; childcare; crèche; public space; public realm.</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capture the text that mentions the broad provisions related to the theme and the incentives it offers clearly </v>
      </c>
    </row>
    <row r="11" customFormat="false" ht="28.5" hidden="false" customHeight="true" outlineLevel="0" collapsed="false">
      <c r="H11" s="243" t="s">
        <v>1752</v>
      </c>
      <c r="I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1753</v>
      </c>
      <c r="I12" s="244" t="s">
        <v>1303</v>
      </c>
      <c r="J12" s="246" t="s">
        <v>1304</v>
      </c>
      <c r="K12" s="246" t="s">
        <v>1760</v>
      </c>
      <c r="L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here)'!$B:$B,$A13),L13)</f>
        <v/>
      </c>
      <c r="J13" s="248"/>
      <c r="K13" s="248"/>
      <c r="L13" s="77" t="str">
        <f aca="false">IF(H13="","",MIN(--H13,$C$7))</f>
        <v/>
      </c>
    </row>
    <row r="14" customFormat="false" ht="15" hidden="false" customHeight="true" outlineLevel="0" collapsed="false">
      <c r="A14" s="247" t="s">
        <v>19</v>
      </c>
      <c r="B14" s="248"/>
      <c r="C14" s="248"/>
      <c r="D14" s="248"/>
      <c r="E14" s="248"/>
      <c r="F14" s="248"/>
      <c r="G14" s="253" t="s">
        <v>1530</v>
      </c>
      <c r="H14" s="249" t="n">
        <v>0</v>
      </c>
      <c r="I14" s="250" t="n">
        <f aca="false">IF(COUNTIFS('Scores (start here)'!$A:$A,$B$1,'Scores (start here)'!$B:$B,$A14,'Scores (start here)'!$F:$F,"&gt;=0")&gt;0,SUMIFS('Scores (start here)'!$F:$F,'Scores (start here)'!$A:$A,$B$1,'Scores (start here)'!$B:$B,$A14),L14)</f>
        <v>0</v>
      </c>
      <c r="J14" s="248" t="s">
        <v>1761</v>
      </c>
      <c r="K14" s="248"/>
      <c r="L14" s="77" t="n">
        <f aca="false">IF(H14="","",MIN(--H14,$C$7))</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here)'!$B:$B,$A15),L15)</f>
        <v/>
      </c>
      <c r="J15" s="248"/>
      <c r="K15" s="248"/>
      <c r="L15" s="77" t="str">
        <f aca="false">IF(H15="","",MIN(--H15,$C$7))</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here)'!$B:$B,$A16),L16)</f>
        <v/>
      </c>
      <c r="J16" s="248"/>
      <c r="K16" s="248"/>
      <c r="L16" s="77" t="str">
        <f aca="false">IF(H16="","",MIN(--H16,$C$7))</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here)'!$B:$B,$A17),L17)</f>
        <v/>
      </c>
      <c r="J17" s="248"/>
      <c r="K17" s="248"/>
      <c r="L17" s="77" t="str">
        <f aca="false">IF(H17="","",MIN(--H17,$C$7))</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here)'!$B:$B,$A18),L18)</f>
        <v/>
      </c>
      <c r="J18" s="248"/>
      <c r="K18" s="248"/>
      <c r="L18" s="77" t="str">
        <f aca="false">IF(H18="","",MIN(--H18,$C$7))</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here)'!$B:$B,$A19),L19)</f>
        <v/>
      </c>
      <c r="J19" s="248"/>
      <c r="K19" s="248"/>
      <c r="L19" s="77" t="str">
        <f aca="false">IF(H19="","",MIN(--H19,$C$7))</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here)'!$B:$B,$A20),L20)</f>
        <v/>
      </c>
      <c r="J20" s="248"/>
      <c r="K20" s="248"/>
      <c r="L20" s="77" t="str">
        <f aca="false">IF(H20="","",MIN(--H20,$C$7))</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here)'!$B:$B,$A21),L21)</f>
        <v/>
      </c>
      <c r="J21" s="248"/>
      <c r="K21" s="248"/>
      <c r="L21" s="77" t="str">
        <f aca="false">IF(H21="","",MIN(--H21,$C$7))</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here)'!$B:$B,$A22),L22)</f>
        <v/>
      </c>
      <c r="J22" s="248"/>
      <c r="K22" s="248"/>
      <c r="L22" s="77" t="str">
        <f aca="false">IF(H22="","",MIN(--H22,$C$7))</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here)'!$B:$B,$A23),L23)</f>
        <v/>
      </c>
      <c r="J23" s="248"/>
      <c r="K23" s="248"/>
      <c r="L23" s="77" t="str">
        <f aca="false">IF(H23="","",MIN(--H23,$C$7))</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here)'!$B:$B,$A24),L24)</f>
        <v/>
      </c>
      <c r="J24" s="248"/>
      <c r="K24" s="248"/>
      <c r="L24" s="77" t="str">
        <f aca="false">IF(H24="","",MIN(--H24,$C$7))</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here)'!$B:$B,$A25),L25)</f>
        <v/>
      </c>
      <c r="J25" s="248"/>
      <c r="K25" s="248"/>
      <c r="L25" s="77" t="str">
        <f aca="false">IF(H25="","",MIN(--H25,$C$7))</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here)'!$B:$B,$A26),L26)</f>
        <v/>
      </c>
      <c r="J26" s="248"/>
      <c r="K26" s="248"/>
      <c r="L26" s="77" t="str">
        <f aca="false">IF(H26="","",MIN(--H26,$C$7))</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here)'!$B:$B,$A27),L27)</f>
        <v/>
      </c>
      <c r="J27" s="248"/>
      <c r="K27" s="248"/>
      <c r="L27" s="77" t="str">
        <f aca="false">IF(H27="","",MIN(--H27,$C$7))</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here)'!$B:$B,$A28),L28)</f>
        <v/>
      </c>
      <c r="J28" s="248"/>
      <c r="K28" s="248"/>
      <c r="L28" s="77" t="str">
        <f aca="false">IF(H28="","",MIN(--H28,$C$7))</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here)'!$B:$B,$A29),L29)</f>
        <v/>
      </c>
      <c r="J29" s="248"/>
      <c r="K29" s="248"/>
      <c r="L29" s="77" t="str">
        <f aca="false">IF(H29="","",MIN(--H29,$C$7))</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here)'!$B:$B,$A30),L30)</f>
        <v/>
      </c>
      <c r="J30" s="248"/>
      <c r="K30" s="248"/>
      <c r="L30" s="77" t="str">
        <f aca="false">IF(H30="","",MIN(--H30,$C$7))</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here)'!$B:$B,$A31),L31)</f>
        <v/>
      </c>
      <c r="J31" s="248"/>
      <c r="K31" s="248"/>
      <c r="L31" s="77" t="str">
        <f aca="false">IF(H31="","",MIN(--H31,$C$7))</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here)'!$B:$B,$A32),L32)</f>
        <v/>
      </c>
      <c r="J32" s="248"/>
      <c r="K32" s="248"/>
      <c r="L32" s="77" t="str">
        <f aca="false">IF(H32="","",MIN(--H32,$C$7))</f>
        <v/>
      </c>
    </row>
    <row r="33" customFormat="false" ht="14.25" hidden="false" customHeight="true" outlineLevel="0" collapsed="false">
      <c r="A33" s="247" t="s">
        <v>30</v>
      </c>
      <c r="B33" s="248" t="s">
        <v>473</v>
      </c>
      <c r="C33" s="248" t="s">
        <v>1762</v>
      </c>
      <c r="D33" s="248" t="s">
        <v>1763</v>
      </c>
      <c r="E33" s="248" t="s">
        <v>1764</v>
      </c>
      <c r="F33" s="248" t="s">
        <v>1765</v>
      </c>
      <c r="G33" s="248" t="s">
        <v>474</v>
      </c>
      <c r="H33" s="249" t="n">
        <v>1</v>
      </c>
      <c r="I33" s="250" t="n">
        <f aca="false">IF(COUNTIFS('Scores (start here)'!$A:$A,$B$1,'Scores (start here)'!$B:$B,$A33,'Scores (start here)'!$F:$F,"&gt;=0")&gt;0,SUMIFS('Scores (start here)'!$F:$F,'Scores (start here)'!$A:$A,$B$1,'Scores (start here)'!$B:$B,$A33),L33)</f>
        <v>1</v>
      </c>
      <c r="J33" s="251" t="s">
        <v>1766</v>
      </c>
      <c r="K33" s="248"/>
      <c r="L33" s="77" t="n">
        <f aca="false">IF(H33="","",MIN(--H33,$C$7))</f>
        <v>1</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here)'!$B:$B,$A34),L34)</f>
        <v/>
      </c>
      <c r="J34" s="248"/>
      <c r="K34" s="248"/>
      <c r="L34" s="77" t="str">
        <f aca="false">IF(H34="","",MIN(--H34,$C$7))</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here)'!$B:$B,$A35),L35)</f>
        <v/>
      </c>
      <c r="J35" s="248"/>
      <c r="K35" s="248"/>
      <c r="L35" s="77" t="str">
        <f aca="false">IF(H35="","",MIN(--H35,$C$7))</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here)'!$B:$B,$A36),L36)</f>
        <v/>
      </c>
      <c r="J36" s="248"/>
      <c r="K36" s="248"/>
      <c r="L36" s="77" t="str">
        <f aca="false">IF(H36="","",MIN(--H36,$C$7))</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here)'!$B:$B,$A37),L37)</f>
        <v/>
      </c>
      <c r="J37" s="248"/>
      <c r="K37" s="248"/>
      <c r="L37" s="77" t="str">
        <f aca="false">IF(H37="","",MIN(--H37,$C$7))</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here)'!$B:$B,$A38),L38)</f>
        <v/>
      </c>
      <c r="J38" s="248"/>
      <c r="K38" s="248"/>
      <c r="L38" s="77" t="str">
        <f aca="false">IF(H38="","",MIN(--H38,$C$7))</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here)'!$B:$B,$A39),L39)</f>
        <v/>
      </c>
      <c r="J39" s="248"/>
      <c r="K39" s="248"/>
      <c r="L39" s="77" t="str">
        <f aca="false">IF(H39="","",MIN(--H39,$C$7))</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here)'!$B:$B,$A40),L40)</f>
        <v/>
      </c>
      <c r="J40" s="248"/>
      <c r="K40" s="248"/>
      <c r="L40" s="77" t="str">
        <f aca="false">IF(H40="","",MIN(--H40,$C$7))</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here)'!$B:$B,$A41),L41)</f>
        <v/>
      </c>
      <c r="J41" s="248"/>
      <c r="K41" s="248"/>
      <c r="L41" s="77" t="str">
        <f aca="false">IF(H41="","",MIN(--H41,$C$7))</f>
        <v/>
      </c>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I1" location="'Scores (start here)'!A1" display="← Back to Scores (start here)"/>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B11"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 collapsed="false" customWidth="true" hidden="false" outlineLevel="0" max="11" min="11" style="77" width="30"/>
  </cols>
  <sheetData>
    <row r="1" customFormat="false" ht="14.25" hidden="false" customHeight="true" outlineLevel="0" collapsed="false">
      <c r="A1" s="238" t="s">
        <v>1288</v>
      </c>
      <c r="B1" s="238" t="s">
        <v>522</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promote environmental sustainability and climate resilience?</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41" t="n">
        <f aca="false">VLOOKUP($B$1,'UPD Questions_290926 '!$E$1:$N$300,MATCH($A$7,'UPD Questions_290926 '!$E$1:$N$1,0),0)</f>
        <v>2</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Check whether development regulation promotes environmentally sustainable or climate-resilient development, including through standards, incentives, or enabling provisions relating to green buildings, energy efficiency, water conservation, permeability, green cover, rainwater management, heat mitigation, flood resilience, or development appropriate to environmentally sensitive areas. Score 2:  Specific controls, standards or incentives actively promote environmental sustainability or climate resilience.Score 1: The DCR protects environmentally sensitive/climate-vulnerable areas or imposes environmental restrictions, but does not contain a clear enabling/incentive provision.Score 0 — No relevant environmental or climate-related development provision is found. Note: A generic requirement to obtain environmental clearance based on project size does not, by itself, qualify as an enabling environmental/climate provision.For example: Prohibiting construction within a lake buffer will score 1, whereas permeability/green-cover standards, incentives for green buildings, resilience-oriented development standards, and additional benefits for achieving specified environmental outcomes will score 2 Keywords for scorer: environment; climate; resilience; green building; green rating; GRIHA; IGBC; LEED; energy efficiency; solar; renewable energy; rainwater harvesting; stormwater; flood; floodplain; wetland; water body; lake; buffer; coastal; CRZ; groundwater; recharge; permeability; pervious; green cover; tree cover; open space; heat; cool roof; sustainable; FAR incentive; FSI incentive.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Capture the text that mentions the broad provisions related to the theme and the incentives it offers</v>
      </c>
    </row>
    <row r="11" customFormat="false" ht="28.5" hidden="false" customHeight="true" outlineLevel="0" collapsed="false">
      <c r="H11" s="243" t="s">
        <v>1752</v>
      </c>
      <c r="I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1753</v>
      </c>
      <c r="I12" s="244" t="s">
        <v>1303</v>
      </c>
      <c r="J12" s="246" t="s">
        <v>1304</v>
      </c>
      <c r="K12" s="246" t="s">
        <v>1760</v>
      </c>
      <c r="L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here)'!$B:$B,$A13),L13)</f>
        <v/>
      </c>
      <c r="J13" s="248"/>
      <c r="K13" s="248"/>
      <c r="L13" s="77" t="str">
        <f aca="false">IF(H13="","",MIN(--H13,$C$7))</f>
        <v/>
      </c>
    </row>
    <row r="14" customFormat="false" ht="15" hidden="false" customHeight="true" outlineLevel="0" collapsed="false">
      <c r="A14" s="247" t="s">
        <v>19</v>
      </c>
      <c r="B14" s="248" t="s">
        <v>49</v>
      </c>
      <c r="C14" s="248" t="s">
        <v>1767</v>
      </c>
      <c r="D14" s="248" t="s">
        <v>1768</v>
      </c>
      <c r="E14" s="248" t="s">
        <v>1769</v>
      </c>
      <c r="F14" s="248" t="s">
        <v>1491</v>
      </c>
      <c r="G14" s="253" t="s">
        <v>50</v>
      </c>
      <c r="H14" s="249" t="n">
        <v>0</v>
      </c>
      <c r="I14" s="250" t="n">
        <f aca="false">IF(COUNTIFS('Scores (start here)'!$A:$A,$B$1,'Scores (start here)'!$B:$B,$A14,'Scores (start here)'!$F:$F,"&gt;=0")&gt;0,SUMIFS('Scores (start here)'!$F:$F,'Scores (start here)'!$A:$A,$B$1,'Scores (start here)'!$B:$B,$A14),L14)</f>
        <v>0</v>
      </c>
      <c r="J14" s="251" t="s">
        <v>1770</v>
      </c>
      <c r="K14" s="248"/>
      <c r="L14" s="77" t="n">
        <f aca="false">IF(H14="","",MIN(--H14,$C$7))</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here)'!$B:$B,$A15),L15)</f>
        <v/>
      </c>
      <c r="J15" s="248"/>
      <c r="K15" s="248"/>
      <c r="L15" s="77" t="str">
        <f aca="false">IF(H15="","",MIN(--H15,$C$7))</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here)'!$B:$B,$A16),L16)</f>
        <v/>
      </c>
      <c r="J16" s="248"/>
      <c r="K16" s="248"/>
      <c r="L16" s="77" t="str">
        <f aca="false">IF(H16="","",MIN(--H16,$C$7))</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here)'!$B:$B,$A17),L17)</f>
        <v/>
      </c>
      <c r="J17" s="248"/>
      <c r="K17" s="248"/>
      <c r="L17" s="77" t="str">
        <f aca="false">IF(H17="","",MIN(--H17,$C$7))</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here)'!$B:$B,$A18),L18)</f>
        <v/>
      </c>
      <c r="J18" s="248"/>
      <c r="K18" s="248"/>
      <c r="L18" s="77" t="str">
        <f aca="false">IF(H18="","",MIN(--H18,$C$7))</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here)'!$B:$B,$A19),L19)</f>
        <v/>
      </c>
      <c r="J19" s="248"/>
      <c r="K19" s="248"/>
      <c r="L19" s="77" t="str">
        <f aca="false">IF(H19="","",MIN(--H19,$C$7))</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here)'!$B:$B,$A20),L20)</f>
        <v/>
      </c>
      <c r="J20" s="248"/>
      <c r="K20" s="248"/>
      <c r="L20" s="77" t="str">
        <f aca="false">IF(H20="","",MIN(--H20,$C$7))</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here)'!$B:$B,$A21),L21)</f>
        <v/>
      </c>
      <c r="J21" s="248"/>
      <c r="K21" s="248"/>
      <c r="L21" s="77" t="str">
        <f aca="false">IF(H21="","",MIN(--H21,$C$7))</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here)'!$B:$B,$A22),L22)</f>
        <v/>
      </c>
      <c r="J22" s="248"/>
      <c r="K22" s="248"/>
      <c r="L22" s="77" t="str">
        <f aca="false">IF(H22="","",MIN(--H22,$C$7))</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here)'!$B:$B,$A23),L23)</f>
        <v/>
      </c>
      <c r="J23" s="248"/>
      <c r="K23" s="248"/>
      <c r="L23" s="77" t="str">
        <f aca="false">IF(H23="","",MIN(--H23,$C$7))</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here)'!$B:$B,$A24),L24)</f>
        <v/>
      </c>
      <c r="J24" s="248"/>
      <c r="K24" s="248"/>
      <c r="L24" s="77" t="str">
        <f aca="false">IF(H24="","",MIN(--H24,$C$7))</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here)'!$B:$B,$A25),L25)</f>
        <v/>
      </c>
      <c r="J25" s="248"/>
      <c r="K25" s="248"/>
      <c r="L25" s="77" t="str">
        <f aca="false">IF(H25="","",MIN(--H25,$C$7))</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here)'!$B:$B,$A26),L26)</f>
        <v/>
      </c>
      <c r="J26" s="248"/>
      <c r="K26" s="248"/>
      <c r="L26" s="77" t="str">
        <f aca="false">IF(H26="","",MIN(--H26,$C$7))</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here)'!$B:$B,$A27),L27)</f>
        <v/>
      </c>
      <c r="J27" s="248"/>
      <c r="K27" s="248"/>
      <c r="L27" s="77" t="str">
        <f aca="false">IF(H27="","",MIN(--H27,$C$7))</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here)'!$B:$B,$A28),L28)</f>
        <v/>
      </c>
      <c r="J28" s="248"/>
      <c r="K28" s="248"/>
      <c r="L28" s="77" t="str">
        <f aca="false">IF(H28="","",MIN(--H28,$C$7))</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here)'!$B:$B,$A29),L29)</f>
        <v/>
      </c>
      <c r="J29" s="248"/>
      <c r="K29" s="248"/>
      <c r="L29" s="77" t="str">
        <f aca="false">IF(H29="","",MIN(--H29,$C$7))</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here)'!$B:$B,$A30),L30)</f>
        <v/>
      </c>
      <c r="J30" s="248"/>
      <c r="K30" s="248"/>
      <c r="L30" s="77" t="str">
        <f aca="false">IF(H30="","",MIN(--H30,$C$7))</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here)'!$B:$B,$A31),L31)</f>
        <v/>
      </c>
      <c r="J31" s="248"/>
      <c r="K31" s="248"/>
      <c r="L31" s="77" t="str">
        <f aca="false">IF(H31="","",MIN(--H31,$C$7))</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here)'!$B:$B,$A32),L32)</f>
        <v/>
      </c>
      <c r="J32" s="248"/>
      <c r="K32" s="248"/>
      <c r="L32" s="77" t="str">
        <f aca="false">IF(H32="","",MIN(--H32,$C$7))</f>
        <v/>
      </c>
    </row>
    <row r="33" customFormat="false" ht="14.25" hidden="false" customHeight="true" outlineLevel="0" collapsed="false">
      <c r="A33" s="247" t="s">
        <v>30</v>
      </c>
      <c r="B33" s="248" t="s">
        <v>529</v>
      </c>
      <c r="C33" s="248" t="s">
        <v>1771</v>
      </c>
      <c r="D33" s="248" t="s">
        <v>1772</v>
      </c>
      <c r="E33" s="248" t="s">
        <v>1773</v>
      </c>
      <c r="F33" s="248" t="s">
        <v>1774</v>
      </c>
      <c r="G33" s="248" t="s">
        <v>530</v>
      </c>
      <c r="H33" s="249" t="n">
        <v>2</v>
      </c>
      <c r="I33" s="250" t="n">
        <f aca="false">IF(COUNTIFS('Scores (start here)'!$A:$A,$B$1,'Scores (start here)'!$B:$B,$A33,'Scores (start here)'!$F:$F,"&gt;=0")&gt;0,SUMIFS('Scores (start here)'!$F:$F,'Scores (start here)'!$A:$A,$B$1,'Scores (start here)'!$B:$B,$A33),L33)</f>
        <v>2</v>
      </c>
      <c r="J33" s="251" t="s">
        <v>1775</v>
      </c>
      <c r="K33" s="248"/>
      <c r="L33" s="77" t="n">
        <f aca="false">IF(H33="","",MIN(--H33,$C$7))</f>
        <v>2</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here)'!$B:$B,$A34),L34)</f>
        <v/>
      </c>
      <c r="J34" s="248"/>
      <c r="K34" s="248"/>
      <c r="L34" s="77" t="str">
        <f aca="false">IF(H34="","",MIN(--H34,$C$7))</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here)'!$B:$B,$A35),L35)</f>
        <v/>
      </c>
      <c r="J35" s="248"/>
      <c r="K35" s="248"/>
      <c r="L35" s="77" t="str">
        <f aca="false">IF(H35="","",MIN(--H35,$C$7))</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here)'!$B:$B,$A36),L36)</f>
        <v/>
      </c>
      <c r="J36" s="248"/>
      <c r="K36" s="248"/>
      <c r="L36" s="77" t="str">
        <f aca="false">IF(H36="","",MIN(--H36,$C$7))</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here)'!$B:$B,$A37),L37)</f>
        <v/>
      </c>
      <c r="J37" s="248"/>
      <c r="K37" s="248"/>
      <c r="L37" s="77" t="str">
        <f aca="false">IF(H37="","",MIN(--H37,$C$7))</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here)'!$B:$B,$A38),L38)</f>
        <v/>
      </c>
      <c r="J38" s="248"/>
      <c r="K38" s="248"/>
      <c r="L38" s="77" t="str">
        <f aca="false">IF(H38="","",MIN(--H38,$C$7))</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here)'!$B:$B,$A39),L39)</f>
        <v/>
      </c>
      <c r="J39" s="248"/>
      <c r="K39" s="248"/>
      <c r="L39" s="77" t="str">
        <f aca="false">IF(H39="","",MIN(--H39,$C$7))</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here)'!$B:$B,$A40),L40)</f>
        <v/>
      </c>
      <c r="J40" s="248"/>
      <c r="K40" s="248"/>
      <c r="L40" s="77" t="str">
        <f aca="false">IF(H40="","",MIN(--H40,$C$7))</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here)'!$B:$B,$A41),L41)</f>
        <v/>
      </c>
      <c r="J41" s="248"/>
      <c r="K41" s="248"/>
      <c r="L41" s="77" t="str">
        <f aca="false">IF(H41="","",MIN(--H41,$C$7))</f>
        <v/>
      </c>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I1" location="'Scores (start here)'!A1" display="← Back to Scores (start here)"/>
    <hyperlink ref="G14" r:id="rId1" display="https://prsindia.org/files/bills_acts/acts_states/karnataka/2025/Act36of2025KA.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 collapsed="false" customWidth="true" hidden="false" outlineLevel="0" max="11" min="11" style="77" width="30"/>
  </cols>
  <sheetData>
    <row r="1" customFormat="false" ht="14.25" hidden="false" customHeight="true" outlineLevel="0" collapsed="false">
      <c r="A1" s="238" t="s">
        <v>1288</v>
      </c>
      <c r="B1" s="238" t="s">
        <v>533</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or standards that promote positive public-health outcomes?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41" t="n">
        <f aca="false">VLOOKUP($B$1,'UPD Questions_290926 '!$E$1:$N$300,MATCH($A$7,'UPD Questions_290926 '!$E$1:$N$1,0),0)</f>
        <v>2</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Check whether development regulation promotes positive public-health outcomes through controls, standards or enabling provisions relating to ventilation and natural light, sanitation, overcrowding/density, separation of hazardous or incompatible uses, buffers from polluting activities, or other health-related spatial risks. Score 2: Specific development controls or standards actively promote positive public-health outcomes beyond routine minimum building requirements are mentioned in two or more places.Score 1: The DCR/building regulations prescribe basic or minimum requirements relating to ventilation/light, sanitation, density, hazardous uses or separation from polluting activities, but do not contain additional provisions aimed at improving public-health outcomes. Identify atleast two or more such provisions.Score 0: No relevant development control or standard addressing public-health-related spatial risks is found. Note: Routine building requirements that establish minimum standards for individual buildings should not, by themselves, receive Score 2. Award the full score where development regulation goes beyond these basic requirements to address a broader public-health outcome or spatial risk.For example: A general requirement prescribing minimum window area or provision of toilets for buildings will score 1, whereas specific controls addressing overcrowding, density in relation to health, buffers/separation distances from hazardous or polluting uses, enhanced ventilation/light standards for identified contexts, or other development standards explicitly addressing health-related spatial risks will score 2. Keywords for scorer: public health; health; sanitation; ventilation; natural ventilation; light; natural light; lighting; overcrowding; density; occupancy; hazardous use; hazardous industry; noxious; polluting; pollution; buffer; buffer zone; separation distance; setback; incompatible use; industrial use; industrial hazard; waste; solid waste; sewerage; toilet; latrine; open space; health hazard.</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capture the text that mentions the broad provisions related to the theme and the incentives it offers clearly </v>
      </c>
    </row>
    <row r="11" customFormat="false" ht="28.5" hidden="false" customHeight="true" outlineLevel="0" collapsed="false">
      <c r="H11" s="243" t="s">
        <v>1752</v>
      </c>
      <c r="I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1753</v>
      </c>
      <c r="I12" s="244" t="s">
        <v>1303</v>
      </c>
      <c r="J12" s="246" t="s">
        <v>1304</v>
      </c>
      <c r="K12" s="246" t="s">
        <v>1760</v>
      </c>
      <c r="L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here)'!$B:$B,$A13),L13)</f>
        <v/>
      </c>
      <c r="J13" s="248"/>
      <c r="K13" s="248"/>
      <c r="L13" s="77" t="str">
        <f aca="false">IF(H13="","",MIN(--H13,$C$7))</f>
        <v/>
      </c>
    </row>
    <row r="14" customFormat="false" ht="15" hidden="false" customHeight="true" outlineLevel="0" collapsed="false">
      <c r="A14" s="247" t="s">
        <v>19</v>
      </c>
      <c r="B14" s="248"/>
      <c r="C14" s="248"/>
      <c r="D14" s="248"/>
      <c r="E14" s="248"/>
      <c r="F14" s="248"/>
      <c r="G14" s="253" t="s">
        <v>1530</v>
      </c>
      <c r="H14" s="249" t="n">
        <v>0</v>
      </c>
      <c r="I14" s="250" t="n">
        <f aca="false">IF(COUNTIFS('Scores (start here)'!$A:$A,$B$1,'Scores (start here)'!$B:$B,$A14,'Scores (start here)'!$F:$F,"&gt;=0")&gt;0,SUMIFS('Scores (start here)'!$F:$F,'Scores (start here)'!$A:$A,$B$1,'Scores (start here)'!$B:$B,$A14),L14)</f>
        <v>0</v>
      </c>
      <c r="J14" s="248" t="s">
        <v>1776</v>
      </c>
      <c r="K14" s="248"/>
      <c r="L14" s="77" t="n">
        <f aca="false">IF(H14="","",MIN(--H14,$C$7))</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here)'!$B:$B,$A15),L15)</f>
        <v/>
      </c>
      <c r="J15" s="248"/>
      <c r="K15" s="248"/>
      <c r="L15" s="77" t="str">
        <f aca="false">IF(H15="","",MIN(--H15,$C$7))</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here)'!$B:$B,$A16),L16)</f>
        <v/>
      </c>
      <c r="J16" s="248"/>
      <c r="K16" s="248"/>
      <c r="L16" s="77" t="str">
        <f aca="false">IF(H16="","",MIN(--H16,$C$7))</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here)'!$B:$B,$A17),L17)</f>
        <v/>
      </c>
      <c r="J17" s="248"/>
      <c r="K17" s="248"/>
      <c r="L17" s="77" t="str">
        <f aca="false">IF(H17="","",MIN(--H17,$C$7))</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here)'!$B:$B,$A18),L18)</f>
        <v/>
      </c>
      <c r="J18" s="248"/>
      <c r="K18" s="248"/>
      <c r="L18" s="77" t="str">
        <f aca="false">IF(H18="","",MIN(--H18,$C$7))</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here)'!$B:$B,$A19),L19)</f>
        <v/>
      </c>
      <c r="J19" s="248"/>
      <c r="K19" s="248"/>
      <c r="L19" s="77" t="str">
        <f aca="false">IF(H19="","",MIN(--H19,$C$7))</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here)'!$B:$B,$A20),L20)</f>
        <v/>
      </c>
      <c r="J20" s="248"/>
      <c r="K20" s="248"/>
      <c r="L20" s="77" t="str">
        <f aca="false">IF(H20="","",MIN(--H20,$C$7))</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here)'!$B:$B,$A21),L21)</f>
        <v/>
      </c>
      <c r="J21" s="248"/>
      <c r="K21" s="248"/>
      <c r="L21" s="77" t="str">
        <f aca="false">IF(H21="","",MIN(--H21,$C$7))</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here)'!$B:$B,$A22),L22)</f>
        <v/>
      </c>
      <c r="J22" s="248"/>
      <c r="K22" s="248"/>
      <c r="L22" s="77" t="str">
        <f aca="false">IF(H22="","",MIN(--H22,$C$7))</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here)'!$B:$B,$A23),L23)</f>
        <v/>
      </c>
      <c r="J23" s="248"/>
      <c r="K23" s="248"/>
      <c r="L23" s="77" t="str">
        <f aca="false">IF(H23="","",MIN(--H23,$C$7))</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here)'!$B:$B,$A24),L24)</f>
        <v/>
      </c>
      <c r="J24" s="248"/>
      <c r="K24" s="248"/>
      <c r="L24" s="77" t="str">
        <f aca="false">IF(H24="","",MIN(--H24,$C$7))</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here)'!$B:$B,$A25),L25)</f>
        <v/>
      </c>
      <c r="J25" s="248"/>
      <c r="K25" s="248"/>
      <c r="L25" s="77" t="str">
        <f aca="false">IF(H25="","",MIN(--H25,$C$7))</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here)'!$B:$B,$A26),L26)</f>
        <v/>
      </c>
      <c r="J26" s="248"/>
      <c r="K26" s="248"/>
      <c r="L26" s="77" t="str">
        <f aca="false">IF(H26="","",MIN(--H26,$C$7))</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here)'!$B:$B,$A27),L27)</f>
        <v/>
      </c>
      <c r="J27" s="248"/>
      <c r="K27" s="248"/>
      <c r="L27" s="77" t="str">
        <f aca="false">IF(H27="","",MIN(--H27,$C$7))</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here)'!$B:$B,$A28),L28)</f>
        <v/>
      </c>
      <c r="J28" s="248"/>
      <c r="K28" s="248"/>
      <c r="L28" s="77" t="str">
        <f aca="false">IF(H28="","",MIN(--H28,$C$7))</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here)'!$B:$B,$A29),L29)</f>
        <v/>
      </c>
      <c r="J29" s="248"/>
      <c r="K29" s="248"/>
      <c r="L29" s="77" t="str">
        <f aca="false">IF(H29="","",MIN(--H29,$C$7))</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here)'!$B:$B,$A30),L30)</f>
        <v/>
      </c>
      <c r="J30" s="248"/>
      <c r="K30" s="248"/>
      <c r="L30" s="77" t="str">
        <f aca="false">IF(H30="","",MIN(--H30,$C$7))</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here)'!$B:$B,$A31),L31)</f>
        <v/>
      </c>
      <c r="J31" s="248"/>
      <c r="K31" s="248"/>
      <c r="L31" s="77" t="str">
        <f aca="false">IF(H31="","",MIN(--H31,$C$7))</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here)'!$B:$B,$A32),L32)</f>
        <v/>
      </c>
      <c r="J32" s="248"/>
      <c r="K32" s="248"/>
      <c r="L32" s="77" t="str">
        <f aca="false">IF(H32="","",MIN(--H32,$C$7))</f>
        <v/>
      </c>
    </row>
    <row r="33" customFormat="false" ht="14.25" hidden="false" customHeight="true" outlineLevel="0" collapsed="false">
      <c r="A33" s="247" t="s">
        <v>30</v>
      </c>
      <c r="B33" s="248" t="s">
        <v>473</v>
      </c>
      <c r="C33" s="248" t="s">
        <v>1777</v>
      </c>
      <c r="D33" s="248" t="s">
        <v>1778</v>
      </c>
      <c r="E33" s="248" t="s">
        <v>1779</v>
      </c>
      <c r="F33" s="248" t="s">
        <v>1746</v>
      </c>
      <c r="G33" s="248" t="s">
        <v>474</v>
      </c>
      <c r="H33" s="249" t="n">
        <v>2</v>
      </c>
      <c r="I33" s="250" t="n">
        <f aca="false">IF(COUNTIFS('Scores (start here)'!$A:$A,$B$1,'Scores (start here)'!$B:$B,$A33,'Scores (start here)'!$F:$F,"&gt;=0")&gt;0,SUMIFS('Scores (start here)'!$F:$F,'Scores (start here)'!$A:$A,$B$1,'Scores (start here)'!$B:$B,$A33),L33)</f>
        <v>2</v>
      </c>
      <c r="J33" s="251" t="s">
        <v>1780</v>
      </c>
      <c r="K33" s="248"/>
      <c r="L33" s="77" t="n">
        <f aca="false">IF(H33="","",MIN(--H33,$C$7))</f>
        <v>2</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here)'!$B:$B,$A34),L34)</f>
        <v/>
      </c>
      <c r="J34" s="248"/>
      <c r="K34" s="248"/>
      <c r="L34" s="77" t="str">
        <f aca="false">IF(H34="","",MIN(--H34,$C$7))</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here)'!$B:$B,$A35),L35)</f>
        <v/>
      </c>
      <c r="J35" s="248"/>
      <c r="K35" s="248"/>
      <c r="L35" s="77" t="str">
        <f aca="false">IF(H35="","",MIN(--H35,$C$7))</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here)'!$B:$B,$A36),L36)</f>
        <v/>
      </c>
      <c r="J36" s="248"/>
      <c r="K36" s="248"/>
      <c r="L36" s="77" t="str">
        <f aca="false">IF(H36="","",MIN(--H36,$C$7))</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here)'!$B:$B,$A37),L37)</f>
        <v/>
      </c>
      <c r="J37" s="248"/>
      <c r="K37" s="248"/>
      <c r="L37" s="77" t="str">
        <f aca="false">IF(H37="","",MIN(--H37,$C$7))</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here)'!$B:$B,$A38),L38)</f>
        <v/>
      </c>
      <c r="J38" s="248"/>
      <c r="K38" s="248"/>
      <c r="L38" s="77" t="str">
        <f aca="false">IF(H38="","",MIN(--H38,$C$7))</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here)'!$B:$B,$A39),L39)</f>
        <v/>
      </c>
      <c r="J39" s="248"/>
      <c r="K39" s="248"/>
      <c r="L39" s="77" t="str">
        <f aca="false">IF(H39="","",MIN(--H39,$C$7))</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here)'!$B:$B,$A40),L40)</f>
        <v/>
      </c>
      <c r="J40" s="248"/>
      <c r="K40" s="248"/>
      <c r="L40" s="77" t="str">
        <f aca="false">IF(H40="","",MIN(--H40,$C$7))</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here)'!$B:$B,$A41),L41)</f>
        <v/>
      </c>
      <c r="J41" s="248"/>
      <c r="K41" s="248"/>
      <c r="L41" s="77" t="str">
        <f aca="false">IF(H41="","",MIN(--H41,$C$7))</f>
        <v/>
      </c>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I1" location="'Scores (start here)'!A1" display="← Back to Scores (start here)"/>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 collapsed="false" customWidth="true" hidden="false" outlineLevel="0" max="11" min="11" style="77" width="30"/>
  </cols>
  <sheetData>
    <row r="1" customFormat="false" ht="14.25" hidden="false" customHeight="true" outlineLevel="0" collapsed="false">
      <c r="A1" s="238" t="s">
        <v>1288</v>
      </c>
      <c r="B1" s="238" t="s">
        <v>539</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enable the conservation and adaptive reuse of heritage buildings, precincts or historic areas?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41" t="n">
        <f aca="false">VLOOKUP($B$1,'UPD Questions_290926 '!$E$1:$N$300,MATCH($A$7,'UPD Questions_290926 '!$E$1:$N$1,0),0)</f>
        <v>2</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Check whether development regulation enables or incentivises the conservation, restoration, continued use or adaptive reuse of heritage buildings, precincts or historic areas, including through transferable development rights (TDR), additional/transferable FAR or FSI, relaxation of setbacks or parking requirements, permission for compatible alternative uses, adaptive reuse provisions, financial/development incentives, or other regulatory flexibility linked to heritage conservation. Score 2: Specific controls, standards, relaxations or incentives actively enable or incentivise conservation, restoration, continued use or adaptive reuse of heritage buildings/areas are mentioned in atleast two or more such provisions. Score 1: The DCR protects heritage buildings/areas through restrictions or approval requirements. For example, restrictions on demolition, alteration, height, façade or development within heritage precincts, but does not contain provisions that actively enable or incentivise conservation or adaptive reuse. Identify atleast two or more such provisions. Score 0: No heritage-specific development control, standard or incentive is found. Note: Merely identifying/listing heritage buildings or requiring permission from a heritage conservation committee or other authority does not qualify for score 2 unless the DCR also provides an enabling or incentivising development provision. For example: Requiring heritage committee approval before alteration/demolition will score 1, whereas permitting adaptive reuse, granting TDR/development rights, allowing compatible alternative uses, or relaxing parking/setback requirements to facilitate conservation will score 2. Keywords for scorer: heritage; heritage building; listed building; heritage precinct; historic; historic core; conservation; preservation; restoration; adaptive reuse; reuse; change of use; alternative use; special character; heritage committee; demolition; alteration; façade; TDR; transferable development rights; FAR; FSI; incentive; parking relaxation; setback relaxation.</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capture the text that mentions the broad provisions related to the theme and the incentives it offers clearly </v>
      </c>
    </row>
    <row r="11" customFormat="false" ht="28.5" hidden="false" customHeight="true" outlineLevel="0" collapsed="false">
      <c r="H11" s="243" t="s">
        <v>1752</v>
      </c>
      <c r="I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1753</v>
      </c>
      <c r="I12" s="244" t="s">
        <v>1303</v>
      </c>
      <c r="J12" s="246" t="s">
        <v>1304</v>
      </c>
      <c r="K12" s="246" t="s">
        <v>1760</v>
      </c>
      <c r="L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here)'!$B:$B,$A13),L13)</f>
        <v/>
      </c>
      <c r="J13" s="248"/>
      <c r="K13" s="248"/>
      <c r="L13" s="77" t="str">
        <f aca="false">IF(H13="","",MIN(--H13,$C$7))</f>
        <v/>
      </c>
    </row>
    <row r="14" customFormat="false" ht="15" hidden="false" customHeight="true" outlineLevel="0" collapsed="false">
      <c r="A14" s="247" t="s">
        <v>19</v>
      </c>
      <c r="B14" s="248" t="s">
        <v>49</v>
      </c>
      <c r="C14" s="248" t="s">
        <v>1781</v>
      </c>
      <c r="D14" s="248" t="s">
        <v>1782</v>
      </c>
      <c r="E14" s="248" t="s">
        <v>1783</v>
      </c>
      <c r="F14" s="248" t="s">
        <v>1784</v>
      </c>
      <c r="G14" s="253" t="s">
        <v>50</v>
      </c>
      <c r="H14" s="249" t="n">
        <v>0</v>
      </c>
      <c r="I14" s="250" t="n">
        <f aca="false">IF(COUNTIFS('Scores (start here)'!$A:$A,$B$1,'Scores (start here)'!$B:$B,$A14,'Scores (start here)'!$F:$F,"&gt;=0")&gt;0,SUMIFS('Scores (start here)'!$F:$F,'Scores (start here)'!$A:$A,$B$1,'Scores (start here)'!$B:$B,$A14),L14)</f>
        <v>0</v>
      </c>
      <c r="J14" s="251" t="s">
        <v>1785</v>
      </c>
      <c r="K14" s="248"/>
      <c r="L14" s="77" t="n">
        <f aca="false">IF(H14="","",MIN(--H14,$C$7))</f>
        <v>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here)'!$B:$B,$A15),L15)</f>
        <v/>
      </c>
      <c r="J15" s="248"/>
      <c r="K15" s="248"/>
      <c r="L15" s="77" t="str">
        <f aca="false">IF(H15="","",MIN(--H15,$C$7))</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here)'!$B:$B,$A16),L16)</f>
        <v/>
      </c>
      <c r="J16" s="248"/>
      <c r="K16" s="248"/>
      <c r="L16" s="77" t="str">
        <f aca="false">IF(H16="","",MIN(--H16,$C$7))</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here)'!$B:$B,$A17),L17)</f>
        <v/>
      </c>
      <c r="J17" s="248"/>
      <c r="K17" s="248"/>
      <c r="L17" s="77" t="str">
        <f aca="false">IF(H17="","",MIN(--H17,$C$7))</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here)'!$B:$B,$A18),L18)</f>
        <v/>
      </c>
      <c r="J18" s="248"/>
      <c r="K18" s="248"/>
      <c r="L18" s="77" t="str">
        <f aca="false">IF(H18="","",MIN(--H18,$C$7))</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here)'!$B:$B,$A19),L19)</f>
        <v/>
      </c>
      <c r="J19" s="248"/>
      <c r="K19" s="248"/>
      <c r="L19" s="77" t="str">
        <f aca="false">IF(H19="","",MIN(--H19,$C$7))</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here)'!$B:$B,$A20),L20)</f>
        <v/>
      </c>
      <c r="J20" s="248"/>
      <c r="K20" s="248"/>
      <c r="L20" s="77" t="str">
        <f aca="false">IF(H20="","",MIN(--H20,$C$7))</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here)'!$B:$B,$A21),L21)</f>
        <v/>
      </c>
      <c r="J21" s="248"/>
      <c r="K21" s="248"/>
      <c r="L21" s="77" t="str">
        <f aca="false">IF(H21="","",MIN(--H21,$C$7))</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here)'!$B:$B,$A22),L22)</f>
        <v/>
      </c>
      <c r="J22" s="248"/>
      <c r="K22" s="248"/>
      <c r="L22" s="77" t="str">
        <f aca="false">IF(H22="","",MIN(--H22,$C$7))</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here)'!$B:$B,$A23),L23)</f>
        <v/>
      </c>
      <c r="J23" s="248"/>
      <c r="K23" s="248"/>
      <c r="L23" s="77" t="str">
        <f aca="false">IF(H23="","",MIN(--H23,$C$7))</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here)'!$B:$B,$A24),L24)</f>
        <v/>
      </c>
      <c r="J24" s="248"/>
      <c r="K24" s="248"/>
      <c r="L24" s="77" t="str">
        <f aca="false">IF(H24="","",MIN(--H24,$C$7))</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here)'!$B:$B,$A25),L25)</f>
        <v/>
      </c>
      <c r="J25" s="248"/>
      <c r="K25" s="248"/>
      <c r="L25" s="77" t="str">
        <f aca="false">IF(H25="","",MIN(--H25,$C$7))</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here)'!$B:$B,$A26),L26)</f>
        <v/>
      </c>
      <c r="J26" s="248"/>
      <c r="K26" s="248"/>
      <c r="L26" s="77" t="str">
        <f aca="false">IF(H26="","",MIN(--H26,$C$7))</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here)'!$B:$B,$A27),L27)</f>
        <v/>
      </c>
      <c r="J27" s="248"/>
      <c r="K27" s="248"/>
      <c r="L27" s="77" t="str">
        <f aca="false">IF(H27="","",MIN(--H27,$C$7))</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here)'!$B:$B,$A28),L28)</f>
        <v/>
      </c>
      <c r="J28" s="248"/>
      <c r="K28" s="248"/>
      <c r="L28" s="77" t="str">
        <f aca="false">IF(H28="","",MIN(--H28,$C$7))</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here)'!$B:$B,$A29),L29)</f>
        <v/>
      </c>
      <c r="J29" s="248"/>
      <c r="K29" s="248"/>
      <c r="L29" s="77" t="str">
        <f aca="false">IF(H29="","",MIN(--H29,$C$7))</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here)'!$B:$B,$A30),L30)</f>
        <v/>
      </c>
      <c r="J30" s="248"/>
      <c r="K30" s="248"/>
      <c r="L30" s="77" t="str">
        <f aca="false">IF(H30="","",MIN(--H30,$C$7))</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here)'!$B:$B,$A31),L31)</f>
        <v/>
      </c>
      <c r="J31" s="248"/>
      <c r="K31" s="248"/>
      <c r="L31" s="77" t="str">
        <f aca="false">IF(H31="","",MIN(--H31,$C$7))</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here)'!$B:$B,$A32),L32)</f>
        <v/>
      </c>
      <c r="J32" s="248"/>
      <c r="K32" s="248"/>
      <c r="L32" s="77" t="str">
        <f aca="false">IF(H32="","",MIN(--H32,$C$7))</f>
        <v/>
      </c>
    </row>
    <row r="33" customFormat="false" ht="14.25" hidden="false" customHeight="true" outlineLevel="0" collapsed="false">
      <c r="A33" s="247" t="s">
        <v>30</v>
      </c>
      <c r="B33" s="248" t="s">
        <v>545</v>
      </c>
      <c r="C33" s="248" t="s">
        <v>1786</v>
      </c>
      <c r="D33" s="248" t="s">
        <v>1787</v>
      </c>
      <c r="E33" s="248" t="s">
        <v>1788</v>
      </c>
      <c r="F33" s="248" t="s">
        <v>1789</v>
      </c>
      <c r="G33" s="248" t="s">
        <v>546</v>
      </c>
      <c r="H33" s="249" t="n">
        <v>1</v>
      </c>
      <c r="I33" s="250" t="n">
        <f aca="false">IF(COUNTIFS('Scores (start here)'!$A:$A,$B$1,'Scores (start here)'!$B:$B,$A33,'Scores (start here)'!$F:$F,"&gt;=0")&gt;0,SUMIFS('Scores (start here)'!$F:$F,'Scores (start here)'!$A:$A,$B$1,'Scores (start here)'!$B:$B,$A33),L33)</f>
        <v>1</v>
      </c>
      <c r="J33" s="251" t="s">
        <v>1790</v>
      </c>
      <c r="K33" s="248"/>
      <c r="L33" s="77" t="n">
        <f aca="false">IF(H33="","",MIN(--H33,$C$7))</f>
        <v>1</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here)'!$B:$B,$A34),L34)</f>
        <v/>
      </c>
      <c r="J34" s="248"/>
      <c r="K34" s="248"/>
      <c r="L34" s="77" t="str">
        <f aca="false">IF(H34="","",MIN(--H34,$C$7))</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here)'!$B:$B,$A35),L35)</f>
        <v/>
      </c>
      <c r="J35" s="248"/>
      <c r="K35" s="248"/>
      <c r="L35" s="77" t="str">
        <f aca="false">IF(H35="","",MIN(--H35,$C$7))</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here)'!$B:$B,$A36),L36)</f>
        <v/>
      </c>
      <c r="J36" s="248"/>
      <c r="K36" s="248"/>
      <c r="L36" s="77" t="str">
        <f aca="false">IF(H36="","",MIN(--H36,$C$7))</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here)'!$B:$B,$A37),L37)</f>
        <v/>
      </c>
      <c r="J37" s="248"/>
      <c r="K37" s="248"/>
      <c r="L37" s="77" t="str">
        <f aca="false">IF(H37="","",MIN(--H37,$C$7))</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here)'!$B:$B,$A38),L38)</f>
        <v/>
      </c>
      <c r="J38" s="248"/>
      <c r="K38" s="248"/>
      <c r="L38" s="77" t="str">
        <f aca="false">IF(H38="","",MIN(--H38,$C$7))</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here)'!$B:$B,$A39),L39)</f>
        <v/>
      </c>
      <c r="J39" s="248"/>
      <c r="K39" s="248"/>
      <c r="L39" s="77" t="str">
        <f aca="false">IF(H39="","",MIN(--H39,$C$7))</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here)'!$B:$B,$A40),L40)</f>
        <v/>
      </c>
      <c r="J40" s="248"/>
      <c r="K40" s="248"/>
      <c r="L40" s="77" t="str">
        <f aca="false">IF(H40="","",MIN(--H40,$C$7))</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here)'!$B:$B,$A41),L41)</f>
        <v/>
      </c>
      <c r="J41" s="248"/>
      <c r="K41" s="248"/>
      <c r="L41" s="77" t="str">
        <f aca="false">IF(H41="","",MIN(--H41,$C$7))</f>
        <v/>
      </c>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I1" location="'Scores (start here)'!A1" display="← Back to Scores (start here)"/>
    <hyperlink ref="G14" r:id="rId1" display="https://prsindia.org/files/bills_acts/acts_states/karnataka/2025/Act36of2025KA.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549</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Green-building incentives &gt;:&lt; Green-building incentives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mandate to provide incentives for green buildings, and are these incentives operationalised? &gt;:&lt; Does the law mandate incentives for green buildings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 &gt;:&lt; 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T&amp;CP Act and Municipal Act for a provision mandating or enabling the provision of incentives for green buildings. The Act need not specify the nature or quantum of the incentive; a clear statutory provision requiring or enabling green-building incentives is sufficient. Where specified, incentives may include additional FAR/FSI, property-tax rebates, fee/development-charge concessions, or other fiscal or development-control incentives.Score 5 if the Act provides a clear mandate or enabling provision for green-building incentives, even if the specific incentives are to be prescribed subsequently through rules, regulations or other instruments.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t="s">
        <v>49</v>
      </c>
      <c r="C14" s="248" t="s">
        <v>1791</v>
      </c>
      <c r="D14" s="248" t="s">
        <v>1792</v>
      </c>
      <c r="E14" s="248" t="s">
        <v>1793</v>
      </c>
      <c r="F14" s="248" t="s">
        <v>1794</v>
      </c>
      <c r="G14" s="248" t="s">
        <v>50</v>
      </c>
      <c r="H14" s="249"/>
      <c r="I14" s="250" t="str">
        <f aca="false">IF(COUNTIFS('Scores (start here)'!$A:$A,$B$1,'Scores (start here)'!$B:$B,$A14,'Scores (start here)'!$F:$F,"&gt;=0")&gt;0,SUMIFS('Scores (start here)'!$F:$F,'Scores (start here)'!$A:$A,$B$1,'Scores (start here)'!$B:$B,$A14),K14)</f>
        <v/>
      </c>
      <c r="J14" s="251" t="s">
        <v>1795</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t="s">
        <v>529</v>
      </c>
      <c r="C33" s="248" t="s">
        <v>1796</v>
      </c>
      <c r="D33" s="248" t="s">
        <v>1797</v>
      </c>
      <c r="E33" s="248"/>
      <c r="F33" s="248" t="s">
        <v>1774</v>
      </c>
      <c r="G33" s="248" t="s">
        <v>530</v>
      </c>
      <c r="H33" s="249"/>
      <c r="I33" s="250" t="str">
        <f aca="false">IF(COUNTIFS('Scores (start here)'!$A:$A,$B$1,'Scores (start here)'!$B:$B,$A33,'Scores (start here)'!$F:$F,"&gt;=0")&gt;0,SUMIFS('Scores (start here)'!$F:$F,'Scores (start here)'!$A:$A,$B$1,'Scores (start here)'!$B:$B,$A33),K33)</f>
        <v/>
      </c>
      <c r="J33" s="251" t="s">
        <v>1798</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556</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Green-building incentives &gt;:&lt; Green-building incentives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mandate to provide incentives for green buildings, and are these incentives operationalised? &gt;:&lt; Does your city give incentives for green buildings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municipal/city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incentives.Score 5 if at least one green-building incentive is operational in the city, based on an official source or reliable secondary evidence.Score 0 if no such incentive can be established.</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c r="C14" s="248"/>
      <c r="D14" s="248"/>
      <c r="E14" s="248"/>
      <c r="F14" s="248"/>
      <c r="G14" s="248"/>
      <c r="H14" s="249"/>
      <c r="I14" s="250" t="str">
        <f aca="false">IF(COUNTIFS('Scores (start here)'!$A:$A,$B$1,'Scores (start here)'!$B:$B,$A14,'Scores (start here)'!$F:$F,"&gt;=0")&gt;0,SUMIFS('Scores (start here)'!$F:$F,'Scores (start here)'!$A:$A,$B$1,'Scores (start here)'!$B:$B,$A14),K14)</f>
        <v/>
      </c>
      <c r="J14" s="248" t="s">
        <v>1799</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c r="C33" s="248"/>
      <c r="D33" s="248"/>
      <c r="E33" s="248"/>
      <c r="F33" s="248"/>
      <c r="G33" s="248"/>
      <c r="H33" s="249"/>
      <c r="I33" s="250" t="str">
        <f aca="false">IF(COUNTIFS('Scores (start here)'!$A:$A,$B$1,'Scores (start here)'!$B:$B,$A33,'Scores (start here)'!$F:$F,"&gt;=0")&gt;0,SUMIFS('Scores (start here)'!$F:$F,'Scores (start here)'!$A:$A,$B$1,'Scores (start here)'!$B:$B,$A33),K33)</f>
        <v/>
      </c>
      <c r="J33" s="251" t="s">
        <v>1800</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s>
  <sheetData>
    <row r="1" customFormat="false" ht="14.25" hidden="false" customHeight="true" outlineLevel="0" collapsed="false">
      <c r="A1" s="238" t="s">
        <v>1288</v>
      </c>
      <c r="B1" s="238" t="s">
        <v>562</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Land-management instruments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enable a guaranteed land titling system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Part A – Legal/Policy ProvisionCheck whether the State has enacted a land titling law providing for certification/guarantee of land titles; or issued a Government Order/circular/notification establishing a framework for certification of land titles. A general land-record digitisation, mutation or property-registration framework shall not qualify unless it specifically provides for certification/guarantee of title. Part B – OperationalisationWhere the framework is provided through an Act, check whether the rules/regulations necessary to operationalise the land titling framework have been notified. Scoring:Score 10: Land titling is provided through an Act and the necessary rules/regulations have been notified; OR an applicable Government Order/circular/notification establishes an operational framework that does not require separate rules.Score 5: A land titling Act has been enacted, but the necessary rules/regulations have not been notified.Score 0: No land titling law or applicable Government Order/circular/notification exists.</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1293</v>
      </c>
    </row>
    <row r="11" customFormat="false" ht="28.5" hidden="false" customHeight="true" outlineLevel="0" collapsed="false">
      <c r="H11" s="243" t="s">
        <v>1294</v>
      </c>
      <c r="I11" s="243" t="s">
        <v>1294</v>
      </c>
      <c r="J11" s="244" t="s">
        <v>1295</v>
      </c>
      <c r="L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"Part A: Land titling Act / Government Order exists ("&amp;TEXT($C$7/2,"0.00")&amp;")"</f>
        <v>Part A: Land titling Act / Government Order exists (5.00)</v>
      </c>
      <c r="I12" s="246" t="str">
        <f aca="false">"Part B: Rules notified / framework operational (counts only if Part A = YES) ("&amp;TEXT($C$7/2,"0.00")&amp;")"</f>
        <v>Part B: Rules notified / framework operational (counts only if Part A = YES) (5.00)</v>
      </c>
      <c r="J12" s="244" t="s">
        <v>1303</v>
      </c>
      <c r="K12" s="246" t="s">
        <v>1304</v>
      </c>
      <c r="L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here)'!$B:$B,$A13),L13)</f>
        <v/>
      </c>
      <c r="K13" s="248"/>
      <c r="L13" s="77" t="str">
        <f aca="false">IF(H13="","",IF(H13="NO",0,IF(I13="","",IF(I13="YES",$C$7,$C$7/2))))</f>
        <v/>
      </c>
    </row>
    <row r="14" customFormat="false" ht="14.25" hidden="false" customHeight="true" outlineLevel="0" collapsed="false">
      <c r="A14" s="247" t="s">
        <v>19</v>
      </c>
      <c r="B14" s="248"/>
      <c r="C14" s="248"/>
      <c r="D14" s="248"/>
      <c r="E14" s="248"/>
      <c r="F14" s="248"/>
      <c r="G14" s="248"/>
      <c r="H14" s="249"/>
      <c r="I14" s="249"/>
      <c r="J14" s="250" t="str">
        <f aca="false">IF(COUNTIFS('Scores (start here)'!$A:$A,$B$1,'Scores (start here)'!$B:$B,$A14,'Scores (start here)'!$F:$F,"&gt;=0")&gt;0,SUMIFS('Scores (start here)'!$F:$F,'Scores (start here)'!$A:$A,$B$1,'Scores (start here)'!$B:$B,$A14),L14)</f>
        <v/>
      </c>
      <c r="K14" s="248" t="s">
        <v>1801</v>
      </c>
      <c r="L14" s="77" t="str">
        <f aca="false">IF(H14="","",IF(H14="NO",0,IF(I14="","",IF(I14="YES",$C$7,$C$7/2))))</f>
        <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here)'!$B:$B,$A15),L15)</f>
        <v/>
      </c>
      <c r="K15" s="248"/>
      <c r="L15" s="77" t="str">
        <f aca="false">IF(H15="","",IF(H15="NO",0,IF(I15="","",IF(I15="YES",$C$7,$C$7/2))))</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here)'!$B:$B,$A16),L16)</f>
        <v/>
      </c>
      <c r="K16" s="248"/>
      <c r="L16" s="77" t="str">
        <f aca="false">IF(H16="","",IF(H16="NO",0,IF(I16="","",IF(I16="YES",$C$7,$C$7/2))))</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here)'!$B:$B,$A17),L17)</f>
        <v/>
      </c>
      <c r="K17" s="248"/>
      <c r="L17" s="77" t="str">
        <f aca="false">IF(H17="","",IF(H17="NO",0,IF(I17="","",IF(I17="YES",$C$7,$C$7/2))))</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here)'!$B:$B,$A18),L18)</f>
        <v/>
      </c>
      <c r="K18" s="248"/>
      <c r="L18" s="77" t="str">
        <f aca="false">IF(H18="","",IF(H18="NO",0,IF(I18="","",IF(I18="YES",$C$7,$C$7/2))))</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here)'!$B:$B,$A19),L19)</f>
        <v/>
      </c>
      <c r="K19" s="248"/>
      <c r="L19" s="77" t="str">
        <f aca="false">IF(H19="","",IF(H19="NO",0,IF(I19="","",IF(I19="YES",$C$7,$C$7/2))))</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here)'!$B:$B,$A20),L20)</f>
        <v/>
      </c>
      <c r="K20" s="248"/>
      <c r="L20" s="77" t="str">
        <f aca="false">IF(H20="","",IF(H20="NO",0,IF(I20="","",IF(I20="YES",$C$7,$C$7/2))))</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here)'!$B:$B,$A21),L21)</f>
        <v/>
      </c>
      <c r="K21" s="248"/>
      <c r="L21" s="77" t="str">
        <f aca="false">IF(H21="","",IF(H21="NO",0,IF(I21="","",IF(I21="YES",$C$7,$C$7/2))))</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here)'!$B:$B,$A22),L22)</f>
        <v/>
      </c>
      <c r="K22" s="248"/>
      <c r="L22" s="77" t="str">
        <f aca="false">IF(H22="","",IF(H22="NO",0,IF(I22="","",IF(I22="YES",$C$7,$C$7/2))))</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here)'!$B:$B,$A23),L23)</f>
        <v/>
      </c>
      <c r="K23" s="248"/>
      <c r="L23" s="77" t="str">
        <f aca="false">IF(H23="","",IF(H23="NO",0,IF(I23="","",IF(I23="YES",$C$7,$C$7/2))))</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here)'!$B:$B,$A24),L24)</f>
        <v/>
      </c>
      <c r="K24" s="248"/>
      <c r="L24" s="77" t="str">
        <f aca="false">IF(H24="","",IF(H24="NO",0,IF(I24="","",IF(I24="YES",$C$7,$C$7/2))))</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here)'!$B:$B,$A25),L25)</f>
        <v/>
      </c>
      <c r="K25" s="248"/>
      <c r="L25" s="77" t="str">
        <f aca="false">IF(H25="","",IF(H25="NO",0,IF(I25="","",IF(I25="YES",$C$7,$C$7/2))))</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here)'!$B:$B,$A26),L26)</f>
        <v/>
      </c>
      <c r="K26" s="248"/>
      <c r="L26" s="77" t="str">
        <f aca="false">IF(H26="","",IF(H26="NO",0,IF(I26="","",IF(I26="YES",$C$7,$C$7/2))))</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here)'!$B:$B,$A27),L27)</f>
        <v/>
      </c>
      <c r="K27" s="248"/>
      <c r="L27" s="77" t="str">
        <f aca="false">IF(H27="","",IF(H27="NO",0,IF(I27="","",IF(I27="YES",$C$7,$C$7/2))))</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here)'!$B:$B,$A28),L28)</f>
        <v/>
      </c>
      <c r="K28" s="248"/>
      <c r="L28" s="77" t="str">
        <f aca="false">IF(H28="","",IF(H28="NO",0,IF(I28="","",IF(I28="YES",$C$7,$C$7/2))))</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here)'!$B:$B,$A29),L29)</f>
        <v/>
      </c>
      <c r="K29" s="248"/>
      <c r="L29" s="77" t="str">
        <f aca="false">IF(H29="","",IF(H29="NO",0,IF(I29="","",IF(I29="YES",$C$7,$C$7/2))))</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here)'!$B:$B,$A30),L30)</f>
        <v/>
      </c>
      <c r="K30" s="248"/>
      <c r="L30" s="77" t="str">
        <f aca="false">IF(H30="","",IF(H30="NO",0,IF(I30="","",IF(I30="YES",$C$7,$C$7/2))))</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here)'!$B:$B,$A31),L31)</f>
        <v/>
      </c>
      <c r="K31" s="248"/>
      <c r="L31" s="77" t="str">
        <f aca="false">IF(H31="","",IF(H31="NO",0,IF(I31="","",IF(I31="YES",$C$7,$C$7/2))))</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here)'!$B:$B,$A32),L32)</f>
        <v/>
      </c>
      <c r="K32" s="248"/>
      <c r="L32" s="77" t="str">
        <f aca="false">IF(H32="","",IF(H32="NO",0,IF(I32="","",IF(I32="YES",$C$7,$C$7/2))))</f>
        <v/>
      </c>
    </row>
    <row r="33" customFormat="false" ht="14.25" hidden="false" customHeight="true" outlineLevel="0" collapsed="false">
      <c r="A33" s="247" t="s">
        <v>30</v>
      </c>
      <c r="B33" s="248" t="s">
        <v>155</v>
      </c>
      <c r="C33" s="248" t="s">
        <v>1802</v>
      </c>
      <c r="D33" s="248" t="s">
        <v>1803</v>
      </c>
      <c r="E33" s="248" t="s">
        <v>1804</v>
      </c>
      <c r="F33" s="248" t="s">
        <v>1805</v>
      </c>
      <c r="G33" s="248" t="s">
        <v>156</v>
      </c>
      <c r="H33" s="249"/>
      <c r="I33" s="249"/>
      <c r="J33" s="250" t="str">
        <f aca="false">IF(COUNTIFS('Scores (start here)'!$A:$A,$B$1,'Scores (start here)'!$B:$B,$A33,'Scores (start here)'!$F:$F,"&gt;=0")&gt;0,SUMIFS('Scores (start here)'!$F:$F,'Scores (start here)'!$A:$A,$B$1,'Scores (start here)'!$B:$B,$A33),L33)</f>
        <v/>
      </c>
      <c r="K33" s="248" t="s">
        <v>1806</v>
      </c>
      <c r="L33" s="77" t="str">
        <f aca="false">IF(H33="","",IF(H33="NO",0,IF(I33="","",IF(I33="YES",$C$7,$C$7/2))))</f>
        <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here)'!$B:$B,$A34),L34)</f>
        <v/>
      </c>
      <c r="K34" s="248"/>
      <c r="L34" s="77" t="str">
        <f aca="false">IF(H34="","",IF(H34="NO",0,IF(I34="","",IF(I34="YES",$C$7,$C$7/2))))</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here)'!$B:$B,$A35),L35)</f>
        <v/>
      </c>
      <c r="K35" s="248"/>
      <c r="L35" s="77" t="str">
        <f aca="false">IF(H35="","",IF(H35="NO",0,IF(I35="","",IF(I35="YES",$C$7,$C$7/2))))</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here)'!$B:$B,$A36),L36)</f>
        <v/>
      </c>
      <c r="K36" s="248"/>
      <c r="L36" s="77" t="str">
        <f aca="false">IF(H36="","",IF(H36="NO",0,IF(I36="","",IF(I36="YES",$C$7,$C$7/2))))</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here)'!$B:$B,$A37),L37)</f>
        <v/>
      </c>
      <c r="K37" s="248"/>
      <c r="L37" s="77" t="str">
        <f aca="false">IF(H37="","",IF(H37="NO",0,IF(I37="","",IF(I37="YES",$C$7,$C$7/2))))</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here)'!$B:$B,$A38),L38)</f>
        <v/>
      </c>
      <c r="K38" s="248"/>
      <c r="L38" s="77" t="str">
        <f aca="false">IF(H38="","",IF(H38="NO",0,IF(I38="","",IF(I38="YES",$C$7,$C$7/2))))</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here)'!$B:$B,$A39),L39)</f>
        <v/>
      </c>
      <c r="K39" s="248"/>
      <c r="L39" s="77" t="str">
        <f aca="false">IF(H39="","",IF(H39="NO",0,IF(I39="","",IF(I39="YES",$C$7,$C$7/2))))</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here)'!$B:$B,$A40),L40)</f>
        <v/>
      </c>
      <c r="K40" s="248"/>
      <c r="L40" s="77" t="str">
        <f aca="false">IF(H40="","",IF(H40="NO",0,IF(I40="","",IF(I40="YES",$C$7,$C$7/2))))</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here)'!$B:$B,$A41),L41)</f>
        <v/>
      </c>
      <c r="K41" s="248"/>
      <c r="L41" s="77" t="str">
        <f aca="false">IF(H41="","",IF(H41="NO",0,IF(I41="","",IF(I41="YES",$C$7,$C$7/2))))</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9" min="8" style="77" width="22"/>
    <col collapsed="false" customWidth="true" hidden="false" outlineLevel="0" max="10" min="10" style="77" width="14"/>
    <col collapsed="false" customWidth="true" hidden="false" outlineLevel="0" max="11" min="11" style="77" width="45"/>
    <col collapsed="false" customWidth="true" hidden="false" outlineLevel="0" max="12" min="12" style="77" width="30"/>
  </cols>
  <sheetData>
    <row r="1" customFormat="false" ht="14.25" hidden="false" customHeight="true" outlineLevel="0" collapsed="false">
      <c r="A1" s="238" t="s">
        <v>1288</v>
      </c>
      <c r="B1" s="238" t="s">
        <v>566</v>
      </c>
      <c r="C1" s="239" t="s">
        <v>1289</v>
      </c>
      <c r="J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Land-management instruments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enable a guaranteed land pooling system ?</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Part A – Legal/Policy ProvisionCheck whether the State has enacted legislation or issued a Government Order/circular/notification providing for a land assembly/reconstitution mechanism such as:a. Town Planning Scheme (TPS)/land reconstitution; orb. Land pooling. Score 5 if at least one such mechanism is formally provided for through legislation or an applicable Government Order/circular/notification. Score 0 otherwise. Part B – OperationalisationWhere the mechanism is provided for through an Act, check whether the rules/regulations necessary to operationalise the mechanism have been notified. Score 5 if the rules/regulations necessary for implementation of the mechanism have been notified and are currently in force. Score 0 if the enabling provision exists but the necessary rules/regulations have not been notified.</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Note: Record separately whether the applicable mechanism is TPS/land reconstitution, land pooling, or both. </v>
      </c>
      <c r="H10" s="242" t="s">
        <v>1385</v>
      </c>
    </row>
    <row r="11" customFormat="false" ht="28.5" hidden="false" customHeight="true" outlineLevel="0" collapsed="false">
      <c r="H11" s="243" t="s">
        <v>1294</v>
      </c>
      <c r="I11" s="243" t="s">
        <v>1294</v>
      </c>
      <c r="J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tr">
        <f aca="false">"Part A: Mechanism provided (law / GO) ("&amp;TEXT($C$7/2,"0.00")&amp;")"</f>
        <v>Part A: Mechanism provided (law / GO) (5.00)</v>
      </c>
      <c r="I12" s="246" t="str">
        <f aca="false">"Part B: Rules notified &amp; in force ("&amp;TEXT($C$7/2,"0.00")&amp;")"</f>
        <v>Part B: Rules notified &amp; in force (5.00)</v>
      </c>
      <c r="J12" s="244" t="s">
        <v>1303</v>
      </c>
      <c r="K12" s="246" t="s">
        <v>1304</v>
      </c>
      <c r="L12" s="246" t="s">
        <v>1807</v>
      </c>
      <c r="M12" s="77" t="s">
        <v>1305</v>
      </c>
    </row>
    <row r="13" customFormat="false" ht="14.25" hidden="false" customHeight="true" outlineLevel="0" collapsed="false">
      <c r="A13" s="247" t="s">
        <v>999</v>
      </c>
      <c r="B13" s="248"/>
      <c r="C13" s="248"/>
      <c r="D13" s="248"/>
      <c r="E13" s="248"/>
      <c r="F13" s="248"/>
      <c r="G13" s="248"/>
      <c r="H13" s="249"/>
      <c r="I13" s="249"/>
      <c r="J13" s="250" t="str">
        <f aca="false">IF(COUNTIFS('Scores (start here)'!$A:$A,$B$1,'Scores (start here)'!$B:$B,$A13,'Scores (start here)'!$F:$F,"&gt;=0")&gt;0,SUMIFS('Scores (start here)'!$F:$F,'Scores (start here)'!$A:$A,$B$1,'Scores (start here)'!$B:$B,$A13),M13)</f>
        <v/>
      </c>
      <c r="K13" s="248"/>
      <c r="L13" s="248"/>
      <c r="M13" s="77" t="str">
        <f aca="false">IF(OR(H13="",I13=""),"",COUNTIF(H13:I13,"YES")/2*$C$7)</f>
        <v/>
      </c>
    </row>
    <row r="14" customFormat="false" ht="14.25" hidden="false" customHeight="true" outlineLevel="0" collapsed="false">
      <c r="A14" s="247" t="s">
        <v>19</v>
      </c>
      <c r="B14" s="248" t="s">
        <v>25</v>
      </c>
      <c r="C14" s="248" t="s">
        <v>1808</v>
      </c>
      <c r="D14" s="248" t="s">
        <v>1809</v>
      </c>
      <c r="E14" s="248" t="s">
        <v>1810</v>
      </c>
      <c r="F14" s="248" t="s">
        <v>1811</v>
      </c>
      <c r="G14" s="248" t="s">
        <v>26</v>
      </c>
      <c r="H14" s="249" t="s">
        <v>1309</v>
      </c>
      <c r="I14" s="249"/>
      <c r="J14" s="250" t="str">
        <f aca="false">IF(COUNTIFS('Scores (start here)'!$A:$A,$B$1,'Scores (start here)'!$B:$B,$A14,'Scores (start here)'!$F:$F,"&gt;=0")&gt;0,SUMIFS('Scores (start here)'!$F:$F,'Scores (start here)'!$A:$A,$B$1,'Scores (start here)'!$B:$B,$A14),M14)</f>
        <v/>
      </c>
      <c r="K14" s="251" t="s">
        <v>1812</v>
      </c>
      <c r="L14" s="248"/>
      <c r="M14" s="77" t="str">
        <f aca="false">IF(OR(H14="",I14=""),"",COUNTIF(H14:I14,"YES")/2*$C$7)</f>
        <v/>
      </c>
    </row>
    <row r="15" customFormat="false" ht="14.25" hidden="false" customHeight="true" outlineLevel="0" collapsed="false">
      <c r="A15" s="247" t="s">
        <v>1000</v>
      </c>
      <c r="B15" s="248"/>
      <c r="C15" s="248"/>
      <c r="D15" s="248"/>
      <c r="E15" s="248"/>
      <c r="F15" s="248"/>
      <c r="G15" s="248"/>
      <c r="H15" s="249"/>
      <c r="I15" s="249"/>
      <c r="J15" s="250" t="str">
        <f aca="false">IF(COUNTIFS('Scores (start here)'!$A:$A,$B$1,'Scores (start here)'!$B:$B,$A15,'Scores (start here)'!$F:$F,"&gt;=0")&gt;0,SUMIFS('Scores (start here)'!$F:$F,'Scores (start here)'!$A:$A,$B$1,'Scores (start here)'!$B:$B,$A15),M15)</f>
        <v/>
      </c>
      <c r="K15" s="248"/>
      <c r="L15" s="248"/>
      <c r="M15" s="77" t="str">
        <f aca="false">IF(OR(H15="",I15=""),"",COUNTIF(H15:I15,"YES")/2*$C$7)</f>
        <v/>
      </c>
    </row>
    <row r="16" customFormat="false" ht="14.25" hidden="false" customHeight="true" outlineLevel="0" collapsed="false">
      <c r="A16" s="247" t="s">
        <v>1001</v>
      </c>
      <c r="B16" s="248"/>
      <c r="C16" s="248"/>
      <c r="D16" s="248"/>
      <c r="E16" s="248"/>
      <c r="F16" s="248"/>
      <c r="G16" s="248"/>
      <c r="H16" s="249"/>
      <c r="I16" s="249"/>
      <c r="J16" s="250" t="str">
        <f aca="false">IF(COUNTIFS('Scores (start here)'!$A:$A,$B$1,'Scores (start here)'!$B:$B,$A16,'Scores (start here)'!$F:$F,"&gt;=0")&gt;0,SUMIFS('Scores (start here)'!$F:$F,'Scores (start here)'!$A:$A,$B$1,'Scores (start here)'!$B:$B,$A16),M16)</f>
        <v/>
      </c>
      <c r="K16" s="248"/>
      <c r="L16" s="248"/>
      <c r="M16" s="77" t="str">
        <f aca="false">IF(OR(H16="",I16=""),"",COUNTIF(H16:I16,"YES")/2*$C$7)</f>
        <v/>
      </c>
    </row>
    <row r="17" customFormat="false" ht="14.25" hidden="false" customHeight="true" outlineLevel="0" collapsed="false">
      <c r="A17" s="247" t="s">
        <v>1002</v>
      </c>
      <c r="B17" s="248"/>
      <c r="C17" s="248"/>
      <c r="D17" s="248"/>
      <c r="E17" s="248"/>
      <c r="F17" s="248"/>
      <c r="G17" s="248"/>
      <c r="H17" s="249"/>
      <c r="I17" s="249"/>
      <c r="J17" s="250" t="str">
        <f aca="false">IF(COUNTIFS('Scores (start here)'!$A:$A,$B$1,'Scores (start here)'!$B:$B,$A17,'Scores (start here)'!$F:$F,"&gt;=0")&gt;0,SUMIFS('Scores (start here)'!$F:$F,'Scores (start here)'!$A:$A,$B$1,'Scores (start here)'!$B:$B,$A17),M17)</f>
        <v/>
      </c>
      <c r="K17" s="248"/>
      <c r="L17" s="248"/>
      <c r="M17" s="77" t="str">
        <f aca="false">IF(OR(H17="",I17=""),"",COUNTIF(H17:I17,"YES")/2*$C$7)</f>
        <v/>
      </c>
    </row>
    <row r="18" customFormat="false" ht="14.25" hidden="false" customHeight="true" outlineLevel="0" collapsed="false">
      <c r="A18" s="247" t="s">
        <v>1003</v>
      </c>
      <c r="B18" s="248"/>
      <c r="C18" s="248"/>
      <c r="D18" s="248"/>
      <c r="E18" s="248"/>
      <c r="F18" s="248"/>
      <c r="G18" s="248"/>
      <c r="H18" s="249"/>
      <c r="I18" s="249"/>
      <c r="J18" s="250" t="str">
        <f aca="false">IF(COUNTIFS('Scores (start here)'!$A:$A,$B$1,'Scores (start here)'!$B:$B,$A18,'Scores (start here)'!$F:$F,"&gt;=0")&gt;0,SUMIFS('Scores (start here)'!$F:$F,'Scores (start here)'!$A:$A,$B$1,'Scores (start here)'!$B:$B,$A18),M18)</f>
        <v/>
      </c>
      <c r="K18" s="248"/>
      <c r="L18" s="248"/>
      <c r="M18" s="77" t="str">
        <f aca="false">IF(OR(H18="",I18=""),"",COUNTIF(H18:I18,"YES")/2*$C$7)</f>
        <v/>
      </c>
    </row>
    <row r="19" customFormat="false" ht="14.25" hidden="false" customHeight="true" outlineLevel="0" collapsed="false">
      <c r="A19" s="247" t="s">
        <v>1004</v>
      </c>
      <c r="B19" s="248"/>
      <c r="C19" s="248"/>
      <c r="D19" s="248"/>
      <c r="E19" s="248"/>
      <c r="F19" s="248"/>
      <c r="G19" s="248"/>
      <c r="H19" s="249"/>
      <c r="I19" s="249"/>
      <c r="J19" s="250" t="str">
        <f aca="false">IF(COUNTIFS('Scores (start here)'!$A:$A,$B$1,'Scores (start here)'!$B:$B,$A19,'Scores (start here)'!$F:$F,"&gt;=0")&gt;0,SUMIFS('Scores (start here)'!$F:$F,'Scores (start here)'!$A:$A,$B$1,'Scores (start here)'!$B:$B,$A19),M19)</f>
        <v/>
      </c>
      <c r="K19" s="248"/>
      <c r="L19" s="248"/>
      <c r="M19" s="77" t="str">
        <f aca="false">IF(OR(H19="",I19=""),"",COUNTIF(H19:I19,"YES")/2*$C$7)</f>
        <v/>
      </c>
    </row>
    <row r="20" customFormat="false" ht="14.25" hidden="false" customHeight="true" outlineLevel="0" collapsed="false">
      <c r="A20" s="247" t="s">
        <v>1005</v>
      </c>
      <c r="B20" s="248"/>
      <c r="C20" s="248"/>
      <c r="D20" s="248"/>
      <c r="E20" s="248"/>
      <c r="F20" s="248"/>
      <c r="G20" s="248"/>
      <c r="H20" s="249"/>
      <c r="I20" s="249"/>
      <c r="J20" s="250" t="str">
        <f aca="false">IF(COUNTIFS('Scores (start here)'!$A:$A,$B$1,'Scores (start here)'!$B:$B,$A20,'Scores (start here)'!$F:$F,"&gt;=0")&gt;0,SUMIFS('Scores (start here)'!$F:$F,'Scores (start here)'!$A:$A,$B$1,'Scores (start here)'!$B:$B,$A20),M20)</f>
        <v/>
      </c>
      <c r="K20" s="248"/>
      <c r="L20" s="248"/>
      <c r="M20" s="77" t="str">
        <f aca="false">IF(OR(H20="",I20=""),"",COUNTIF(H20:I20,"YES")/2*$C$7)</f>
        <v/>
      </c>
    </row>
    <row r="21" customFormat="false" ht="14.25" hidden="false" customHeight="true" outlineLevel="0" collapsed="false">
      <c r="A21" s="247" t="s">
        <v>1006</v>
      </c>
      <c r="B21" s="248"/>
      <c r="C21" s="248"/>
      <c r="D21" s="248"/>
      <c r="E21" s="248"/>
      <c r="F21" s="248"/>
      <c r="G21" s="248"/>
      <c r="H21" s="249"/>
      <c r="I21" s="249"/>
      <c r="J21" s="250" t="str">
        <f aca="false">IF(COUNTIFS('Scores (start here)'!$A:$A,$B$1,'Scores (start here)'!$B:$B,$A21,'Scores (start here)'!$F:$F,"&gt;=0")&gt;0,SUMIFS('Scores (start here)'!$F:$F,'Scores (start here)'!$A:$A,$B$1,'Scores (start here)'!$B:$B,$A21),M21)</f>
        <v/>
      </c>
      <c r="K21" s="248"/>
      <c r="L21" s="248"/>
      <c r="M21" s="77" t="str">
        <f aca="false">IF(OR(H21="",I21=""),"",COUNTIF(H21:I21,"YES")/2*$C$7)</f>
        <v/>
      </c>
    </row>
    <row r="22" customFormat="false" ht="14.25" hidden="false" customHeight="true" outlineLevel="0" collapsed="false">
      <c r="A22" s="247" t="s">
        <v>1007</v>
      </c>
      <c r="B22" s="248"/>
      <c r="C22" s="248"/>
      <c r="D22" s="248"/>
      <c r="E22" s="248"/>
      <c r="F22" s="248"/>
      <c r="G22" s="248"/>
      <c r="H22" s="249"/>
      <c r="I22" s="249"/>
      <c r="J22" s="250" t="str">
        <f aca="false">IF(COUNTIFS('Scores (start here)'!$A:$A,$B$1,'Scores (start here)'!$B:$B,$A22,'Scores (start here)'!$F:$F,"&gt;=0")&gt;0,SUMIFS('Scores (start here)'!$F:$F,'Scores (start here)'!$A:$A,$B$1,'Scores (start here)'!$B:$B,$A22),M22)</f>
        <v/>
      </c>
      <c r="K22" s="248"/>
      <c r="L22" s="248"/>
      <c r="M22" s="77" t="str">
        <f aca="false">IF(OR(H22="",I22=""),"",COUNTIF(H22:I22,"YES")/2*$C$7)</f>
        <v/>
      </c>
    </row>
    <row r="23" customFormat="false" ht="14.25" hidden="false" customHeight="true" outlineLevel="0" collapsed="false">
      <c r="A23" s="247" t="s">
        <v>1008</v>
      </c>
      <c r="B23" s="248"/>
      <c r="C23" s="248"/>
      <c r="D23" s="248"/>
      <c r="E23" s="248"/>
      <c r="F23" s="248"/>
      <c r="G23" s="248"/>
      <c r="H23" s="249"/>
      <c r="I23" s="249"/>
      <c r="J23" s="250" t="str">
        <f aca="false">IF(COUNTIFS('Scores (start here)'!$A:$A,$B$1,'Scores (start here)'!$B:$B,$A23,'Scores (start here)'!$F:$F,"&gt;=0")&gt;0,SUMIFS('Scores (start here)'!$F:$F,'Scores (start here)'!$A:$A,$B$1,'Scores (start here)'!$B:$B,$A23),M23)</f>
        <v/>
      </c>
      <c r="K23" s="248"/>
      <c r="L23" s="248"/>
      <c r="M23" s="77" t="str">
        <f aca="false">IF(OR(H23="",I23=""),"",COUNTIF(H23:I23,"YES")/2*$C$7)</f>
        <v/>
      </c>
    </row>
    <row r="24" customFormat="false" ht="14.25" hidden="false" customHeight="true" outlineLevel="0" collapsed="false">
      <c r="A24" s="247" t="s">
        <v>1009</v>
      </c>
      <c r="B24" s="248"/>
      <c r="C24" s="248"/>
      <c r="D24" s="248"/>
      <c r="E24" s="248"/>
      <c r="F24" s="248"/>
      <c r="G24" s="248"/>
      <c r="H24" s="249"/>
      <c r="I24" s="249"/>
      <c r="J24" s="250" t="str">
        <f aca="false">IF(COUNTIFS('Scores (start here)'!$A:$A,$B$1,'Scores (start here)'!$B:$B,$A24,'Scores (start here)'!$F:$F,"&gt;=0")&gt;0,SUMIFS('Scores (start here)'!$F:$F,'Scores (start here)'!$A:$A,$B$1,'Scores (start here)'!$B:$B,$A24),M24)</f>
        <v/>
      </c>
      <c r="K24" s="248"/>
      <c r="L24" s="248"/>
      <c r="M24" s="77" t="str">
        <f aca="false">IF(OR(H24="",I24=""),"",COUNTIF(H24:I24,"YES")/2*$C$7)</f>
        <v/>
      </c>
    </row>
    <row r="25" customFormat="false" ht="14.25" hidden="false" customHeight="true" outlineLevel="0" collapsed="false">
      <c r="A25" s="247" t="s">
        <v>1010</v>
      </c>
      <c r="B25" s="248"/>
      <c r="C25" s="248"/>
      <c r="D25" s="248"/>
      <c r="E25" s="248"/>
      <c r="F25" s="248"/>
      <c r="G25" s="248"/>
      <c r="H25" s="249"/>
      <c r="I25" s="249"/>
      <c r="J25" s="250" t="str">
        <f aca="false">IF(COUNTIFS('Scores (start here)'!$A:$A,$B$1,'Scores (start here)'!$B:$B,$A25,'Scores (start here)'!$F:$F,"&gt;=0")&gt;0,SUMIFS('Scores (start here)'!$F:$F,'Scores (start here)'!$A:$A,$B$1,'Scores (start here)'!$B:$B,$A25),M25)</f>
        <v/>
      </c>
      <c r="K25" s="248"/>
      <c r="L25" s="248"/>
      <c r="M25" s="77" t="str">
        <f aca="false">IF(OR(H25="",I25=""),"",COUNTIF(H25:I25,"YES")/2*$C$7)</f>
        <v/>
      </c>
    </row>
    <row r="26" customFormat="false" ht="14.25" hidden="false" customHeight="true" outlineLevel="0" collapsed="false">
      <c r="A26" s="247" t="s">
        <v>1011</v>
      </c>
      <c r="B26" s="248"/>
      <c r="C26" s="248"/>
      <c r="D26" s="248"/>
      <c r="E26" s="248"/>
      <c r="F26" s="248"/>
      <c r="G26" s="248"/>
      <c r="H26" s="249"/>
      <c r="I26" s="249"/>
      <c r="J26" s="250" t="str">
        <f aca="false">IF(COUNTIFS('Scores (start here)'!$A:$A,$B$1,'Scores (start here)'!$B:$B,$A26,'Scores (start here)'!$F:$F,"&gt;=0")&gt;0,SUMIFS('Scores (start here)'!$F:$F,'Scores (start here)'!$A:$A,$B$1,'Scores (start here)'!$B:$B,$A26),M26)</f>
        <v/>
      </c>
      <c r="K26" s="248"/>
      <c r="L26" s="248"/>
      <c r="M26" s="77" t="str">
        <f aca="false">IF(OR(H26="",I26=""),"",COUNTIF(H26:I26,"YES")/2*$C$7)</f>
        <v/>
      </c>
    </row>
    <row r="27" customFormat="false" ht="14.25" hidden="false" customHeight="true" outlineLevel="0" collapsed="false">
      <c r="A27" s="247" t="s">
        <v>1012</v>
      </c>
      <c r="B27" s="248"/>
      <c r="C27" s="248"/>
      <c r="D27" s="248"/>
      <c r="E27" s="248"/>
      <c r="F27" s="248"/>
      <c r="G27" s="248"/>
      <c r="H27" s="249"/>
      <c r="I27" s="249"/>
      <c r="J27" s="250" t="str">
        <f aca="false">IF(COUNTIFS('Scores (start here)'!$A:$A,$B$1,'Scores (start here)'!$B:$B,$A27,'Scores (start here)'!$F:$F,"&gt;=0")&gt;0,SUMIFS('Scores (start here)'!$F:$F,'Scores (start here)'!$A:$A,$B$1,'Scores (start here)'!$B:$B,$A27),M27)</f>
        <v/>
      </c>
      <c r="K27" s="248"/>
      <c r="L27" s="248"/>
      <c r="M27" s="77" t="str">
        <f aca="false">IF(OR(H27="",I27=""),"",COUNTIF(H27:I27,"YES")/2*$C$7)</f>
        <v/>
      </c>
    </row>
    <row r="28" customFormat="false" ht="14.25" hidden="false" customHeight="true" outlineLevel="0" collapsed="false">
      <c r="A28" s="247" t="s">
        <v>1013</v>
      </c>
      <c r="B28" s="248"/>
      <c r="C28" s="248"/>
      <c r="D28" s="248"/>
      <c r="E28" s="248"/>
      <c r="F28" s="248"/>
      <c r="G28" s="248"/>
      <c r="H28" s="249"/>
      <c r="I28" s="249"/>
      <c r="J28" s="250" t="str">
        <f aca="false">IF(COUNTIFS('Scores (start here)'!$A:$A,$B$1,'Scores (start here)'!$B:$B,$A28,'Scores (start here)'!$F:$F,"&gt;=0")&gt;0,SUMIFS('Scores (start here)'!$F:$F,'Scores (start here)'!$A:$A,$B$1,'Scores (start here)'!$B:$B,$A28),M28)</f>
        <v/>
      </c>
      <c r="K28" s="248"/>
      <c r="L28" s="248"/>
      <c r="M28" s="77" t="str">
        <f aca="false">IF(OR(H28="",I28=""),"",COUNTIF(H28:I28,"YES")/2*$C$7)</f>
        <v/>
      </c>
    </row>
    <row r="29" customFormat="false" ht="14.25" hidden="false" customHeight="true" outlineLevel="0" collapsed="false">
      <c r="A29" s="247" t="s">
        <v>1014</v>
      </c>
      <c r="B29" s="248"/>
      <c r="C29" s="248"/>
      <c r="D29" s="248"/>
      <c r="E29" s="248"/>
      <c r="F29" s="248"/>
      <c r="G29" s="248"/>
      <c r="H29" s="249"/>
      <c r="I29" s="249"/>
      <c r="J29" s="250" t="str">
        <f aca="false">IF(COUNTIFS('Scores (start here)'!$A:$A,$B$1,'Scores (start here)'!$B:$B,$A29,'Scores (start here)'!$F:$F,"&gt;=0")&gt;0,SUMIFS('Scores (start here)'!$F:$F,'Scores (start here)'!$A:$A,$B$1,'Scores (start here)'!$B:$B,$A29),M29)</f>
        <v/>
      </c>
      <c r="K29" s="248"/>
      <c r="L29" s="248"/>
      <c r="M29" s="77" t="str">
        <f aca="false">IF(OR(H29="",I29=""),"",COUNTIF(H29:I29,"YES")/2*$C$7)</f>
        <v/>
      </c>
    </row>
    <row r="30" customFormat="false" ht="14.25" hidden="false" customHeight="true" outlineLevel="0" collapsed="false">
      <c r="A30" s="247" t="s">
        <v>1015</v>
      </c>
      <c r="B30" s="248"/>
      <c r="C30" s="248"/>
      <c r="D30" s="248"/>
      <c r="E30" s="248"/>
      <c r="F30" s="248"/>
      <c r="G30" s="248"/>
      <c r="H30" s="249"/>
      <c r="I30" s="249"/>
      <c r="J30" s="250" t="str">
        <f aca="false">IF(COUNTIFS('Scores (start here)'!$A:$A,$B$1,'Scores (start here)'!$B:$B,$A30,'Scores (start here)'!$F:$F,"&gt;=0")&gt;0,SUMIFS('Scores (start here)'!$F:$F,'Scores (start here)'!$A:$A,$B$1,'Scores (start here)'!$B:$B,$A30),M30)</f>
        <v/>
      </c>
      <c r="K30" s="248"/>
      <c r="L30" s="248"/>
      <c r="M30" s="77" t="str">
        <f aca="false">IF(OR(H30="",I30=""),"",COUNTIF(H30:I30,"YES")/2*$C$7)</f>
        <v/>
      </c>
    </row>
    <row r="31" customFormat="false" ht="14.25" hidden="false" customHeight="true" outlineLevel="0" collapsed="false">
      <c r="A31" s="247" t="s">
        <v>1016</v>
      </c>
      <c r="B31" s="248"/>
      <c r="C31" s="248"/>
      <c r="D31" s="248"/>
      <c r="E31" s="248"/>
      <c r="F31" s="248"/>
      <c r="G31" s="248"/>
      <c r="H31" s="249"/>
      <c r="I31" s="249"/>
      <c r="J31" s="250" t="str">
        <f aca="false">IF(COUNTIFS('Scores (start here)'!$A:$A,$B$1,'Scores (start here)'!$B:$B,$A31,'Scores (start here)'!$F:$F,"&gt;=0")&gt;0,SUMIFS('Scores (start here)'!$F:$F,'Scores (start here)'!$A:$A,$B$1,'Scores (start here)'!$B:$B,$A31),M31)</f>
        <v/>
      </c>
      <c r="K31" s="248"/>
      <c r="L31" s="248"/>
      <c r="M31" s="77" t="str">
        <f aca="false">IF(OR(H31="",I31=""),"",COUNTIF(H31:I31,"YES")/2*$C$7)</f>
        <v/>
      </c>
    </row>
    <row r="32" customFormat="false" ht="14.25" hidden="false" customHeight="true" outlineLevel="0" collapsed="false">
      <c r="A32" s="247" t="s">
        <v>1017</v>
      </c>
      <c r="B32" s="248"/>
      <c r="C32" s="248"/>
      <c r="D32" s="248"/>
      <c r="E32" s="248"/>
      <c r="F32" s="248"/>
      <c r="G32" s="248"/>
      <c r="H32" s="249"/>
      <c r="I32" s="249"/>
      <c r="J32" s="250" t="str">
        <f aca="false">IF(COUNTIFS('Scores (start here)'!$A:$A,$B$1,'Scores (start here)'!$B:$B,$A32,'Scores (start here)'!$F:$F,"&gt;=0")&gt;0,SUMIFS('Scores (start here)'!$F:$F,'Scores (start here)'!$A:$A,$B$1,'Scores (start here)'!$B:$B,$A32),M32)</f>
        <v/>
      </c>
      <c r="K32" s="248"/>
      <c r="L32" s="248"/>
      <c r="M32" s="77" t="str">
        <f aca="false">IF(OR(H32="",I32=""),"",COUNTIF(H32:I32,"YES")/2*$C$7)</f>
        <v/>
      </c>
    </row>
    <row r="33" customFormat="false" ht="14.25" hidden="false" customHeight="true" outlineLevel="0" collapsed="false">
      <c r="A33" s="247" t="s">
        <v>30</v>
      </c>
      <c r="B33" s="248" t="s">
        <v>155</v>
      </c>
      <c r="C33" s="248" t="s">
        <v>1813</v>
      </c>
      <c r="D33" s="248" t="s">
        <v>1814</v>
      </c>
      <c r="E33" s="248" t="s">
        <v>1815</v>
      </c>
      <c r="F33" s="248" t="s">
        <v>691</v>
      </c>
      <c r="G33" s="248" t="s">
        <v>156</v>
      </c>
      <c r="H33" s="249" t="s">
        <v>1309</v>
      </c>
      <c r="I33" s="249" t="s">
        <v>1309</v>
      </c>
      <c r="J33" s="250" t="n">
        <f aca="false">IF(COUNTIFS('Scores (start here)'!$A:$A,$B$1,'Scores (start here)'!$B:$B,$A33,'Scores (start here)'!$F:$F,"&gt;=0")&gt;0,SUMIFS('Scores (start here)'!$F:$F,'Scores (start here)'!$A:$A,$B$1,'Scores (start here)'!$B:$B,$A33),M33)</f>
        <v>10</v>
      </c>
      <c r="K33" s="251" t="s">
        <v>1816</v>
      </c>
      <c r="L33" s="248"/>
      <c r="M33" s="77" t="n">
        <f aca="false">IF(OR(H33="",I33=""),"",COUNTIF(H33:I33,"YES")/2*$C$7)</f>
        <v>10</v>
      </c>
    </row>
    <row r="34" customFormat="false" ht="14.25" hidden="false" customHeight="true" outlineLevel="0" collapsed="false">
      <c r="A34" s="247" t="s">
        <v>1018</v>
      </c>
      <c r="B34" s="248"/>
      <c r="C34" s="248"/>
      <c r="D34" s="248"/>
      <c r="E34" s="248"/>
      <c r="F34" s="248"/>
      <c r="G34" s="248"/>
      <c r="H34" s="249"/>
      <c r="I34" s="249"/>
      <c r="J34" s="250" t="str">
        <f aca="false">IF(COUNTIFS('Scores (start here)'!$A:$A,$B$1,'Scores (start here)'!$B:$B,$A34,'Scores (start here)'!$F:$F,"&gt;=0")&gt;0,SUMIFS('Scores (start here)'!$F:$F,'Scores (start here)'!$A:$A,$B$1,'Scores (start here)'!$B:$B,$A34),M34)</f>
        <v/>
      </c>
      <c r="K34" s="248"/>
      <c r="L34" s="248"/>
      <c r="M34" s="77" t="str">
        <f aca="false">IF(OR(H34="",I34=""),"",COUNTIF(H34:I34,"YES")/2*$C$7)</f>
        <v/>
      </c>
    </row>
    <row r="35" customFormat="false" ht="14.25" hidden="false" customHeight="true" outlineLevel="0" collapsed="false">
      <c r="A35" s="247" t="s">
        <v>1019</v>
      </c>
      <c r="B35" s="248"/>
      <c r="C35" s="248"/>
      <c r="D35" s="248"/>
      <c r="E35" s="248"/>
      <c r="F35" s="248"/>
      <c r="G35" s="248"/>
      <c r="H35" s="249"/>
      <c r="I35" s="249"/>
      <c r="J35" s="250" t="str">
        <f aca="false">IF(COUNTIFS('Scores (start here)'!$A:$A,$B$1,'Scores (start here)'!$B:$B,$A35,'Scores (start here)'!$F:$F,"&gt;=0")&gt;0,SUMIFS('Scores (start here)'!$F:$F,'Scores (start here)'!$A:$A,$B$1,'Scores (start here)'!$B:$B,$A35),M35)</f>
        <v/>
      </c>
      <c r="K35" s="248"/>
      <c r="L35" s="248"/>
      <c r="M35" s="77" t="str">
        <f aca="false">IF(OR(H35="",I35=""),"",COUNTIF(H35:I35,"YES")/2*$C$7)</f>
        <v/>
      </c>
    </row>
    <row r="36" customFormat="false" ht="14.25" hidden="false" customHeight="true" outlineLevel="0" collapsed="false">
      <c r="A36" s="247" t="s">
        <v>1020</v>
      </c>
      <c r="B36" s="248"/>
      <c r="C36" s="248"/>
      <c r="D36" s="248"/>
      <c r="E36" s="248"/>
      <c r="F36" s="248"/>
      <c r="G36" s="248"/>
      <c r="H36" s="249"/>
      <c r="I36" s="249"/>
      <c r="J36" s="250" t="str">
        <f aca="false">IF(COUNTIFS('Scores (start here)'!$A:$A,$B$1,'Scores (start here)'!$B:$B,$A36,'Scores (start here)'!$F:$F,"&gt;=0")&gt;0,SUMIFS('Scores (start here)'!$F:$F,'Scores (start here)'!$A:$A,$B$1,'Scores (start here)'!$B:$B,$A36),M36)</f>
        <v/>
      </c>
      <c r="K36" s="248"/>
      <c r="L36" s="248"/>
      <c r="M36" s="77" t="str">
        <f aca="false">IF(OR(H36="",I36=""),"",COUNTIF(H36:I36,"YES")/2*$C$7)</f>
        <v/>
      </c>
    </row>
    <row r="37" customFormat="false" ht="14.25" hidden="false" customHeight="true" outlineLevel="0" collapsed="false">
      <c r="A37" s="247" t="s">
        <v>1021</v>
      </c>
      <c r="B37" s="248"/>
      <c r="C37" s="248"/>
      <c r="D37" s="248"/>
      <c r="E37" s="248"/>
      <c r="F37" s="248"/>
      <c r="G37" s="248"/>
      <c r="H37" s="249"/>
      <c r="I37" s="249"/>
      <c r="J37" s="250" t="str">
        <f aca="false">IF(COUNTIFS('Scores (start here)'!$A:$A,$B$1,'Scores (start here)'!$B:$B,$A37,'Scores (start here)'!$F:$F,"&gt;=0")&gt;0,SUMIFS('Scores (start here)'!$F:$F,'Scores (start here)'!$A:$A,$B$1,'Scores (start here)'!$B:$B,$A37),M37)</f>
        <v/>
      </c>
      <c r="K37" s="248"/>
      <c r="L37" s="248"/>
      <c r="M37" s="77" t="str">
        <f aca="false">IF(OR(H37="",I37=""),"",COUNTIF(H37:I37,"YES")/2*$C$7)</f>
        <v/>
      </c>
    </row>
    <row r="38" customFormat="false" ht="14.25" hidden="false" customHeight="true" outlineLevel="0" collapsed="false">
      <c r="A38" s="247" t="s">
        <v>1022</v>
      </c>
      <c r="B38" s="248"/>
      <c r="C38" s="248"/>
      <c r="D38" s="248"/>
      <c r="E38" s="248"/>
      <c r="F38" s="248"/>
      <c r="G38" s="248"/>
      <c r="H38" s="249"/>
      <c r="I38" s="249"/>
      <c r="J38" s="250" t="str">
        <f aca="false">IF(COUNTIFS('Scores (start here)'!$A:$A,$B$1,'Scores (start here)'!$B:$B,$A38,'Scores (start here)'!$F:$F,"&gt;=0")&gt;0,SUMIFS('Scores (start here)'!$F:$F,'Scores (start here)'!$A:$A,$B$1,'Scores (start here)'!$B:$B,$A38),M38)</f>
        <v/>
      </c>
      <c r="K38" s="248"/>
      <c r="L38" s="248"/>
      <c r="M38" s="77" t="str">
        <f aca="false">IF(OR(H38="",I38=""),"",COUNTIF(H38:I38,"YES")/2*$C$7)</f>
        <v/>
      </c>
    </row>
    <row r="39" customFormat="false" ht="14.25" hidden="false" customHeight="true" outlineLevel="0" collapsed="false">
      <c r="A39" s="247" t="s">
        <v>1023</v>
      </c>
      <c r="B39" s="248"/>
      <c r="C39" s="248"/>
      <c r="D39" s="248"/>
      <c r="E39" s="248"/>
      <c r="F39" s="248"/>
      <c r="G39" s="248"/>
      <c r="H39" s="249"/>
      <c r="I39" s="249"/>
      <c r="J39" s="250" t="str">
        <f aca="false">IF(COUNTIFS('Scores (start here)'!$A:$A,$B$1,'Scores (start here)'!$B:$B,$A39,'Scores (start here)'!$F:$F,"&gt;=0")&gt;0,SUMIFS('Scores (start here)'!$F:$F,'Scores (start here)'!$A:$A,$B$1,'Scores (start here)'!$B:$B,$A39),M39)</f>
        <v/>
      </c>
      <c r="K39" s="248"/>
      <c r="L39" s="248"/>
      <c r="M39" s="77" t="str">
        <f aca="false">IF(OR(H39="",I39=""),"",COUNTIF(H39:I39,"YES")/2*$C$7)</f>
        <v/>
      </c>
    </row>
    <row r="40" customFormat="false" ht="14.25" hidden="false" customHeight="true" outlineLevel="0" collapsed="false">
      <c r="A40" s="247" t="s">
        <v>1024</v>
      </c>
      <c r="B40" s="248"/>
      <c r="C40" s="248"/>
      <c r="D40" s="248"/>
      <c r="E40" s="248"/>
      <c r="F40" s="248"/>
      <c r="G40" s="248"/>
      <c r="H40" s="249"/>
      <c r="I40" s="249"/>
      <c r="J40" s="250" t="str">
        <f aca="false">IF(COUNTIFS('Scores (start here)'!$A:$A,$B$1,'Scores (start here)'!$B:$B,$A40,'Scores (start here)'!$F:$F,"&gt;=0")&gt;0,SUMIFS('Scores (start here)'!$F:$F,'Scores (start here)'!$A:$A,$B$1,'Scores (start here)'!$B:$B,$A40),M40)</f>
        <v/>
      </c>
      <c r="K40" s="248"/>
      <c r="L40" s="248"/>
      <c r="M40" s="77" t="str">
        <f aca="false">IF(OR(H40="",I40=""),"",COUNTIF(H40:I40,"YES")/2*$C$7)</f>
        <v/>
      </c>
    </row>
    <row r="41" customFormat="false" ht="14.25" hidden="false" customHeight="true" outlineLevel="0" collapsed="false">
      <c r="A41" s="247" t="s">
        <v>1025</v>
      </c>
      <c r="B41" s="248"/>
      <c r="C41" s="248"/>
      <c r="D41" s="248"/>
      <c r="E41" s="248"/>
      <c r="F41" s="248"/>
      <c r="G41" s="248"/>
      <c r="H41" s="249"/>
      <c r="I41" s="249"/>
      <c r="J41" s="250" t="str">
        <f aca="false">IF(COUNTIFS('Scores (start here)'!$A:$A,$B$1,'Scores (start here)'!$B:$B,$A41,'Scores (start here)'!$F:$F,"&gt;=0")&gt;0,SUMIFS('Scores (start here)'!$F:$F,'Scores (start here)'!$A:$A,$B$1,'Scores (start here)'!$B:$B,$A41),M41)</f>
        <v/>
      </c>
      <c r="K41" s="248"/>
      <c r="L41" s="248"/>
      <c r="M41" s="77" t="str">
        <f aca="false">IF(OR(H41="",I41=""),"",COUNTIF(H41:I41,"YES")/2*$C$7)</f>
        <v/>
      </c>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575</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Development approvals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single window clearance process in place for  development projects that are in conformity with municipal/city plans?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for the existence of an online portal / platform that acts as a one-stop solution for filing complete application for development projects (education, health, affordable housing) and provides option for tracking status of application. Score 10 if  any 2 out of the 3 project types are available on the portal/platform/DA Website </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43" t="s">
        <v>1294</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1312</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IF(H13="YES",$C$7,IF(H13="NO",0,""))</f>
        <v/>
      </c>
    </row>
    <row r="14" customFormat="false" ht="14.25" hidden="false" customHeight="true" outlineLevel="0" collapsed="false">
      <c r="A14" s="247" t="s">
        <v>19</v>
      </c>
      <c r="B14" s="248"/>
      <c r="C14" s="248"/>
      <c r="D14" s="248"/>
      <c r="E14" s="248"/>
      <c r="F14" s="248"/>
      <c r="G14" s="248"/>
      <c r="H14" s="249"/>
      <c r="I14" s="250" t="str">
        <f aca="false">IF(COUNTIFS('Scores (start here)'!$A:$A,$B$1,'Scores (start here)'!$B:$B,$A14,'Scores (start here)'!$F:$F,"&gt;=0")&gt;0,SUMIFS('Scores (start here)'!$F:$F,'Scores (start here)'!$A:$A,$B$1,'Scores (start here)'!$B:$B,$A14),K14)</f>
        <v/>
      </c>
      <c r="J14" s="248" t="s">
        <v>1817</v>
      </c>
      <c r="K14" s="77" t="str">
        <f aca="false">IF(H14="YES",$C$7,IF(H14="NO",0,""))</f>
        <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IF(H15="YES",$C$7,IF(H15="NO",0,""))</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IF(H16="YES",$C$7,IF(H16="NO",0,""))</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IF(H17="YES",$C$7,IF(H17="NO",0,""))</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IF(H18="YES",$C$7,IF(H18="NO",0,""))</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IF(H19="YES",$C$7,IF(H19="NO",0,""))</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IF(H20="YES",$C$7,IF(H20="NO",0,""))</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IF(H21="YES",$C$7,IF(H21="NO",0,""))</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IF(H22="YES",$C$7,IF(H22="NO",0,""))</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IF(H23="YES",$C$7,IF(H23="NO",0,""))</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IF(H24="YES",$C$7,IF(H24="NO",0,""))</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IF(H25="YES",$C$7,IF(H25="NO",0,""))</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IF(H26="YES",$C$7,IF(H26="NO",0,""))</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IF(H27="YES",$C$7,IF(H27="NO",0,""))</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IF(H28="YES",$C$7,IF(H28="NO",0,""))</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IF(H29="YES",$C$7,IF(H29="NO",0,""))</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IF(H30="YES",$C$7,IF(H30="NO",0,""))</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IF(H31="YES",$C$7,IF(H31="NO",0,""))</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IF(H32="YES",$C$7,IF(H32="NO",0,""))</f>
        <v/>
      </c>
    </row>
    <row r="33" customFormat="false" ht="14.25" hidden="false" customHeight="true" outlineLevel="0" collapsed="false">
      <c r="A33" s="247" t="s">
        <v>30</v>
      </c>
      <c r="B33" s="248"/>
      <c r="C33" s="248"/>
      <c r="D33" s="248"/>
      <c r="E33" s="248"/>
      <c r="F33" s="248"/>
      <c r="G33" s="248"/>
      <c r="H33" s="249"/>
      <c r="I33" s="250" t="str">
        <f aca="false">IF(COUNTIFS('Scores (start here)'!$A:$A,$B$1,'Scores (start here)'!$B:$B,$A33,'Scores (start here)'!$F:$F,"&gt;=0")&gt;0,SUMIFS('Scores (start here)'!$F:$F,'Scores (start here)'!$A:$A,$B$1,'Scores (start here)'!$B:$B,$A33),K33)</f>
        <v/>
      </c>
      <c r="J33" s="248" t="s">
        <v>1818</v>
      </c>
      <c r="K33" s="77" t="str">
        <f aca="false">IF(H33="YES",$C$7,IF(H33="NO",0,""))</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IF(H34="YES",$C$7,IF(H34="NO",0,""))</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IF(H35="YES",$C$7,IF(H35="NO",0,""))</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IF(H36="YES",$C$7,IF(H36="NO",0,""))</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IF(H37="YES",$C$7,IF(H37="NO",0,""))</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IF(H38="YES",$C$7,IF(H38="NO",0,""))</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IF(H39="YES",$C$7,IF(H39="NO",0,""))</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IF(H40="YES",$C$7,IF(H40="NO",0,""))</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IF(H41="YES",$C$7,IF(H41="NO",0,""))</f>
        <v/>
      </c>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N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1" min="8" style="77" width="22"/>
    <col collapsed="false" customWidth="true" hidden="false" outlineLevel="0" max="12" min="12" style="77" width="14"/>
    <col collapsed="false" customWidth="true" hidden="false" outlineLevel="0" max="13" min="13" style="77" width="45"/>
  </cols>
  <sheetData>
    <row r="1" customFormat="false" ht="14.25" hidden="false" customHeight="true" outlineLevel="0" collapsed="false">
      <c r="A1" s="238" t="s">
        <v>1288</v>
      </c>
      <c r="B1" s="238" t="s">
        <v>579</v>
      </c>
      <c r="C1" s="239" t="s">
        <v>1289</v>
      </c>
      <c r="L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Development approvals</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an effective system to prevent approval of plans that are not in conformity with municipal/city plan?</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there is a system with all of the following aspects:1. An approval authority for projects at each level, as defined under the T&amp;CP Act or allied Act and/or the MPC Act2. A defined process for rejection and/or variance approvals for plans that are not in conformity with the SDP, as provided under the T&amp;CP Act or allied Act and/or the MPC Act3. A registry of public projects (bus terminals, metro stations, railway stations, protected heritage buildings) and private projects. Evidence can be present on ULG/Development Authority websites4. Disclosure of all approvals, denials and variance approvals in the public domain. Evidence can be present on ULG/Development Authority websites Score 10 only if all four of the above aspects are metScore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42" t="s">
        <v>1819</v>
      </c>
    </row>
    <row r="11" customFormat="false" ht="28.5" hidden="false" customHeight="true" outlineLevel="0" collapsed="false">
      <c r="H11" s="243" t="s">
        <v>1294</v>
      </c>
      <c r="I11" s="243" t="s">
        <v>1294</v>
      </c>
      <c r="J11" s="243" t="s">
        <v>1294</v>
      </c>
      <c r="K11" s="243" t="s">
        <v>1294</v>
      </c>
      <c r="L11" s="244" t="s">
        <v>1295</v>
      </c>
      <c r="N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1820</v>
      </c>
      <c r="I12" s="246" t="s">
        <v>1821</v>
      </c>
      <c r="J12" s="246" t="s">
        <v>1822</v>
      </c>
      <c r="K12" s="246" t="s">
        <v>1823</v>
      </c>
      <c r="L12" s="244" t="s">
        <v>1303</v>
      </c>
      <c r="M12" s="246" t="s">
        <v>1304</v>
      </c>
      <c r="N12" s="77" t="s">
        <v>1305</v>
      </c>
    </row>
    <row r="13" customFormat="false" ht="14.25" hidden="false" customHeight="true" outlineLevel="0" collapsed="false">
      <c r="A13" s="247" t="s">
        <v>999</v>
      </c>
      <c r="B13" s="248"/>
      <c r="C13" s="248"/>
      <c r="D13" s="248"/>
      <c r="E13" s="248"/>
      <c r="F13" s="248"/>
      <c r="G13" s="248"/>
      <c r="H13" s="249"/>
      <c r="I13" s="249"/>
      <c r="J13" s="249"/>
      <c r="K13" s="249"/>
      <c r="L13" s="250" t="str">
        <f aca="false">IF(COUNTIFS('Scores (start here)'!$A:$A,$B$1,'Scores (start here)'!$B:$B,$A13,'Scores (start here)'!$F:$F,"&gt;=0")&gt;0,SUMIFS('Scores (start here)'!$F:$F,'Scores (start here)'!$A:$A,$B$1,'Scores (start here)'!$B:$B,$A13),N13)</f>
        <v/>
      </c>
      <c r="M13" s="248"/>
      <c r="N13" s="77" t="str">
        <f aca="false">IF(OR(H13="",I13="",J13="",K13=""),"",IF(COUNTIF(H13:K13,"YES")=4,$C$7,0))</f>
        <v/>
      </c>
    </row>
    <row r="14" customFormat="false" ht="14.25" hidden="false" customHeight="true" outlineLevel="0" collapsed="false">
      <c r="A14" s="247" t="s">
        <v>19</v>
      </c>
      <c r="B14" s="248" t="s">
        <v>49</v>
      </c>
      <c r="C14" s="248" t="s">
        <v>1824</v>
      </c>
      <c r="D14" s="248" t="s">
        <v>1825</v>
      </c>
      <c r="E14" s="248" t="s">
        <v>1826</v>
      </c>
      <c r="F14" s="248" t="s">
        <v>1758</v>
      </c>
      <c r="G14" s="248" t="s">
        <v>50</v>
      </c>
      <c r="H14" s="249" t="s">
        <v>1309</v>
      </c>
      <c r="I14" s="249" t="s">
        <v>1309</v>
      </c>
      <c r="J14" s="249"/>
      <c r="K14" s="249"/>
      <c r="L14" s="250" t="str">
        <f aca="false">IF(COUNTIFS('Scores (start here)'!$A:$A,$B$1,'Scores (start here)'!$B:$B,$A14,'Scores (start here)'!$F:$F,"&gt;=0")&gt;0,SUMIFS('Scores (start here)'!$F:$F,'Scores (start here)'!$A:$A,$B$1,'Scores (start here)'!$B:$B,$A14),N14)</f>
        <v/>
      </c>
      <c r="M14" s="251" t="s">
        <v>1827</v>
      </c>
      <c r="N14" s="77" t="str">
        <f aca="false">IF(OR(H14="",I14="",J14="",K14=""),"",IF(COUNTIF(H14:K14,"YES")=4,$C$7,0))</f>
        <v/>
      </c>
    </row>
    <row r="15" customFormat="false" ht="14.25" hidden="false" customHeight="true" outlineLevel="0" collapsed="false">
      <c r="A15" s="247" t="s">
        <v>1000</v>
      </c>
      <c r="B15" s="248"/>
      <c r="C15" s="248"/>
      <c r="D15" s="248"/>
      <c r="E15" s="248"/>
      <c r="F15" s="248"/>
      <c r="G15" s="248"/>
      <c r="H15" s="249"/>
      <c r="I15" s="249"/>
      <c r="J15" s="249"/>
      <c r="K15" s="249"/>
      <c r="L15" s="250" t="str">
        <f aca="false">IF(COUNTIFS('Scores (start here)'!$A:$A,$B$1,'Scores (start here)'!$B:$B,$A15,'Scores (start here)'!$F:$F,"&gt;=0")&gt;0,SUMIFS('Scores (start here)'!$F:$F,'Scores (start here)'!$A:$A,$B$1,'Scores (start here)'!$B:$B,$A15),N15)</f>
        <v/>
      </c>
      <c r="M15" s="248"/>
      <c r="N15" s="77" t="str">
        <f aca="false">IF(OR(H15="",I15="",J15="",K15=""),"",IF(COUNTIF(H15:K15,"YES")=4,$C$7,0))</f>
        <v/>
      </c>
    </row>
    <row r="16" customFormat="false" ht="14.25" hidden="false" customHeight="true" outlineLevel="0" collapsed="false">
      <c r="A16" s="247" t="s">
        <v>1001</v>
      </c>
      <c r="B16" s="248"/>
      <c r="C16" s="248"/>
      <c r="D16" s="248"/>
      <c r="E16" s="248"/>
      <c r="F16" s="248"/>
      <c r="G16" s="248"/>
      <c r="H16" s="249"/>
      <c r="I16" s="249"/>
      <c r="J16" s="249"/>
      <c r="K16" s="249"/>
      <c r="L16" s="250" t="str">
        <f aca="false">IF(COUNTIFS('Scores (start here)'!$A:$A,$B$1,'Scores (start here)'!$B:$B,$A16,'Scores (start here)'!$F:$F,"&gt;=0")&gt;0,SUMIFS('Scores (start here)'!$F:$F,'Scores (start here)'!$A:$A,$B$1,'Scores (start here)'!$B:$B,$A16),N16)</f>
        <v/>
      </c>
      <c r="M16" s="248"/>
      <c r="N16" s="77" t="str">
        <f aca="false">IF(OR(H16="",I16="",J16="",K16=""),"",IF(COUNTIF(H16:K16,"YES")=4,$C$7,0))</f>
        <v/>
      </c>
    </row>
    <row r="17" customFormat="false" ht="14.25" hidden="false" customHeight="true" outlineLevel="0" collapsed="false">
      <c r="A17" s="247" t="s">
        <v>1002</v>
      </c>
      <c r="B17" s="248"/>
      <c r="C17" s="248"/>
      <c r="D17" s="248"/>
      <c r="E17" s="248"/>
      <c r="F17" s="248"/>
      <c r="G17" s="248"/>
      <c r="H17" s="249"/>
      <c r="I17" s="249"/>
      <c r="J17" s="249"/>
      <c r="K17" s="249"/>
      <c r="L17" s="250" t="str">
        <f aca="false">IF(COUNTIFS('Scores (start here)'!$A:$A,$B$1,'Scores (start here)'!$B:$B,$A17,'Scores (start here)'!$F:$F,"&gt;=0")&gt;0,SUMIFS('Scores (start here)'!$F:$F,'Scores (start here)'!$A:$A,$B$1,'Scores (start here)'!$B:$B,$A17),N17)</f>
        <v/>
      </c>
      <c r="M17" s="248"/>
      <c r="N17" s="77" t="str">
        <f aca="false">IF(OR(H17="",I17="",J17="",K17=""),"",IF(COUNTIF(H17:K17,"YES")=4,$C$7,0))</f>
        <v/>
      </c>
    </row>
    <row r="18" customFormat="false" ht="14.25" hidden="false" customHeight="true" outlineLevel="0" collapsed="false">
      <c r="A18" s="247" t="s">
        <v>1003</v>
      </c>
      <c r="B18" s="248"/>
      <c r="C18" s="248"/>
      <c r="D18" s="248"/>
      <c r="E18" s="248"/>
      <c r="F18" s="248"/>
      <c r="G18" s="248"/>
      <c r="H18" s="249"/>
      <c r="I18" s="249"/>
      <c r="J18" s="249"/>
      <c r="K18" s="249"/>
      <c r="L18" s="250" t="str">
        <f aca="false">IF(COUNTIFS('Scores (start here)'!$A:$A,$B$1,'Scores (start here)'!$B:$B,$A18,'Scores (start here)'!$F:$F,"&gt;=0")&gt;0,SUMIFS('Scores (start here)'!$F:$F,'Scores (start here)'!$A:$A,$B$1,'Scores (start here)'!$B:$B,$A18),N18)</f>
        <v/>
      </c>
      <c r="M18" s="248"/>
      <c r="N18" s="77" t="str">
        <f aca="false">IF(OR(H18="",I18="",J18="",K18=""),"",IF(COUNTIF(H18:K18,"YES")=4,$C$7,0))</f>
        <v/>
      </c>
    </row>
    <row r="19" customFormat="false" ht="14.25" hidden="false" customHeight="true" outlineLevel="0" collapsed="false">
      <c r="A19" s="247" t="s">
        <v>1004</v>
      </c>
      <c r="B19" s="248"/>
      <c r="C19" s="248"/>
      <c r="D19" s="248"/>
      <c r="E19" s="248"/>
      <c r="F19" s="248"/>
      <c r="G19" s="248"/>
      <c r="H19" s="249"/>
      <c r="I19" s="249"/>
      <c r="J19" s="249"/>
      <c r="K19" s="249"/>
      <c r="L19" s="250" t="str">
        <f aca="false">IF(COUNTIFS('Scores (start here)'!$A:$A,$B$1,'Scores (start here)'!$B:$B,$A19,'Scores (start here)'!$F:$F,"&gt;=0")&gt;0,SUMIFS('Scores (start here)'!$F:$F,'Scores (start here)'!$A:$A,$B$1,'Scores (start here)'!$B:$B,$A19),N19)</f>
        <v/>
      </c>
      <c r="M19" s="248"/>
      <c r="N19" s="77" t="str">
        <f aca="false">IF(OR(H19="",I19="",J19="",K19=""),"",IF(COUNTIF(H19:K19,"YES")=4,$C$7,0))</f>
        <v/>
      </c>
    </row>
    <row r="20" customFormat="false" ht="14.25" hidden="false" customHeight="true" outlineLevel="0" collapsed="false">
      <c r="A20" s="247" t="s">
        <v>1005</v>
      </c>
      <c r="B20" s="248"/>
      <c r="C20" s="248"/>
      <c r="D20" s="248"/>
      <c r="E20" s="248"/>
      <c r="F20" s="248"/>
      <c r="G20" s="248"/>
      <c r="H20" s="249"/>
      <c r="I20" s="249"/>
      <c r="J20" s="249"/>
      <c r="K20" s="249"/>
      <c r="L20" s="250" t="str">
        <f aca="false">IF(COUNTIFS('Scores (start here)'!$A:$A,$B$1,'Scores (start here)'!$B:$B,$A20,'Scores (start here)'!$F:$F,"&gt;=0")&gt;0,SUMIFS('Scores (start here)'!$F:$F,'Scores (start here)'!$A:$A,$B$1,'Scores (start here)'!$B:$B,$A20),N20)</f>
        <v/>
      </c>
      <c r="M20" s="248"/>
      <c r="N20" s="77" t="str">
        <f aca="false">IF(OR(H20="",I20="",J20="",K20=""),"",IF(COUNTIF(H20:K20,"YES")=4,$C$7,0))</f>
        <v/>
      </c>
    </row>
    <row r="21" customFormat="false" ht="14.25" hidden="false" customHeight="true" outlineLevel="0" collapsed="false">
      <c r="A21" s="247" t="s">
        <v>1006</v>
      </c>
      <c r="B21" s="248"/>
      <c r="C21" s="248"/>
      <c r="D21" s="248"/>
      <c r="E21" s="248"/>
      <c r="F21" s="248"/>
      <c r="G21" s="248"/>
      <c r="H21" s="249"/>
      <c r="I21" s="249"/>
      <c r="J21" s="249"/>
      <c r="K21" s="249"/>
      <c r="L21" s="250" t="str">
        <f aca="false">IF(COUNTIFS('Scores (start here)'!$A:$A,$B$1,'Scores (start here)'!$B:$B,$A21,'Scores (start here)'!$F:$F,"&gt;=0")&gt;0,SUMIFS('Scores (start here)'!$F:$F,'Scores (start here)'!$A:$A,$B$1,'Scores (start here)'!$B:$B,$A21),N21)</f>
        <v/>
      </c>
      <c r="M21" s="248"/>
      <c r="N21" s="77" t="str">
        <f aca="false">IF(OR(H21="",I21="",J21="",K21=""),"",IF(COUNTIF(H21:K21,"YES")=4,$C$7,0))</f>
        <v/>
      </c>
    </row>
    <row r="22" customFormat="false" ht="14.25" hidden="false" customHeight="true" outlineLevel="0" collapsed="false">
      <c r="A22" s="247" t="s">
        <v>1007</v>
      </c>
      <c r="B22" s="248"/>
      <c r="C22" s="248"/>
      <c r="D22" s="248"/>
      <c r="E22" s="248"/>
      <c r="F22" s="248"/>
      <c r="G22" s="248"/>
      <c r="H22" s="249"/>
      <c r="I22" s="249"/>
      <c r="J22" s="249"/>
      <c r="K22" s="249"/>
      <c r="L22" s="250" t="str">
        <f aca="false">IF(COUNTIFS('Scores (start here)'!$A:$A,$B$1,'Scores (start here)'!$B:$B,$A22,'Scores (start here)'!$F:$F,"&gt;=0")&gt;0,SUMIFS('Scores (start here)'!$F:$F,'Scores (start here)'!$A:$A,$B$1,'Scores (start here)'!$B:$B,$A22),N22)</f>
        <v/>
      </c>
      <c r="M22" s="248"/>
      <c r="N22" s="77" t="str">
        <f aca="false">IF(OR(H22="",I22="",J22="",K22=""),"",IF(COUNTIF(H22:K22,"YES")=4,$C$7,0))</f>
        <v/>
      </c>
    </row>
    <row r="23" customFormat="false" ht="14.25" hidden="false" customHeight="true" outlineLevel="0" collapsed="false">
      <c r="A23" s="247" t="s">
        <v>1008</v>
      </c>
      <c r="B23" s="248"/>
      <c r="C23" s="248"/>
      <c r="D23" s="248"/>
      <c r="E23" s="248"/>
      <c r="F23" s="248"/>
      <c r="G23" s="248"/>
      <c r="H23" s="249"/>
      <c r="I23" s="249"/>
      <c r="J23" s="249"/>
      <c r="K23" s="249"/>
      <c r="L23" s="250" t="str">
        <f aca="false">IF(COUNTIFS('Scores (start here)'!$A:$A,$B$1,'Scores (start here)'!$B:$B,$A23,'Scores (start here)'!$F:$F,"&gt;=0")&gt;0,SUMIFS('Scores (start here)'!$F:$F,'Scores (start here)'!$A:$A,$B$1,'Scores (start here)'!$B:$B,$A23),N23)</f>
        <v/>
      </c>
      <c r="M23" s="248"/>
      <c r="N23" s="77" t="str">
        <f aca="false">IF(OR(H23="",I23="",J23="",K23=""),"",IF(COUNTIF(H23:K23,"YES")=4,$C$7,0))</f>
        <v/>
      </c>
    </row>
    <row r="24" customFormat="false" ht="14.25" hidden="false" customHeight="true" outlineLevel="0" collapsed="false">
      <c r="A24" s="247" t="s">
        <v>1009</v>
      </c>
      <c r="B24" s="248"/>
      <c r="C24" s="248"/>
      <c r="D24" s="248"/>
      <c r="E24" s="248"/>
      <c r="F24" s="248"/>
      <c r="G24" s="248"/>
      <c r="H24" s="249"/>
      <c r="I24" s="249"/>
      <c r="J24" s="249"/>
      <c r="K24" s="249"/>
      <c r="L24" s="250" t="str">
        <f aca="false">IF(COUNTIFS('Scores (start here)'!$A:$A,$B$1,'Scores (start here)'!$B:$B,$A24,'Scores (start here)'!$F:$F,"&gt;=0")&gt;0,SUMIFS('Scores (start here)'!$F:$F,'Scores (start here)'!$A:$A,$B$1,'Scores (start here)'!$B:$B,$A24),N24)</f>
        <v/>
      </c>
      <c r="M24" s="248"/>
      <c r="N24" s="77" t="str">
        <f aca="false">IF(OR(H24="",I24="",J24="",K24=""),"",IF(COUNTIF(H24:K24,"YES")=4,$C$7,0))</f>
        <v/>
      </c>
    </row>
    <row r="25" customFormat="false" ht="14.25" hidden="false" customHeight="true" outlineLevel="0" collapsed="false">
      <c r="A25" s="247" t="s">
        <v>1010</v>
      </c>
      <c r="B25" s="248"/>
      <c r="C25" s="248"/>
      <c r="D25" s="248"/>
      <c r="E25" s="248"/>
      <c r="F25" s="248"/>
      <c r="G25" s="248"/>
      <c r="H25" s="249"/>
      <c r="I25" s="249"/>
      <c r="J25" s="249"/>
      <c r="K25" s="249"/>
      <c r="L25" s="250" t="str">
        <f aca="false">IF(COUNTIFS('Scores (start here)'!$A:$A,$B$1,'Scores (start here)'!$B:$B,$A25,'Scores (start here)'!$F:$F,"&gt;=0")&gt;0,SUMIFS('Scores (start here)'!$F:$F,'Scores (start here)'!$A:$A,$B$1,'Scores (start here)'!$B:$B,$A25),N25)</f>
        <v/>
      </c>
      <c r="M25" s="248"/>
      <c r="N25" s="77" t="str">
        <f aca="false">IF(OR(H25="",I25="",J25="",K25=""),"",IF(COUNTIF(H25:K25,"YES")=4,$C$7,0))</f>
        <v/>
      </c>
    </row>
    <row r="26" customFormat="false" ht="14.25" hidden="false" customHeight="true" outlineLevel="0" collapsed="false">
      <c r="A26" s="247" t="s">
        <v>1011</v>
      </c>
      <c r="B26" s="248"/>
      <c r="C26" s="248"/>
      <c r="D26" s="248"/>
      <c r="E26" s="248"/>
      <c r="F26" s="248"/>
      <c r="G26" s="248"/>
      <c r="H26" s="249"/>
      <c r="I26" s="249"/>
      <c r="J26" s="249"/>
      <c r="K26" s="249"/>
      <c r="L26" s="250" t="str">
        <f aca="false">IF(COUNTIFS('Scores (start here)'!$A:$A,$B$1,'Scores (start here)'!$B:$B,$A26,'Scores (start here)'!$F:$F,"&gt;=0")&gt;0,SUMIFS('Scores (start here)'!$F:$F,'Scores (start here)'!$A:$A,$B$1,'Scores (start here)'!$B:$B,$A26),N26)</f>
        <v/>
      </c>
      <c r="M26" s="248"/>
      <c r="N26" s="77" t="str">
        <f aca="false">IF(OR(H26="",I26="",J26="",K26=""),"",IF(COUNTIF(H26:K26,"YES")=4,$C$7,0))</f>
        <v/>
      </c>
    </row>
    <row r="27" customFormat="false" ht="14.25" hidden="false" customHeight="true" outlineLevel="0" collapsed="false">
      <c r="A27" s="247" t="s">
        <v>1012</v>
      </c>
      <c r="B27" s="248"/>
      <c r="C27" s="248"/>
      <c r="D27" s="248"/>
      <c r="E27" s="248"/>
      <c r="F27" s="248"/>
      <c r="G27" s="248"/>
      <c r="H27" s="249"/>
      <c r="I27" s="249"/>
      <c r="J27" s="249"/>
      <c r="K27" s="249"/>
      <c r="L27" s="250" t="str">
        <f aca="false">IF(COUNTIFS('Scores (start here)'!$A:$A,$B$1,'Scores (start here)'!$B:$B,$A27,'Scores (start here)'!$F:$F,"&gt;=0")&gt;0,SUMIFS('Scores (start here)'!$F:$F,'Scores (start here)'!$A:$A,$B$1,'Scores (start here)'!$B:$B,$A27),N27)</f>
        <v/>
      </c>
      <c r="M27" s="248"/>
      <c r="N27" s="77" t="str">
        <f aca="false">IF(OR(H27="",I27="",J27="",K27=""),"",IF(COUNTIF(H27:K27,"YES")=4,$C$7,0))</f>
        <v/>
      </c>
    </row>
    <row r="28" customFormat="false" ht="14.25" hidden="false" customHeight="true" outlineLevel="0" collapsed="false">
      <c r="A28" s="247" t="s">
        <v>1013</v>
      </c>
      <c r="B28" s="248"/>
      <c r="C28" s="248"/>
      <c r="D28" s="248"/>
      <c r="E28" s="248"/>
      <c r="F28" s="248"/>
      <c r="G28" s="248"/>
      <c r="H28" s="249"/>
      <c r="I28" s="249"/>
      <c r="J28" s="249"/>
      <c r="K28" s="249"/>
      <c r="L28" s="250" t="str">
        <f aca="false">IF(COUNTIFS('Scores (start here)'!$A:$A,$B$1,'Scores (start here)'!$B:$B,$A28,'Scores (start here)'!$F:$F,"&gt;=0")&gt;0,SUMIFS('Scores (start here)'!$F:$F,'Scores (start here)'!$A:$A,$B$1,'Scores (start here)'!$B:$B,$A28),N28)</f>
        <v/>
      </c>
      <c r="M28" s="248"/>
      <c r="N28" s="77" t="str">
        <f aca="false">IF(OR(H28="",I28="",J28="",K28=""),"",IF(COUNTIF(H28:K28,"YES")=4,$C$7,0))</f>
        <v/>
      </c>
    </row>
    <row r="29" customFormat="false" ht="14.25" hidden="false" customHeight="true" outlineLevel="0" collapsed="false">
      <c r="A29" s="247" t="s">
        <v>1014</v>
      </c>
      <c r="B29" s="248"/>
      <c r="C29" s="248"/>
      <c r="D29" s="248"/>
      <c r="E29" s="248"/>
      <c r="F29" s="248"/>
      <c r="G29" s="248"/>
      <c r="H29" s="249"/>
      <c r="I29" s="249"/>
      <c r="J29" s="249"/>
      <c r="K29" s="249"/>
      <c r="L29" s="250" t="str">
        <f aca="false">IF(COUNTIFS('Scores (start here)'!$A:$A,$B$1,'Scores (start here)'!$B:$B,$A29,'Scores (start here)'!$F:$F,"&gt;=0")&gt;0,SUMIFS('Scores (start here)'!$F:$F,'Scores (start here)'!$A:$A,$B$1,'Scores (start here)'!$B:$B,$A29),N29)</f>
        <v/>
      </c>
      <c r="M29" s="248"/>
      <c r="N29" s="77" t="str">
        <f aca="false">IF(OR(H29="",I29="",J29="",K29=""),"",IF(COUNTIF(H29:K29,"YES")=4,$C$7,0))</f>
        <v/>
      </c>
    </row>
    <row r="30" customFormat="false" ht="14.25" hidden="false" customHeight="true" outlineLevel="0" collapsed="false">
      <c r="A30" s="247" t="s">
        <v>1015</v>
      </c>
      <c r="B30" s="248"/>
      <c r="C30" s="248"/>
      <c r="D30" s="248"/>
      <c r="E30" s="248"/>
      <c r="F30" s="248"/>
      <c r="G30" s="248"/>
      <c r="H30" s="249"/>
      <c r="I30" s="249"/>
      <c r="J30" s="249"/>
      <c r="K30" s="249"/>
      <c r="L30" s="250" t="str">
        <f aca="false">IF(COUNTIFS('Scores (start here)'!$A:$A,$B$1,'Scores (start here)'!$B:$B,$A30,'Scores (start here)'!$F:$F,"&gt;=0")&gt;0,SUMIFS('Scores (start here)'!$F:$F,'Scores (start here)'!$A:$A,$B$1,'Scores (start here)'!$B:$B,$A30),N30)</f>
        <v/>
      </c>
      <c r="M30" s="248"/>
      <c r="N30" s="77" t="str">
        <f aca="false">IF(OR(H30="",I30="",J30="",K30=""),"",IF(COUNTIF(H30:K30,"YES")=4,$C$7,0))</f>
        <v/>
      </c>
    </row>
    <row r="31" customFormat="false" ht="14.25" hidden="false" customHeight="true" outlineLevel="0" collapsed="false">
      <c r="A31" s="247" t="s">
        <v>1016</v>
      </c>
      <c r="B31" s="248"/>
      <c r="C31" s="248"/>
      <c r="D31" s="248"/>
      <c r="E31" s="248"/>
      <c r="F31" s="248"/>
      <c r="G31" s="248"/>
      <c r="H31" s="249"/>
      <c r="I31" s="249"/>
      <c r="J31" s="249"/>
      <c r="K31" s="249"/>
      <c r="L31" s="250" t="str">
        <f aca="false">IF(COUNTIFS('Scores (start here)'!$A:$A,$B$1,'Scores (start here)'!$B:$B,$A31,'Scores (start here)'!$F:$F,"&gt;=0")&gt;0,SUMIFS('Scores (start here)'!$F:$F,'Scores (start here)'!$A:$A,$B$1,'Scores (start here)'!$B:$B,$A31),N31)</f>
        <v/>
      </c>
      <c r="M31" s="248"/>
      <c r="N31" s="77" t="str">
        <f aca="false">IF(OR(H31="",I31="",J31="",K31=""),"",IF(COUNTIF(H31:K31,"YES")=4,$C$7,0))</f>
        <v/>
      </c>
    </row>
    <row r="32" customFormat="false" ht="14.25" hidden="false" customHeight="true" outlineLevel="0" collapsed="false">
      <c r="A32" s="247" t="s">
        <v>1017</v>
      </c>
      <c r="B32" s="248"/>
      <c r="C32" s="248"/>
      <c r="D32" s="248"/>
      <c r="E32" s="248"/>
      <c r="F32" s="248"/>
      <c r="G32" s="248"/>
      <c r="H32" s="249"/>
      <c r="I32" s="249"/>
      <c r="J32" s="249"/>
      <c r="K32" s="249"/>
      <c r="L32" s="250" t="str">
        <f aca="false">IF(COUNTIFS('Scores (start here)'!$A:$A,$B$1,'Scores (start here)'!$B:$B,$A32,'Scores (start here)'!$F:$F,"&gt;=0")&gt;0,SUMIFS('Scores (start here)'!$F:$F,'Scores (start here)'!$A:$A,$B$1,'Scores (start here)'!$B:$B,$A32),N32)</f>
        <v/>
      </c>
      <c r="M32" s="248"/>
      <c r="N32" s="77" t="str">
        <f aca="false">IF(OR(H32="",I32="",J32="",K32=""),"",IF(COUNTIF(H32:K32,"YES")=4,$C$7,0))</f>
        <v/>
      </c>
    </row>
    <row r="33" customFormat="false" ht="14.25" hidden="false" customHeight="true" outlineLevel="0" collapsed="false">
      <c r="A33" s="247" t="s">
        <v>30</v>
      </c>
      <c r="B33" s="248" t="s">
        <v>41</v>
      </c>
      <c r="C33" s="248" t="s">
        <v>1828</v>
      </c>
      <c r="D33" s="248" t="s">
        <v>1829</v>
      </c>
      <c r="E33" s="248" t="s">
        <v>1830</v>
      </c>
      <c r="F33" s="248" t="s">
        <v>1831</v>
      </c>
      <c r="G33" s="248" t="s">
        <v>42</v>
      </c>
      <c r="H33" s="249" t="s">
        <v>1309</v>
      </c>
      <c r="I33" s="249" t="s">
        <v>1309</v>
      </c>
      <c r="J33" s="249"/>
      <c r="K33" s="249"/>
      <c r="L33" s="250" t="str">
        <f aca="false">IF(COUNTIFS('Scores (start here)'!$A:$A,$B$1,'Scores (start here)'!$B:$B,$A33,'Scores (start here)'!$F:$F,"&gt;=0")&gt;0,SUMIFS('Scores (start here)'!$F:$F,'Scores (start here)'!$A:$A,$B$1,'Scores (start here)'!$B:$B,$A33),N33)</f>
        <v/>
      </c>
      <c r="M33" s="251" t="s">
        <v>1832</v>
      </c>
      <c r="N33" s="77" t="str">
        <f aca="false">IF(OR(H33="",I33="",J33="",K33=""),"",IF(COUNTIF(H33:K33,"YES")=4,$C$7,0))</f>
        <v/>
      </c>
    </row>
    <row r="34" customFormat="false" ht="14.25" hidden="false" customHeight="true" outlineLevel="0" collapsed="false">
      <c r="A34" s="247" t="s">
        <v>1018</v>
      </c>
      <c r="B34" s="248"/>
      <c r="C34" s="248"/>
      <c r="D34" s="248"/>
      <c r="E34" s="248"/>
      <c r="F34" s="248"/>
      <c r="G34" s="248"/>
      <c r="H34" s="249"/>
      <c r="I34" s="249"/>
      <c r="J34" s="249"/>
      <c r="K34" s="249"/>
      <c r="L34" s="250" t="str">
        <f aca="false">IF(COUNTIFS('Scores (start here)'!$A:$A,$B$1,'Scores (start here)'!$B:$B,$A34,'Scores (start here)'!$F:$F,"&gt;=0")&gt;0,SUMIFS('Scores (start here)'!$F:$F,'Scores (start here)'!$A:$A,$B$1,'Scores (start here)'!$B:$B,$A34),N34)</f>
        <v/>
      </c>
      <c r="M34" s="248"/>
      <c r="N34" s="77" t="str">
        <f aca="false">IF(OR(H34="",I34="",J34="",K34=""),"",IF(COUNTIF(H34:K34,"YES")=4,$C$7,0))</f>
        <v/>
      </c>
    </row>
    <row r="35" customFormat="false" ht="14.25" hidden="false" customHeight="true" outlineLevel="0" collapsed="false">
      <c r="A35" s="247" t="s">
        <v>1019</v>
      </c>
      <c r="B35" s="248"/>
      <c r="C35" s="248"/>
      <c r="D35" s="248"/>
      <c r="E35" s="248"/>
      <c r="F35" s="248"/>
      <c r="G35" s="248"/>
      <c r="H35" s="249"/>
      <c r="I35" s="249"/>
      <c r="J35" s="249"/>
      <c r="K35" s="249"/>
      <c r="L35" s="250" t="str">
        <f aca="false">IF(COUNTIFS('Scores (start here)'!$A:$A,$B$1,'Scores (start here)'!$B:$B,$A35,'Scores (start here)'!$F:$F,"&gt;=0")&gt;0,SUMIFS('Scores (start here)'!$F:$F,'Scores (start here)'!$A:$A,$B$1,'Scores (start here)'!$B:$B,$A35),N35)</f>
        <v/>
      </c>
      <c r="M35" s="248"/>
      <c r="N35" s="77" t="str">
        <f aca="false">IF(OR(H35="",I35="",J35="",K35=""),"",IF(COUNTIF(H35:K35,"YES")=4,$C$7,0))</f>
        <v/>
      </c>
    </row>
    <row r="36" customFormat="false" ht="14.25" hidden="false" customHeight="true" outlineLevel="0" collapsed="false">
      <c r="A36" s="247" t="s">
        <v>1020</v>
      </c>
      <c r="B36" s="248"/>
      <c r="C36" s="248"/>
      <c r="D36" s="248"/>
      <c r="E36" s="248"/>
      <c r="F36" s="248"/>
      <c r="G36" s="248"/>
      <c r="H36" s="249"/>
      <c r="I36" s="249"/>
      <c r="J36" s="249"/>
      <c r="K36" s="249"/>
      <c r="L36" s="250" t="str">
        <f aca="false">IF(COUNTIFS('Scores (start here)'!$A:$A,$B$1,'Scores (start here)'!$B:$B,$A36,'Scores (start here)'!$F:$F,"&gt;=0")&gt;0,SUMIFS('Scores (start here)'!$F:$F,'Scores (start here)'!$A:$A,$B$1,'Scores (start here)'!$B:$B,$A36),N36)</f>
        <v/>
      </c>
      <c r="M36" s="248"/>
      <c r="N36" s="77" t="str">
        <f aca="false">IF(OR(H36="",I36="",J36="",K36=""),"",IF(COUNTIF(H36:K36,"YES")=4,$C$7,0))</f>
        <v/>
      </c>
    </row>
    <row r="37" customFormat="false" ht="14.25" hidden="false" customHeight="true" outlineLevel="0" collapsed="false">
      <c r="A37" s="247" t="s">
        <v>1021</v>
      </c>
      <c r="B37" s="248"/>
      <c r="C37" s="248"/>
      <c r="D37" s="248"/>
      <c r="E37" s="248"/>
      <c r="F37" s="248"/>
      <c r="G37" s="248"/>
      <c r="H37" s="249"/>
      <c r="I37" s="249"/>
      <c r="J37" s="249"/>
      <c r="K37" s="249"/>
      <c r="L37" s="250" t="str">
        <f aca="false">IF(COUNTIFS('Scores (start here)'!$A:$A,$B$1,'Scores (start here)'!$B:$B,$A37,'Scores (start here)'!$F:$F,"&gt;=0")&gt;0,SUMIFS('Scores (start here)'!$F:$F,'Scores (start here)'!$A:$A,$B$1,'Scores (start here)'!$B:$B,$A37),N37)</f>
        <v/>
      </c>
      <c r="M37" s="248"/>
      <c r="N37" s="77" t="str">
        <f aca="false">IF(OR(H37="",I37="",J37="",K37=""),"",IF(COUNTIF(H37:K37,"YES")=4,$C$7,0))</f>
        <v/>
      </c>
    </row>
    <row r="38" customFormat="false" ht="14.25" hidden="false" customHeight="true" outlineLevel="0" collapsed="false">
      <c r="A38" s="247" t="s">
        <v>1022</v>
      </c>
      <c r="B38" s="248"/>
      <c r="C38" s="248"/>
      <c r="D38" s="248"/>
      <c r="E38" s="248"/>
      <c r="F38" s="248"/>
      <c r="G38" s="248"/>
      <c r="H38" s="249"/>
      <c r="I38" s="249"/>
      <c r="J38" s="249"/>
      <c r="K38" s="249"/>
      <c r="L38" s="250" t="str">
        <f aca="false">IF(COUNTIFS('Scores (start here)'!$A:$A,$B$1,'Scores (start here)'!$B:$B,$A38,'Scores (start here)'!$F:$F,"&gt;=0")&gt;0,SUMIFS('Scores (start here)'!$F:$F,'Scores (start here)'!$A:$A,$B$1,'Scores (start here)'!$B:$B,$A38),N38)</f>
        <v/>
      </c>
      <c r="M38" s="248"/>
      <c r="N38" s="77" t="str">
        <f aca="false">IF(OR(H38="",I38="",J38="",K38=""),"",IF(COUNTIF(H38:K38,"YES")=4,$C$7,0))</f>
        <v/>
      </c>
    </row>
    <row r="39" customFormat="false" ht="14.25" hidden="false" customHeight="true" outlineLevel="0" collapsed="false">
      <c r="A39" s="247" t="s">
        <v>1023</v>
      </c>
      <c r="B39" s="248"/>
      <c r="C39" s="248"/>
      <c r="D39" s="248"/>
      <c r="E39" s="248"/>
      <c r="F39" s="248"/>
      <c r="G39" s="248"/>
      <c r="H39" s="249"/>
      <c r="I39" s="249"/>
      <c r="J39" s="249"/>
      <c r="K39" s="249"/>
      <c r="L39" s="250" t="str">
        <f aca="false">IF(COUNTIFS('Scores (start here)'!$A:$A,$B$1,'Scores (start here)'!$B:$B,$A39,'Scores (start here)'!$F:$F,"&gt;=0")&gt;0,SUMIFS('Scores (start here)'!$F:$F,'Scores (start here)'!$A:$A,$B$1,'Scores (start here)'!$B:$B,$A39),N39)</f>
        <v/>
      </c>
      <c r="M39" s="248"/>
      <c r="N39" s="77" t="str">
        <f aca="false">IF(OR(H39="",I39="",J39="",K39=""),"",IF(COUNTIF(H39:K39,"YES")=4,$C$7,0))</f>
        <v/>
      </c>
    </row>
    <row r="40" customFormat="false" ht="14.25" hidden="false" customHeight="true" outlineLevel="0" collapsed="false">
      <c r="A40" s="247" t="s">
        <v>1024</v>
      </c>
      <c r="B40" s="248"/>
      <c r="C40" s="248"/>
      <c r="D40" s="248"/>
      <c r="E40" s="248"/>
      <c r="F40" s="248"/>
      <c r="G40" s="248"/>
      <c r="H40" s="249"/>
      <c r="I40" s="249"/>
      <c r="J40" s="249"/>
      <c r="K40" s="249"/>
      <c r="L40" s="250" t="str">
        <f aca="false">IF(COUNTIFS('Scores (start here)'!$A:$A,$B$1,'Scores (start here)'!$B:$B,$A40,'Scores (start here)'!$F:$F,"&gt;=0")&gt;0,SUMIFS('Scores (start here)'!$F:$F,'Scores (start here)'!$A:$A,$B$1,'Scores (start here)'!$B:$B,$A40),N40)</f>
        <v/>
      </c>
      <c r="M40" s="248"/>
      <c r="N40" s="77" t="str">
        <f aca="false">IF(OR(H40="",I40="",J40="",K40=""),"",IF(COUNTIF(H40:K40,"YES")=4,$C$7,0))</f>
        <v/>
      </c>
    </row>
    <row r="41" customFormat="false" ht="14.25" hidden="false" customHeight="true" outlineLevel="0" collapsed="false">
      <c r="A41" s="247" t="s">
        <v>1025</v>
      </c>
      <c r="B41" s="248"/>
      <c r="C41" s="248"/>
      <c r="D41" s="248"/>
      <c r="E41" s="248"/>
      <c r="F41" s="248"/>
      <c r="G41" s="248"/>
      <c r="H41" s="249"/>
      <c r="I41" s="249"/>
      <c r="J41" s="249"/>
      <c r="K41" s="249"/>
      <c r="L41" s="250" t="str">
        <f aca="false">IF(COUNTIFS('Scores (start here)'!$A:$A,$B$1,'Scores (start here)'!$B:$B,$A41,'Scores (start here)'!$F:$F,"&gt;=0")&gt;0,SUMIFS('Scores (start here)'!$F:$F,'Scores (start here)'!$A:$A,$B$1,'Scores (start here)'!$B:$B,$A41),N41)</f>
        <v/>
      </c>
      <c r="M41" s="248"/>
      <c r="N41" s="77" t="str">
        <f aca="false">IF(OR(H41="",I41="",J41="",K41=""),"",IF(COUNTIF(H41:K41,"YES")=4,$C$7,0))</f>
        <v/>
      </c>
    </row>
  </sheetData>
  <dataValidations count="1">
    <dataValidation allowBlank="true" error="Please enter a valid value (see note above the column)." errorStyle="stop" errorTitle="Invalid entry" operator="between" showDropDown="false" showErrorMessage="true" showInputMessage="false" sqref="H13:K41" type="list">
      <formula1>"YES,NO"</formula1>
      <formula2>0</formula2>
    </dataValidation>
  </dataValidations>
  <hyperlinks>
    <hyperlink ref="L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0" min="8" style="77" width="22"/>
    <col collapsed="false" customWidth="true" hidden="false" outlineLevel="0" max="11" min="11" style="77" width="14"/>
    <col collapsed="false" customWidth="true" hidden="false" outlineLevel="0" max="12" min="12" style="77" width="45"/>
  </cols>
  <sheetData>
    <row r="1" customFormat="false" ht="14.25" hidden="false" customHeight="true" outlineLevel="0" collapsed="false">
      <c r="A1" s="238" t="s">
        <v>1288</v>
      </c>
      <c r="B1" s="238" t="s">
        <v>588</v>
      </c>
      <c r="C1" s="239" t="s">
        <v>1289</v>
      </c>
      <c r="K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 &gt;:&lt; Enforcement</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 &gt;:&lt; Development Compliance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Construction monitoring &gt;:&lt; Construction monitoring</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mechanisms for monitoring ongoing construction/development projects for compliance with approved plans and permissions?   &gt;:&lt; Does the law mandate a system for monitoring ongoing construction/projects for possible violations?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T&amp;CP Act or the allied Act, and Municipal Act for provisions for the following:1. Authority to inspect ongoing construction/projects.2. Stage-wise inspections or monitoring during construction, including, where applicable, commencement, plinth, intermediate stages and/or completion.3. Power to issue notices or stop-work directions where unauthorised or non-conforming construction is identified. Score 5 if all three of the aspects are met. 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1819</v>
      </c>
    </row>
    <row r="11" customFormat="false" ht="28.5" hidden="false" customHeight="true" outlineLevel="0" collapsed="false">
      <c r="H11" s="243" t="s">
        <v>1294</v>
      </c>
      <c r="I11" s="243" t="s">
        <v>1294</v>
      </c>
      <c r="J11" s="243" t="s">
        <v>1294</v>
      </c>
      <c r="K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1833</v>
      </c>
      <c r="I12" s="246" t="s">
        <v>1834</v>
      </c>
      <c r="J12" s="246" t="s">
        <v>1835</v>
      </c>
      <c r="K12" s="244" t="s">
        <v>1303</v>
      </c>
      <c r="L12" s="246" t="s">
        <v>1304</v>
      </c>
      <c r="M12" s="77" t="s">
        <v>1305</v>
      </c>
    </row>
    <row r="13" customFormat="false" ht="14.25" hidden="false" customHeight="true" outlineLevel="0" collapsed="false">
      <c r="A13" s="247" t="s">
        <v>999</v>
      </c>
      <c r="B13" s="248"/>
      <c r="C13" s="248"/>
      <c r="D13" s="248"/>
      <c r="E13" s="248"/>
      <c r="F13" s="248"/>
      <c r="G13" s="248"/>
      <c r="H13" s="249"/>
      <c r="I13" s="249"/>
      <c r="J13" s="249"/>
      <c r="K13" s="250" t="str">
        <f aca="false">IF(COUNTIFS('Scores (start here)'!$A:$A,$B$1,'Scores (start here)'!$B:$B,$A13,'Scores (start here)'!$F:$F,"&gt;=0")&gt;0,SUMIFS('Scores (start here)'!$F:$F,'Scores (start here)'!$A:$A,$B$1,'Scores (start here)'!$B:$B,$A13),M13)</f>
        <v/>
      </c>
      <c r="L13" s="248"/>
      <c r="M13" s="77" t="str">
        <f aca="false">IF(OR(H13="",I13="",J13=""),"",IF(COUNTIF(H13:J13,"YES")=3,$C$7,0))</f>
        <v/>
      </c>
    </row>
    <row r="14" customFormat="false" ht="14.25" hidden="false" customHeight="true" outlineLevel="0" collapsed="false">
      <c r="A14" s="247" t="s">
        <v>19</v>
      </c>
      <c r="B14" s="248" t="s">
        <v>49</v>
      </c>
      <c r="C14" s="248" t="s">
        <v>1836</v>
      </c>
      <c r="D14" s="248" t="s">
        <v>1837</v>
      </c>
      <c r="E14" s="248" t="s">
        <v>1838</v>
      </c>
      <c r="F14" s="248" t="s">
        <v>1671</v>
      </c>
      <c r="G14" s="248" t="s">
        <v>50</v>
      </c>
      <c r="H14" s="249" t="s">
        <v>1309</v>
      </c>
      <c r="I14" s="249" t="s">
        <v>1309</v>
      </c>
      <c r="J14" s="249" t="s">
        <v>1309</v>
      </c>
      <c r="K14" s="250" t="n">
        <f aca="false">IF(COUNTIFS('Scores (start here)'!$A:$A,$B$1,'Scores (start here)'!$B:$B,$A14,'Scores (start here)'!$F:$F,"&gt;=0")&gt;0,SUMIFS('Scores (start here)'!$F:$F,'Scores (start here)'!$A:$A,$B$1,'Scores (start here)'!$B:$B,$A14),M14)</f>
        <v>5</v>
      </c>
      <c r="L14" s="251" t="s">
        <v>1839</v>
      </c>
      <c r="M14" s="252" t="n">
        <f aca="false">IF(OR(H14="",I14="",J14=""),"",IF(COUNTIF(H14:J14,"YES")=3,$C$7,0))</f>
        <v>5</v>
      </c>
    </row>
    <row r="15" customFormat="false" ht="14.25" hidden="false" customHeight="true" outlineLevel="0" collapsed="false">
      <c r="A15" s="247" t="s">
        <v>1000</v>
      </c>
      <c r="B15" s="248"/>
      <c r="C15" s="248"/>
      <c r="D15" s="248"/>
      <c r="E15" s="248"/>
      <c r="F15" s="248"/>
      <c r="G15" s="248"/>
      <c r="H15" s="249"/>
      <c r="I15" s="249"/>
      <c r="J15" s="249"/>
      <c r="K15" s="250" t="str">
        <f aca="false">IF(COUNTIFS('Scores (start here)'!$A:$A,$B$1,'Scores (start here)'!$B:$B,$A15,'Scores (start here)'!$F:$F,"&gt;=0")&gt;0,SUMIFS('Scores (start here)'!$F:$F,'Scores (start here)'!$A:$A,$B$1,'Scores (start here)'!$B:$B,$A15),M15)</f>
        <v/>
      </c>
      <c r="L15" s="248"/>
      <c r="M15" s="77" t="str">
        <f aca="false">IF(OR(H15="",I15="",J15=""),"",IF(COUNTIF(H15:J15,"YES")=3,$C$7,0))</f>
        <v/>
      </c>
    </row>
    <row r="16" customFormat="false" ht="14.25" hidden="false" customHeight="true" outlineLevel="0" collapsed="false">
      <c r="A16" s="247" t="s">
        <v>1001</v>
      </c>
      <c r="B16" s="248"/>
      <c r="C16" s="248"/>
      <c r="D16" s="248"/>
      <c r="E16" s="248"/>
      <c r="F16" s="248"/>
      <c r="G16" s="248"/>
      <c r="H16" s="249"/>
      <c r="I16" s="249"/>
      <c r="J16" s="249"/>
      <c r="K16" s="250" t="str">
        <f aca="false">IF(COUNTIFS('Scores (start here)'!$A:$A,$B$1,'Scores (start here)'!$B:$B,$A16,'Scores (start here)'!$F:$F,"&gt;=0")&gt;0,SUMIFS('Scores (start here)'!$F:$F,'Scores (start here)'!$A:$A,$B$1,'Scores (start here)'!$B:$B,$A16),M16)</f>
        <v/>
      </c>
      <c r="L16" s="248"/>
      <c r="M16" s="77" t="str">
        <f aca="false">IF(OR(H16="",I16="",J16=""),"",IF(COUNTIF(H16:J16,"YES")=3,$C$7,0))</f>
        <v/>
      </c>
    </row>
    <row r="17" customFormat="false" ht="14.25" hidden="false" customHeight="true" outlineLevel="0" collapsed="false">
      <c r="A17" s="247" t="s">
        <v>1002</v>
      </c>
      <c r="B17" s="248"/>
      <c r="C17" s="248"/>
      <c r="D17" s="248"/>
      <c r="E17" s="248"/>
      <c r="F17" s="248"/>
      <c r="G17" s="248"/>
      <c r="H17" s="249"/>
      <c r="I17" s="249"/>
      <c r="J17" s="249"/>
      <c r="K17" s="250" t="str">
        <f aca="false">IF(COUNTIFS('Scores (start here)'!$A:$A,$B$1,'Scores (start here)'!$B:$B,$A17,'Scores (start here)'!$F:$F,"&gt;=0")&gt;0,SUMIFS('Scores (start here)'!$F:$F,'Scores (start here)'!$A:$A,$B$1,'Scores (start here)'!$B:$B,$A17),M17)</f>
        <v/>
      </c>
      <c r="L17" s="248"/>
      <c r="M17" s="77" t="str">
        <f aca="false">IF(OR(H17="",I17="",J17=""),"",IF(COUNTIF(H17:J17,"YES")=3,$C$7,0))</f>
        <v/>
      </c>
    </row>
    <row r="18" customFormat="false" ht="14.25" hidden="false" customHeight="true" outlineLevel="0" collapsed="false">
      <c r="A18" s="247" t="s">
        <v>1003</v>
      </c>
      <c r="B18" s="248"/>
      <c r="C18" s="248"/>
      <c r="D18" s="248"/>
      <c r="E18" s="248"/>
      <c r="F18" s="248"/>
      <c r="G18" s="248"/>
      <c r="H18" s="249"/>
      <c r="I18" s="249"/>
      <c r="J18" s="249"/>
      <c r="K18" s="250" t="str">
        <f aca="false">IF(COUNTIFS('Scores (start here)'!$A:$A,$B$1,'Scores (start here)'!$B:$B,$A18,'Scores (start here)'!$F:$F,"&gt;=0")&gt;0,SUMIFS('Scores (start here)'!$F:$F,'Scores (start here)'!$A:$A,$B$1,'Scores (start here)'!$B:$B,$A18),M18)</f>
        <v/>
      </c>
      <c r="L18" s="248"/>
      <c r="M18" s="77" t="str">
        <f aca="false">IF(OR(H18="",I18="",J18=""),"",IF(COUNTIF(H18:J18,"YES")=3,$C$7,0))</f>
        <v/>
      </c>
    </row>
    <row r="19" customFormat="false" ht="14.25" hidden="false" customHeight="true" outlineLevel="0" collapsed="false">
      <c r="A19" s="247" t="s">
        <v>1004</v>
      </c>
      <c r="B19" s="248"/>
      <c r="C19" s="248"/>
      <c r="D19" s="248"/>
      <c r="E19" s="248"/>
      <c r="F19" s="248"/>
      <c r="G19" s="248"/>
      <c r="H19" s="249"/>
      <c r="I19" s="249"/>
      <c r="J19" s="249"/>
      <c r="K19" s="250" t="str">
        <f aca="false">IF(COUNTIFS('Scores (start here)'!$A:$A,$B$1,'Scores (start here)'!$B:$B,$A19,'Scores (start here)'!$F:$F,"&gt;=0")&gt;0,SUMIFS('Scores (start here)'!$F:$F,'Scores (start here)'!$A:$A,$B$1,'Scores (start here)'!$B:$B,$A19),M19)</f>
        <v/>
      </c>
      <c r="L19" s="248"/>
      <c r="M19" s="77" t="str">
        <f aca="false">IF(OR(H19="",I19="",J19=""),"",IF(COUNTIF(H19:J19,"YES")=3,$C$7,0))</f>
        <v/>
      </c>
    </row>
    <row r="20" customFormat="false" ht="14.25" hidden="false" customHeight="true" outlineLevel="0" collapsed="false">
      <c r="A20" s="247" t="s">
        <v>1005</v>
      </c>
      <c r="B20" s="248"/>
      <c r="C20" s="248"/>
      <c r="D20" s="248"/>
      <c r="E20" s="248"/>
      <c r="F20" s="248"/>
      <c r="G20" s="248"/>
      <c r="H20" s="249"/>
      <c r="I20" s="249"/>
      <c r="J20" s="249"/>
      <c r="K20" s="250" t="str">
        <f aca="false">IF(COUNTIFS('Scores (start here)'!$A:$A,$B$1,'Scores (start here)'!$B:$B,$A20,'Scores (start here)'!$F:$F,"&gt;=0")&gt;0,SUMIFS('Scores (start here)'!$F:$F,'Scores (start here)'!$A:$A,$B$1,'Scores (start here)'!$B:$B,$A20),M20)</f>
        <v/>
      </c>
      <c r="L20" s="248"/>
      <c r="M20" s="77" t="str">
        <f aca="false">IF(OR(H20="",I20="",J20=""),"",IF(COUNTIF(H20:J20,"YES")=3,$C$7,0))</f>
        <v/>
      </c>
    </row>
    <row r="21" customFormat="false" ht="14.25" hidden="false" customHeight="true" outlineLevel="0" collapsed="false">
      <c r="A21" s="247" t="s">
        <v>1006</v>
      </c>
      <c r="B21" s="248"/>
      <c r="C21" s="248"/>
      <c r="D21" s="248"/>
      <c r="E21" s="248"/>
      <c r="F21" s="248"/>
      <c r="G21" s="248"/>
      <c r="H21" s="249"/>
      <c r="I21" s="249"/>
      <c r="J21" s="249"/>
      <c r="K21" s="250" t="str">
        <f aca="false">IF(COUNTIFS('Scores (start here)'!$A:$A,$B$1,'Scores (start here)'!$B:$B,$A21,'Scores (start here)'!$F:$F,"&gt;=0")&gt;0,SUMIFS('Scores (start here)'!$F:$F,'Scores (start here)'!$A:$A,$B$1,'Scores (start here)'!$B:$B,$A21),M21)</f>
        <v/>
      </c>
      <c r="L21" s="248"/>
      <c r="M21" s="77" t="str">
        <f aca="false">IF(OR(H21="",I21="",J21=""),"",IF(COUNTIF(H21:J21,"YES")=3,$C$7,0))</f>
        <v/>
      </c>
    </row>
    <row r="22" customFormat="false" ht="14.25" hidden="false" customHeight="true" outlineLevel="0" collapsed="false">
      <c r="A22" s="247" t="s">
        <v>1007</v>
      </c>
      <c r="B22" s="248"/>
      <c r="C22" s="248"/>
      <c r="D22" s="248"/>
      <c r="E22" s="248"/>
      <c r="F22" s="248"/>
      <c r="G22" s="248"/>
      <c r="H22" s="249"/>
      <c r="I22" s="249"/>
      <c r="J22" s="249"/>
      <c r="K22" s="250" t="str">
        <f aca="false">IF(COUNTIFS('Scores (start here)'!$A:$A,$B$1,'Scores (start here)'!$B:$B,$A22,'Scores (start here)'!$F:$F,"&gt;=0")&gt;0,SUMIFS('Scores (start here)'!$F:$F,'Scores (start here)'!$A:$A,$B$1,'Scores (start here)'!$B:$B,$A22),M22)</f>
        <v/>
      </c>
      <c r="L22" s="248"/>
      <c r="M22" s="77" t="str">
        <f aca="false">IF(OR(H22="",I22="",J22=""),"",IF(COUNTIF(H22:J22,"YES")=3,$C$7,0))</f>
        <v/>
      </c>
    </row>
    <row r="23" customFormat="false" ht="14.25" hidden="false" customHeight="true" outlineLevel="0" collapsed="false">
      <c r="A23" s="247" t="s">
        <v>1008</v>
      </c>
      <c r="B23" s="248"/>
      <c r="C23" s="248"/>
      <c r="D23" s="248"/>
      <c r="E23" s="248"/>
      <c r="F23" s="248"/>
      <c r="G23" s="248"/>
      <c r="H23" s="249"/>
      <c r="I23" s="249"/>
      <c r="J23" s="249"/>
      <c r="K23" s="250" t="str">
        <f aca="false">IF(COUNTIFS('Scores (start here)'!$A:$A,$B$1,'Scores (start here)'!$B:$B,$A23,'Scores (start here)'!$F:$F,"&gt;=0")&gt;0,SUMIFS('Scores (start here)'!$F:$F,'Scores (start here)'!$A:$A,$B$1,'Scores (start here)'!$B:$B,$A23),M23)</f>
        <v/>
      </c>
      <c r="L23" s="248"/>
      <c r="M23" s="77" t="str">
        <f aca="false">IF(OR(H23="",I23="",J23=""),"",IF(COUNTIF(H23:J23,"YES")=3,$C$7,0))</f>
        <v/>
      </c>
    </row>
    <row r="24" customFormat="false" ht="14.25" hidden="false" customHeight="true" outlineLevel="0" collapsed="false">
      <c r="A24" s="247" t="s">
        <v>1009</v>
      </c>
      <c r="B24" s="248"/>
      <c r="C24" s="248"/>
      <c r="D24" s="248"/>
      <c r="E24" s="248"/>
      <c r="F24" s="248"/>
      <c r="G24" s="248"/>
      <c r="H24" s="249"/>
      <c r="I24" s="249"/>
      <c r="J24" s="249"/>
      <c r="K24" s="250" t="str">
        <f aca="false">IF(COUNTIFS('Scores (start here)'!$A:$A,$B$1,'Scores (start here)'!$B:$B,$A24,'Scores (start here)'!$F:$F,"&gt;=0")&gt;0,SUMIFS('Scores (start here)'!$F:$F,'Scores (start here)'!$A:$A,$B$1,'Scores (start here)'!$B:$B,$A24),M24)</f>
        <v/>
      </c>
      <c r="L24" s="248"/>
      <c r="M24" s="77" t="str">
        <f aca="false">IF(OR(H24="",I24="",J24=""),"",IF(COUNTIF(H24:J24,"YES")=3,$C$7,0))</f>
        <v/>
      </c>
    </row>
    <row r="25" customFormat="false" ht="14.25" hidden="false" customHeight="true" outlineLevel="0" collapsed="false">
      <c r="A25" s="247" t="s">
        <v>1010</v>
      </c>
      <c r="B25" s="248"/>
      <c r="C25" s="248"/>
      <c r="D25" s="248"/>
      <c r="E25" s="248"/>
      <c r="F25" s="248"/>
      <c r="G25" s="248"/>
      <c r="H25" s="249"/>
      <c r="I25" s="249"/>
      <c r="J25" s="249"/>
      <c r="K25" s="250" t="str">
        <f aca="false">IF(COUNTIFS('Scores (start here)'!$A:$A,$B$1,'Scores (start here)'!$B:$B,$A25,'Scores (start here)'!$F:$F,"&gt;=0")&gt;0,SUMIFS('Scores (start here)'!$F:$F,'Scores (start here)'!$A:$A,$B$1,'Scores (start here)'!$B:$B,$A25),M25)</f>
        <v/>
      </c>
      <c r="L25" s="248"/>
      <c r="M25" s="77" t="str">
        <f aca="false">IF(OR(H25="",I25="",J25=""),"",IF(COUNTIF(H25:J25,"YES")=3,$C$7,0))</f>
        <v/>
      </c>
    </row>
    <row r="26" customFormat="false" ht="14.25" hidden="false" customHeight="true" outlineLevel="0" collapsed="false">
      <c r="A26" s="247" t="s">
        <v>1011</v>
      </c>
      <c r="B26" s="248"/>
      <c r="C26" s="248"/>
      <c r="D26" s="248"/>
      <c r="E26" s="248"/>
      <c r="F26" s="248"/>
      <c r="G26" s="248"/>
      <c r="H26" s="249"/>
      <c r="I26" s="249"/>
      <c r="J26" s="249"/>
      <c r="K26" s="250" t="str">
        <f aca="false">IF(COUNTIFS('Scores (start here)'!$A:$A,$B$1,'Scores (start here)'!$B:$B,$A26,'Scores (start here)'!$F:$F,"&gt;=0")&gt;0,SUMIFS('Scores (start here)'!$F:$F,'Scores (start here)'!$A:$A,$B$1,'Scores (start here)'!$B:$B,$A26),M26)</f>
        <v/>
      </c>
      <c r="L26" s="248"/>
      <c r="M26" s="77" t="str">
        <f aca="false">IF(OR(H26="",I26="",J26=""),"",IF(COUNTIF(H26:J26,"YES")=3,$C$7,0))</f>
        <v/>
      </c>
    </row>
    <row r="27" customFormat="false" ht="14.25" hidden="false" customHeight="true" outlineLevel="0" collapsed="false">
      <c r="A27" s="247" t="s">
        <v>1012</v>
      </c>
      <c r="B27" s="248"/>
      <c r="C27" s="248"/>
      <c r="D27" s="248"/>
      <c r="E27" s="248"/>
      <c r="F27" s="248"/>
      <c r="G27" s="248"/>
      <c r="H27" s="249"/>
      <c r="I27" s="249"/>
      <c r="J27" s="249"/>
      <c r="K27" s="250" t="str">
        <f aca="false">IF(COUNTIFS('Scores (start here)'!$A:$A,$B$1,'Scores (start here)'!$B:$B,$A27,'Scores (start here)'!$F:$F,"&gt;=0")&gt;0,SUMIFS('Scores (start here)'!$F:$F,'Scores (start here)'!$A:$A,$B$1,'Scores (start here)'!$B:$B,$A27),M27)</f>
        <v/>
      </c>
      <c r="L27" s="248"/>
      <c r="M27" s="77" t="str">
        <f aca="false">IF(OR(H27="",I27="",J27=""),"",IF(COUNTIF(H27:J27,"YES")=3,$C$7,0))</f>
        <v/>
      </c>
    </row>
    <row r="28" customFormat="false" ht="14.25" hidden="false" customHeight="true" outlineLevel="0" collapsed="false">
      <c r="A28" s="247" t="s">
        <v>1013</v>
      </c>
      <c r="B28" s="248"/>
      <c r="C28" s="248"/>
      <c r="D28" s="248"/>
      <c r="E28" s="248"/>
      <c r="F28" s="248"/>
      <c r="G28" s="248"/>
      <c r="H28" s="249"/>
      <c r="I28" s="249"/>
      <c r="J28" s="249"/>
      <c r="K28" s="250" t="str">
        <f aca="false">IF(COUNTIFS('Scores (start here)'!$A:$A,$B$1,'Scores (start here)'!$B:$B,$A28,'Scores (start here)'!$F:$F,"&gt;=0")&gt;0,SUMIFS('Scores (start here)'!$F:$F,'Scores (start here)'!$A:$A,$B$1,'Scores (start here)'!$B:$B,$A28),M28)</f>
        <v/>
      </c>
      <c r="L28" s="248"/>
      <c r="M28" s="77" t="str">
        <f aca="false">IF(OR(H28="",I28="",J28=""),"",IF(COUNTIF(H28:J28,"YES")=3,$C$7,0))</f>
        <v/>
      </c>
    </row>
    <row r="29" customFormat="false" ht="14.25" hidden="false" customHeight="true" outlineLevel="0" collapsed="false">
      <c r="A29" s="247" t="s">
        <v>1014</v>
      </c>
      <c r="B29" s="248"/>
      <c r="C29" s="248"/>
      <c r="D29" s="248"/>
      <c r="E29" s="248"/>
      <c r="F29" s="248"/>
      <c r="G29" s="248"/>
      <c r="H29" s="249"/>
      <c r="I29" s="249"/>
      <c r="J29" s="249"/>
      <c r="K29" s="250" t="str">
        <f aca="false">IF(COUNTIFS('Scores (start here)'!$A:$A,$B$1,'Scores (start here)'!$B:$B,$A29,'Scores (start here)'!$F:$F,"&gt;=0")&gt;0,SUMIFS('Scores (start here)'!$F:$F,'Scores (start here)'!$A:$A,$B$1,'Scores (start here)'!$B:$B,$A29),M29)</f>
        <v/>
      </c>
      <c r="L29" s="248"/>
      <c r="M29" s="77" t="str">
        <f aca="false">IF(OR(H29="",I29="",J29=""),"",IF(COUNTIF(H29:J29,"YES")=3,$C$7,0))</f>
        <v/>
      </c>
    </row>
    <row r="30" customFormat="false" ht="14.25" hidden="false" customHeight="true" outlineLevel="0" collapsed="false">
      <c r="A30" s="247" t="s">
        <v>1015</v>
      </c>
      <c r="B30" s="248"/>
      <c r="C30" s="248"/>
      <c r="D30" s="248"/>
      <c r="E30" s="248"/>
      <c r="F30" s="248"/>
      <c r="G30" s="248"/>
      <c r="H30" s="249"/>
      <c r="I30" s="249"/>
      <c r="J30" s="249"/>
      <c r="K30" s="250" t="str">
        <f aca="false">IF(COUNTIFS('Scores (start here)'!$A:$A,$B$1,'Scores (start here)'!$B:$B,$A30,'Scores (start here)'!$F:$F,"&gt;=0")&gt;0,SUMIFS('Scores (start here)'!$F:$F,'Scores (start here)'!$A:$A,$B$1,'Scores (start here)'!$B:$B,$A30),M30)</f>
        <v/>
      </c>
      <c r="L30" s="248"/>
      <c r="M30" s="77" t="str">
        <f aca="false">IF(OR(H30="",I30="",J30=""),"",IF(COUNTIF(H30:J30,"YES")=3,$C$7,0))</f>
        <v/>
      </c>
    </row>
    <row r="31" customFormat="false" ht="14.25" hidden="false" customHeight="true" outlineLevel="0" collapsed="false">
      <c r="A31" s="247" t="s">
        <v>1016</v>
      </c>
      <c r="B31" s="248"/>
      <c r="C31" s="248"/>
      <c r="D31" s="248"/>
      <c r="E31" s="248"/>
      <c r="F31" s="248"/>
      <c r="G31" s="248"/>
      <c r="H31" s="249"/>
      <c r="I31" s="249"/>
      <c r="J31" s="249"/>
      <c r="K31" s="250" t="str">
        <f aca="false">IF(COUNTIFS('Scores (start here)'!$A:$A,$B$1,'Scores (start here)'!$B:$B,$A31,'Scores (start here)'!$F:$F,"&gt;=0")&gt;0,SUMIFS('Scores (start here)'!$F:$F,'Scores (start here)'!$A:$A,$B$1,'Scores (start here)'!$B:$B,$A31),M31)</f>
        <v/>
      </c>
      <c r="L31" s="248"/>
      <c r="M31" s="77" t="str">
        <f aca="false">IF(OR(H31="",I31="",J31=""),"",IF(COUNTIF(H31:J31,"YES")=3,$C$7,0))</f>
        <v/>
      </c>
    </row>
    <row r="32" customFormat="false" ht="14.25" hidden="false" customHeight="true" outlineLevel="0" collapsed="false">
      <c r="A32" s="247" t="s">
        <v>1017</v>
      </c>
      <c r="B32" s="248"/>
      <c r="C32" s="248"/>
      <c r="D32" s="248"/>
      <c r="E32" s="248"/>
      <c r="F32" s="248"/>
      <c r="G32" s="248"/>
      <c r="H32" s="249"/>
      <c r="I32" s="249"/>
      <c r="J32" s="249"/>
      <c r="K32" s="250" t="str">
        <f aca="false">IF(COUNTIFS('Scores (start here)'!$A:$A,$B$1,'Scores (start here)'!$B:$B,$A32,'Scores (start here)'!$F:$F,"&gt;=0")&gt;0,SUMIFS('Scores (start here)'!$F:$F,'Scores (start here)'!$A:$A,$B$1,'Scores (start here)'!$B:$B,$A32),M32)</f>
        <v/>
      </c>
      <c r="L32" s="248"/>
      <c r="M32" s="77" t="str">
        <f aca="false">IF(OR(H32="",I32="",J32=""),"",IF(COUNTIF(H32:J32,"YES")=3,$C$7,0))</f>
        <v/>
      </c>
    </row>
    <row r="33" customFormat="false" ht="14.25" hidden="false" customHeight="true" outlineLevel="0" collapsed="false">
      <c r="A33" s="247" t="s">
        <v>30</v>
      </c>
      <c r="B33" s="248" t="s">
        <v>473</v>
      </c>
      <c r="C33" s="248" t="s">
        <v>1840</v>
      </c>
      <c r="D33" s="248" t="s">
        <v>1841</v>
      </c>
      <c r="E33" s="248" t="s">
        <v>1842</v>
      </c>
      <c r="F33" s="248" t="s">
        <v>1843</v>
      </c>
      <c r="G33" s="248" t="s">
        <v>474</v>
      </c>
      <c r="H33" s="249" t="s">
        <v>1309</v>
      </c>
      <c r="I33" s="249" t="s">
        <v>1309</v>
      </c>
      <c r="J33" s="249" t="s">
        <v>1309</v>
      </c>
      <c r="K33" s="250" t="n">
        <f aca="false">IF(COUNTIFS('Scores (start here)'!$A:$A,$B$1,'Scores (start here)'!$B:$B,$A33,'Scores (start here)'!$F:$F,"&gt;=0")&gt;0,SUMIFS('Scores (start here)'!$F:$F,'Scores (start here)'!$A:$A,$B$1,'Scores (start here)'!$B:$B,$A33),M33)</f>
        <v>5</v>
      </c>
      <c r="L33" s="251" t="s">
        <v>1844</v>
      </c>
      <c r="M33" s="252" t="n">
        <f aca="false">IF(OR(H33="",I33="",J33=""),"",IF(COUNTIF(H33:J33,"YES")=3,$C$7,0))</f>
        <v>5</v>
      </c>
    </row>
    <row r="34" customFormat="false" ht="14.25" hidden="false" customHeight="true" outlineLevel="0" collapsed="false">
      <c r="A34" s="247" t="s">
        <v>1018</v>
      </c>
      <c r="B34" s="248"/>
      <c r="C34" s="248"/>
      <c r="D34" s="248"/>
      <c r="E34" s="248"/>
      <c r="F34" s="248"/>
      <c r="G34" s="248"/>
      <c r="H34" s="249"/>
      <c r="I34" s="249"/>
      <c r="J34" s="249"/>
      <c r="K34" s="250" t="str">
        <f aca="false">IF(COUNTIFS('Scores (start here)'!$A:$A,$B$1,'Scores (start here)'!$B:$B,$A34,'Scores (start here)'!$F:$F,"&gt;=0")&gt;0,SUMIFS('Scores (start here)'!$F:$F,'Scores (start here)'!$A:$A,$B$1,'Scores (start here)'!$B:$B,$A34),M34)</f>
        <v/>
      </c>
      <c r="L34" s="248"/>
      <c r="M34" s="77" t="str">
        <f aca="false">IF(OR(H34="",I34="",J34=""),"",IF(COUNTIF(H34:J34,"YES")=3,$C$7,0))</f>
        <v/>
      </c>
    </row>
    <row r="35" customFormat="false" ht="14.25" hidden="false" customHeight="true" outlineLevel="0" collapsed="false">
      <c r="A35" s="247" t="s">
        <v>1019</v>
      </c>
      <c r="B35" s="248"/>
      <c r="C35" s="248"/>
      <c r="D35" s="248"/>
      <c r="E35" s="248"/>
      <c r="F35" s="248"/>
      <c r="G35" s="248"/>
      <c r="H35" s="249"/>
      <c r="I35" s="249"/>
      <c r="J35" s="249"/>
      <c r="K35" s="250" t="str">
        <f aca="false">IF(COUNTIFS('Scores (start here)'!$A:$A,$B$1,'Scores (start here)'!$B:$B,$A35,'Scores (start here)'!$F:$F,"&gt;=0")&gt;0,SUMIFS('Scores (start here)'!$F:$F,'Scores (start here)'!$A:$A,$B$1,'Scores (start here)'!$B:$B,$A35),M35)</f>
        <v/>
      </c>
      <c r="L35" s="248"/>
      <c r="M35" s="77" t="str">
        <f aca="false">IF(OR(H35="",I35="",J35=""),"",IF(COUNTIF(H35:J35,"YES")=3,$C$7,0))</f>
        <v/>
      </c>
    </row>
    <row r="36" customFormat="false" ht="14.25" hidden="false" customHeight="true" outlineLevel="0" collapsed="false">
      <c r="A36" s="247" t="s">
        <v>1020</v>
      </c>
      <c r="B36" s="248"/>
      <c r="C36" s="248"/>
      <c r="D36" s="248"/>
      <c r="E36" s="248"/>
      <c r="F36" s="248"/>
      <c r="G36" s="248"/>
      <c r="H36" s="249"/>
      <c r="I36" s="249"/>
      <c r="J36" s="249"/>
      <c r="K36" s="250" t="str">
        <f aca="false">IF(COUNTIFS('Scores (start here)'!$A:$A,$B$1,'Scores (start here)'!$B:$B,$A36,'Scores (start here)'!$F:$F,"&gt;=0")&gt;0,SUMIFS('Scores (start here)'!$F:$F,'Scores (start here)'!$A:$A,$B$1,'Scores (start here)'!$B:$B,$A36),M36)</f>
        <v/>
      </c>
      <c r="L36" s="248"/>
      <c r="M36" s="77" t="str">
        <f aca="false">IF(OR(H36="",I36="",J36=""),"",IF(COUNTIF(H36:J36,"YES")=3,$C$7,0))</f>
        <v/>
      </c>
    </row>
    <row r="37" customFormat="false" ht="14.25" hidden="false" customHeight="true" outlineLevel="0" collapsed="false">
      <c r="A37" s="247" t="s">
        <v>1021</v>
      </c>
      <c r="B37" s="248"/>
      <c r="C37" s="248"/>
      <c r="D37" s="248"/>
      <c r="E37" s="248"/>
      <c r="F37" s="248"/>
      <c r="G37" s="248"/>
      <c r="H37" s="249"/>
      <c r="I37" s="249"/>
      <c r="J37" s="249"/>
      <c r="K37" s="250" t="str">
        <f aca="false">IF(COUNTIFS('Scores (start here)'!$A:$A,$B$1,'Scores (start here)'!$B:$B,$A37,'Scores (start here)'!$F:$F,"&gt;=0")&gt;0,SUMIFS('Scores (start here)'!$F:$F,'Scores (start here)'!$A:$A,$B$1,'Scores (start here)'!$B:$B,$A37),M37)</f>
        <v/>
      </c>
      <c r="L37" s="248"/>
      <c r="M37" s="77" t="str">
        <f aca="false">IF(OR(H37="",I37="",J37=""),"",IF(COUNTIF(H37:J37,"YES")=3,$C$7,0))</f>
        <v/>
      </c>
    </row>
    <row r="38" customFormat="false" ht="14.25" hidden="false" customHeight="true" outlineLevel="0" collapsed="false">
      <c r="A38" s="247" t="s">
        <v>1022</v>
      </c>
      <c r="B38" s="248"/>
      <c r="C38" s="248"/>
      <c r="D38" s="248"/>
      <c r="E38" s="248"/>
      <c r="F38" s="248"/>
      <c r="G38" s="248"/>
      <c r="H38" s="249"/>
      <c r="I38" s="249"/>
      <c r="J38" s="249"/>
      <c r="K38" s="250" t="str">
        <f aca="false">IF(COUNTIFS('Scores (start here)'!$A:$A,$B$1,'Scores (start here)'!$B:$B,$A38,'Scores (start here)'!$F:$F,"&gt;=0")&gt;0,SUMIFS('Scores (start here)'!$F:$F,'Scores (start here)'!$A:$A,$B$1,'Scores (start here)'!$B:$B,$A38),M38)</f>
        <v/>
      </c>
      <c r="L38" s="248"/>
      <c r="M38" s="77" t="str">
        <f aca="false">IF(OR(H38="",I38="",J38=""),"",IF(COUNTIF(H38:J38,"YES")=3,$C$7,0))</f>
        <v/>
      </c>
    </row>
    <row r="39" customFormat="false" ht="14.25" hidden="false" customHeight="true" outlineLevel="0" collapsed="false">
      <c r="A39" s="247" t="s">
        <v>1023</v>
      </c>
      <c r="B39" s="248"/>
      <c r="C39" s="248"/>
      <c r="D39" s="248"/>
      <c r="E39" s="248"/>
      <c r="F39" s="248"/>
      <c r="G39" s="248"/>
      <c r="H39" s="249"/>
      <c r="I39" s="249"/>
      <c r="J39" s="249"/>
      <c r="K39" s="250" t="str">
        <f aca="false">IF(COUNTIFS('Scores (start here)'!$A:$A,$B$1,'Scores (start here)'!$B:$B,$A39,'Scores (start here)'!$F:$F,"&gt;=0")&gt;0,SUMIFS('Scores (start here)'!$F:$F,'Scores (start here)'!$A:$A,$B$1,'Scores (start here)'!$B:$B,$A39),M39)</f>
        <v/>
      </c>
      <c r="L39" s="248"/>
      <c r="M39" s="77" t="str">
        <f aca="false">IF(OR(H39="",I39="",J39=""),"",IF(COUNTIF(H39:J39,"YES")=3,$C$7,0))</f>
        <v/>
      </c>
    </row>
    <row r="40" customFormat="false" ht="14.25" hidden="false" customHeight="true" outlineLevel="0" collapsed="false">
      <c r="A40" s="247" t="s">
        <v>1024</v>
      </c>
      <c r="B40" s="248"/>
      <c r="C40" s="248"/>
      <c r="D40" s="248"/>
      <c r="E40" s="248"/>
      <c r="F40" s="248"/>
      <c r="G40" s="248"/>
      <c r="H40" s="249"/>
      <c r="I40" s="249"/>
      <c r="J40" s="249"/>
      <c r="K40" s="250" t="str">
        <f aca="false">IF(COUNTIFS('Scores (start here)'!$A:$A,$B$1,'Scores (start here)'!$B:$B,$A40,'Scores (start here)'!$F:$F,"&gt;=0")&gt;0,SUMIFS('Scores (start here)'!$F:$F,'Scores (start here)'!$A:$A,$B$1,'Scores (start here)'!$B:$B,$A40),M40)</f>
        <v/>
      </c>
      <c r="L40" s="248"/>
      <c r="M40" s="77" t="str">
        <f aca="false">IF(OR(H40="",I40="",J40=""),"",IF(COUNTIF(H40:J40,"YES")=3,$C$7,0))</f>
        <v/>
      </c>
    </row>
    <row r="41" customFormat="false" ht="14.25" hidden="false" customHeight="true" outlineLevel="0" collapsed="false">
      <c r="A41" s="247" t="s">
        <v>1025</v>
      </c>
      <c r="B41" s="248"/>
      <c r="C41" s="248"/>
      <c r="D41" s="248"/>
      <c r="E41" s="248"/>
      <c r="F41" s="248"/>
      <c r="G41" s="248"/>
      <c r="H41" s="249"/>
      <c r="I41" s="249"/>
      <c r="J41" s="249"/>
      <c r="K41" s="250" t="str">
        <f aca="false">IF(COUNTIFS('Scores (start here)'!$A:$A,$B$1,'Scores (start here)'!$B:$B,$A41,'Scores (start here)'!$F:$F,"&gt;=0")&gt;0,SUMIFS('Scores (start here)'!$F:$F,'Scores (start here)'!$A:$A,$B$1,'Scores (start here)'!$B:$B,$A41),M41)</f>
        <v/>
      </c>
      <c r="L41" s="248"/>
      <c r="M41" s="77" t="str">
        <f aca="false">IF(OR(H41="",I41="",J41=""),"",IF(COUNTIF(H41:J41,"YES")=3,$C$7,0))</f>
        <v/>
      </c>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K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77" width="18"/>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10" min="8" style="77" width="22"/>
    <col collapsed="false" customWidth="true" hidden="false" outlineLevel="0" max="11" min="11" style="77" width="14"/>
    <col collapsed="false" customWidth="true" hidden="false" outlineLevel="0" max="12" min="12" style="77" width="45"/>
  </cols>
  <sheetData>
    <row r="1" customFormat="false" ht="14.25" hidden="false" customHeight="true" outlineLevel="0" collapsed="false">
      <c r="A1" s="238" t="s">
        <v>1288</v>
      </c>
      <c r="B1" s="238" t="s">
        <v>596</v>
      </c>
      <c r="C1" s="239" t="s">
        <v>1289</v>
      </c>
      <c r="K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 &gt;:&lt; Enforcement</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 &gt;:&lt; Development Compliance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Construction monitoring &gt;:&lt; Construction monitoring</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mechanisms for monitoring ongoing construction/development projects for compliance with approved plans and permissions?   &gt;:&lt; Has a system for monitoring ongoing construction/projects for possible violations been implemented?</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41" t="n">
        <f aca="false">VLOOKUP($B$1,'UPD Questions_290926 '!$E$1:$N$300,MATCH($A$7,'UPD Questions_290926 '!$E$1:$N$1,0),0)</f>
        <v>5</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ULG/Development Authority websites whether the monitoring process includes all of the following:1.Online self-assessment/reporting of construction progress, including uploading photographs and requisite compliance documents2. Periodic ground surveys/inspections of approved projects, covering either all projects or a defined sample3. Public disclosure of monitoring information, including compliance numbers/status, violations registered and action taken. Score 5 if all three elements are operational.Score 0 otherwise.</v>
      </c>
    </row>
    <row r="10" customFormat="false" ht="30"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42" t="s">
        <v>1819</v>
      </c>
    </row>
    <row r="11" customFormat="false" ht="28.5" hidden="false" customHeight="true" outlineLevel="0" collapsed="false">
      <c r="H11" s="243" t="s">
        <v>1294</v>
      </c>
      <c r="I11" s="243" t="s">
        <v>1294</v>
      </c>
      <c r="J11" s="243" t="s">
        <v>1294</v>
      </c>
      <c r="K11" s="244" t="s">
        <v>1295</v>
      </c>
      <c r="M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1845</v>
      </c>
      <c r="I12" s="246" t="s">
        <v>1846</v>
      </c>
      <c r="J12" s="246" t="s">
        <v>1847</v>
      </c>
      <c r="K12" s="244" t="s">
        <v>1303</v>
      </c>
      <c r="L12" s="246" t="s">
        <v>1304</v>
      </c>
      <c r="M12" s="77" t="s">
        <v>1305</v>
      </c>
    </row>
    <row r="13" customFormat="false" ht="14.25" hidden="false" customHeight="true" outlineLevel="0" collapsed="false">
      <c r="A13" s="247" t="s">
        <v>999</v>
      </c>
      <c r="B13" s="248"/>
      <c r="C13" s="248"/>
      <c r="D13" s="248"/>
      <c r="E13" s="248"/>
      <c r="F13" s="248"/>
      <c r="G13" s="248"/>
      <c r="H13" s="249"/>
      <c r="I13" s="249"/>
      <c r="J13" s="249"/>
      <c r="K13" s="250" t="str">
        <f aca="false">IF(COUNTIFS('Scores (start here)'!$A:$A,$B$1,'Scores (start here)'!$B:$B,$A13,'Scores (start here)'!$F:$F,"&gt;=0")&gt;0,SUMIFS('Scores (start here)'!$F:$F,'Scores (start here)'!$A:$A,$B$1,'Scores (start here)'!$B:$B,$A13),M13)</f>
        <v/>
      </c>
      <c r="L13" s="248"/>
      <c r="M13" s="77" t="str">
        <f aca="false">IF(OR(H13="",I13="",J13=""),"",IF(COUNTIF(H13:J13,"YES")=3,$C$7,0))</f>
        <v/>
      </c>
    </row>
    <row r="14" customFormat="false" ht="14.25" hidden="false" customHeight="true" outlineLevel="0" collapsed="false">
      <c r="A14" s="247" t="s">
        <v>19</v>
      </c>
      <c r="B14" s="248"/>
      <c r="C14" s="248"/>
      <c r="D14" s="248"/>
      <c r="E14" s="248"/>
      <c r="F14" s="248"/>
      <c r="G14" s="248"/>
      <c r="H14" s="249"/>
      <c r="I14" s="249"/>
      <c r="J14" s="249"/>
      <c r="K14" s="250" t="str">
        <f aca="false">IF(COUNTIFS('Scores (start here)'!$A:$A,$B$1,'Scores (start here)'!$B:$B,$A14,'Scores (start here)'!$F:$F,"&gt;=0")&gt;0,SUMIFS('Scores (start here)'!$F:$F,'Scores (start here)'!$A:$A,$B$1,'Scores (start here)'!$B:$B,$A14),M14)</f>
        <v/>
      </c>
      <c r="L14" s="248" t="s">
        <v>1848</v>
      </c>
      <c r="M14" s="77" t="str">
        <f aca="false">IF(OR(H14="",I14="",J14=""),"",IF(COUNTIF(H14:J14,"YES")=3,$C$7,0))</f>
        <v/>
      </c>
    </row>
    <row r="15" customFormat="false" ht="14.25" hidden="false" customHeight="true" outlineLevel="0" collapsed="false">
      <c r="A15" s="247" t="s">
        <v>1000</v>
      </c>
      <c r="B15" s="248"/>
      <c r="C15" s="248"/>
      <c r="D15" s="248"/>
      <c r="E15" s="248"/>
      <c r="F15" s="248"/>
      <c r="G15" s="248"/>
      <c r="H15" s="249"/>
      <c r="I15" s="249"/>
      <c r="J15" s="249"/>
      <c r="K15" s="250" t="str">
        <f aca="false">IF(COUNTIFS('Scores (start here)'!$A:$A,$B$1,'Scores (start here)'!$B:$B,$A15,'Scores (start here)'!$F:$F,"&gt;=0")&gt;0,SUMIFS('Scores (start here)'!$F:$F,'Scores (start here)'!$A:$A,$B$1,'Scores (start here)'!$B:$B,$A15),M15)</f>
        <v/>
      </c>
      <c r="L15" s="248"/>
      <c r="M15" s="77" t="str">
        <f aca="false">IF(OR(H15="",I15="",J15=""),"",IF(COUNTIF(H15:J15,"YES")=3,$C$7,0))</f>
        <v/>
      </c>
    </row>
    <row r="16" customFormat="false" ht="14.25" hidden="false" customHeight="true" outlineLevel="0" collapsed="false">
      <c r="A16" s="247" t="s">
        <v>1001</v>
      </c>
      <c r="B16" s="248"/>
      <c r="C16" s="248"/>
      <c r="D16" s="248"/>
      <c r="E16" s="248"/>
      <c r="F16" s="248"/>
      <c r="G16" s="248"/>
      <c r="H16" s="249"/>
      <c r="I16" s="249"/>
      <c r="J16" s="249"/>
      <c r="K16" s="250" t="str">
        <f aca="false">IF(COUNTIFS('Scores (start here)'!$A:$A,$B$1,'Scores (start here)'!$B:$B,$A16,'Scores (start here)'!$F:$F,"&gt;=0")&gt;0,SUMIFS('Scores (start here)'!$F:$F,'Scores (start here)'!$A:$A,$B$1,'Scores (start here)'!$B:$B,$A16),M16)</f>
        <v/>
      </c>
      <c r="L16" s="248"/>
      <c r="M16" s="77" t="str">
        <f aca="false">IF(OR(H16="",I16="",J16=""),"",IF(COUNTIF(H16:J16,"YES")=3,$C$7,0))</f>
        <v/>
      </c>
    </row>
    <row r="17" customFormat="false" ht="14.25" hidden="false" customHeight="true" outlineLevel="0" collapsed="false">
      <c r="A17" s="247" t="s">
        <v>1002</v>
      </c>
      <c r="B17" s="248"/>
      <c r="C17" s="248"/>
      <c r="D17" s="248"/>
      <c r="E17" s="248"/>
      <c r="F17" s="248"/>
      <c r="G17" s="248"/>
      <c r="H17" s="249"/>
      <c r="I17" s="249"/>
      <c r="J17" s="249"/>
      <c r="K17" s="250" t="str">
        <f aca="false">IF(COUNTIFS('Scores (start here)'!$A:$A,$B$1,'Scores (start here)'!$B:$B,$A17,'Scores (start here)'!$F:$F,"&gt;=0")&gt;0,SUMIFS('Scores (start here)'!$F:$F,'Scores (start here)'!$A:$A,$B$1,'Scores (start here)'!$B:$B,$A17),M17)</f>
        <v/>
      </c>
      <c r="L17" s="248"/>
      <c r="M17" s="77" t="str">
        <f aca="false">IF(OR(H17="",I17="",J17=""),"",IF(COUNTIF(H17:J17,"YES")=3,$C$7,0))</f>
        <v/>
      </c>
    </row>
    <row r="18" customFormat="false" ht="14.25" hidden="false" customHeight="true" outlineLevel="0" collapsed="false">
      <c r="A18" s="247" t="s">
        <v>1003</v>
      </c>
      <c r="B18" s="248"/>
      <c r="C18" s="248"/>
      <c r="D18" s="248"/>
      <c r="E18" s="248"/>
      <c r="F18" s="248"/>
      <c r="G18" s="248"/>
      <c r="H18" s="249"/>
      <c r="I18" s="249"/>
      <c r="J18" s="249"/>
      <c r="K18" s="250" t="str">
        <f aca="false">IF(COUNTIFS('Scores (start here)'!$A:$A,$B$1,'Scores (start here)'!$B:$B,$A18,'Scores (start here)'!$F:$F,"&gt;=0")&gt;0,SUMIFS('Scores (start here)'!$F:$F,'Scores (start here)'!$A:$A,$B$1,'Scores (start here)'!$B:$B,$A18),M18)</f>
        <v/>
      </c>
      <c r="L18" s="248"/>
      <c r="M18" s="77" t="str">
        <f aca="false">IF(OR(H18="",I18="",J18=""),"",IF(COUNTIF(H18:J18,"YES")=3,$C$7,0))</f>
        <v/>
      </c>
    </row>
    <row r="19" customFormat="false" ht="14.25" hidden="false" customHeight="true" outlineLevel="0" collapsed="false">
      <c r="A19" s="247" t="s">
        <v>1004</v>
      </c>
      <c r="B19" s="248"/>
      <c r="C19" s="248"/>
      <c r="D19" s="248"/>
      <c r="E19" s="248"/>
      <c r="F19" s="248"/>
      <c r="G19" s="248"/>
      <c r="H19" s="249"/>
      <c r="I19" s="249"/>
      <c r="J19" s="249"/>
      <c r="K19" s="250" t="str">
        <f aca="false">IF(COUNTIFS('Scores (start here)'!$A:$A,$B$1,'Scores (start here)'!$B:$B,$A19,'Scores (start here)'!$F:$F,"&gt;=0")&gt;0,SUMIFS('Scores (start here)'!$F:$F,'Scores (start here)'!$A:$A,$B$1,'Scores (start here)'!$B:$B,$A19),M19)</f>
        <v/>
      </c>
      <c r="L19" s="248"/>
      <c r="M19" s="77" t="str">
        <f aca="false">IF(OR(H19="",I19="",J19=""),"",IF(COUNTIF(H19:J19,"YES")=3,$C$7,0))</f>
        <v/>
      </c>
    </row>
    <row r="20" customFormat="false" ht="14.25" hidden="false" customHeight="true" outlineLevel="0" collapsed="false">
      <c r="A20" s="247" t="s">
        <v>1005</v>
      </c>
      <c r="B20" s="248"/>
      <c r="C20" s="248"/>
      <c r="D20" s="248"/>
      <c r="E20" s="248"/>
      <c r="F20" s="248"/>
      <c r="G20" s="248"/>
      <c r="H20" s="249"/>
      <c r="I20" s="249"/>
      <c r="J20" s="249"/>
      <c r="K20" s="250" t="str">
        <f aca="false">IF(COUNTIFS('Scores (start here)'!$A:$A,$B$1,'Scores (start here)'!$B:$B,$A20,'Scores (start here)'!$F:$F,"&gt;=0")&gt;0,SUMIFS('Scores (start here)'!$F:$F,'Scores (start here)'!$A:$A,$B$1,'Scores (start here)'!$B:$B,$A20),M20)</f>
        <v/>
      </c>
      <c r="L20" s="248"/>
      <c r="M20" s="77" t="str">
        <f aca="false">IF(OR(H20="",I20="",J20=""),"",IF(COUNTIF(H20:J20,"YES")=3,$C$7,0))</f>
        <v/>
      </c>
    </row>
    <row r="21" customFormat="false" ht="14.25" hidden="false" customHeight="true" outlineLevel="0" collapsed="false">
      <c r="A21" s="247" t="s">
        <v>1006</v>
      </c>
      <c r="B21" s="248"/>
      <c r="C21" s="248"/>
      <c r="D21" s="248"/>
      <c r="E21" s="248"/>
      <c r="F21" s="248"/>
      <c r="G21" s="248"/>
      <c r="H21" s="249"/>
      <c r="I21" s="249"/>
      <c r="J21" s="249"/>
      <c r="K21" s="250" t="str">
        <f aca="false">IF(COUNTIFS('Scores (start here)'!$A:$A,$B$1,'Scores (start here)'!$B:$B,$A21,'Scores (start here)'!$F:$F,"&gt;=0")&gt;0,SUMIFS('Scores (start here)'!$F:$F,'Scores (start here)'!$A:$A,$B$1,'Scores (start here)'!$B:$B,$A21),M21)</f>
        <v/>
      </c>
      <c r="L21" s="248"/>
      <c r="M21" s="77" t="str">
        <f aca="false">IF(OR(H21="",I21="",J21=""),"",IF(COUNTIF(H21:J21,"YES")=3,$C$7,0))</f>
        <v/>
      </c>
    </row>
    <row r="22" customFormat="false" ht="14.25" hidden="false" customHeight="true" outlineLevel="0" collapsed="false">
      <c r="A22" s="247" t="s">
        <v>1007</v>
      </c>
      <c r="B22" s="248"/>
      <c r="C22" s="248"/>
      <c r="D22" s="248"/>
      <c r="E22" s="248"/>
      <c r="F22" s="248"/>
      <c r="G22" s="248"/>
      <c r="H22" s="249"/>
      <c r="I22" s="249"/>
      <c r="J22" s="249"/>
      <c r="K22" s="250" t="str">
        <f aca="false">IF(COUNTIFS('Scores (start here)'!$A:$A,$B$1,'Scores (start here)'!$B:$B,$A22,'Scores (start here)'!$F:$F,"&gt;=0")&gt;0,SUMIFS('Scores (start here)'!$F:$F,'Scores (start here)'!$A:$A,$B$1,'Scores (start here)'!$B:$B,$A22),M22)</f>
        <v/>
      </c>
      <c r="L22" s="248"/>
      <c r="M22" s="77" t="str">
        <f aca="false">IF(OR(H22="",I22="",J22=""),"",IF(COUNTIF(H22:J22,"YES")=3,$C$7,0))</f>
        <v/>
      </c>
    </row>
    <row r="23" customFormat="false" ht="14.25" hidden="false" customHeight="true" outlineLevel="0" collapsed="false">
      <c r="A23" s="247" t="s">
        <v>1008</v>
      </c>
      <c r="B23" s="248"/>
      <c r="C23" s="248"/>
      <c r="D23" s="248"/>
      <c r="E23" s="248"/>
      <c r="F23" s="248"/>
      <c r="G23" s="248"/>
      <c r="H23" s="249"/>
      <c r="I23" s="249"/>
      <c r="J23" s="249"/>
      <c r="K23" s="250" t="str">
        <f aca="false">IF(COUNTIFS('Scores (start here)'!$A:$A,$B$1,'Scores (start here)'!$B:$B,$A23,'Scores (start here)'!$F:$F,"&gt;=0")&gt;0,SUMIFS('Scores (start here)'!$F:$F,'Scores (start here)'!$A:$A,$B$1,'Scores (start here)'!$B:$B,$A23),M23)</f>
        <v/>
      </c>
      <c r="L23" s="248"/>
      <c r="M23" s="77" t="str">
        <f aca="false">IF(OR(H23="",I23="",J23=""),"",IF(COUNTIF(H23:J23,"YES")=3,$C$7,0))</f>
        <v/>
      </c>
    </row>
    <row r="24" customFormat="false" ht="14.25" hidden="false" customHeight="true" outlineLevel="0" collapsed="false">
      <c r="A24" s="247" t="s">
        <v>1009</v>
      </c>
      <c r="B24" s="248"/>
      <c r="C24" s="248"/>
      <c r="D24" s="248"/>
      <c r="E24" s="248"/>
      <c r="F24" s="248"/>
      <c r="G24" s="248"/>
      <c r="H24" s="249"/>
      <c r="I24" s="249"/>
      <c r="J24" s="249"/>
      <c r="K24" s="250" t="str">
        <f aca="false">IF(COUNTIFS('Scores (start here)'!$A:$A,$B$1,'Scores (start here)'!$B:$B,$A24,'Scores (start here)'!$F:$F,"&gt;=0")&gt;0,SUMIFS('Scores (start here)'!$F:$F,'Scores (start here)'!$A:$A,$B$1,'Scores (start here)'!$B:$B,$A24),M24)</f>
        <v/>
      </c>
      <c r="L24" s="248"/>
      <c r="M24" s="77" t="str">
        <f aca="false">IF(OR(H24="",I24="",J24=""),"",IF(COUNTIF(H24:J24,"YES")=3,$C$7,0))</f>
        <v/>
      </c>
    </row>
    <row r="25" customFormat="false" ht="14.25" hidden="false" customHeight="true" outlineLevel="0" collapsed="false">
      <c r="A25" s="247" t="s">
        <v>1010</v>
      </c>
      <c r="B25" s="248"/>
      <c r="C25" s="248"/>
      <c r="D25" s="248"/>
      <c r="E25" s="248"/>
      <c r="F25" s="248"/>
      <c r="G25" s="248"/>
      <c r="H25" s="249"/>
      <c r="I25" s="249"/>
      <c r="J25" s="249"/>
      <c r="K25" s="250" t="str">
        <f aca="false">IF(COUNTIFS('Scores (start here)'!$A:$A,$B$1,'Scores (start here)'!$B:$B,$A25,'Scores (start here)'!$F:$F,"&gt;=0")&gt;0,SUMIFS('Scores (start here)'!$F:$F,'Scores (start here)'!$A:$A,$B$1,'Scores (start here)'!$B:$B,$A25),M25)</f>
        <v/>
      </c>
      <c r="L25" s="248"/>
      <c r="M25" s="77" t="str">
        <f aca="false">IF(OR(H25="",I25="",J25=""),"",IF(COUNTIF(H25:J25,"YES")=3,$C$7,0))</f>
        <v/>
      </c>
    </row>
    <row r="26" customFormat="false" ht="14.25" hidden="false" customHeight="true" outlineLevel="0" collapsed="false">
      <c r="A26" s="247" t="s">
        <v>1011</v>
      </c>
      <c r="B26" s="248"/>
      <c r="C26" s="248"/>
      <c r="D26" s="248"/>
      <c r="E26" s="248"/>
      <c r="F26" s="248"/>
      <c r="G26" s="248"/>
      <c r="H26" s="249"/>
      <c r="I26" s="249"/>
      <c r="J26" s="249"/>
      <c r="K26" s="250" t="str">
        <f aca="false">IF(COUNTIFS('Scores (start here)'!$A:$A,$B$1,'Scores (start here)'!$B:$B,$A26,'Scores (start here)'!$F:$F,"&gt;=0")&gt;0,SUMIFS('Scores (start here)'!$F:$F,'Scores (start here)'!$A:$A,$B$1,'Scores (start here)'!$B:$B,$A26),M26)</f>
        <v/>
      </c>
      <c r="L26" s="248"/>
      <c r="M26" s="77" t="str">
        <f aca="false">IF(OR(H26="",I26="",J26=""),"",IF(COUNTIF(H26:J26,"YES")=3,$C$7,0))</f>
        <v/>
      </c>
    </row>
    <row r="27" customFormat="false" ht="14.25" hidden="false" customHeight="true" outlineLevel="0" collapsed="false">
      <c r="A27" s="247" t="s">
        <v>1012</v>
      </c>
      <c r="B27" s="248"/>
      <c r="C27" s="248"/>
      <c r="D27" s="248"/>
      <c r="E27" s="248"/>
      <c r="F27" s="248"/>
      <c r="G27" s="248"/>
      <c r="H27" s="249"/>
      <c r="I27" s="249"/>
      <c r="J27" s="249"/>
      <c r="K27" s="250" t="str">
        <f aca="false">IF(COUNTIFS('Scores (start here)'!$A:$A,$B$1,'Scores (start here)'!$B:$B,$A27,'Scores (start here)'!$F:$F,"&gt;=0")&gt;0,SUMIFS('Scores (start here)'!$F:$F,'Scores (start here)'!$A:$A,$B$1,'Scores (start here)'!$B:$B,$A27),M27)</f>
        <v/>
      </c>
      <c r="L27" s="248"/>
      <c r="M27" s="77" t="str">
        <f aca="false">IF(OR(H27="",I27="",J27=""),"",IF(COUNTIF(H27:J27,"YES")=3,$C$7,0))</f>
        <v/>
      </c>
    </row>
    <row r="28" customFormat="false" ht="14.25" hidden="false" customHeight="true" outlineLevel="0" collapsed="false">
      <c r="A28" s="247" t="s">
        <v>1013</v>
      </c>
      <c r="B28" s="248"/>
      <c r="C28" s="248"/>
      <c r="D28" s="248"/>
      <c r="E28" s="248"/>
      <c r="F28" s="248"/>
      <c r="G28" s="248"/>
      <c r="H28" s="249"/>
      <c r="I28" s="249"/>
      <c r="J28" s="249"/>
      <c r="K28" s="250" t="str">
        <f aca="false">IF(COUNTIFS('Scores (start here)'!$A:$A,$B$1,'Scores (start here)'!$B:$B,$A28,'Scores (start here)'!$F:$F,"&gt;=0")&gt;0,SUMIFS('Scores (start here)'!$F:$F,'Scores (start here)'!$A:$A,$B$1,'Scores (start here)'!$B:$B,$A28),M28)</f>
        <v/>
      </c>
      <c r="L28" s="248"/>
      <c r="M28" s="77" t="str">
        <f aca="false">IF(OR(H28="",I28="",J28=""),"",IF(COUNTIF(H28:J28,"YES")=3,$C$7,0))</f>
        <v/>
      </c>
    </row>
    <row r="29" customFormat="false" ht="14.25" hidden="false" customHeight="true" outlineLevel="0" collapsed="false">
      <c r="A29" s="247" t="s">
        <v>1014</v>
      </c>
      <c r="B29" s="248"/>
      <c r="C29" s="248"/>
      <c r="D29" s="248"/>
      <c r="E29" s="248"/>
      <c r="F29" s="248"/>
      <c r="G29" s="248"/>
      <c r="H29" s="249"/>
      <c r="I29" s="249"/>
      <c r="J29" s="249"/>
      <c r="K29" s="250" t="str">
        <f aca="false">IF(COUNTIFS('Scores (start here)'!$A:$A,$B$1,'Scores (start here)'!$B:$B,$A29,'Scores (start here)'!$F:$F,"&gt;=0")&gt;0,SUMIFS('Scores (start here)'!$F:$F,'Scores (start here)'!$A:$A,$B$1,'Scores (start here)'!$B:$B,$A29),M29)</f>
        <v/>
      </c>
      <c r="L29" s="248"/>
      <c r="M29" s="77" t="str">
        <f aca="false">IF(OR(H29="",I29="",J29=""),"",IF(COUNTIF(H29:J29,"YES")=3,$C$7,0))</f>
        <v/>
      </c>
    </row>
    <row r="30" customFormat="false" ht="14.25" hidden="false" customHeight="true" outlineLevel="0" collapsed="false">
      <c r="A30" s="247" t="s">
        <v>1015</v>
      </c>
      <c r="B30" s="248"/>
      <c r="C30" s="248"/>
      <c r="D30" s="248"/>
      <c r="E30" s="248"/>
      <c r="F30" s="248"/>
      <c r="G30" s="248"/>
      <c r="H30" s="249"/>
      <c r="I30" s="249"/>
      <c r="J30" s="249"/>
      <c r="K30" s="250" t="str">
        <f aca="false">IF(COUNTIFS('Scores (start here)'!$A:$A,$B$1,'Scores (start here)'!$B:$B,$A30,'Scores (start here)'!$F:$F,"&gt;=0")&gt;0,SUMIFS('Scores (start here)'!$F:$F,'Scores (start here)'!$A:$A,$B$1,'Scores (start here)'!$B:$B,$A30),M30)</f>
        <v/>
      </c>
      <c r="L30" s="248"/>
      <c r="M30" s="77" t="str">
        <f aca="false">IF(OR(H30="",I30="",J30=""),"",IF(COUNTIF(H30:J30,"YES")=3,$C$7,0))</f>
        <v/>
      </c>
    </row>
    <row r="31" customFormat="false" ht="14.25" hidden="false" customHeight="true" outlineLevel="0" collapsed="false">
      <c r="A31" s="247" t="s">
        <v>1016</v>
      </c>
      <c r="B31" s="248"/>
      <c r="C31" s="248"/>
      <c r="D31" s="248"/>
      <c r="E31" s="248"/>
      <c r="F31" s="248"/>
      <c r="G31" s="248"/>
      <c r="H31" s="249"/>
      <c r="I31" s="249"/>
      <c r="J31" s="249"/>
      <c r="K31" s="250" t="str">
        <f aca="false">IF(COUNTIFS('Scores (start here)'!$A:$A,$B$1,'Scores (start here)'!$B:$B,$A31,'Scores (start here)'!$F:$F,"&gt;=0")&gt;0,SUMIFS('Scores (start here)'!$F:$F,'Scores (start here)'!$A:$A,$B$1,'Scores (start here)'!$B:$B,$A31),M31)</f>
        <v/>
      </c>
      <c r="L31" s="248"/>
      <c r="M31" s="77" t="str">
        <f aca="false">IF(OR(H31="",I31="",J31=""),"",IF(COUNTIF(H31:J31,"YES")=3,$C$7,0))</f>
        <v/>
      </c>
    </row>
    <row r="32" customFormat="false" ht="14.25" hidden="false" customHeight="true" outlineLevel="0" collapsed="false">
      <c r="A32" s="247" t="s">
        <v>1017</v>
      </c>
      <c r="B32" s="248"/>
      <c r="C32" s="248"/>
      <c r="D32" s="248"/>
      <c r="E32" s="248"/>
      <c r="F32" s="248"/>
      <c r="G32" s="248"/>
      <c r="H32" s="249"/>
      <c r="I32" s="249"/>
      <c r="J32" s="249"/>
      <c r="K32" s="250" t="str">
        <f aca="false">IF(COUNTIFS('Scores (start here)'!$A:$A,$B$1,'Scores (start here)'!$B:$B,$A32,'Scores (start here)'!$F:$F,"&gt;=0")&gt;0,SUMIFS('Scores (start here)'!$F:$F,'Scores (start here)'!$A:$A,$B$1,'Scores (start here)'!$B:$B,$A32),M32)</f>
        <v/>
      </c>
      <c r="L32" s="248"/>
      <c r="M32" s="77" t="str">
        <f aca="false">IF(OR(H32="",I32="",J32=""),"",IF(COUNTIF(H32:J32,"YES")=3,$C$7,0))</f>
        <v/>
      </c>
    </row>
    <row r="33" customFormat="false" ht="14.25" hidden="false" customHeight="true" outlineLevel="0" collapsed="false">
      <c r="A33" s="247" t="s">
        <v>30</v>
      </c>
      <c r="B33" s="248"/>
      <c r="C33" s="248"/>
      <c r="D33" s="248"/>
      <c r="E33" s="248"/>
      <c r="F33" s="248"/>
      <c r="G33" s="248"/>
      <c r="H33" s="249"/>
      <c r="I33" s="249"/>
      <c r="J33" s="249"/>
      <c r="K33" s="250" t="str">
        <f aca="false">IF(COUNTIFS('Scores (start here)'!$A:$A,$B$1,'Scores (start here)'!$B:$B,$A33,'Scores (start here)'!$F:$F,"&gt;=0")&gt;0,SUMIFS('Scores (start here)'!$F:$F,'Scores (start here)'!$A:$A,$B$1,'Scores (start here)'!$B:$B,$A33),M33)</f>
        <v/>
      </c>
      <c r="L33" s="248" t="s">
        <v>1849</v>
      </c>
      <c r="M33" s="77" t="str">
        <f aca="false">IF(OR(H33="",I33="",J33=""),"",IF(COUNTIF(H33:J33,"YES")=3,$C$7,0))</f>
        <v/>
      </c>
    </row>
    <row r="34" customFormat="false" ht="14.25" hidden="false" customHeight="true" outlineLevel="0" collapsed="false">
      <c r="A34" s="247" t="s">
        <v>1018</v>
      </c>
      <c r="B34" s="248"/>
      <c r="C34" s="248"/>
      <c r="D34" s="248"/>
      <c r="E34" s="248"/>
      <c r="F34" s="248"/>
      <c r="G34" s="248"/>
      <c r="H34" s="249"/>
      <c r="I34" s="249"/>
      <c r="J34" s="249"/>
      <c r="K34" s="250" t="str">
        <f aca="false">IF(COUNTIFS('Scores (start here)'!$A:$A,$B$1,'Scores (start here)'!$B:$B,$A34,'Scores (start here)'!$F:$F,"&gt;=0")&gt;0,SUMIFS('Scores (start here)'!$F:$F,'Scores (start here)'!$A:$A,$B$1,'Scores (start here)'!$B:$B,$A34),M34)</f>
        <v/>
      </c>
      <c r="L34" s="248"/>
      <c r="M34" s="77" t="str">
        <f aca="false">IF(OR(H34="",I34="",J34=""),"",IF(COUNTIF(H34:J34,"YES")=3,$C$7,0))</f>
        <v/>
      </c>
    </row>
    <row r="35" customFormat="false" ht="14.25" hidden="false" customHeight="true" outlineLevel="0" collapsed="false">
      <c r="A35" s="247" t="s">
        <v>1019</v>
      </c>
      <c r="B35" s="248"/>
      <c r="C35" s="248"/>
      <c r="D35" s="248"/>
      <c r="E35" s="248"/>
      <c r="F35" s="248"/>
      <c r="G35" s="248"/>
      <c r="H35" s="249"/>
      <c r="I35" s="249"/>
      <c r="J35" s="249"/>
      <c r="K35" s="250" t="str">
        <f aca="false">IF(COUNTIFS('Scores (start here)'!$A:$A,$B$1,'Scores (start here)'!$B:$B,$A35,'Scores (start here)'!$F:$F,"&gt;=0")&gt;0,SUMIFS('Scores (start here)'!$F:$F,'Scores (start here)'!$A:$A,$B$1,'Scores (start here)'!$B:$B,$A35),M35)</f>
        <v/>
      </c>
      <c r="L35" s="248"/>
      <c r="M35" s="77" t="str">
        <f aca="false">IF(OR(H35="",I35="",J35=""),"",IF(COUNTIF(H35:J35,"YES")=3,$C$7,0))</f>
        <v/>
      </c>
    </row>
    <row r="36" customFormat="false" ht="14.25" hidden="false" customHeight="true" outlineLevel="0" collapsed="false">
      <c r="A36" s="247" t="s">
        <v>1020</v>
      </c>
      <c r="B36" s="248"/>
      <c r="C36" s="248"/>
      <c r="D36" s="248"/>
      <c r="E36" s="248"/>
      <c r="F36" s="248"/>
      <c r="G36" s="248"/>
      <c r="H36" s="249"/>
      <c r="I36" s="249"/>
      <c r="J36" s="249"/>
      <c r="K36" s="250" t="str">
        <f aca="false">IF(COUNTIFS('Scores (start here)'!$A:$A,$B$1,'Scores (start here)'!$B:$B,$A36,'Scores (start here)'!$F:$F,"&gt;=0")&gt;0,SUMIFS('Scores (start here)'!$F:$F,'Scores (start here)'!$A:$A,$B$1,'Scores (start here)'!$B:$B,$A36),M36)</f>
        <v/>
      </c>
      <c r="L36" s="248"/>
      <c r="M36" s="77" t="str">
        <f aca="false">IF(OR(H36="",I36="",J36=""),"",IF(COUNTIF(H36:J36,"YES")=3,$C$7,0))</f>
        <v/>
      </c>
    </row>
    <row r="37" customFormat="false" ht="14.25" hidden="false" customHeight="true" outlineLevel="0" collapsed="false">
      <c r="A37" s="247" t="s">
        <v>1021</v>
      </c>
      <c r="B37" s="248"/>
      <c r="C37" s="248"/>
      <c r="D37" s="248"/>
      <c r="E37" s="248"/>
      <c r="F37" s="248"/>
      <c r="G37" s="248"/>
      <c r="H37" s="249"/>
      <c r="I37" s="249"/>
      <c r="J37" s="249"/>
      <c r="K37" s="250" t="str">
        <f aca="false">IF(COUNTIFS('Scores (start here)'!$A:$A,$B$1,'Scores (start here)'!$B:$B,$A37,'Scores (start here)'!$F:$F,"&gt;=0")&gt;0,SUMIFS('Scores (start here)'!$F:$F,'Scores (start here)'!$A:$A,$B$1,'Scores (start here)'!$B:$B,$A37),M37)</f>
        <v/>
      </c>
      <c r="L37" s="248"/>
      <c r="M37" s="77" t="str">
        <f aca="false">IF(OR(H37="",I37="",J37=""),"",IF(COUNTIF(H37:J37,"YES")=3,$C$7,0))</f>
        <v/>
      </c>
    </row>
    <row r="38" customFormat="false" ht="14.25" hidden="false" customHeight="true" outlineLevel="0" collapsed="false">
      <c r="A38" s="247" t="s">
        <v>1022</v>
      </c>
      <c r="B38" s="248"/>
      <c r="C38" s="248"/>
      <c r="D38" s="248"/>
      <c r="E38" s="248"/>
      <c r="F38" s="248"/>
      <c r="G38" s="248"/>
      <c r="H38" s="249"/>
      <c r="I38" s="249"/>
      <c r="J38" s="249"/>
      <c r="K38" s="250" t="str">
        <f aca="false">IF(COUNTIFS('Scores (start here)'!$A:$A,$B$1,'Scores (start here)'!$B:$B,$A38,'Scores (start here)'!$F:$F,"&gt;=0")&gt;0,SUMIFS('Scores (start here)'!$F:$F,'Scores (start here)'!$A:$A,$B$1,'Scores (start here)'!$B:$B,$A38),M38)</f>
        <v/>
      </c>
      <c r="L38" s="248"/>
      <c r="M38" s="77" t="str">
        <f aca="false">IF(OR(H38="",I38="",J38=""),"",IF(COUNTIF(H38:J38,"YES")=3,$C$7,0))</f>
        <v/>
      </c>
    </row>
    <row r="39" customFormat="false" ht="14.25" hidden="false" customHeight="true" outlineLevel="0" collapsed="false">
      <c r="A39" s="247" t="s">
        <v>1023</v>
      </c>
      <c r="B39" s="248"/>
      <c r="C39" s="248"/>
      <c r="D39" s="248"/>
      <c r="E39" s="248"/>
      <c r="F39" s="248"/>
      <c r="G39" s="248"/>
      <c r="H39" s="249"/>
      <c r="I39" s="249"/>
      <c r="J39" s="249"/>
      <c r="K39" s="250" t="str">
        <f aca="false">IF(COUNTIFS('Scores (start here)'!$A:$A,$B$1,'Scores (start here)'!$B:$B,$A39,'Scores (start here)'!$F:$F,"&gt;=0")&gt;0,SUMIFS('Scores (start here)'!$F:$F,'Scores (start here)'!$A:$A,$B$1,'Scores (start here)'!$B:$B,$A39),M39)</f>
        <v/>
      </c>
      <c r="L39" s="248"/>
      <c r="M39" s="77" t="str">
        <f aca="false">IF(OR(H39="",I39="",J39=""),"",IF(COUNTIF(H39:J39,"YES")=3,$C$7,0))</f>
        <v/>
      </c>
    </row>
    <row r="40" customFormat="false" ht="14.25" hidden="false" customHeight="true" outlineLevel="0" collapsed="false">
      <c r="A40" s="247" t="s">
        <v>1024</v>
      </c>
      <c r="B40" s="248"/>
      <c r="C40" s="248"/>
      <c r="D40" s="248"/>
      <c r="E40" s="248"/>
      <c r="F40" s="248"/>
      <c r="G40" s="248"/>
      <c r="H40" s="249"/>
      <c r="I40" s="249"/>
      <c r="J40" s="249"/>
      <c r="K40" s="250" t="str">
        <f aca="false">IF(COUNTIFS('Scores (start here)'!$A:$A,$B$1,'Scores (start here)'!$B:$B,$A40,'Scores (start here)'!$F:$F,"&gt;=0")&gt;0,SUMIFS('Scores (start here)'!$F:$F,'Scores (start here)'!$A:$A,$B$1,'Scores (start here)'!$B:$B,$A40),M40)</f>
        <v/>
      </c>
      <c r="L40" s="248"/>
      <c r="M40" s="77" t="str">
        <f aca="false">IF(OR(H40="",I40="",J40=""),"",IF(COUNTIF(H40:J40,"YES")=3,$C$7,0))</f>
        <v/>
      </c>
    </row>
    <row r="41" customFormat="false" ht="14.25" hidden="false" customHeight="true" outlineLevel="0" collapsed="false">
      <c r="A41" s="247" t="s">
        <v>1025</v>
      </c>
      <c r="B41" s="248"/>
      <c r="C41" s="248"/>
      <c r="D41" s="248"/>
      <c r="E41" s="248"/>
      <c r="F41" s="248"/>
      <c r="G41" s="248"/>
      <c r="H41" s="249"/>
      <c r="I41" s="249"/>
      <c r="J41" s="249"/>
      <c r="K41" s="250" t="str">
        <f aca="false">IF(COUNTIFS('Scores (start here)'!$A:$A,$B$1,'Scores (start here)'!$B:$B,$A41,'Scores (start here)'!$F:$F,"&gt;=0")&gt;0,SUMIFS('Scores (start here)'!$F:$F,'Scores (start here)'!$A:$A,$B$1,'Scores (start here)'!$B:$B,$A41),M41)</f>
        <v/>
      </c>
      <c r="L41" s="248"/>
      <c r="M41" s="77" t="str">
        <f aca="false">IF(OR(H41="",I41="",J41=""),"",IF(COUNTIF(H41:J41,"YES")=3,$C$7,0))</f>
        <v/>
      </c>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K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41"/>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B15" activeCellId="0" sqref="B15"/>
    </sheetView>
  </sheetViews>
  <sheetFormatPr defaultColWidth="8.5703125" defaultRowHeight="14.25" customHeight="false" zeroHeight="false" outlineLevelRow="0" outlineLevelCol="0"/>
  <cols>
    <col collapsed="false" customWidth="true" hidden="false" outlineLevel="0" max="1" min="1" style="77" width="21"/>
    <col collapsed="false" customWidth="true" hidden="false" outlineLevel="0" max="2" min="2" style="77" width="40"/>
    <col collapsed="false" customWidth="true" hidden="false" outlineLevel="0" max="4" min="3" style="77" width="11"/>
    <col collapsed="false" customWidth="true" hidden="false" outlineLevel="0" max="5" min="5" style="77" width="9"/>
    <col collapsed="false" customWidth="true" hidden="false" outlineLevel="0" max="6" min="6" style="77" width="11"/>
    <col collapsed="false" customWidth="true" hidden="false" outlineLevel="0" max="7" min="7" style="77" width="24"/>
    <col collapsed="false" customWidth="true" hidden="false" outlineLevel="0" max="8" min="8" style="77" width="16"/>
    <col collapsed="false" customWidth="true" hidden="false" outlineLevel="0" max="9" min="9" style="77" width="14"/>
    <col collapsed="false" customWidth="true" hidden="false" outlineLevel="0" max="10" min="10" style="77" width="45"/>
  </cols>
  <sheetData>
    <row r="1" customFormat="false" ht="14.25" hidden="false" customHeight="true" outlineLevel="0" collapsed="false">
      <c r="A1" s="238" t="s">
        <v>1288</v>
      </c>
      <c r="B1" s="238" t="s">
        <v>600</v>
      </c>
      <c r="C1" s="239" t="s">
        <v>1289</v>
      </c>
      <c r="I1" s="240" t="s">
        <v>1290</v>
      </c>
    </row>
    <row r="2" customFormat="false" ht="14.25" hidden="false" customHeight="true" outlineLevel="0" collapsed="false">
      <c r="A2" s="238" t="s">
        <v>614</v>
      </c>
      <c r="B2" s="238"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v>
      </c>
      <c r="C2" s="239" t="s">
        <v>1291</v>
      </c>
    </row>
    <row r="3" customFormat="false" ht="14.25" hidden="false" customHeight="true" outlineLevel="0" collapsed="false">
      <c r="A3" s="238" t="s">
        <v>615</v>
      </c>
      <c r="B3" s="238"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customFormat="false" ht="14.25" hidden="false" customHeight="true" outlineLevel="0" collapsed="false">
      <c r="A4" s="238" t="s">
        <v>616</v>
      </c>
      <c r="B4" s="238"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Corrective action</v>
      </c>
    </row>
    <row r="5" customFormat="false" ht="14.25" hidden="false" customHeight="true" outlineLevel="0" collapsed="false">
      <c r="A5" s="238" t="s">
        <v>617</v>
      </c>
      <c r="B5" s="238"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8" t="s">
        <v>0</v>
      </c>
      <c r="B6" s="238"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provisions to penalise violating plans?</v>
      </c>
      <c r="C6" s="239" t="s">
        <v>1292</v>
      </c>
    </row>
    <row r="7" customFormat="false" ht="14.25" hidden="false" customHeight="true" outlineLevel="0" collapsed="false">
      <c r="A7" s="238" t="s">
        <v>618</v>
      </c>
      <c r="B7" s="238"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41" t="n">
        <f aca="false">VLOOKUP($B$1,'UPD Questions_290926 '!$E$1:$N$300,MATCH($A$7,'UPD Questions_290926 '!$E$1:$N$1,0),0)</f>
        <v>10</v>
      </c>
    </row>
    <row r="8" customFormat="false" ht="14.25" hidden="false" customHeight="true" outlineLevel="0" collapsed="false">
      <c r="A8" s="238" t="s">
        <v>619</v>
      </c>
      <c r="B8" s="238"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8" t="s">
        <v>620</v>
      </c>
      <c r="B9" s="91"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T&amp;CP Act mentions the penal provisions under the following heads (at least five of the below to mark as 'Yes'):1. DCR (Development Control Regulations) violations:                                  a. Zoning/ land useb. Permitted uses (including change in building use eg; dwelling to commercial use; warehouse to office space etc.)c. Setbacks (setbacks are the minimum space required between the plot boundary and building), d. Building height (maximum permissible height according to the location)e. Floor Area Ratio (FAR)/ Floor Space Index (FSI)f. Parking g. Heritage conservation (violations occur if such areas/structures are recognised to be of historical importance)i. Environmental conservationetc2. Building code violations: (at plan approval stage, these codes dictate the following details)a. Fire norms (primarily important at both plan approval level and again at Occupancy Certificate (OC) level)b. Provision of lifts and staircasesc. Corridor lengthd. Earthquake/flood/tsunami/flood resistance (in disaster prone areas)e. Plot access (the points of entry/exit to your building/plot in accordance with the road)f. Loading/ unloading bays (for commercial and industrial buildings, service access, safety etc. as detailed out by building code)etc3. NOC violationsa. Fire safetyb. Water supply and sewerage (absence of rainwater harvesting systems, discharge of waste into any public land, alley, waterbody, sidewalk etc.)c. Electricity (particularly for large-scale/commercial buildings)d. Pollutione. Solid waste managementf. Height (near airports)4. Encroachment of land5. Building refurbishment without permit/ approvals (addition/demolition/remodeling etc.)6. Urban design regulations vioations (includes signages, dispaly boards, streetscapes, pedestrian circulation, open areas, plazas, arcades etc.)</v>
      </c>
    </row>
    <row r="10" customFormat="false" ht="89.25" hidden="false" customHeight="true" outlineLevel="0" collapsed="false">
      <c r="A10" s="238" t="s">
        <v>621</v>
      </c>
      <c r="B10" s="91"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Please give the text of the provisions in the scorer comment's column in the scoresheet</v>
      </c>
      <c r="H10" s="242" t="s">
        <v>1850</v>
      </c>
    </row>
    <row r="11" customFormat="false" ht="64.5" hidden="false" customHeight="true" outlineLevel="0" collapsed="false">
      <c r="H11" s="243" t="s">
        <v>1656</v>
      </c>
      <c r="I11" s="244" t="s">
        <v>1295</v>
      </c>
      <c r="K11" s="77" t="s">
        <v>1296</v>
      </c>
    </row>
    <row r="12" customFormat="false" ht="60" hidden="false" customHeight="true" outlineLevel="0" collapsed="false">
      <c r="A12" s="245" t="s">
        <v>1297</v>
      </c>
      <c r="B12" s="245" t="s">
        <v>1298</v>
      </c>
      <c r="C12" s="245" t="s">
        <v>1299</v>
      </c>
      <c r="D12" s="245" t="s">
        <v>1300</v>
      </c>
      <c r="E12" s="245" t="s">
        <v>1301</v>
      </c>
      <c r="F12" s="245" t="s">
        <v>1302</v>
      </c>
      <c r="G12" s="245" t="s">
        <v>14</v>
      </c>
      <c r="H12" s="246" t="s">
        <v>1851</v>
      </c>
      <c r="I12" s="244" t="s">
        <v>1303</v>
      </c>
      <c r="J12" s="246" t="s">
        <v>1304</v>
      </c>
      <c r="K12" s="77" t="s">
        <v>1305</v>
      </c>
    </row>
    <row r="13" customFormat="false" ht="14.25" hidden="false" customHeight="true" outlineLevel="0" collapsed="false">
      <c r="A13" s="247" t="s">
        <v>999</v>
      </c>
      <c r="B13" s="248"/>
      <c r="C13" s="248"/>
      <c r="D13" s="248"/>
      <c r="E13" s="248"/>
      <c r="F13" s="248"/>
      <c r="G13" s="248"/>
      <c r="H13" s="249"/>
      <c r="I13" s="250" t="str">
        <f aca="false">IF(COUNTIFS('Scores (start here)'!$A:$A,$B$1,'Scores (start here)'!$B:$B,$A13,'Scores (start here)'!$F:$F,"&gt;=0")&gt;0,SUMIFS('Scores (start here)'!$F:$F,'Scores (start here)'!$A:$A,$B$1,'Scores (start here)'!$B:$B,$A13),K13)</f>
        <v/>
      </c>
      <c r="J13" s="248"/>
      <c r="K13" s="77" t="str">
        <f aca="false">IF(H13="","",MIN(H13*$C$7/5,$C$7))</f>
        <v/>
      </c>
    </row>
    <row r="14" customFormat="false" ht="14.25" hidden="false" customHeight="true" outlineLevel="0" collapsed="false">
      <c r="A14" s="247" t="s">
        <v>19</v>
      </c>
      <c r="B14" s="248" t="s">
        <v>25</v>
      </c>
      <c r="C14" s="248" t="s">
        <v>1852</v>
      </c>
      <c r="D14" s="248" t="s">
        <v>1853</v>
      </c>
      <c r="E14" s="248" t="s">
        <v>1854</v>
      </c>
      <c r="F14" s="248" t="s">
        <v>1855</v>
      </c>
      <c r="G14" s="248" t="s">
        <v>26</v>
      </c>
      <c r="H14" s="249" t="n">
        <v>7</v>
      </c>
      <c r="I14" s="250" t="n">
        <f aca="false">IF(COUNTIFS('Scores (start here)'!$A:$A,$B$1,'Scores (start here)'!$B:$B,$A14,'Scores (start here)'!$F:$F,"&gt;=0")&gt;0,SUMIFS('Scores (start here)'!$F:$F,'Scores (start here)'!$A:$A,$B$1,'Scores (start here)'!$B:$B,$A14),K14)</f>
        <v>10</v>
      </c>
      <c r="J14" s="251" t="s">
        <v>1856</v>
      </c>
      <c r="K14" s="77" t="n">
        <f aca="false">IF(H14="","",MIN(H14*$C$7/5,$C$7))</f>
        <v>10</v>
      </c>
    </row>
    <row r="15" customFormat="false" ht="14.25" hidden="false" customHeight="true" outlineLevel="0" collapsed="false">
      <c r="A15" s="247" t="s">
        <v>1000</v>
      </c>
      <c r="B15" s="248"/>
      <c r="C15" s="248"/>
      <c r="D15" s="248"/>
      <c r="E15" s="248"/>
      <c r="F15" s="248"/>
      <c r="G15" s="248"/>
      <c r="H15" s="249"/>
      <c r="I15" s="250" t="str">
        <f aca="false">IF(COUNTIFS('Scores (start here)'!$A:$A,$B$1,'Scores (start here)'!$B:$B,$A15,'Scores (start here)'!$F:$F,"&gt;=0")&gt;0,SUMIFS('Scores (start here)'!$F:$F,'Scores (start here)'!$A:$A,$B$1,'Scores (start here)'!$B:$B,$A15),K15)</f>
        <v/>
      </c>
      <c r="J15" s="248"/>
      <c r="K15" s="77" t="str">
        <f aca="false">IF(H15="","",MIN(H15*$C$7/5,$C$7))</f>
        <v/>
      </c>
    </row>
    <row r="16" customFormat="false" ht="14.25" hidden="false" customHeight="true" outlineLevel="0" collapsed="false">
      <c r="A16" s="247" t="s">
        <v>1001</v>
      </c>
      <c r="B16" s="248"/>
      <c r="C16" s="248"/>
      <c r="D16" s="248"/>
      <c r="E16" s="248"/>
      <c r="F16" s="248"/>
      <c r="G16" s="248"/>
      <c r="H16" s="249"/>
      <c r="I16" s="250" t="str">
        <f aca="false">IF(COUNTIFS('Scores (start here)'!$A:$A,$B$1,'Scores (start here)'!$B:$B,$A16,'Scores (start here)'!$F:$F,"&gt;=0")&gt;0,SUMIFS('Scores (start here)'!$F:$F,'Scores (start here)'!$A:$A,$B$1,'Scores (start here)'!$B:$B,$A16),K16)</f>
        <v/>
      </c>
      <c r="J16" s="248"/>
      <c r="K16" s="77" t="str">
        <f aca="false">IF(H16="","",MIN(H16*$C$7/5,$C$7))</f>
        <v/>
      </c>
    </row>
    <row r="17" customFormat="false" ht="14.25" hidden="false" customHeight="true" outlineLevel="0" collapsed="false">
      <c r="A17" s="247" t="s">
        <v>1002</v>
      </c>
      <c r="B17" s="248"/>
      <c r="C17" s="248"/>
      <c r="D17" s="248"/>
      <c r="E17" s="248"/>
      <c r="F17" s="248"/>
      <c r="G17" s="248"/>
      <c r="H17" s="249"/>
      <c r="I17" s="250" t="str">
        <f aca="false">IF(COUNTIFS('Scores (start here)'!$A:$A,$B$1,'Scores (start here)'!$B:$B,$A17,'Scores (start here)'!$F:$F,"&gt;=0")&gt;0,SUMIFS('Scores (start here)'!$F:$F,'Scores (start here)'!$A:$A,$B$1,'Scores (start here)'!$B:$B,$A17),K17)</f>
        <v/>
      </c>
      <c r="J17" s="248"/>
      <c r="K17" s="77" t="str">
        <f aca="false">IF(H17="","",MIN(H17*$C$7/5,$C$7))</f>
        <v/>
      </c>
    </row>
    <row r="18" customFormat="false" ht="14.25" hidden="false" customHeight="true" outlineLevel="0" collapsed="false">
      <c r="A18" s="247" t="s">
        <v>1003</v>
      </c>
      <c r="B18" s="248"/>
      <c r="C18" s="248"/>
      <c r="D18" s="248"/>
      <c r="E18" s="248"/>
      <c r="F18" s="248"/>
      <c r="G18" s="248"/>
      <c r="H18" s="249"/>
      <c r="I18" s="250" t="str">
        <f aca="false">IF(COUNTIFS('Scores (start here)'!$A:$A,$B$1,'Scores (start here)'!$B:$B,$A18,'Scores (start here)'!$F:$F,"&gt;=0")&gt;0,SUMIFS('Scores (start here)'!$F:$F,'Scores (start here)'!$A:$A,$B$1,'Scores (start here)'!$B:$B,$A18),K18)</f>
        <v/>
      </c>
      <c r="J18" s="248"/>
      <c r="K18" s="77" t="str">
        <f aca="false">IF(H18="","",MIN(H18*$C$7/5,$C$7))</f>
        <v/>
      </c>
    </row>
    <row r="19" customFormat="false" ht="14.25" hidden="false" customHeight="true" outlineLevel="0" collapsed="false">
      <c r="A19" s="247" t="s">
        <v>1004</v>
      </c>
      <c r="B19" s="248"/>
      <c r="C19" s="248"/>
      <c r="D19" s="248"/>
      <c r="E19" s="248"/>
      <c r="F19" s="248"/>
      <c r="G19" s="248"/>
      <c r="H19" s="249"/>
      <c r="I19" s="250" t="str">
        <f aca="false">IF(COUNTIFS('Scores (start here)'!$A:$A,$B$1,'Scores (start here)'!$B:$B,$A19,'Scores (start here)'!$F:$F,"&gt;=0")&gt;0,SUMIFS('Scores (start here)'!$F:$F,'Scores (start here)'!$A:$A,$B$1,'Scores (start here)'!$B:$B,$A19),K19)</f>
        <v/>
      </c>
      <c r="J19" s="248"/>
      <c r="K19" s="77" t="str">
        <f aca="false">IF(H19="","",MIN(H19*$C$7/5,$C$7))</f>
        <v/>
      </c>
    </row>
    <row r="20" customFormat="false" ht="14.25" hidden="false" customHeight="true" outlineLevel="0" collapsed="false">
      <c r="A20" s="247" t="s">
        <v>1005</v>
      </c>
      <c r="B20" s="248"/>
      <c r="C20" s="248"/>
      <c r="D20" s="248"/>
      <c r="E20" s="248"/>
      <c r="F20" s="248"/>
      <c r="G20" s="248"/>
      <c r="H20" s="249"/>
      <c r="I20" s="250" t="str">
        <f aca="false">IF(COUNTIFS('Scores (start here)'!$A:$A,$B$1,'Scores (start here)'!$B:$B,$A20,'Scores (start here)'!$F:$F,"&gt;=0")&gt;0,SUMIFS('Scores (start here)'!$F:$F,'Scores (start here)'!$A:$A,$B$1,'Scores (start here)'!$B:$B,$A20),K20)</f>
        <v/>
      </c>
      <c r="J20" s="248"/>
      <c r="K20" s="77" t="str">
        <f aca="false">IF(H20="","",MIN(H20*$C$7/5,$C$7))</f>
        <v/>
      </c>
    </row>
    <row r="21" customFormat="false" ht="14.25" hidden="false" customHeight="true" outlineLevel="0" collapsed="false">
      <c r="A21" s="247" t="s">
        <v>1006</v>
      </c>
      <c r="B21" s="248"/>
      <c r="C21" s="248"/>
      <c r="D21" s="248"/>
      <c r="E21" s="248"/>
      <c r="F21" s="248"/>
      <c r="G21" s="248"/>
      <c r="H21" s="249"/>
      <c r="I21" s="250" t="str">
        <f aca="false">IF(COUNTIFS('Scores (start here)'!$A:$A,$B$1,'Scores (start here)'!$B:$B,$A21,'Scores (start here)'!$F:$F,"&gt;=0")&gt;0,SUMIFS('Scores (start here)'!$F:$F,'Scores (start here)'!$A:$A,$B$1,'Scores (start here)'!$B:$B,$A21),K21)</f>
        <v/>
      </c>
      <c r="J21" s="248"/>
      <c r="K21" s="77" t="str">
        <f aca="false">IF(H21="","",MIN(H21*$C$7/5,$C$7))</f>
        <v/>
      </c>
    </row>
    <row r="22" customFormat="false" ht="14.25" hidden="false" customHeight="true" outlineLevel="0" collapsed="false">
      <c r="A22" s="247" t="s">
        <v>1007</v>
      </c>
      <c r="B22" s="248"/>
      <c r="C22" s="248"/>
      <c r="D22" s="248"/>
      <c r="E22" s="248"/>
      <c r="F22" s="248"/>
      <c r="G22" s="248"/>
      <c r="H22" s="249"/>
      <c r="I22" s="250" t="str">
        <f aca="false">IF(COUNTIFS('Scores (start here)'!$A:$A,$B$1,'Scores (start here)'!$B:$B,$A22,'Scores (start here)'!$F:$F,"&gt;=0")&gt;0,SUMIFS('Scores (start here)'!$F:$F,'Scores (start here)'!$A:$A,$B$1,'Scores (start here)'!$B:$B,$A22),K22)</f>
        <v/>
      </c>
      <c r="J22" s="248"/>
      <c r="K22" s="77" t="str">
        <f aca="false">IF(H22="","",MIN(H22*$C$7/5,$C$7))</f>
        <v/>
      </c>
    </row>
    <row r="23" customFormat="false" ht="14.25" hidden="false" customHeight="true" outlineLevel="0" collapsed="false">
      <c r="A23" s="247" t="s">
        <v>1008</v>
      </c>
      <c r="B23" s="248"/>
      <c r="C23" s="248"/>
      <c r="D23" s="248"/>
      <c r="E23" s="248"/>
      <c r="F23" s="248"/>
      <c r="G23" s="248"/>
      <c r="H23" s="249"/>
      <c r="I23" s="250" t="str">
        <f aca="false">IF(COUNTIFS('Scores (start here)'!$A:$A,$B$1,'Scores (start here)'!$B:$B,$A23,'Scores (start here)'!$F:$F,"&gt;=0")&gt;0,SUMIFS('Scores (start here)'!$F:$F,'Scores (start here)'!$A:$A,$B$1,'Scores (start here)'!$B:$B,$A23),K23)</f>
        <v/>
      </c>
      <c r="J23" s="248"/>
      <c r="K23" s="77" t="str">
        <f aca="false">IF(H23="","",MIN(H23*$C$7/5,$C$7))</f>
        <v/>
      </c>
    </row>
    <row r="24" customFormat="false" ht="14.25" hidden="false" customHeight="true" outlineLevel="0" collapsed="false">
      <c r="A24" s="247" t="s">
        <v>1009</v>
      </c>
      <c r="B24" s="248"/>
      <c r="C24" s="248"/>
      <c r="D24" s="248"/>
      <c r="E24" s="248"/>
      <c r="F24" s="248"/>
      <c r="G24" s="248"/>
      <c r="H24" s="249"/>
      <c r="I24" s="250" t="str">
        <f aca="false">IF(COUNTIFS('Scores (start here)'!$A:$A,$B$1,'Scores (start here)'!$B:$B,$A24,'Scores (start here)'!$F:$F,"&gt;=0")&gt;0,SUMIFS('Scores (start here)'!$F:$F,'Scores (start here)'!$A:$A,$B$1,'Scores (start here)'!$B:$B,$A24),K24)</f>
        <v/>
      </c>
      <c r="J24" s="248"/>
      <c r="K24" s="77" t="str">
        <f aca="false">IF(H24="","",MIN(H24*$C$7/5,$C$7))</f>
        <v/>
      </c>
    </row>
    <row r="25" customFormat="false" ht="14.25" hidden="false" customHeight="true" outlineLevel="0" collapsed="false">
      <c r="A25" s="247" t="s">
        <v>1010</v>
      </c>
      <c r="B25" s="248"/>
      <c r="C25" s="248"/>
      <c r="D25" s="248"/>
      <c r="E25" s="248"/>
      <c r="F25" s="248"/>
      <c r="G25" s="248"/>
      <c r="H25" s="249"/>
      <c r="I25" s="250" t="str">
        <f aca="false">IF(COUNTIFS('Scores (start here)'!$A:$A,$B$1,'Scores (start here)'!$B:$B,$A25,'Scores (start here)'!$F:$F,"&gt;=0")&gt;0,SUMIFS('Scores (start here)'!$F:$F,'Scores (start here)'!$A:$A,$B$1,'Scores (start here)'!$B:$B,$A25),K25)</f>
        <v/>
      </c>
      <c r="J25" s="248"/>
      <c r="K25" s="77" t="str">
        <f aca="false">IF(H25="","",MIN(H25*$C$7/5,$C$7))</f>
        <v/>
      </c>
    </row>
    <row r="26" customFormat="false" ht="14.25" hidden="false" customHeight="true" outlineLevel="0" collapsed="false">
      <c r="A26" s="247" t="s">
        <v>1011</v>
      </c>
      <c r="B26" s="248"/>
      <c r="C26" s="248"/>
      <c r="D26" s="248"/>
      <c r="E26" s="248"/>
      <c r="F26" s="248"/>
      <c r="G26" s="248"/>
      <c r="H26" s="249"/>
      <c r="I26" s="250" t="str">
        <f aca="false">IF(COUNTIFS('Scores (start here)'!$A:$A,$B$1,'Scores (start here)'!$B:$B,$A26,'Scores (start here)'!$F:$F,"&gt;=0")&gt;0,SUMIFS('Scores (start here)'!$F:$F,'Scores (start here)'!$A:$A,$B$1,'Scores (start here)'!$B:$B,$A26),K26)</f>
        <v/>
      </c>
      <c r="J26" s="248"/>
      <c r="K26" s="77" t="str">
        <f aca="false">IF(H26="","",MIN(H26*$C$7/5,$C$7))</f>
        <v/>
      </c>
    </row>
    <row r="27" customFormat="false" ht="14.25" hidden="false" customHeight="true" outlineLevel="0" collapsed="false">
      <c r="A27" s="247" t="s">
        <v>1012</v>
      </c>
      <c r="B27" s="248"/>
      <c r="C27" s="248"/>
      <c r="D27" s="248"/>
      <c r="E27" s="248"/>
      <c r="F27" s="248"/>
      <c r="G27" s="248"/>
      <c r="H27" s="249"/>
      <c r="I27" s="250" t="str">
        <f aca="false">IF(COUNTIFS('Scores (start here)'!$A:$A,$B$1,'Scores (start here)'!$B:$B,$A27,'Scores (start here)'!$F:$F,"&gt;=0")&gt;0,SUMIFS('Scores (start here)'!$F:$F,'Scores (start here)'!$A:$A,$B$1,'Scores (start here)'!$B:$B,$A27),K27)</f>
        <v/>
      </c>
      <c r="J27" s="248"/>
      <c r="K27" s="77" t="str">
        <f aca="false">IF(H27="","",MIN(H27*$C$7/5,$C$7))</f>
        <v/>
      </c>
    </row>
    <row r="28" customFormat="false" ht="14.25" hidden="false" customHeight="true" outlineLevel="0" collapsed="false">
      <c r="A28" s="247" t="s">
        <v>1013</v>
      </c>
      <c r="B28" s="248"/>
      <c r="C28" s="248"/>
      <c r="D28" s="248"/>
      <c r="E28" s="248"/>
      <c r="F28" s="248"/>
      <c r="G28" s="248"/>
      <c r="H28" s="249"/>
      <c r="I28" s="250" t="str">
        <f aca="false">IF(COUNTIFS('Scores (start here)'!$A:$A,$B$1,'Scores (start here)'!$B:$B,$A28,'Scores (start here)'!$F:$F,"&gt;=0")&gt;0,SUMIFS('Scores (start here)'!$F:$F,'Scores (start here)'!$A:$A,$B$1,'Scores (start here)'!$B:$B,$A28),K28)</f>
        <v/>
      </c>
      <c r="J28" s="248"/>
      <c r="K28" s="77" t="str">
        <f aca="false">IF(H28="","",MIN(H28*$C$7/5,$C$7))</f>
        <v/>
      </c>
    </row>
    <row r="29" customFormat="false" ht="14.25" hidden="false" customHeight="true" outlineLevel="0" collapsed="false">
      <c r="A29" s="247" t="s">
        <v>1014</v>
      </c>
      <c r="B29" s="248"/>
      <c r="C29" s="248"/>
      <c r="D29" s="248"/>
      <c r="E29" s="248"/>
      <c r="F29" s="248"/>
      <c r="G29" s="248"/>
      <c r="H29" s="249"/>
      <c r="I29" s="250" t="str">
        <f aca="false">IF(COUNTIFS('Scores (start here)'!$A:$A,$B$1,'Scores (start here)'!$B:$B,$A29,'Scores (start here)'!$F:$F,"&gt;=0")&gt;0,SUMIFS('Scores (start here)'!$F:$F,'Scores (start here)'!$A:$A,$B$1,'Scores (start here)'!$B:$B,$A29),K29)</f>
        <v/>
      </c>
      <c r="J29" s="248"/>
      <c r="K29" s="77" t="str">
        <f aca="false">IF(H29="","",MIN(H29*$C$7/5,$C$7))</f>
        <v/>
      </c>
    </row>
    <row r="30" customFormat="false" ht="14.25" hidden="false" customHeight="true" outlineLevel="0" collapsed="false">
      <c r="A30" s="247" t="s">
        <v>1015</v>
      </c>
      <c r="B30" s="248"/>
      <c r="C30" s="248"/>
      <c r="D30" s="248"/>
      <c r="E30" s="248"/>
      <c r="F30" s="248"/>
      <c r="G30" s="248"/>
      <c r="H30" s="249"/>
      <c r="I30" s="250" t="str">
        <f aca="false">IF(COUNTIFS('Scores (start here)'!$A:$A,$B$1,'Scores (start here)'!$B:$B,$A30,'Scores (start here)'!$F:$F,"&gt;=0")&gt;0,SUMIFS('Scores (start here)'!$F:$F,'Scores (start here)'!$A:$A,$B$1,'Scores (start here)'!$B:$B,$A30),K30)</f>
        <v/>
      </c>
      <c r="J30" s="248"/>
      <c r="K30" s="77" t="str">
        <f aca="false">IF(H30="","",MIN(H30*$C$7/5,$C$7))</f>
        <v/>
      </c>
    </row>
    <row r="31" customFormat="false" ht="14.25" hidden="false" customHeight="true" outlineLevel="0" collapsed="false">
      <c r="A31" s="247" t="s">
        <v>1016</v>
      </c>
      <c r="B31" s="248"/>
      <c r="C31" s="248"/>
      <c r="D31" s="248"/>
      <c r="E31" s="248"/>
      <c r="F31" s="248"/>
      <c r="G31" s="248"/>
      <c r="H31" s="249"/>
      <c r="I31" s="250" t="str">
        <f aca="false">IF(COUNTIFS('Scores (start here)'!$A:$A,$B$1,'Scores (start here)'!$B:$B,$A31,'Scores (start here)'!$F:$F,"&gt;=0")&gt;0,SUMIFS('Scores (start here)'!$F:$F,'Scores (start here)'!$A:$A,$B$1,'Scores (start here)'!$B:$B,$A31),K31)</f>
        <v/>
      </c>
      <c r="J31" s="248"/>
      <c r="K31" s="77" t="str">
        <f aca="false">IF(H31="","",MIN(H31*$C$7/5,$C$7))</f>
        <v/>
      </c>
    </row>
    <row r="32" customFormat="false" ht="14.25" hidden="false" customHeight="true" outlineLevel="0" collapsed="false">
      <c r="A32" s="247" t="s">
        <v>1017</v>
      </c>
      <c r="B32" s="248"/>
      <c r="C32" s="248"/>
      <c r="D32" s="248"/>
      <c r="E32" s="248"/>
      <c r="F32" s="248"/>
      <c r="G32" s="248"/>
      <c r="H32" s="249"/>
      <c r="I32" s="250" t="str">
        <f aca="false">IF(COUNTIFS('Scores (start here)'!$A:$A,$B$1,'Scores (start here)'!$B:$B,$A32,'Scores (start here)'!$F:$F,"&gt;=0")&gt;0,SUMIFS('Scores (start here)'!$F:$F,'Scores (start here)'!$A:$A,$B$1,'Scores (start here)'!$B:$B,$A32),K32)</f>
        <v/>
      </c>
      <c r="J32" s="248"/>
      <c r="K32" s="77" t="str">
        <f aca="false">IF(H32="","",MIN(H32*$C$7/5,$C$7))</f>
        <v/>
      </c>
    </row>
    <row r="33" customFormat="false" ht="14.25" hidden="false" customHeight="true" outlineLevel="0" collapsed="false">
      <c r="A33" s="247" t="s">
        <v>30</v>
      </c>
      <c r="B33" s="248" t="s">
        <v>41</v>
      </c>
      <c r="C33" s="248" t="s">
        <v>1857</v>
      </c>
      <c r="D33" s="248" t="s">
        <v>1858</v>
      </c>
      <c r="E33" s="248" t="s">
        <v>1859</v>
      </c>
      <c r="F33" s="248" t="s">
        <v>1860</v>
      </c>
      <c r="G33" s="248" t="s">
        <v>42</v>
      </c>
      <c r="H33" s="249"/>
      <c r="I33" s="250" t="str">
        <f aca="false">IF(COUNTIFS('Scores (start here)'!$A:$A,$B$1,'Scores (start here)'!$B:$B,$A33,'Scores (start here)'!$F:$F,"&gt;=0")&gt;0,SUMIFS('Scores (start here)'!$F:$F,'Scores (start here)'!$A:$A,$B$1,'Scores (start here)'!$B:$B,$A33),K33)</f>
        <v/>
      </c>
      <c r="J33" s="251" t="s">
        <v>1861</v>
      </c>
      <c r="K33" s="77" t="str">
        <f aca="false">IF(H33="","",MIN(H33*$C$7/5,$C$7))</f>
        <v/>
      </c>
    </row>
    <row r="34" customFormat="false" ht="14.25" hidden="false" customHeight="true" outlineLevel="0" collapsed="false">
      <c r="A34" s="247" t="s">
        <v>1018</v>
      </c>
      <c r="B34" s="248"/>
      <c r="C34" s="248"/>
      <c r="D34" s="248"/>
      <c r="E34" s="248"/>
      <c r="F34" s="248"/>
      <c r="G34" s="248"/>
      <c r="H34" s="249"/>
      <c r="I34" s="250" t="str">
        <f aca="false">IF(COUNTIFS('Scores (start here)'!$A:$A,$B$1,'Scores (start here)'!$B:$B,$A34,'Scores (start here)'!$F:$F,"&gt;=0")&gt;0,SUMIFS('Scores (start here)'!$F:$F,'Scores (start here)'!$A:$A,$B$1,'Scores (start here)'!$B:$B,$A34),K34)</f>
        <v/>
      </c>
      <c r="J34" s="248"/>
      <c r="K34" s="77" t="str">
        <f aca="false">IF(H34="","",MIN(H34*$C$7/5,$C$7))</f>
        <v/>
      </c>
    </row>
    <row r="35" customFormat="false" ht="14.25" hidden="false" customHeight="true" outlineLevel="0" collapsed="false">
      <c r="A35" s="247" t="s">
        <v>1019</v>
      </c>
      <c r="B35" s="248"/>
      <c r="C35" s="248"/>
      <c r="D35" s="248"/>
      <c r="E35" s="248"/>
      <c r="F35" s="248"/>
      <c r="G35" s="248"/>
      <c r="H35" s="249"/>
      <c r="I35" s="250" t="str">
        <f aca="false">IF(COUNTIFS('Scores (start here)'!$A:$A,$B$1,'Scores (start here)'!$B:$B,$A35,'Scores (start here)'!$F:$F,"&gt;=0")&gt;0,SUMIFS('Scores (start here)'!$F:$F,'Scores (start here)'!$A:$A,$B$1,'Scores (start here)'!$B:$B,$A35),K35)</f>
        <v/>
      </c>
      <c r="J35" s="248"/>
      <c r="K35" s="77" t="str">
        <f aca="false">IF(H35="","",MIN(H35*$C$7/5,$C$7))</f>
        <v/>
      </c>
    </row>
    <row r="36" customFormat="false" ht="14.25" hidden="false" customHeight="true" outlineLevel="0" collapsed="false">
      <c r="A36" s="247" t="s">
        <v>1020</v>
      </c>
      <c r="B36" s="248"/>
      <c r="C36" s="248"/>
      <c r="D36" s="248"/>
      <c r="E36" s="248"/>
      <c r="F36" s="248"/>
      <c r="G36" s="248"/>
      <c r="H36" s="249"/>
      <c r="I36" s="250" t="str">
        <f aca="false">IF(COUNTIFS('Scores (start here)'!$A:$A,$B$1,'Scores (start here)'!$B:$B,$A36,'Scores (start here)'!$F:$F,"&gt;=0")&gt;0,SUMIFS('Scores (start here)'!$F:$F,'Scores (start here)'!$A:$A,$B$1,'Scores (start here)'!$B:$B,$A36),K36)</f>
        <v/>
      </c>
      <c r="J36" s="248"/>
      <c r="K36" s="77" t="str">
        <f aca="false">IF(H36="","",MIN(H36*$C$7/5,$C$7))</f>
        <v/>
      </c>
    </row>
    <row r="37" customFormat="false" ht="14.25" hidden="false" customHeight="true" outlineLevel="0" collapsed="false">
      <c r="A37" s="247" t="s">
        <v>1021</v>
      </c>
      <c r="B37" s="248"/>
      <c r="C37" s="248"/>
      <c r="D37" s="248"/>
      <c r="E37" s="248"/>
      <c r="F37" s="248"/>
      <c r="G37" s="248"/>
      <c r="H37" s="249"/>
      <c r="I37" s="250" t="str">
        <f aca="false">IF(COUNTIFS('Scores (start here)'!$A:$A,$B$1,'Scores (start here)'!$B:$B,$A37,'Scores (start here)'!$F:$F,"&gt;=0")&gt;0,SUMIFS('Scores (start here)'!$F:$F,'Scores (start here)'!$A:$A,$B$1,'Scores (start here)'!$B:$B,$A37),K37)</f>
        <v/>
      </c>
      <c r="J37" s="248"/>
      <c r="K37" s="77" t="str">
        <f aca="false">IF(H37="","",MIN(H37*$C$7/5,$C$7))</f>
        <v/>
      </c>
    </row>
    <row r="38" customFormat="false" ht="14.25" hidden="false" customHeight="true" outlineLevel="0" collapsed="false">
      <c r="A38" s="247" t="s">
        <v>1022</v>
      </c>
      <c r="B38" s="248"/>
      <c r="C38" s="248"/>
      <c r="D38" s="248"/>
      <c r="E38" s="248"/>
      <c r="F38" s="248"/>
      <c r="G38" s="248"/>
      <c r="H38" s="249"/>
      <c r="I38" s="250" t="str">
        <f aca="false">IF(COUNTIFS('Scores (start here)'!$A:$A,$B$1,'Scores (start here)'!$B:$B,$A38,'Scores (start here)'!$F:$F,"&gt;=0")&gt;0,SUMIFS('Scores (start here)'!$F:$F,'Scores (start here)'!$A:$A,$B$1,'Scores (start here)'!$B:$B,$A38),K38)</f>
        <v/>
      </c>
      <c r="J38" s="248"/>
      <c r="K38" s="77" t="str">
        <f aca="false">IF(H38="","",MIN(H38*$C$7/5,$C$7))</f>
        <v/>
      </c>
    </row>
    <row r="39" customFormat="false" ht="14.25" hidden="false" customHeight="true" outlineLevel="0" collapsed="false">
      <c r="A39" s="247" t="s">
        <v>1023</v>
      </c>
      <c r="B39" s="248"/>
      <c r="C39" s="248"/>
      <c r="D39" s="248"/>
      <c r="E39" s="248"/>
      <c r="F39" s="248"/>
      <c r="G39" s="248"/>
      <c r="H39" s="249"/>
      <c r="I39" s="250" t="str">
        <f aca="false">IF(COUNTIFS('Scores (start here)'!$A:$A,$B$1,'Scores (start here)'!$B:$B,$A39,'Scores (start here)'!$F:$F,"&gt;=0")&gt;0,SUMIFS('Scores (start here)'!$F:$F,'Scores (start here)'!$A:$A,$B$1,'Scores (start here)'!$B:$B,$A39),K39)</f>
        <v/>
      </c>
      <c r="J39" s="248"/>
      <c r="K39" s="77" t="str">
        <f aca="false">IF(H39="","",MIN(H39*$C$7/5,$C$7))</f>
        <v/>
      </c>
    </row>
    <row r="40" customFormat="false" ht="14.25" hidden="false" customHeight="true" outlineLevel="0" collapsed="false">
      <c r="A40" s="247" t="s">
        <v>1024</v>
      </c>
      <c r="B40" s="248"/>
      <c r="C40" s="248"/>
      <c r="D40" s="248"/>
      <c r="E40" s="248"/>
      <c r="F40" s="248"/>
      <c r="G40" s="248"/>
      <c r="H40" s="249"/>
      <c r="I40" s="250" t="str">
        <f aca="false">IF(COUNTIFS('Scores (start here)'!$A:$A,$B$1,'Scores (start here)'!$B:$B,$A40,'Scores (start here)'!$F:$F,"&gt;=0")&gt;0,SUMIFS('Scores (start here)'!$F:$F,'Scores (start here)'!$A:$A,$B$1,'Scores (start here)'!$B:$B,$A40),K40)</f>
        <v/>
      </c>
      <c r="J40" s="248"/>
      <c r="K40" s="77" t="str">
        <f aca="false">IF(H40="","",MIN(H40*$C$7/5,$C$7))</f>
        <v/>
      </c>
    </row>
    <row r="41" customFormat="false" ht="14.25" hidden="false" customHeight="true" outlineLevel="0" collapsed="false">
      <c r="A41" s="247" t="s">
        <v>1025</v>
      </c>
      <c r="B41" s="248"/>
      <c r="C41" s="248"/>
      <c r="D41" s="248"/>
      <c r="E41" s="248"/>
      <c r="F41" s="248"/>
      <c r="G41" s="248"/>
      <c r="H41" s="249"/>
      <c r="I41" s="250" t="str">
        <f aca="false">IF(COUNTIFS('Scores (start here)'!$A:$A,$B$1,'Scores (start here)'!$B:$B,$A41,'Scores (start here)'!$F:$F,"&gt;=0")&gt;0,SUMIFS('Scores (start here)'!$F:$F,'Scores (start here)'!$A:$A,$B$1,'Scores (start here)'!$B:$B,$A41),K41)</f>
        <v/>
      </c>
      <c r="J41" s="248"/>
      <c r="K41" s="77" t="str">
        <f aca="false">IF(H41="","",MIN(H41*$C$7/5,$C$7))</f>
        <v/>
      </c>
    </row>
  </sheetData>
  <dataValidations count="1">
    <dataValidation allowBlank="true" error="Please enter a valid value (see note above the column)." errorStyle="stop" errorTitle="Invalid entry" operator="greaterThanOrEqual" showDropDown="false" showErrorMessage="true" showInputMessage="false" sqref="H13:H41" type="whole">
      <formula1>0</formula1>
      <formula2>0</formula2>
    </dataValidation>
  </dataValidations>
  <hyperlinks>
    <hyperlink ref="I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2026-09-22T20:15:05Z</dcterms:created>
  <dc:creator>openpyxl</dc:creator>
  <dc:description/>
  <dc:language>en-IN</dc:language>
  <cp:lastModifiedBy/>
  <dcterms:modified xsi:type="dcterms:W3CDTF">2026-10-14T08:33:34Z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0x010100D65FC0E5BB0F4546AE12BE9A8815662A</vt:lpwstr>
  </property>
  <property fmtid="{D5CDD505-2E9C-101B-9397-08002B2CF9AE}" pid="3" name="Department">
    <vt:lpwstr>167;#Advocacy_Research|085511b0-7144-4788-869f-9a4533588176</vt:lpwstr>
  </property>
  <property fmtid="{D5CDD505-2E9C-101B-9397-08002B2CF9AE}" pid="4" name="Document Type">
    <vt:lpwstr/>
  </property>
  <property fmtid="{D5CDD505-2E9C-101B-9397-08002B2CF9AE}" pid="5" name="Document_x0020_Type">
    <vt:lpwstr/>
  </property>
  <property fmtid="{D5CDD505-2E9C-101B-9397-08002B2CF9AE}" pid="6" name="MediaServiceImageTags">
    <vt:lpwstr/>
  </property>
  <property fmtid="{D5CDD505-2E9C-101B-9397-08002B2CF9AE}" pid="7" name="Program">
    <vt:lpwstr/>
  </property>
</Properties>
</file>